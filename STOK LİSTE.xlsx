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mal\Desktop\İNDİRİLENLER\"/>
    </mc:Choice>
  </mc:AlternateContent>
  <xr:revisionPtr revIDLastSave="0" documentId="8_{F7E43F1C-C28E-4CFE-B514-3A8BBFEA1915}" xr6:coauthVersionLast="47" xr6:coauthVersionMax="47" xr10:uidLastSave="{00000000-0000-0000-0000-000000000000}"/>
  <bookViews>
    <workbookView xWindow="-120" yWindow="-120" windowWidth="38640" windowHeight="21240" xr2:uid="{0ED073AB-7DFA-4FD7-BA0C-22592B03D5BF}"/>
  </bookViews>
  <sheets>
    <sheet name="Temp1" sheetId="1" r:id="rId1"/>
  </sheets>
  <calcPr calcId="0"/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J15" i="1"/>
  <c r="A16" i="1"/>
  <c r="A17" i="1"/>
  <c r="J17" i="1"/>
  <c r="A18" i="1"/>
  <c r="A19" i="1"/>
  <c r="A20" i="1"/>
  <c r="A21" i="1"/>
  <c r="J21" i="1"/>
  <c r="A22" i="1"/>
  <c r="A23" i="1"/>
  <c r="J23" i="1"/>
  <c r="A24" i="1"/>
  <c r="J24" i="1"/>
  <c r="A25" i="1"/>
  <c r="A26" i="1"/>
  <c r="A27" i="1"/>
  <c r="A28" i="1"/>
  <c r="A29" i="1"/>
  <c r="J29" i="1"/>
  <c r="A30" i="1"/>
  <c r="A31" i="1"/>
  <c r="A32" i="1"/>
  <c r="J32" i="1"/>
  <c r="A33" i="1"/>
  <c r="A34" i="1"/>
  <c r="A35" i="1"/>
  <c r="J35" i="1"/>
  <c r="A36" i="1"/>
  <c r="J36" i="1"/>
  <c r="A37" i="1"/>
  <c r="J37" i="1"/>
  <c r="A38" i="1"/>
  <c r="A39" i="1"/>
  <c r="A40" i="1"/>
  <c r="A41" i="1"/>
  <c r="A42" i="1"/>
  <c r="J42" i="1"/>
  <c r="A43" i="1"/>
  <c r="A44" i="1"/>
  <c r="A45" i="1"/>
  <c r="A46" i="1"/>
  <c r="J46" i="1"/>
  <c r="A47" i="1"/>
  <c r="A48" i="1"/>
  <c r="J48" i="1"/>
  <c r="A49" i="1"/>
  <c r="J49" i="1"/>
  <c r="A50" i="1"/>
  <c r="A51" i="1"/>
  <c r="J51" i="1"/>
  <c r="A52" i="1"/>
  <c r="A53" i="1"/>
  <c r="J53" i="1"/>
  <c r="A54" i="1"/>
  <c r="A55" i="1"/>
  <c r="A56" i="1"/>
  <c r="A57" i="1"/>
  <c r="A58" i="1"/>
  <c r="J58" i="1"/>
  <c r="A59" i="1"/>
  <c r="A60" i="1"/>
  <c r="A61" i="1"/>
  <c r="J61" i="1"/>
  <c r="A62" i="1"/>
  <c r="A63" i="1"/>
  <c r="A64" i="1"/>
  <c r="A65" i="1"/>
  <c r="A66" i="1"/>
  <c r="J66" i="1"/>
  <c r="A67" i="1"/>
  <c r="A68" i="1"/>
  <c r="A69" i="1"/>
  <c r="J69" i="1"/>
  <c r="A70" i="1"/>
  <c r="A71" i="1"/>
  <c r="J71" i="1"/>
  <c r="A72" i="1"/>
  <c r="J72" i="1"/>
  <c r="A73" i="1"/>
  <c r="J73" i="1"/>
  <c r="A74" i="1"/>
  <c r="A75" i="1"/>
  <c r="A76" i="1"/>
  <c r="A77" i="1"/>
  <c r="A78" i="1"/>
  <c r="J78" i="1"/>
  <c r="A79" i="1"/>
  <c r="A80" i="1"/>
  <c r="J80" i="1"/>
  <c r="A81" i="1"/>
  <c r="J81" i="1"/>
  <c r="A82" i="1"/>
  <c r="J82" i="1"/>
  <c r="A83" i="1"/>
  <c r="J83" i="1"/>
  <c r="A84" i="1"/>
  <c r="J84" i="1"/>
  <c r="A85" i="1"/>
  <c r="J85" i="1"/>
  <c r="A86" i="1"/>
  <c r="J86" i="1"/>
  <c r="A87" i="1"/>
  <c r="A88" i="1"/>
  <c r="A89" i="1"/>
  <c r="A90" i="1"/>
  <c r="A91" i="1"/>
  <c r="A92" i="1"/>
  <c r="A93" i="1"/>
  <c r="A94" i="1"/>
  <c r="J94" i="1"/>
  <c r="A95" i="1"/>
  <c r="A96" i="1"/>
  <c r="J96" i="1"/>
  <c r="A97" i="1"/>
  <c r="A98" i="1"/>
  <c r="A99" i="1"/>
  <c r="A100" i="1"/>
  <c r="A101" i="1"/>
  <c r="A102" i="1"/>
  <c r="A103" i="1"/>
  <c r="A104" i="1"/>
  <c r="A105" i="1"/>
  <c r="A106" i="1"/>
  <c r="A107" i="1"/>
  <c r="J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J120" i="1"/>
  <c r="A121" i="1"/>
  <c r="A122" i="1"/>
  <c r="A123" i="1"/>
  <c r="A124" i="1"/>
  <c r="A125" i="1"/>
  <c r="J125" i="1"/>
  <c r="A126" i="1"/>
  <c r="A127" i="1"/>
  <c r="J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J146" i="1"/>
  <c r="A147" i="1"/>
  <c r="J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J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J182" i="1"/>
  <c r="A183" i="1"/>
  <c r="A184" i="1"/>
  <c r="A185" i="1"/>
  <c r="A186" i="1"/>
  <c r="A187" i="1"/>
  <c r="A188" i="1"/>
  <c r="J188" i="1"/>
  <c r="A189" i="1"/>
  <c r="A190" i="1"/>
  <c r="A191" i="1"/>
  <c r="A192" i="1"/>
  <c r="J192" i="1"/>
  <c r="A193" i="1"/>
  <c r="A194" i="1"/>
  <c r="A195" i="1"/>
  <c r="A196" i="1"/>
  <c r="A197" i="1"/>
  <c r="A198" i="1"/>
  <c r="J198" i="1"/>
  <c r="A199" i="1"/>
  <c r="A200" i="1"/>
  <c r="A201" i="1"/>
  <c r="J201" i="1"/>
  <c r="A202" i="1"/>
  <c r="A203" i="1"/>
  <c r="A204" i="1"/>
  <c r="A205" i="1"/>
  <c r="A206" i="1"/>
  <c r="J206" i="1"/>
  <c r="A207" i="1"/>
  <c r="A208" i="1"/>
  <c r="A209" i="1"/>
  <c r="J209" i="1"/>
  <c r="A210" i="1"/>
  <c r="A211" i="1"/>
  <c r="A212" i="1"/>
  <c r="A213" i="1"/>
  <c r="J213" i="1"/>
  <c r="A214" i="1"/>
  <c r="A215" i="1"/>
  <c r="J215" i="1"/>
  <c r="A216" i="1"/>
  <c r="A217" i="1"/>
  <c r="A218" i="1"/>
  <c r="A219" i="1"/>
  <c r="A220" i="1"/>
  <c r="J220" i="1"/>
  <c r="A221" i="1"/>
  <c r="A222" i="1"/>
  <c r="A223" i="1"/>
  <c r="A224" i="1"/>
  <c r="A225" i="1"/>
  <c r="A226" i="1"/>
  <c r="J226" i="1"/>
  <c r="A227" i="1"/>
  <c r="J227" i="1"/>
  <c r="A228" i="1"/>
  <c r="J228" i="1"/>
  <c r="A229" i="1"/>
  <c r="J229" i="1"/>
  <c r="A230" i="1"/>
  <c r="J230" i="1"/>
  <c r="A231" i="1"/>
  <c r="J231" i="1"/>
  <c r="A232" i="1"/>
  <c r="A233" i="1"/>
  <c r="J233" i="1"/>
  <c r="A234" i="1"/>
  <c r="J234" i="1"/>
  <c r="A235" i="1"/>
  <c r="J235" i="1"/>
  <c r="A236" i="1"/>
  <c r="J236" i="1"/>
  <c r="A237" i="1"/>
  <c r="A238" i="1"/>
  <c r="A239" i="1"/>
  <c r="A240" i="1"/>
  <c r="J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J252" i="1"/>
  <c r="A253" i="1"/>
  <c r="A254" i="1"/>
  <c r="A255" i="1"/>
  <c r="A256" i="1"/>
  <c r="A257" i="1"/>
  <c r="J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J273" i="1"/>
  <c r="A274" i="1"/>
  <c r="A275" i="1"/>
  <c r="A276" i="1"/>
  <c r="A277" i="1"/>
  <c r="A278" i="1"/>
  <c r="A279" i="1"/>
  <c r="J279" i="1"/>
  <c r="A280" i="1"/>
  <c r="A281" i="1"/>
  <c r="A282" i="1"/>
  <c r="J297" i="1"/>
  <c r="J299" i="1"/>
  <c r="J306" i="1"/>
  <c r="J307" i="1"/>
  <c r="J317" i="1"/>
  <c r="J318" i="1"/>
  <c r="J320" i="1"/>
  <c r="J321" i="1"/>
  <c r="J341" i="1"/>
  <c r="J365" i="1"/>
  <c r="J380" i="1"/>
  <c r="J398" i="1"/>
  <c r="J461" i="1"/>
  <c r="J474" i="1"/>
  <c r="J478" i="1"/>
  <c r="J506" i="1"/>
  <c r="J518" i="1"/>
  <c r="J521" i="1"/>
  <c r="J523" i="1"/>
  <c r="J534" i="1"/>
  <c r="J659" i="1"/>
  <c r="J661" i="1"/>
  <c r="J663" i="1"/>
  <c r="J695" i="1"/>
  <c r="J702" i="1"/>
  <c r="J725" i="1"/>
  <c r="J728" i="1"/>
  <c r="J735" i="1"/>
  <c r="J766" i="1"/>
  <c r="J792" i="1"/>
  <c r="J801" i="1"/>
  <c r="J809" i="1"/>
  <c r="J816" i="1"/>
  <c r="J836" i="1"/>
  <c r="J882" i="1"/>
  <c r="J899" i="1"/>
  <c r="J916" i="1"/>
  <c r="J939" i="1"/>
  <c r="J941" i="1"/>
  <c r="J948" i="1"/>
  <c r="J951" i="1"/>
  <c r="J954" i="1"/>
  <c r="J963" i="1"/>
  <c r="J976" i="1"/>
  <c r="J979" i="1"/>
  <c r="J981" i="1"/>
  <c r="J984" i="1"/>
  <c r="J1114" i="1"/>
  <c r="J1146" i="1"/>
  <c r="J1167" i="1"/>
  <c r="J1177" i="1"/>
  <c r="J1178" i="1"/>
  <c r="J1210" i="1"/>
  <c r="J1240" i="1"/>
  <c r="J1251" i="1"/>
  <c r="J1293" i="1"/>
  <c r="J1298" i="1"/>
  <c r="J1487" i="1"/>
  <c r="J1714" i="1"/>
  <c r="J1720" i="1"/>
  <c r="J1765" i="1"/>
  <c r="J1767" i="1"/>
  <c r="J1817" i="1"/>
  <c r="J1851" i="1"/>
  <c r="J1933" i="1"/>
  <c r="J1935" i="1"/>
  <c r="J1958" i="1"/>
  <c r="J1960" i="1"/>
  <c r="J2090" i="1"/>
  <c r="J2138" i="1"/>
  <c r="J2139" i="1"/>
  <c r="J2143" i="1"/>
  <c r="J2151" i="1"/>
  <c r="J2176" i="1"/>
  <c r="J2197" i="1"/>
  <c r="J2198" i="1"/>
  <c r="J2216" i="1"/>
  <c r="J2217" i="1"/>
  <c r="J2219" i="1"/>
  <c r="J2281" i="1"/>
  <c r="J2286" i="1"/>
  <c r="J2324" i="1"/>
  <c r="J2333" i="1"/>
  <c r="J2334" i="1"/>
  <c r="J2414" i="1"/>
  <c r="J2419" i="1"/>
  <c r="J2426" i="1"/>
  <c r="J2442" i="1"/>
  <c r="J2448" i="1"/>
  <c r="J2461" i="1"/>
  <c r="J2465" i="1"/>
  <c r="J2466" i="1"/>
  <c r="J2476" i="1"/>
  <c r="J2480" i="1"/>
  <c r="J2492" i="1"/>
  <c r="J2494" i="1"/>
  <c r="J2497" i="1"/>
  <c r="J2507" i="1"/>
  <c r="J2508" i="1"/>
  <c r="J2522" i="1"/>
  <c r="J2529" i="1"/>
  <c r="J2532" i="1"/>
  <c r="J2535" i="1"/>
  <c r="J2536" i="1"/>
  <c r="J2537" i="1"/>
  <c r="J2538" i="1"/>
  <c r="J2539" i="1"/>
  <c r="J2540" i="1"/>
  <c r="J2543" i="1"/>
  <c r="J2544" i="1"/>
  <c r="J2545" i="1"/>
  <c r="J2547" i="1"/>
  <c r="J2551" i="1"/>
  <c r="J2569" i="1"/>
  <c r="J2579" i="1"/>
  <c r="J2584" i="1"/>
  <c r="J2587" i="1"/>
  <c r="J2591" i="1"/>
  <c r="J2594" i="1"/>
  <c r="J2595" i="1"/>
  <c r="J2599" i="1"/>
  <c r="J2601" i="1"/>
  <c r="J2603" i="1"/>
  <c r="J2605" i="1"/>
  <c r="J2611" i="1"/>
  <c r="J2612" i="1"/>
  <c r="J2614" i="1"/>
  <c r="J2624" i="1"/>
  <c r="J2631" i="1"/>
  <c r="J2658" i="1"/>
  <c r="J2663" i="1"/>
  <c r="J2668" i="1"/>
  <c r="J2669" i="1"/>
  <c r="J2680" i="1"/>
  <c r="J2683" i="1"/>
  <c r="J2687" i="1"/>
  <c r="J2689" i="1"/>
  <c r="J2727" i="1"/>
  <c r="J2729" i="1"/>
  <c r="J2736" i="1"/>
  <c r="J2741" i="1"/>
  <c r="J2758" i="1"/>
  <c r="J2759" i="1"/>
  <c r="J2761" i="1"/>
  <c r="J2762" i="1"/>
  <c r="J2765" i="1"/>
  <c r="J2770" i="1"/>
  <c r="J2779" i="1"/>
  <c r="J2802" i="1"/>
  <c r="J2804" i="1"/>
  <c r="J2808" i="1"/>
  <c r="J2809" i="1"/>
  <c r="J2811" i="1"/>
  <c r="J2814" i="1"/>
  <c r="J2818" i="1"/>
  <c r="J2825" i="1"/>
  <c r="J2831" i="1"/>
  <c r="J2836" i="1"/>
  <c r="J2849" i="1"/>
  <c r="J2851" i="1"/>
  <c r="J2860" i="1"/>
  <c r="J2863" i="1"/>
  <c r="J2866" i="1"/>
  <c r="J2869" i="1"/>
  <c r="J2921" i="1"/>
  <c r="J2938" i="1"/>
  <c r="J2949" i="1"/>
  <c r="J2964" i="1"/>
  <c r="J2978" i="1"/>
  <c r="J2986" i="1"/>
  <c r="J2989" i="1"/>
  <c r="J2991" i="1"/>
  <c r="J2994" i="1"/>
  <c r="J3151" i="1"/>
  <c r="J3155" i="1"/>
  <c r="J3228" i="1"/>
  <c r="J3301" i="1"/>
  <c r="J3310" i="1"/>
  <c r="J3317" i="1"/>
  <c r="J3342" i="1"/>
  <c r="J3347" i="1"/>
  <c r="J3363" i="1"/>
  <c r="J3377" i="1"/>
  <c r="J3388" i="1"/>
  <c r="J3389" i="1"/>
  <c r="J3393" i="1"/>
  <c r="J3418" i="1"/>
  <c r="J3453" i="1"/>
  <c r="J3477" i="1"/>
  <c r="J3546" i="1"/>
  <c r="J3558" i="1"/>
  <c r="J3564" i="1"/>
  <c r="J3568" i="1"/>
  <c r="J3569" i="1"/>
  <c r="J3572" i="1"/>
  <c r="J3573" i="1"/>
  <c r="J3574" i="1"/>
  <c r="J3577" i="1"/>
  <c r="J3609" i="1"/>
  <c r="J3610" i="1"/>
  <c r="J3621" i="1"/>
  <c r="J3635" i="1"/>
  <c r="J3637" i="1"/>
  <c r="J3638" i="1"/>
  <c r="J3639" i="1"/>
  <c r="J3641" i="1"/>
  <c r="J3646" i="1"/>
  <c r="J3647" i="1"/>
  <c r="J3651" i="1"/>
  <c r="J3653" i="1"/>
  <c r="J3657" i="1"/>
  <c r="J3658" i="1"/>
  <c r="J3659" i="1"/>
  <c r="J3660" i="1"/>
  <c r="J3662" i="1"/>
  <c r="J3808" i="1"/>
  <c r="J3918" i="1"/>
  <c r="J3968" i="1"/>
  <c r="J3975" i="1"/>
  <c r="J3984" i="1"/>
  <c r="J3990" i="1"/>
  <c r="J3997" i="1"/>
  <c r="J4000" i="1"/>
  <c r="J4002" i="1"/>
  <c r="J4009" i="1"/>
  <c r="J4019" i="1"/>
  <c r="J4026" i="1"/>
  <c r="J4029" i="1"/>
  <c r="J4032" i="1"/>
  <c r="J4036" i="1"/>
  <c r="J4050" i="1"/>
  <c r="J4059" i="1"/>
  <c r="J4063" i="1"/>
  <c r="J4071" i="1"/>
  <c r="J4073" i="1"/>
  <c r="J4077" i="1"/>
  <c r="J4078" i="1"/>
  <c r="J4085" i="1"/>
  <c r="J4090" i="1"/>
  <c r="J4127" i="1"/>
  <c r="J4141" i="1"/>
  <c r="J4143" i="1"/>
  <c r="J4148" i="1"/>
  <c r="J4150" i="1"/>
  <c r="J4152" i="1"/>
  <c r="J4155" i="1"/>
  <c r="J4157" i="1"/>
  <c r="J4162" i="1"/>
  <c r="J4163" i="1"/>
  <c r="J4169" i="1"/>
  <c r="J4171" i="1"/>
  <c r="J4173" i="1"/>
  <c r="J4176" i="1"/>
  <c r="J4182" i="1"/>
  <c r="J4187" i="1"/>
  <c r="J4218" i="1"/>
  <c r="J4219" i="1"/>
  <c r="J4236" i="1"/>
  <c r="J4238" i="1"/>
  <c r="J4242" i="1"/>
  <c r="J4244" i="1"/>
  <c r="J4266" i="1"/>
  <c r="J4271" i="1"/>
  <c r="J4279" i="1"/>
  <c r="J4311" i="1"/>
  <c r="J4331" i="1"/>
  <c r="J4374" i="1"/>
  <c r="J4375" i="1"/>
  <c r="J4377" i="1"/>
  <c r="J4387" i="1"/>
  <c r="J4408" i="1"/>
  <c r="J4422" i="1"/>
  <c r="J4439" i="1"/>
  <c r="J4448" i="1"/>
  <c r="J4449" i="1"/>
  <c r="J4454" i="1"/>
  <c r="J4459" i="1"/>
  <c r="J4463" i="1"/>
  <c r="J4465" i="1"/>
  <c r="J4468" i="1"/>
  <c r="J4480" i="1"/>
  <c r="J4483" i="1"/>
  <c r="J4485" i="1"/>
  <c r="J4489" i="1"/>
  <c r="J4495" i="1"/>
  <c r="J4505" i="1"/>
  <c r="J4510" i="1"/>
  <c r="J4515" i="1"/>
  <c r="J4518" i="1"/>
  <c r="J4519" i="1"/>
  <c r="J4520" i="1"/>
  <c r="J4523" i="1"/>
  <c r="J4614" i="1"/>
  <c r="J4619" i="1"/>
  <c r="J4670" i="1"/>
  <c r="J4676" i="1"/>
  <c r="J4678" i="1"/>
  <c r="J4778" i="1"/>
  <c r="J4781" i="1"/>
  <c r="J4790" i="1"/>
  <c r="J4817" i="1"/>
  <c r="J4827" i="1"/>
  <c r="J4834" i="1"/>
  <c r="J4854" i="1"/>
  <c r="J4980" i="1"/>
  <c r="J4985" i="1"/>
  <c r="J4988" i="1"/>
  <c r="J5009" i="1"/>
  <c r="J5017" i="1"/>
  <c r="J5026" i="1"/>
  <c r="J5038" i="1"/>
  <c r="J5054" i="1"/>
  <c r="J5069" i="1"/>
  <c r="J5289" i="1"/>
  <c r="J5301" i="1"/>
  <c r="J5318" i="1"/>
  <c r="J5321" i="1"/>
  <c r="J5339" i="1"/>
  <c r="J5351" i="1"/>
  <c r="J5363" i="1"/>
  <c r="J5371" i="1"/>
  <c r="J5398" i="1"/>
  <c r="J5407" i="1"/>
  <c r="J5429" i="1"/>
  <c r="J5442" i="1"/>
  <c r="J5448" i="1"/>
  <c r="J5502" i="1"/>
  <c r="J5562" i="1"/>
  <c r="J5572" i="1"/>
  <c r="J5576" i="1"/>
  <c r="J5584" i="1"/>
  <c r="J5587" i="1"/>
  <c r="J5593" i="1"/>
  <c r="J5599" i="1"/>
  <c r="J5603" i="1"/>
  <c r="J5605" i="1"/>
  <c r="J5614" i="1"/>
  <c r="J5619" i="1"/>
  <c r="J5626" i="1"/>
  <c r="J5747" i="1"/>
  <c r="J5755" i="1"/>
  <c r="J5787" i="1"/>
  <c r="J5794" i="1"/>
  <c r="J5799" i="1"/>
  <c r="J5821" i="1"/>
  <c r="J5825" i="1"/>
  <c r="J5848" i="1"/>
  <c r="J5850" i="1"/>
  <c r="J5866" i="1"/>
  <c r="J5869" i="1"/>
  <c r="J5871" i="1"/>
  <c r="J5873" i="1"/>
  <c r="J5874" i="1"/>
  <c r="J5956" i="1"/>
  <c r="J5959" i="1"/>
  <c r="J5960" i="1"/>
  <c r="J5961" i="1"/>
  <c r="J5980" i="1"/>
  <c r="J5984" i="1"/>
  <c r="J5990" i="1"/>
  <c r="J5992" i="1"/>
  <c r="J5996" i="1"/>
  <c r="J6008" i="1"/>
  <c r="J6009" i="1"/>
  <c r="J6014" i="1"/>
  <c r="J6040" i="1"/>
  <c r="J6079" i="1"/>
  <c r="J6084" i="1"/>
  <c r="J6089" i="1"/>
  <c r="J6100" i="1"/>
  <c r="J6120" i="1"/>
  <c r="J6131" i="1"/>
  <c r="J6134" i="1"/>
  <c r="J6147" i="1"/>
  <c r="J6150" i="1"/>
  <c r="J6153" i="1"/>
  <c r="J6156" i="1"/>
  <c r="J6185" i="1"/>
  <c r="J6186" i="1"/>
  <c r="J6403" i="1"/>
  <c r="J6407" i="1"/>
  <c r="J6411" i="1"/>
  <c r="J6423" i="1"/>
  <c r="J6443" i="1"/>
  <c r="J6444" i="1"/>
  <c r="J6447" i="1"/>
  <c r="J6472" i="1"/>
  <c r="J6498" i="1"/>
  <c r="J6510" i="1"/>
  <c r="J6530" i="1"/>
  <c r="J6575" i="1"/>
  <c r="J6577" i="1"/>
  <c r="J6580" i="1"/>
  <c r="J6610" i="1"/>
  <c r="J6611" i="1"/>
  <c r="J6612" i="1"/>
  <c r="J6614" i="1"/>
  <c r="J6615" i="1"/>
  <c r="J6634" i="1"/>
  <c r="J6635" i="1"/>
  <c r="J6638" i="1"/>
  <c r="J6646" i="1"/>
  <c r="J6647" i="1"/>
  <c r="J6662" i="1"/>
  <c r="J6696" i="1"/>
  <c r="J6714" i="1"/>
  <c r="J6719" i="1"/>
  <c r="J6736" i="1"/>
  <c r="J6742" i="1"/>
  <c r="J6743" i="1"/>
  <c r="J6750" i="1"/>
  <c r="J6763" i="1"/>
  <c r="J6768" i="1"/>
  <c r="J6797" i="1"/>
  <c r="J6799" i="1"/>
  <c r="J6989" i="1"/>
  <c r="J6994" i="1"/>
  <c r="J7002" i="1"/>
  <c r="J7004" i="1"/>
  <c r="J7005" i="1"/>
  <c r="J7047" i="1"/>
  <c r="J7052" i="1"/>
  <c r="J7053" i="1"/>
  <c r="J7054" i="1"/>
  <c r="J7055" i="1"/>
  <c r="J7057" i="1"/>
  <c r="J7081" i="1"/>
  <c r="J7082" i="1"/>
  <c r="J7094" i="1"/>
  <c r="J7095" i="1"/>
  <c r="J7118" i="1"/>
  <c r="J7119" i="1"/>
  <c r="J7120" i="1"/>
  <c r="J7134" i="1"/>
  <c r="J7146" i="1"/>
  <c r="J7166" i="1"/>
  <c r="J7170" i="1"/>
  <c r="J7177" i="1"/>
  <c r="J7178" i="1"/>
  <c r="J7188" i="1"/>
  <c r="J7192" i="1"/>
  <c r="J7206" i="1"/>
  <c r="J7210" i="1"/>
  <c r="J7221" i="1"/>
  <c r="J7231" i="1"/>
  <c r="J7246" i="1"/>
  <c r="J7268" i="1"/>
  <c r="J7319" i="1"/>
  <c r="J7324" i="1"/>
  <c r="J7326" i="1"/>
  <c r="J7329" i="1"/>
  <c r="J7330" i="1"/>
  <c r="J7341" i="1"/>
  <c r="J7386" i="1"/>
  <c r="J7402" i="1"/>
  <c r="J7410" i="1"/>
  <c r="J7413" i="1"/>
  <c r="J7416" i="1"/>
  <c r="J7433" i="1"/>
  <c r="J7434" i="1"/>
  <c r="J7441" i="1"/>
  <c r="J7454" i="1"/>
  <c r="J7462" i="1"/>
  <c r="J7487" i="1"/>
  <c r="J7558" i="1"/>
  <c r="J7682" i="1"/>
  <c r="J7694" i="1"/>
  <c r="J7704" i="1"/>
  <c r="J7708" i="1"/>
  <c r="J7710" i="1"/>
  <c r="J7747" i="1"/>
  <c r="J7749" i="1"/>
  <c r="J7764" i="1"/>
  <c r="J7769" i="1"/>
  <c r="J7778" i="1"/>
  <c r="J7789" i="1"/>
  <c r="J7814" i="1"/>
  <c r="J7815" i="1"/>
  <c r="J7828" i="1"/>
  <c r="J7831" i="1"/>
  <c r="J7859" i="1"/>
  <c r="J7861" i="1"/>
  <c r="J7864" i="1"/>
  <c r="J7887" i="1"/>
  <c r="J7966" i="1"/>
  <c r="J7972" i="1"/>
  <c r="J7976" i="1"/>
  <c r="J7981" i="1"/>
  <c r="J7984" i="1"/>
  <c r="J7986" i="1"/>
  <c r="J8004" i="1"/>
  <c r="J8011" i="1"/>
  <c r="J8014" i="1"/>
  <c r="J8017" i="1"/>
  <c r="J8024" i="1"/>
  <c r="J8029" i="1"/>
  <c r="J8033" i="1"/>
  <c r="J8034" i="1"/>
  <c r="J8086" i="1"/>
  <c r="J8135" i="1"/>
  <c r="J8231" i="1"/>
  <c r="J8235" i="1"/>
  <c r="J8237" i="1"/>
  <c r="J8244" i="1"/>
  <c r="J8258" i="1"/>
  <c r="J8259" i="1"/>
  <c r="J8315" i="1"/>
  <c r="J8322" i="1"/>
  <c r="J8330" i="1"/>
  <c r="J8333" i="1"/>
  <c r="J8358" i="1"/>
  <c r="J8375" i="1"/>
  <c r="J8393" i="1"/>
  <c r="J8421" i="1"/>
  <c r="J8425" i="1"/>
  <c r="J8435" i="1"/>
  <c r="J8450" i="1"/>
  <c r="J8451" i="1"/>
  <c r="J8464" i="1"/>
  <c r="J8465" i="1"/>
  <c r="J8539" i="1"/>
  <c r="J8545" i="1"/>
  <c r="J8553" i="1"/>
  <c r="J8554" i="1"/>
  <c r="J8556" i="1"/>
  <c r="J8557" i="1"/>
  <c r="J8624" i="1"/>
  <c r="J8670" i="1"/>
  <c r="J8675" i="1"/>
  <c r="J8717" i="1"/>
  <c r="J8725" i="1"/>
  <c r="J8743" i="1"/>
  <c r="J8757" i="1"/>
</calcChain>
</file>

<file path=xl/sharedStrings.xml><?xml version="1.0" encoding="utf-8"?>
<sst xmlns="http://schemas.openxmlformats.org/spreadsheetml/2006/main" count="54306" uniqueCount="19551">
  <si>
    <t>Stok Kodu</t>
  </si>
  <si>
    <t>Stok Adı</t>
  </si>
  <si>
    <t>Grubu</t>
  </si>
  <si>
    <t>Ara Grubu</t>
  </si>
  <si>
    <t>Alt Grubu</t>
  </si>
  <si>
    <t>Kalan Miktar</t>
  </si>
  <si>
    <t>Birimi</t>
  </si>
  <si>
    <t>Satış Fiyatı 1</t>
  </si>
  <si>
    <t>Marka</t>
  </si>
  <si>
    <t>Model</t>
  </si>
  <si>
    <t>KDV Alış %</t>
  </si>
  <si>
    <t>KDV Satış Prk.%</t>
  </si>
  <si>
    <t>KDV Satış Tpt.%</t>
  </si>
  <si>
    <t>POLEN FİLTRESİ 306</t>
  </si>
  <si>
    <t>FİLTRE</t>
  </si>
  <si>
    <t>POLEN FİLTRE</t>
  </si>
  <si>
    <t>ADET</t>
  </si>
  <si>
    <t>SARDES</t>
  </si>
  <si>
    <t>SC572</t>
  </si>
  <si>
    <t>PİSTON SEKMAN+GÖMLEK SET 75,00mm STD TU3JP 1.4 8V TEPE DÜZ BOY:50mm</t>
  </si>
  <si>
    <t>MOTOR</t>
  </si>
  <si>
    <t>PİSTON</t>
  </si>
  <si>
    <t>TAKIM</t>
  </si>
  <si>
    <t>KONEKS</t>
  </si>
  <si>
    <t>KNX-3031101</t>
  </si>
  <si>
    <t xml:space="preserve">GÖMLEK CONTASI TAKIM </t>
  </si>
  <si>
    <t>CONTA</t>
  </si>
  <si>
    <t>OTO CONTA</t>
  </si>
  <si>
    <t>ANA YATAK STD XUD9/DW8/DW8B/DW10</t>
  </si>
  <si>
    <t>GLYCO</t>
  </si>
  <si>
    <t>H1057/5STD</t>
  </si>
  <si>
    <t>ANA YATAK STD DW10 2.0HDİ</t>
  </si>
  <si>
    <t xml:space="preserve">KING </t>
  </si>
  <si>
    <t>MB5129AM</t>
  </si>
  <si>
    <t>ANA YATAK STD TU5JP4 1.6 16V</t>
  </si>
  <si>
    <t>KING</t>
  </si>
  <si>
    <t>MB5262AM</t>
  </si>
  <si>
    <t>ANA YATAK 0.30 DV4/DV6 1.4/1.6HDİ (EURO 3-4-5)</t>
  </si>
  <si>
    <t>MB5399SI03</t>
  </si>
  <si>
    <t>ANA YATAK STD N13/EP6/EP6CDT</t>
  </si>
  <si>
    <t>KOLBENSCHMIDT</t>
  </si>
  <si>
    <t>AY YATAK STD TU5JP4 1.6 16V</t>
  </si>
  <si>
    <t>TW132AM</t>
  </si>
  <si>
    <t>AY YATAK XUD9/DW8 1.9D</t>
  </si>
  <si>
    <t>AY YATAK STD TAKIM DW11/DW10/DW9/XUD7</t>
  </si>
  <si>
    <t>A188/4STD</t>
  </si>
  <si>
    <t>AY YATAK N13/EP6/EP6CDT</t>
  </si>
  <si>
    <t>TW1046AM</t>
  </si>
  <si>
    <t>AY YATAK STD DV4/DV6 1.4HDİ/1.6HDİ (EURO 3-4-5)</t>
  </si>
  <si>
    <t>TW179AM</t>
  </si>
  <si>
    <t>GEZİ AYI EP3/EP6/N13/N16/N12</t>
  </si>
  <si>
    <t>PEUGEOT</t>
  </si>
  <si>
    <t>BMW</t>
  </si>
  <si>
    <t>1121 7 594 889</t>
  </si>
  <si>
    <t>KRANK KEP CONTASI ARKA DW8/DW10BTED4</t>
  </si>
  <si>
    <t xml:space="preserve">PEUGEOT </t>
  </si>
  <si>
    <t>ARKA KRANK KEÇE 1.4/1.6 HDİ DV4/DV6/EP6CDT/N13</t>
  </si>
  <si>
    <t>SKT</t>
  </si>
  <si>
    <t>410443-FP</t>
  </si>
  <si>
    <t>ARKA KRANK KEÇE DW8/DW10 1.9D/2.0D</t>
  </si>
  <si>
    <t>410382-V</t>
  </si>
  <si>
    <t>TAKIM CONTA FULL +SKC+KEÇE TU5JP4 1.6 16V</t>
  </si>
  <si>
    <t>MOTOR KOMPLE 307/C4 TU5JP4 1.6 16V</t>
  </si>
  <si>
    <t>MOTOR ÜST KORUMA KAPAĞI 1007/206/307/C2 DV4 1.4HDİ/FİESTA 08-12 1.4D</t>
  </si>
  <si>
    <t>KRAFTVOLL</t>
  </si>
  <si>
    <t>PİSTON YAĞLAMA JETİ XUD9/DW8/DW10 1.9D/2.0HDİ</t>
  </si>
  <si>
    <t>MOTOR BLOK KEP TAPA DV4/DV6</t>
  </si>
  <si>
    <t>BPE260025</t>
  </si>
  <si>
    <t>BLOK KEP TAPA DV4/DV6</t>
  </si>
  <si>
    <t>BİTAPART</t>
  </si>
  <si>
    <t xml:space="preserve">TAKIM CONTA FULL 1.4HDİ 68HP EURO4 SKT KEÇELİ </t>
  </si>
  <si>
    <t>MOTOR TAKIM CONTA FULL 1.4HDİ68HP EURO4</t>
  </si>
  <si>
    <t>ÜST TAKIM CONTA 1.4 8V -SKC TU3JP</t>
  </si>
  <si>
    <t>CORTECO</t>
  </si>
  <si>
    <t>TAKIM CONTA FULL TU3JP 1.4 8V +SKC</t>
  </si>
  <si>
    <t>GOTEZE</t>
  </si>
  <si>
    <t>TAKIM CONTA FULL TU3JP/TU3A 1.4 8V -SKC</t>
  </si>
  <si>
    <t>FULL TAKIM CONTA TU5JP 1.6 8V(-SKC)</t>
  </si>
  <si>
    <t>430439P</t>
  </si>
  <si>
    <t>MOTOR TAKIM CONTA FULL DW10 2.0HDİ</t>
  </si>
  <si>
    <t xml:space="preserve">VİCTOR REİNZ </t>
  </si>
  <si>
    <t>TAKIM CONTA PARTNER/BERLİNGO DW8</t>
  </si>
  <si>
    <t>GOETZE</t>
  </si>
  <si>
    <t>VİCTOR REİNZ</t>
  </si>
  <si>
    <t>TAKIM CONTA FULL (SKC DAHİL) ET3J4 1.4 16V</t>
  </si>
  <si>
    <t>SİLİNDİR KAPAĞI 1.4 8V TU3A/TU3JP</t>
  </si>
  <si>
    <t>SİLİNDİR KAPAGI DW8/DW8B DİKEY BUJİ</t>
  </si>
  <si>
    <t>ABRASSE</t>
  </si>
  <si>
    <t>BRS-70200</t>
  </si>
  <si>
    <t>SİLİNDİR KAPAK SAPLAMA TAKIM TU3JP 1.4 8V</t>
  </si>
  <si>
    <t>14-32075-01</t>
  </si>
  <si>
    <t>SİLİNDİR KAPAK SAPLAMA TAKIM DW8B (10LU)</t>
  </si>
  <si>
    <t xml:space="preserve">CORTECO </t>
  </si>
  <si>
    <t>14-32116-01</t>
  </si>
  <si>
    <t>SİLİNDİR KAPAK SAPLAMA TAKIM ET3J4 1.4 16V</t>
  </si>
  <si>
    <t>SİLİNDİR KAPAK CONTA TU5JP4/TU5JP 1.6 16V</t>
  </si>
  <si>
    <t>SİLİNDİR KAPAK CONTA DV4 1.4HDİ (2ÇENTİK) 1.25mm</t>
  </si>
  <si>
    <t>ELRİNG</t>
  </si>
  <si>
    <t>SİLİNDİR KAPAK CONTA DV4 1.4HDİ (3ÇENTİK) 1.30mm</t>
  </si>
  <si>
    <t xml:space="preserve">ELRİNG </t>
  </si>
  <si>
    <t>SİLİNDİR KAPAK CONTA DV4/DV4TD 1.4HDİ 1.45MM 5 ÇENTİK</t>
  </si>
  <si>
    <t>SİLİNDİR KAPAK CONTA 1.40mm 4ÇEN. DV6 EURO4</t>
  </si>
  <si>
    <t>SİLİNDİR KAPAK CONTA 5ÇENTİK 1.45mm 1.6HDİ DV4ATED EURO4</t>
  </si>
  <si>
    <t>SİLİNDİR KAPAK CONTA 1.4 8V TU3JP</t>
  </si>
  <si>
    <t>PAYEN</t>
  </si>
  <si>
    <t>AD5701</t>
  </si>
  <si>
    <t>SİLİNDİR CONTA EP6/EP6C</t>
  </si>
  <si>
    <t xml:space="preserve">FULL TAKIM CONTA EP6 1.6 16V TURBOSUZ </t>
  </si>
  <si>
    <t>FROWAS</t>
  </si>
  <si>
    <t>SİLİNDİR KAPAK CONTA DV4 1.4HDİ 4ÇENTİK 1.65mm</t>
  </si>
  <si>
    <t>SİLİNDİR KAPAK CONTA DV6 EURO5 1,25mm 2ÇENTİK</t>
  </si>
  <si>
    <t>SİLİNDİR KAPAK CONTA DV6 EURO5 1,30mm 3ÇENTİK</t>
  </si>
  <si>
    <t xml:space="preserve">SİLİNDİR KAPAK CONTA DV6 EURO5 1,40mm 4ÇENTİK </t>
  </si>
  <si>
    <t>SİLİNDİR KAPAK CONTA DV6 EURO5 1,40mm 4ÇENTİK</t>
  </si>
  <si>
    <t>SİLİNDİR KAPAK CONTA DV6 EURO5 1,45mm 5ÇENTİK</t>
  </si>
  <si>
    <t>SİLİNDİR KAPAK CONTA TU3JP 1.4 8V +0,2mm</t>
  </si>
  <si>
    <t>SİLİNDİR KAPAK CONTA SAC TU5J 1.6 8V</t>
  </si>
  <si>
    <t>SİLİNDİR KAPAK CONTA 1.6 8V TU5JP 1,5mm</t>
  </si>
  <si>
    <t>414375P</t>
  </si>
  <si>
    <t>SİLİNDİR KAPAK CONTA 1.9D DW8 3+2D=1,34mm</t>
  </si>
  <si>
    <t>AVORTEX</t>
  </si>
  <si>
    <t>AH8070</t>
  </si>
  <si>
    <t>4C-009-72</t>
  </si>
  <si>
    <t>SİLİNDİR KAPAK CONTA 1.9D DW8 6D=1,38mm</t>
  </si>
  <si>
    <t>SİLİNDİR KAPAK CONTA 1.9D DW8 6D=1,38mm 4+2</t>
  </si>
  <si>
    <t>OTOCONTA</t>
  </si>
  <si>
    <t>61-33720-30</t>
  </si>
  <si>
    <t>SİLİNDİR KAPAK CONTA DW8 1.9D 1.42mm 5ÇENTİK+2</t>
  </si>
  <si>
    <t>415036P</t>
  </si>
  <si>
    <t xml:space="preserve">SİLİNDİR KAPAK CONTA 1.40mm 3 ÇENTİK DW10 2.0HDİ </t>
  </si>
  <si>
    <t xml:space="preserve">SİLİNDİR KAPAK CONTA 1.45mm 4 ÇENTİK DW10 2.0HDİ </t>
  </si>
  <si>
    <t xml:space="preserve">SİLİNDİR KAPAK CONTA 1.50mm 5 ÇENTİK DW10 2.0HDİ </t>
  </si>
  <si>
    <t>GADY TAKIM TU5JP 1.6 8V</t>
  </si>
  <si>
    <t>SUBAP</t>
  </si>
  <si>
    <t>ÖZGAYD</t>
  </si>
  <si>
    <t>VG2314</t>
  </si>
  <si>
    <t>GAYD TAKIM 1.9D XUD9/DW8 8V</t>
  </si>
  <si>
    <t>VG2434-1</t>
  </si>
  <si>
    <t>GAYD TAKIM DV6 1.6HDİ 16V</t>
  </si>
  <si>
    <t>SUPSAN</t>
  </si>
  <si>
    <t>GT-05046</t>
  </si>
  <si>
    <t>BLOK SU TAPA 27mm</t>
  </si>
  <si>
    <t xml:space="preserve">AKD </t>
  </si>
  <si>
    <t>OP200243</t>
  </si>
  <si>
    <t>MOTOR BLOK TAPA KÜÇÜK DV4/DV6</t>
  </si>
  <si>
    <t>BPE260063</t>
  </si>
  <si>
    <t>SİLİNDİR KAPAK TAPA DV4/DV6</t>
  </si>
  <si>
    <t>YAĞ TANZİK SUBAP DV6/DV6C 1.6HDİ//DV4 1.4HDİ</t>
  </si>
  <si>
    <t>EKSANTRİK KEÇE 2.0 16V EW10J4</t>
  </si>
  <si>
    <t>EKSANTRİK KEÇE DV4/DV6 1.4/1.6 HDİ</t>
  </si>
  <si>
    <t>HARARET MÜŞÜR MAVİ 1.4/1.6/1.5/BOXER/JUMPER</t>
  </si>
  <si>
    <t>ELEKTRİK</t>
  </si>
  <si>
    <t>HARARET MÜŞÜR</t>
  </si>
  <si>
    <t>MOTOR BLOK TAPA VİDA DV4/DV6</t>
  </si>
  <si>
    <t>KÜLBÜTÖR KAPAĞI DV6 1.6HDİ EURO4</t>
  </si>
  <si>
    <t>BRS-0284-PG</t>
  </si>
  <si>
    <t>K&amp;B</t>
  </si>
  <si>
    <t>KB10978</t>
  </si>
  <si>
    <t>MAHLE</t>
  </si>
  <si>
    <t>ZH554</t>
  </si>
  <si>
    <t>KÜLBÜTÖR KAPAĞI EMME ET3J4 1.4 16V (CONTALI)</t>
  </si>
  <si>
    <t>EKSANTİRİK</t>
  </si>
  <si>
    <t>MGA</t>
  </si>
  <si>
    <t>KÜLBÜTÖR KAPAĞI EMME TARAFI 307/C4 1.6 16V TU5JP4</t>
  </si>
  <si>
    <t>KÜLBÜTÖR KAPAĞI EP6/BMW N12/N16</t>
  </si>
  <si>
    <t>TOPRAN</t>
  </si>
  <si>
    <t>KÜLBÜTÖR KAPAĞI DV6C EURO5 CONTALI 1.6HDİ</t>
  </si>
  <si>
    <t>BRS-08240-PG</t>
  </si>
  <si>
    <t>ÜST KAPAK CONTA 1.1/1.4 8V 206/C2/C3/306/106 TU5JP/TU5JP</t>
  </si>
  <si>
    <t>ROYAL</t>
  </si>
  <si>
    <t>H2281040</t>
  </si>
  <si>
    <t>ÜST KAPAK CONTA DW8 1.9D</t>
  </si>
  <si>
    <t xml:space="preserve">OTO CONTA </t>
  </si>
  <si>
    <t>H2B 380045</t>
  </si>
  <si>
    <t xml:space="preserve">ROYAL CONTA </t>
  </si>
  <si>
    <t>H2B380040</t>
  </si>
  <si>
    <t>ÜST KAPAK CONTA ALT DW8 1.9D</t>
  </si>
  <si>
    <t>ROYAL CONTA</t>
  </si>
  <si>
    <t>ÜST KAPAK CONTA TU5JP4 1.6 16V</t>
  </si>
  <si>
    <t>ÜST KAPAK CONTA DV4 1.4HDİ</t>
  </si>
  <si>
    <t>ÜST KAPAK CONTA DV6 EURO4 1.6HDİ</t>
  </si>
  <si>
    <t>ÜST KAPAK CONTA EMME TARAFI 1.4 16V ET3J4</t>
  </si>
  <si>
    <t>BRS-49-2102-66</t>
  </si>
  <si>
    <t>ÜST KAPAK CONTA EKSOZ TARAFI 1.4 16V ET3J4</t>
  </si>
  <si>
    <t>BRS-49-2102-67</t>
  </si>
  <si>
    <t>ÜST KAPAK CONTA EP6CDT/N14/N18</t>
  </si>
  <si>
    <t>KÜLBÜTÖR KAPAK CONTA TAKIM EP6/EPCDT</t>
  </si>
  <si>
    <t>ÜST KAPAK CONTA DV6 EURO5</t>
  </si>
  <si>
    <t xml:space="preserve">ELWİS ROYAL </t>
  </si>
  <si>
    <t xml:space="preserve">OTOCONTA </t>
  </si>
  <si>
    <t>HAVA FİLTRESİ 12&gt; RANGE ROVER DİSCOVERY</t>
  </si>
  <si>
    <t>HAVA FİLTRE</t>
  </si>
  <si>
    <t>FİLTRON</t>
  </si>
  <si>
    <t>AP129/8</t>
  </si>
  <si>
    <t>YAĞ KARTERİ KLİMASIZ PARTNER/406/C5/XSARA DW8/DW10 1.9/2.0D</t>
  </si>
  <si>
    <t>BRS0301J7-PG</t>
  </si>
  <si>
    <t>YAĞ KARTER DV4/DV6 1.4/1.6 HDİ</t>
  </si>
  <si>
    <t>OTO SANTRAL</t>
  </si>
  <si>
    <t>OS042</t>
  </si>
  <si>
    <t>KARTER CONTA TU5JP4 1.6 16V</t>
  </si>
  <si>
    <t>H2 557050</t>
  </si>
  <si>
    <t>71-35253-00</t>
  </si>
  <si>
    <t>KARTER TAPA 1.4HDİ/1.6HDİ</t>
  </si>
  <si>
    <t>DK90-172</t>
  </si>
  <si>
    <t>KARTER TAPASI 1.2THP/1.6THP/1.5BLUEHDİ</t>
  </si>
  <si>
    <t>ALMOT</t>
  </si>
  <si>
    <t>TRİGER KAPAK 1.4 8V</t>
  </si>
  <si>
    <t>TRİGER KAPAGI ÜST DV4 1.4HDİ</t>
  </si>
  <si>
    <t>ÖN KRANK KEÇE DW8 1.9D</t>
  </si>
  <si>
    <t xml:space="preserve">SKT </t>
  </si>
  <si>
    <t>81-25926-10</t>
  </si>
  <si>
    <t>EMME MANİFOLT CONTA TU3JP/TU1JP 1.4 8V</t>
  </si>
  <si>
    <t>EMME MANİFOLT CONTA TAKIM TU3JP/TU3A</t>
  </si>
  <si>
    <t>H71464</t>
  </si>
  <si>
    <t>ROLANTI MOTOR TU5JP 1.6 8V</t>
  </si>
  <si>
    <t>ROLANTİ MOTOR</t>
  </si>
  <si>
    <t>EMME MANİFOLT CONTA TU5JP4 1.16V</t>
  </si>
  <si>
    <t>EMME MANİFOLT ORİNG TAKIM DV6 EURO4 PLASTİKLİ</t>
  </si>
  <si>
    <t>KAYLAS</t>
  </si>
  <si>
    <t>EMME MANİFOLT CONTA TAKIM DV6/EURO4</t>
  </si>
  <si>
    <t>EMME MANİFOLT CONTA ÖN DV6 1.6HDİ EURO4</t>
  </si>
  <si>
    <t>NİFEA</t>
  </si>
  <si>
    <t>EMME MANİFOLT CONTA TAKIM DV4 1.4HDİ</t>
  </si>
  <si>
    <t>EMME/EKSOZ MANİFOLT CONTA TAKIM DW8</t>
  </si>
  <si>
    <t>EKSOZ MANİFOLT CONTA 1.4 8V TU3JP</t>
  </si>
  <si>
    <t>EKSOZ MANİFOLT CONTA 1.4 8V TU3JP (ÇELİK)</t>
  </si>
  <si>
    <t>EKSOZ MANİFOLT CONTA 1.6 16V TU5JP4</t>
  </si>
  <si>
    <t>EKSOZ MANİDFOLD CONTA DV6C 1.6HDİ EURO5 (ISI KALKANLI)</t>
  </si>
  <si>
    <t>625025D</t>
  </si>
  <si>
    <t>EKSOZ MANİDFOLD CONTA DV6C 1.6HDİ EURO6 (ISI KALKANLI)</t>
  </si>
  <si>
    <t>TURBO ISI KALKAN ÜST DV4 1.4HDİ</t>
  </si>
  <si>
    <t xml:space="preserve">SIVI CONTA DİRKO HT +315C </t>
  </si>
  <si>
    <t>EMME MANİFOLT DV6TED4 EURO4</t>
  </si>
  <si>
    <t>BRS-0361-PG</t>
  </si>
  <si>
    <t>PEG0862</t>
  </si>
  <si>
    <t>MOTORTEC</t>
  </si>
  <si>
    <t>EMME MANİFOLT DV4TD EURO4 206/207/307/1007/C2/C3</t>
  </si>
  <si>
    <t>BRS-0370-PG</t>
  </si>
  <si>
    <t xml:space="preserve">FEBİ </t>
  </si>
  <si>
    <t>EMME MANİFOLT 1.4HDİ EURO4 206/307/1007/C2/C3</t>
  </si>
  <si>
    <t>TURBO YAĞ DÖNÜŞ BORU DV4 1.4HDİ (SİLİKON)</t>
  </si>
  <si>
    <t>HORTUM</t>
  </si>
  <si>
    <t>TURBO</t>
  </si>
  <si>
    <t>İBRAŞ</t>
  </si>
  <si>
    <t>YAĞ HORTUM</t>
  </si>
  <si>
    <t>RAPRO</t>
  </si>
  <si>
    <t>R16189</t>
  </si>
  <si>
    <t>TURBO YAĞ BESLEME BORU DV4 1.4HDİ</t>
  </si>
  <si>
    <t>FEBİ</t>
  </si>
  <si>
    <t>PF41101</t>
  </si>
  <si>
    <t>LEEOPART</t>
  </si>
  <si>
    <t xml:space="preserve">TURBO YAĞ BESLEME BORU DV6 </t>
  </si>
  <si>
    <t>PT0402070</t>
  </si>
  <si>
    <t>TURBO YAĞ BORUSU ALT ÇIKIS DV6 1.6HDİ</t>
  </si>
  <si>
    <t>PEKTECHNIC</t>
  </si>
  <si>
    <t>TURBO YAĞ HORTUM DV6 1.6HDİ EURO4</t>
  </si>
  <si>
    <t>R15466</t>
  </si>
  <si>
    <t>SVB</t>
  </si>
  <si>
    <t>TURBO YAĞ GERİ DÖNÜŞ ALT HORTUM DV6</t>
  </si>
  <si>
    <t>R15502</t>
  </si>
  <si>
    <t>BPE333019</t>
  </si>
  <si>
    <t>TURBO HORTUM 1.6HDİ 90HP 206/307/TEPEE</t>
  </si>
  <si>
    <t>HAVA HORTUM</t>
  </si>
  <si>
    <t>TURBO HORTUM DV6 1.6HDİ EURO4 307/308/PARTNER TEPEE/3008/5008</t>
  </si>
  <si>
    <t>TURBO HORTUM SAĞ BOXER III/JUMPER III 06&gt; 2.2HDİ</t>
  </si>
  <si>
    <t xml:space="preserve">TURBO HORTUM SAĞ BOXER III/JUMPER III 06&gt; 2.2HDİ </t>
  </si>
  <si>
    <t>SWAPP</t>
  </si>
  <si>
    <t>TURBO HORTUM BOXER III/JUMPER III/DUCATO III 2.2HDİ/3.0HDİ</t>
  </si>
  <si>
    <t>TURBO HORTUM ÜST BİPPER/NEMO DV4 1.4HDİ</t>
  </si>
  <si>
    <t>R15345/A</t>
  </si>
  <si>
    <t>TURBO HORTUM NİPPER/NEMO 1.4HDİ SOL ALT</t>
  </si>
  <si>
    <t>MES</t>
  </si>
  <si>
    <t>TURBO HORTUM BİPPER/NEMO 1.4HDİ SAĞ ALT</t>
  </si>
  <si>
    <t xml:space="preserve">TURBO HORTUM 1.6HDİ 207/208/301/2008/3008/C3/C-ELYSEE/C4/C3PİCASSO </t>
  </si>
  <si>
    <t>TURBO HORTUM 1.6HDİ 207/208/301/2008/3008/C3/C-ELYSEE/C4/C3PİCASSO</t>
  </si>
  <si>
    <t>LİNE</t>
  </si>
  <si>
    <t>L411300260</t>
  </si>
  <si>
    <t xml:space="preserve">ÜÇEL </t>
  </si>
  <si>
    <t>BPE333011</t>
  </si>
  <si>
    <t>TURBO HORTUM DV6TED 308/508</t>
  </si>
  <si>
    <t>BPE333004</t>
  </si>
  <si>
    <t>TURBO HORTUM KISA DV6 1.6HDİ TEPEE</t>
  </si>
  <si>
    <t>EMME MANİFOLT CONTA DV6C 1.6 HDİ 120 HP EURO6</t>
  </si>
  <si>
    <t>TURBO ÇIKIŞ HORTUM ORİNG DV4 1.4HDİ</t>
  </si>
  <si>
    <t>TURBO HAVA DOZÖR CONTA DV4 1.4HDİ</t>
  </si>
  <si>
    <t xml:space="preserve">MGA </t>
  </si>
  <si>
    <t>8RCO1077</t>
  </si>
  <si>
    <t xml:space="preserve">KÜLBÜTÖR KAPAĞI 1.4TDİ CUS A/B POLO </t>
  </si>
  <si>
    <t xml:space="preserve">ASPART </t>
  </si>
  <si>
    <t>HAVA FİLTRESİ POLO/İBİZA/FABİA 1.0TSİ 14&gt;</t>
  </si>
  <si>
    <t>HENGST</t>
  </si>
  <si>
    <t>E1333L</t>
  </si>
  <si>
    <t>YAĞ FİLTRESİ GOLF VII/A3 2012&gt; 1.0/1.2/1.4 TSİ</t>
  </si>
  <si>
    <t>YAĞ FİLTRE</t>
  </si>
  <si>
    <t>H317W01</t>
  </si>
  <si>
    <t>TRİGER+DEVİRDAİM SET (145DİŞ) SENSÖRSÜZ 1.6/2.0 TDİ</t>
  </si>
  <si>
    <t>TRİGER SET</t>
  </si>
  <si>
    <t xml:space="preserve">INA </t>
  </si>
  <si>
    <t>KRANK MİLİ 2.0HDİ DW10/DW10BTED4 EURO6 DW10FUD</t>
  </si>
  <si>
    <t>KRANK DİŞLİ PARTNER/BERLİNGO DW8 1.9D(GENİŞ KAMA)</t>
  </si>
  <si>
    <t>TRİGER KAYIŞ</t>
  </si>
  <si>
    <t xml:space="preserve">ABA </t>
  </si>
  <si>
    <t>ARKA KRANK KEÇE TU3JP/TU5JP/EP6CDT</t>
  </si>
  <si>
    <t>410386-V</t>
  </si>
  <si>
    <t>ÖN KRANK KEÇE ET3J4 1.4 16V/TU3JP 1.4 8V/TU5JP 1.6 8V</t>
  </si>
  <si>
    <t>CDF</t>
  </si>
  <si>
    <t>88373-P</t>
  </si>
  <si>
    <t>ÖN KRANK KEÇE N12/N13/EP6</t>
  </si>
  <si>
    <t>KRANK KASNAĞI KLİMASIZ PARTNER/BERLİNGO 00-03 1.9D DW8</t>
  </si>
  <si>
    <t>KRANK KASNAĞI 307/206/C2/C3/C4 1.6/1.4 16V</t>
  </si>
  <si>
    <t>K-METAL</t>
  </si>
  <si>
    <t>KMT29-1013</t>
  </si>
  <si>
    <t>KRANK KASNAGI 206/07/307/1007/BİPPER/NEMO/PARTNER TEPEE 1.4/1.6 16V</t>
  </si>
  <si>
    <t>KRANK KASNAĞI (ORTASI BOŞ) DV4/DV6</t>
  </si>
  <si>
    <t>KENTPAR</t>
  </si>
  <si>
    <t>K142</t>
  </si>
  <si>
    <t>KRANK KASNAGI DV4 1.4HDİ/DV6 1.6HDİ (İÇİ DOLU)</t>
  </si>
  <si>
    <t>152K12601</t>
  </si>
  <si>
    <t xml:space="preserve">SEKMAN TAKIM X20XEV/C20NE  +1,00mm </t>
  </si>
  <si>
    <t xml:space="preserve">MAHLE </t>
  </si>
  <si>
    <t>PİSTON KOLU XUD9/DW8 1.9D</t>
  </si>
  <si>
    <t>BRS-0603-04-PG</t>
  </si>
  <si>
    <t>PİSTON KOLU TU5JP4 1.6 16V</t>
  </si>
  <si>
    <t>PİSTON KOLU DW10/DW10BTED4 2.0HDİ 8V/16V</t>
  </si>
  <si>
    <t>BMY</t>
  </si>
  <si>
    <t>KOL BURCU STD DW8/DW8B 1.9D</t>
  </si>
  <si>
    <t>F554201SEMİ</t>
  </si>
  <si>
    <t>KOL BURCU STD DW10 2.0HDİ</t>
  </si>
  <si>
    <t>ŞAHİN</t>
  </si>
  <si>
    <t>KB4047L004</t>
  </si>
  <si>
    <t>KOL YATAK STD XUD9/DW8/DW8B</t>
  </si>
  <si>
    <t>CR4075AM</t>
  </si>
  <si>
    <t>KOL YATAK STD DV4 1.4HDİ (GÜÇLENDİRİLMİŞ)</t>
  </si>
  <si>
    <t>CR4353XA</t>
  </si>
  <si>
    <t>KOL YATAK STD XUD9/DW8</t>
  </si>
  <si>
    <t>KOL YATAK STD (DELİKLİ) TU3JP/TU5JP 1.4/1.6 8V</t>
  </si>
  <si>
    <t>CR4516SI</t>
  </si>
  <si>
    <t>KOL YATAK STD DW10 2.0HDİ</t>
  </si>
  <si>
    <t>CR4217CP</t>
  </si>
  <si>
    <t>KOL YATAK STD TAKIM EP6/N12</t>
  </si>
  <si>
    <t>KOL YATAK STD 1.6HDİ DV6 EURO5-6 SILVERLİNE</t>
  </si>
  <si>
    <t>CR4503SV</t>
  </si>
  <si>
    <t>PİSTON SEKMAN 82,2mm +0,60  DW8/DW8B 1.9D</t>
  </si>
  <si>
    <t>KING PİSTON</t>
  </si>
  <si>
    <t>18_7550464</t>
  </si>
  <si>
    <t>PİSTON SEKMAN 82,20mm STD DW8/DW8B +0,20 KISA</t>
  </si>
  <si>
    <t>NÜRAL</t>
  </si>
  <si>
    <t>8771790STD1</t>
  </si>
  <si>
    <t>PİSTON SEKMAN 78,50mm STD TU5JP4 1.6 16V EURO3</t>
  </si>
  <si>
    <t>PİSTON SEKMAN 79mm+0,50 307/C4 TU5JP4 1.6 16V</t>
  </si>
  <si>
    <t>PİSTON SEKMAN STD 85,00mm DW10 2.0HDİ</t>
  </si>
  <si>
    <t>PİSTON SEKMAN 77.00mm STD EP6 1.6 16V 120HP</t>
  </si>
  <si>
    <t>18_5510320</t>
  </si>
  <si>
    <t>SEKMAN TAKIM STD DV4 1.4HDİ 73,7m</t>
  </si>
  <si>
    <t xml:space="preserve">YENMAK </t>
  </si>
  <si>
    <t>91-09460-000</t>
  </si>
  <si>
    <t>TERMOSTAT YUVASI AKL/AEE/AVU/AGU 1.6</t>
  </si>
  <si>
    <t>SOĞUTMA</t>
  </si>
  <si>
    <t>TERMOSTAT</t>
  </si>
  <si>
    <t>ARKA KRANK KEÇE FLANŞLI 1.6/2.0 BENZİNLİ AKL/AEE/ALT/ALZ/BFQ/BSE/BLR</t>
  </si>
  <si>
    <t>415242-FAEK</t>
  </si>
  <si>
    <t>ÖN FREN DİKİ MAZDA 323</t>
  </si>
  <si>
    <t>FREN GRUBU</t>
  </si>
  <si>
    <t>DİSK</t>
  </si>
  <si>
    <t>YAĞ FİLTRESİ 1.9/2.5 TDİ WV</t>
  </si>
  <si>
    <t>FİL</t>
  </si>
  <si>
    <t>MLE1348</t>
  </si>
  <si>
    <t>EKSANTRİK MİLİ DV4 1.4HDİ 8V (DÖKÜM)</t>
  </si>
  <si>
    <t>ESTAŞ</t>
  </si>
  <si>
    <t>EKSANTTRİK  MİLİ XUD9/DW8 1.9D</t>
  </si>
  <si>
    <t>KAMEKS</t>
  </si>
  <si>
    <t>EKSANTRİK MİLİ EMME EP6CDT (ÇELİK)</t>
  </si>
  <si>
    <t xml:space="preserve">ESTAŞ </t>
  </si>
  <si>
    <t>EST08004</t>
  </si>
  <si>
    <t>EKSANTRİK MİLİ EKSOZ EP6CDT (ÇELİK)</t>
  </si>
  <si>
    <t>EST08005</t>
  </si>
  <si>
    <t>EKSANTRİK MİLİ DV6C EURO5 1.6HDİ</t>
  </si>
  <si>
    <t>EKSANTRİK KEÇE ÖN XUD9/DW8</t>
  </si>
  <si>
    <t>EKSANTRİK KEÇE 1.4HDİ/1.6HDİ DV4/DV6</t>
  </si>
  <si>
    <t>EKSANTRİK KEÇE EMME TARAFI ET3J4 1.4 16V</t>
  </si>
  <si>
    <t>EKSANTRİK KEÇE EGSOZ TARAFI ET3J4 1.4 16V</t>
  </si>
  <si>
    <t>EKSANTRİK MİLİ ORİNGİ EMME TARAFI EP6CDT</t>
  </si>
  <si>
    <t>TRİGER KAYIŞI 116X254 3008/5008/EXPERT/BOXER III/JUMPER III  DW10FUD/DW10FUC EURO6</t>
  </si>
  <si>
    <t>BOSCH</t>
  </si>
  <si>
    <t>TRİGER ZİNCİR PALETİ SOL EP6CDT</t>
  </si>
  <si>
    <t>ZİNCİR SET</t>
  </si>
  <si>
    <t>TRİGER ZİNCİR PALETİ SAĞ EP6CDT</t>
  </si>
  <si>
    <t>ZİNCİR PALET VİDASI EP6/EP6CDT</t>
  </si>
  <si>
    <t>TRİGER SET 1.4 8V 108DİŞ TU3JP</t>
  </si>
  <si>
    <t>EUROREPAR</t>
  </si>
  <si>
    <t>E118410</t>
  </si>
  <si>
    <t xml:space="preserve">TRİGER SET 1.4/1.6 8V 101 DİŞ TU5JP </t>
  </si>
  <si>
    <t xml:space="preserve">EUROREPAR </t>
  </si>
  <si>
    <t>E118415</t>
  </si>
  <si>
    <t>TRİGER SET 106/206/306 TU5JP 1.6 101DİŞ</t>
  </si>
  <si>
    <t xml:space="preserve">SNR </t>
  </si>
  <si>
    <t>KD459.07</t>
  </si>
  <si>
    <t>TRİGER SET XUD9 136DİŞ PARTNER/BERLİNGO 96&gt;</t>
  </si>
  <si>
    <t>TRİGER SET DW8 1.9D 140 DİŞ PARTNER/BERLİNGO</t>
  </si>
  <si>
    <t>E118429</t>
  </si>
  <si>
    <t>SKF</t>
  </si>
  <si>
    <t>VKMA 03244</t>
  </si>
  <si>
    <t>KD459.29</t>
  </si>
  <si>
    <t xml:space="preserve">TRİGER SETİ 1.6 16V 134 DİŞ TU5JP4 </t>
  </si>
  <si>
    <t xml:space="preserve">GATES </t>
  </si>
  <si>
    <t>K025581XS</t>
  </si>
  <si>
    <t>TRİGER SETİ 1.6 16V 134 DİŞ TU5JP4</t>
  </si>
  <si>
    <t>VKMA 03256</t>
  </si>
  <si>
    <t>SNR</t>
  </si>
  <si>
    <t>KD459.47</t>
  </si>
  <si>
    <t>TRİGER SETİ 1.4 8V 75HP 104DİŞ TU3JP4</t>
  </si>
  <si>
    <t>DAYCO</t>
  </si>
  <si>
    <t>KTB336</t>
  </si>
  <si>
    <t>E118426</t>
  </si>
  <si>
    <t xml:space="preserve">SKF </t>
  </si>
  <si>
    <t>VKMA 03254</t>
  </si>
  <si>
    <t>KD459.35</t>
  </si>
  <si>
    <t xml:space="preserve">TRİGER SETİ 1.1/1.4 8V 100DİŞ TU3AE5 </t>
  </si>
  <si>
    <t>TRİGER SETİ DV4 1.4HDİ 68HP</t>
  </si>
  <si>
    <t>K015587XS</t>
  </si>
  <si>
    <t>VKMA03140</t>
  </si>
  <si>
    <t>TRİGER SET 116DİŞ 135HP DW10TED4/DW10U/DW12</t>
  </si>
  <si>
    <t>TRİGER SET+DEVİRDAİM 116DİŞ 135HP DW10TED4/DW10U/DW12</t>
  </si>
  <si>
    <t>KDP459.540</t>
  </si>
  <si>
    <t>TRİGER+DEVİRDAİM SET 135DİŞ ET3J4 1.4 16V 307/C4</t>
  </si>
  <si>
    <t>VKMC03258</t>
  </si>
  <si>
    <t>TRİGER SET DW10 2.0HDİ 141 DİŞ</t>
  </si>
  <si>
    <t>E118424</t>
  </si>
  <si>
    <t>TRİGER SET DV6 EURO4 1.6HDİ</t>
  </si>
  <si>
    <t>KTB914</t>
  </si>
  <si>
    <t>E118431</t>
  </si>
  <si>
    <t>GATES</t>
  </si>
  <si>
    <t>K015598XS</t>
  </si>
  <si>
    <t>VKMA03259</t>
  </si>
  <si>
    <t>HOROZ TAKIM DV4/DV6 1.4HDİ/1.6HDİ</t>
  </si>
  <si>
    <t>AE</t>
  </si>
  <si>
    <t>VFOL228</t>
  </si>
  <si>
    <t>INA</t>
  </si>
  <si>
    <t>HOROZ EP6CDT/N13</t>
  </si>
  <si>
    <t>FOL211</t>
  </si>
  <si>
    <t>LİFTER EP6CDT</t>
  </si>
  <si>
    <t>420 0226 10</t>
  </si>
  <si>
    <t>SUBAP TAKIM 1.4 8V TU3A/TU3JP/TU3MC</t>
  </si>
  <si>
    <t>GÜNEŞ</t>
  </si>
  <si>
    <t>4402-4413</t>
  </si>
  <si>
    <t xml:space="preserve">SUBAP TAKIM 8V XUD7/XUD9/DW8/DW8B 1.9D </t>
  </si>
  <si>
    <t>4531-4532</t>
  </si>
  <si>
    <t>SUBAP TAKIM 8V XUD7/XUD9/DW8/DW8B 1.9D</t>
  </si>
  <si>
    <t xml:space="preserve">SUPSAN </t>
  </si>
  <si>
    <t>VT-40515-40408</t>
  </si>
  <si>
    <t>TETİK</t>
  </si>
  <si>
    <t>PEU-142</t>
  </si>
  <si>
    <t>SUBAP TAKIM TU5JP 1.6 8V</t>
  </si>
  <si>
    <t xml:space="preserve">GÜNEŞ </t>
  </si>
  <si>
    <t>SUBAP TAKIM DW10 2.0 HDİ 8V</t>
  </si>
  <si>
    <t xml:space="preserve">TETİK </t>
  </si>
  <si>
    <t>PEU-143</t>
  </si>
  <si>
    <t xml:space="preserve">SUBAP TAKIM DV4 1.4HDİ 8V EURO4 </t>
  </si>
  <si>
    <t>WAX</t>
  </si>
  <si>
    <t>206 E01 1226/1227</t>
  </si>
  <si>
    <t>SUBAP TAKIM DV6 1.6HDİ 16V</t>
  </si>
  <si>
    <t>VT37359-37845</t>
  </si>
  <si>
    <t>SUBAP TAKIM EP6CDT 1.6 16V 150/156 HP</t>
  </si>
  <si>
    <t>4419-4420</t>
  </si>
  <si>
    <t>SUBAP TAKIM DV6DTED 1.6HDİ 8V (EURO5)</t>
  </si>
  <si>
    <t>PEU-115</t>
  </si>
  <si>
    <t>SUBAP TAKIM EP3/EP6/EP6C/ MINI N12</t>
  </si>
  <si>
    <t>SUBAP LASTİĞİ 1.9D XUD9/DW8 8MM</t>
  </si>
  <si>
    <t>SUBAP LASTİĞİ DV4/DV6 1.4HDİ/1.6HDİ</t>
  </si>
  <si>
    <t>SUBAP LASTİĞİ ET3J4 1.4 16V</t>
  </si>
  <si>
    <t>1.4 8V GAYD</t>
  </si>
  <si>
    <t>GAYD 1.4 8V</t>
  </si>
  <si>
    <t>METELLİ</t>
  </si>
  <si>
    <t>ABG24072F83</t>
  </si>
  <si>
    <t>1.4 8V GAYDTETİK</t>
  </si>
  <si>
    <t>OPL-109G</t>
  </si>
  <si>
    <t>1001.69LUCAS</t>
  </si>
  <si>
    <t>YAĞ POMPASI 106/206/306 1.6 8V TU5JP//SAXO TUD5 1.5</t>
  </si>
  <si>
    <t>YAĞ POMPA</t>
  </si>
  <si>
    <t>LUCAS</t>
  </si>
  <si>
    <t>LOP4001M</t>
  </si>
  <si>
    <t>1001.87LUCAS</t>
  </si>
  <si>
    <t>YAĞ POMPASI 106/206/306/307/C4 TU5JP4 1.6 16V</t>
  </si>
  <si>
    <t>LOP4007M</t>
  </si>
  <si>
    <t>1001.C0SWAG</t>
  </si>
  <si>
    <t>YAĞ POMPASI DW10 2.0HDİ 110HP</t>
  </si>
  <si>
    <t>SWAG</t>
  </si>
  <si>
    <t>1001.C1FEBİ</t>
  </si>
  <si>
    <t>YAĞ POMPASI DW8B 03-08</t>
  </si>
  <si>
    <t>1001.F2MARELLİ</t>
  </si>
  <si>
    <t>YAĞ POMPASI DV4/DV6 1.4HDİ/1.6HDİ</t>
  </si>
  <si>
    <t>MAGNETTİ MARELLİ</t>
  </si>
  <si>
    <t>1001.F2PİER</t>
  </si>
  <si>
    <t>PİERBURG</t>
  </si>
  <si>
    <t>7.28048.07.0</t>
  </si>
  <si>
    <t>JANT KAPAĞI ASTRA.J (TANIM AABV) 17 İNÇ</t>
  </si>
  <si>
    <t xml:space="preserve">ALT TAKIM </t>
  </si>
  <si>
    <t>OPEL GM</t>
  </si>
  <si>
    <t>1008010METTE</t>
  </si>
  <si>
    <t>BİJON SOMUNU ASTRA.J/ASTRA.K/İNSİGNİA.B/ZAFİRA.C/MOKKA/MOKKA.X</t>
  </si>
  <si>
    <t xml:space="preserve">METTE </t>
  </si>
  <si>
    <t>409P1295</t>
  </si>
  <si>
    <t>1008035SİYAH-TAP</t>
  </si>
  <si>
    <t xml:space="preserve">BİJON KAPAĞI ASTRA.J/İNSİGNİA.A SİYAH </t>
  </si>
  <si>
    <t>TAP</t>
  </si>
  <si>
    <t>TAP.1008035S</t>
  </si>
  <si>
    <t>1010063OEM</t>
  </si>
  <si>
    <t>LASTİK BAŞINÇ SENSÖR ASTRA.J/ZAFİRA.C/CORSA.E/İNSİGNİA.A</t>
  </si>
  <si>
    <t>OEM</t>
  </si>
  <si>
    <t>1018.66CABU</t>
  </si>
  <si>
    <t>YAĞ SÜZGECİ DV4TD/DV6TED CİVATALI</t>
  </si>
  <si>
    <t>CABU</t>
  </si>
  <si>
    <t>10296746BLUEPRİNT</t>
  </si>
  <si>
    <t>HAVA FİLTRESİ MG HS 1.5 21&gt;</t>
  </si>
  <si>
    <t>BLUEPRİNT</t>
  </si>
  <si>
    <t>ADBP220116</t>
  </si>
  <si>
    <t>1033.10FEBİ</t>
  </si>
  <si>
    <t>YAĞ POMPA ZİNCİR DW8/DW8B 52BAKLA</t>
  </si>
  <si>
    <t>1033.11</t>
  </si>
  <si>
    <t>YAĞ POMPA ZİNCİRİ (46 HALKA) 1.6 16V TU5JP4/XU7JP4 1.8 16V</t>
  </si>
  <si>
    <t>10W40 4LT PHAFF</t>
  </si>
  <si>
    <t>MOTOR YAĞI 10W40 4LT API-SL/CF ACEA A3/B3</t>
  </si>
  <si>
    <t>PHAFF</t>
  </si>
  <si>
    <t>10W40 5LT LEICHTLAUF</t>
  </si>
  <si>
    <t>MOTOR YAĞI 10W40 5LT LEICHTLAUF</t>
  </si>
  <si>
    <t>LİQUI MOLY</t>
  </si>
  <si>
    <t>10W40 5LT MOS2 LEICHTLAUF</t>
  </si>
  <si>
    <t>MOTOR YAĞI 10W40 5LT MOS2 LEICHTLAUF</t>
  </si>
  <si>
    <t>10W40 MOBİL 1LT</t>
  </si>
  <si>
    <t xml:space="preserve">MOTOR YAĞI 10W-40 1LT SÜPER 2000 X1 </t>
  </si>
  <si>
    <t>MOBİL</t>
  </si>
  <si>
    <t>2710.19.81.00.00</t>
  </si>
  <si>
    <t>10W40 MOBİL 4LT</t>
  </si>
  <si>
    <t>MOTOR YAĞI 10W-40 4LT SÜPER 2000 X1</t>
  </si>
  <si>
    <t>10W40 U-MOBİL 4LT</t>
  </si>
  <si>
    <t xml:space="preserve">MOTOR YAĞI ULTRA 10W-40 4LT </t>
  </si>
  <si>
    <t>10W60 5LT RACE TECH GT1</t>
  </si>
  <si>
    <t>MOTOR YAĞI 10W60 5LT RACE TECH GT1</t>
  </si>
  <si>
    <t>1100030ORAN</t>
  </si>
  <si>
    <t>ÇAMURLUK ÖN SOL ASTRA.J 10&gt;</t>
  </si>
  <si>
    <t>KAPORTA</t>
  </si>
  <si>
    <t>ORAN</t>
  </si>
  <si>
    <t>1101031ORAN</t>
  </si>
  <si>
    <t>ÇAMURLUK ÖN SOL CORSA.C/COMBO.C</t>
  </si>
  <si>
    <t>1101031ZYK</t>
  </si>
  <si>
    <t>ZYK</t>
  </si>
  <si>
    <t>OP555121</t>
  </si>
  <si>
    <t>1101048DEGA</t>
  </si>
  <si>
    <t>ÇAMURLUK DAVLUMBAZ ÖN SOL ASTRA.J</t>
  </si>
  <si>
    <t xml:space="preserve">DEGA </t>
  </si>
  <si>
    <t>OP555011</t>
  </si>
  <si>
    <t>1101048HİLEKS</t>
  </si>
  <si>
    <t xml:space="preserve">HİLEKS </t>
  </si>
  <si>
    <t>OA31L</t>
  </si>
  <si>
    <t xml:space="preserve">1101049DEGA </t>
  </si>
  <si>
    <t>OPL15AS009</t>
  </si>
  <si>
    <t>ÇAMURLUK DAVLUMBAZ ÖN SAĞ ASTRA J</t>
  </si>
  <si>
    <t xml:space="preserve">1101049HİLEKS </t>
  </si>
  <si>
    <t xml:space="preserve">ÇAMURLUK DAVLUMBAZ ÖN SAĞ ASTRA J </t>
  </si>
  <si>
    <t>OA31R</t>
  </si>
  <si>
    <t xml:space="preserve">1101064HİLEKS </t>
  </si>
  <si>
    <t>ÇAMURLUK DAVLUMBAZI ARKA SAĞ İNSİGNİA.A</t>
  </si>
  <si>
    <t>ÇAMURLUK DAVLUMBAZI</t>
  </si>
  <si>
    <t>OI02-R</t>
  </si>
  <si>
    <t>1101064ZYK</t>
  </si>
  <si>
    <t xml:space="preserve">ÇAMURLUK DAVLUMBAZI ARKA SAĞ İNSİGNİA.A </t>
  </si>
  <si>
    <t>OP777030</t>
  </si>
  <si>
    <t>1101065HİLEKS</t>
  </si>
  <si>
    <t>ÇAMURLUK DAVLUMBAZI ARKA SOL İNSİGNİA.A</t>
  </si>
  <si>
    <t>OI02-L</t>
  </si>
  <si>
    <t>1101065ZYK</t>
  </si>
  <si>
    <t xml:space="preserve">ÇAMURLUK DAVLUMBAZI ARKA SOL İNSİGNİA.A </t>
  </si>
  <si>
    <t>OP777029</t>
  </si>
  <si>
    <t>1101163KRAFTVOLL</t>
  </si>
  <si>
    <t>ÇAMURLUK DAVLUMBAZ ÖN SOL MOKKA 13-16</t>
  </si>
  <si>
    <t>1101164KRAFTVOLL</t>
  </si>
  <si>
    <t>ÇAMURLUK DAVLUMBAZ ÖN SAĞ MOKKA 13-16</t>
  </si>
  <si>
    <t>1101370DEGA</t>
  </si>
  <si>
    <t>ÇAMURLUK DAVLUMBAZI ÖN SOL ASTRA.G</t>
  </si>
  <si>
    <t>DEGA</t>
  </si>
  <si>
    <t>OPL15AS004</t>
  </si>
  <si>
    <t>1102000ORAN</t>
  </si>
  <si>
    <t>ÇAMURLUK ÖN SAĞ ASTRA.F 91-98</t>
  </si>
  <si>
    <t>1102030ORAN</t>
  </si>
  <si>
    <t xml:space="preserve">ÇAMURLUK ÖN SAĞ CORSA.C </t>
  </si>
  <si>
    <t xml:space="preserve">1102359HILEKS </t>
  </si>
  <si>
    <t>ÇAMURLUK DAVLUMBAZI ÖN SAĞ ASTRA.G</t>
  </si>
  <si>
    <t xml:space="preserve">HILEKS </t>
  </si>
  <si>
    <t>OA09R</t>
  </si>
  <si>
    <t>1103.J5CABU</t>
  </si>
  <si>
    <t xml:space="preserve">YAĞ FİLTRE KAPAĞI TU3JP/TU5JP4/1.4-1.6 </t>
  </si>
  <si>
    <t xml:space="preserve">CABU </t>
  </si>
  <si>
    <t>1103.J5Y</t>
  </si>
  <si>
    <t>1103.J7İBRAS</t>
  </si>
  <si>
    <t>YAĞ FİLTRE KÜTÜK CONTA TAKIM TU5JP4 1.6 16V</t>
  </si>
  <si>
    <t xml:space="preserve">1103.K2KALE </t>
  </si>
  <si>
    <t>YAĞ SOGUTUCU RADYATÖR TEK DV4/DV6 1.4/1.6HDİ</t>
  </si>
  <si>
    <t>YAĞ SOĞUTUCU</t>
  </si>
  <si>
    <t xml:space="preserve">KALE </t>
  </si>
  <si>
    <t>1103.K2MARELLİ</t>
  </si>
  <si>
    <t xml:space="preserve">1103.K2MGA </t>
  </si>
  <si>
    <t>1103.K4CABU</t>
  </si>
  <si>
    <t>YAĞ FİLTRE KAPAĞI DV4/DV6 TÜM SERİ</t>
  </si>
  <si>
    <t>1103.K4Y</t>
  </si>
  <si>
    <t>1103.L6</t>
  </si>
  <si>
    <t>YAĞ FİLTRE(SOĞUTUCU) KÜTÜĞÜ KOMPLE ET3J4/TU3JP 1.4 16V</t>
  </si>
  <si>
    <t>1103.L7</t>
  </si>
  <si>
    <t>YAĞ FİLTRE KAPAGI 1.4/1.6 BENZİN</t>
  </si>
  <si>
    <t>1103.L7GKL</t>
  </si>
  <si>
    <t>YAĞ FİLTRE KAPAGI 1.4/1.6 BENZİN/Z13DT/Z13DTH</t>
  </si>
  <si>
    <t>GKL</t>
  </si>
  <si>
    <t>1103.L8Y</t>
  </si>
  <si>
    <t>YAG FİLTRE GÖVDE CONTA SET 1.6 16V TU5JP4</t>
  </si>
  <si>
    <t>LUVİ</t>
  </si>
  <si>
    <t>1130.L8</t>
  </si>
  <si>
    <t>1103.N0ABRASSE</t>
  </si>
  <si>
    <t>YAĞ SOGUTUCU PARTNER/BERLİNGO Y.M DW8 1.9D</t>
  </si>
  <si>
    <t>BRS-1103N0-PG</t>
  </si>
  <si>
    <t>1103.N0KALE</t>
  </si>
  <si>
    <t>1103.N0MGA</t>
  </si>
  <si>
    <t>1103.N0Y</t>
  </si>
  <si>
    <t>1103.N1MGA</t>
  </si>
  <si>
    <t>YAĞ SOĞUTUCU DW10 2.0HDİ/2.2HDİ</t>
  </si>
  <si>
    <t>1103.N9KALE</t>
  </si>
  <si>
    <t>YAĞ SOĞUTUCU KOMPLE DV4/DV6 1.4/1.6HDİ</t>
  </si>
  <si>
    <t>1103.N9KRAFTVOLL</t>
  </si>
  <si>
    <t xml:space="preserve">1103.N9MAHLE </t>
  </si>
  <si>
    <t>CLC130000S</t>
  </si>
  <si>
    <t>1103.S0ABRASSE</t>
  </si>
  <si>
    <t>YAĞ SOGUTUCU CONTA TAKIM DV4/DV6</t>
  </si>
  <si>
    <t>BRS-11403-PG</t>
  </si>
  <si>
    <t>1103.S7</t>
  </si>
  <si>
    <t>YAĞ SOGUTUCU KOMPLE DV4/DV6 1.4/1.6HDİ</t>
  </si>
  <si>
    <t>1103.S7MAHLE</t>
  </si>
  <si>
    <t xml:space="preserve">YAĞ SOGUTUCU KOMPLE DV4/DV6 1.4/1.6HDİ EURO5 (APARATLI) </t>
  </si>
  <si>
    <t>CLC455000S</t>
  </si>
  <si>
    <t>1103.S7MGA</t>
  </si>
  <si>
    <t>YAĞ SOGUTUCU KOMPLE DV4/DV6 1.4/1.6HDİ (APARATLI)</t>
  </si>
  <si>
    <t>1103.S7PIERBURG</t>
  </si>
  <si>
    <t>PIERBURG</t>
  </si>
  <si>
    <t>7.09269.73.0</t>
  </si>
  <si>
    <t>1103167ROOT</t>
  </si>
  <si>
    <t>ÇAMURLUK BANDI SOL SİNYALLİ VECTRA.B 96-99</t>
  </si>
  <si>
    <t>ROOT</t>
  </si>
  <si>
    <t>1104.36BİTAPART</t>
  </si>
  <si>
    <t>BPE259009</t>
  </si>
  <si>
    <t>YAĞ SOĞUTUCU PETEK ARA CONTA TAKIM DV4/DV6</t>
  </si>
  <si>
    <t>1106009HILEKS</t>
  </si>
  <si>
    <t>ÇAMURLUK DAVLUMBAZ ÖN SOL ASTRA.H</t>
  </si>
  <si>
    <t>HILEKS</t>
  </si>
  <si>
    <t>OA08L</t>
  </si>
  <si>
    <t>1106012HILEKS</t>
  </si>
  <si>
    <t>ÇAMURLUK DAVLUMBAZ ÖN SAĞ ASTRA.H</t>
  </si>
  <si>
    <t>OA08R</t>
  </si>
  <si>
    <t>1106029HİLEKS</t>
  </si>
  <si>
    <t>ÇAMURLUK DAVLUMBAZI ÖN SAĞ ASTRA.J</t>
  </si>
  <si>
    <t>OA31-R</t>
  </si>
  <si>
    <t>1109.ALBOSCH</t>
  </si>
  <si>
    <t>YAĞ FİLTRE DW8/DW10/EB2DTS</t>
  </si>
  <si>
    <t>F026407353</t>
  </si>
  <si>
    <t>1109.ALERP</t>
  </si>
  <si>
    <t>1109.ALFİLTRON</t>
  </si>
  <si>
    <t xml:space="preserve">FİLTRON </t>
  </si>
  <si>
    <t>OP540/1</t>
  </si>
  <si>
    <t>1109.ALHENGST</t>
  </si>
  <si>
    <t>H90W23</t>
  </si>
  <si>
    <t>1109.ALMAHLE</t>
  </si>
  <si>
    <t>OC976</t>
  </si>
  <si>
    <t>1109.ALMANN</t>
  </si>
  <si>
    <t>MANN FİLTER</t>
  </si>
  <si>
    <t>W7058</t>
  </si>
  <si>
    <t>1109.AN</t>
  </si>
  <si>
    <t>YAĞ FİLTRE TU3JP/TU5JP4 1.4/1.6 8V-16V</t>
  </si>
  <si>
    <t>1109.ANERP</t>
  </si>
  <si>
    <t>ERP</t>
  </si>
  <si>
    <t>E149133</t>
  </si>
  <si>
    <t>1109.ANFİLTRON</t>
  </si>
  <si>
    <t>OE667</t>
  </si>
  <si>
    <t>1109.ANY</t>
  </si>
  <si>
    <t>1109.AQPHAFF</t>
  </si>
  <si>
    <t>YAĞ FİLTRESİ TOMBUL JUMPER/MOVANO/BOXER 2.8 HDİ (ÇİFT CONTALI)</t>
  </si>
  <si>
    <t>DY862</t>
  </si>
  <si>
    <t>1109.AY</t>
  </si>
  <si>
    <t>YAĞ FİLTRE DV4/DV6 1.4/1.6HDİ</t>
  </si>
  <si>
    <t>1109.AYBOSCH</t>
  </si>
  <si>
    <t xml:space="preserve">BOSCH </t>
  </si>
  <si>
    <t>1109.AYFİLTRON</t>
  </si>
  <si>
    <t>OE2004</t>
  </si>
  <si>
    <t>1109.CK-CLERP</t>
  </si>
  <si>
    <t xml:space="preserve">YAĞ FİLTRESİ EP6/EP6CDT/TU5JP4/DW10/DW12  </t>
  </si>
  <si>
    <t>1109.CKERP</t>
  </si>
  <si>
    <t>1109.CKFİLTRON</t>
  </si>
  <si>
    <t>YAĞ FİLTRESİ EP6/EP6CDT/TU5JP4/DW10/DW12</t>
  </si>
  <si>
    <t>OE673</t>
  </si>
  <si>
    <t>1109.CKY</t>
  </si>
  <si>
    <t>YAĞ FİLTRE TU5JP4/ET3/2.0HDİ</t>
  </si>
  <si>
    <t>11127560274VİCTOR</t>
  </si>
  <si>
    <t>SİLİNDİR KAPAK SAPLAMA TAKIM N12/N13/N14</t>
  </si>
  <si>
    <t>14-32347-01</t>
  </si>
  <si>
    <t>1122756HILEKS</t>
  </si>
  <si>
    <t>ÇAMURLUK DAVLUMBAZ ARKA SAĞ ASTRA.H HB.</t>
  </si>
  <si>
    <t>OA10R</t>
  </si>
  <si>
    <t>1130.J5FROWAS</t>
  </si>
  <si>
    <t>YAĞ FİLTRE KAPAĞI UZUN TU3JP/TU5JP4 1.4/1.6 16V</t>
  </si>
  <si>
    <t>1131.C5DELPHİ</t>
  </si>
  <si>
    <t>YAĞ MÜŞÜR GRİ DV6BTED4/DW8/DW10/TU3JP/TU5JP</t>
  </si>
  <si>
    <t>YAĞ MÜŞÜR</t>
  </si>
  <si>
    <t>DELPHİ</t>
  </si>
  <si>
    <t>SW90022</t>
  </si>
  <si>
    <t>1131.C5FACET</t>
  </si>
  <si>
    <t>FACET</t>
  </si>
  <si>
    <t>1131.C5HERTH+BUSS</t>
  </si>
  <si>
    <t>HERTH+BUSS</t>
  </si>
  <si>
    <t>J5613007</t>
  </si>
  <si>
    <t>1131.C5VERNET</t>
  </si>
  <si>
    <t xml:space="preserve">VERNET </t>
  </si>
  <si>
    <t>OS3566</t>
  </si>
  <si>
    <t>11428507683BOSCH</t>
  </si>
  <si>
    <t>YAĞ FİLTRESİ N47/N47N/N57 2.0D BMW</t>
  </si>
  <si>
    <t>F026407123</t>
  </si>
  <si>
    <t>11428507683HENGST</t>
  </si>
  <si>
    <t>YAĞ FİLİTRESİ N-47 N/N47 S1/N57N/N57Z</t>
  </si>
  <si>
    <t>E204H D218</t>
  </si>
  <si>
    <t>1160014ORAN</t>
  </si>
  <si>
    <t>MOTOR KAPUTU ASTRA.J (ÇEKOMASTİKLİ)</t>
  </si>
  <si>
    <t xml:space="preserve">ORAN </t>
  </si>
  <si>
    <t>MOTOR KAPUTU İNSİGNİA.A</t>
  </si>
  <si>
    <t>1160074ORAN</t>
  </si>
  <si>
    <t>MOTOR KAPUTU CORSA.D</t>
  </si>
  <si>
    <t>1160074SIMYI</t>
  </si>
  <si>
    <t xml:space="preserve">SIMYI </t>
  </si>
  <si>
    <t>OP444019</t>
  </si>
  <si>
    <t>1160700ROOT</t>
  </si>
  <si>
    <t>KAPUT DESTEK TAKOZ VECTRA.B</t>
  </si>
  <si>
    <t xml:space="preserve">ROOT </t>
  </si>
  <si>
    <t>1160724YTT</t>
  </si>
  <si>
    <t>KAPUT AYAR LASTİĞİ ASTRA.G/H/J/İNSİGNİA.A/VECTRA.A/B/C</t>
  </si>
  <si>
    <t>YTT</t>
  </si>
  <si>
    <t>Y1558</t>
  </si>
  <si>
    <t>1171.K7</t>
  </si>
  <si>
    <t>YAĞ ÇUBUK BORUSU 1.4HDİ DV4 206/307/BİPPER/C2/C3</t>
  </si>
  <si>
    <t>1174.65ABRASSE</t>
  </si>
  <si>
    <t>YAĞ ÇUBUĞU TU5JP4 1.6 16V</t>
  </si>
  <si>
    <t>BRS-117464-PG</t>
  </si>
  <si>
    <t>1174.83ABRASSE</t>
  </si>
  <si>
    <t>YAĞ ÇUBUĞU ET3J4 206/207/307/C3/C4 1.4 16V ET3J4</t>
  </si>
  <si>
    <t>BRS-117483-PG</t>
  </si>
  <si>
    <t>1174.83BİTAPART</t>
  </si>
  <si>
    <t xml:space="preserve"> BPE241030</t>
  </si>
  <si>
    <t>1174.85KRAFTVOLL</t>
  </si>
  <si>
    <t xml:space="preserve">YAĞ ÇUBUĞU DV4/1.4TDCİ/1.4HDİ </t>
  </si>
  <si>
    <t>1174.85Y</t>
  </si>
  <si>
    <t>YAĞ ÇUBUĞU DV4/1.4TDCİ/1.4HDİ</t>
  </si>
  <si>
    <t>1174.G2-U-KRAFTVOLL</t>
  </si>
  <si>
    <t>YAĞ ÇUBUĞU 1.6HDİ DV6 UZUN TİP</t>
  </si>
  <si>
    <t>1174.G2KRAFTVOLL</t>
  </si>
  <si>
    <t>YAĞ ÇUBUĞU 1.6HDİ DV6</t>
  </si>
  <si>
    <t>1178451AKD</t>
  </si>
  <si>
    <t>KAPUT AÇMA TELİ VECTRA.A/ASTRA.F</t>
  </si>
  <si>
    <t>AKD</t>
  </si>
  <si>
    <t>OP160100</t>
  </si>
  <si>
    <t>1180.S9ASPART</t>
  </si>
  <si>
    <t>8LOF1018</t>
  </si>
  <si>
    <t>MOTOR YAĞ KAPAĞI EP6CDT</t>
  </si>
  <si>
    <t>YAĞ KAPAĞI</t>
  </si>
  <si>
    <t>ASPART</t>
  </si>
  <si>
    <t>1180016FROWAS</t>
  </si>
  <si>
    <t>KAPUT AMORTİSÖR İNSİGNİA.A 720mm 180N</t>
  </si>
  <si>
    <t>1180103YTT</t>
  </si>
  <si>
    <t>MOTOR KAPUT DAYAMA DEMİR YUVASI COR.B/VEC.A/OMG.B</t>
  </si>
  <si>
    <t>Y1639</t>
  </si>
  <si>
    <t>1180402KRAFTVOLL</t>
  </si>
  <si>
    <t>KAPUT AMORTİSÖR VECTRA.B</t>
  </si>
  <si>
    <t>1180402SWAPP</t>
  </si>
  <si>
    <t>MOTOR KAPUT AMORTİSÖR VECTRA.B</t>
  </si>
  <si>
    <t>1180402TUFF</t>
  </si>
  <si>
    <t>TUFF</t>
  </si>
  <si>
    <t>1180405MANUS</t>
  </si>
  <si>
    <t>MOTOR KAPUT AMORTİSÖR ASTRA.H</t>
  </si>
  <si>
    <t xml:space="preserve">MANUS </t>
  </si>
  <si>
    <t>MNS-291301FC/H/W</t>
  </si>
  <si>
    <t>1192.W0WIN</t>
  </si>
  <si>
    <t>WIN0500252</t>
  </si>
  <si>
    <t>MOTOR HAVALANDIRMA HORTUM 1.6 16V</t>
  </si>
  <si>
    <t>WİNTECH</t>
  </si>
  <si>
    <t>1192.WZWİNTECH</t>
  </si>
  <si>
    <t>WIN0500251</t>
  </si>
  <si>
    <t>MOTOR HAVALANDIRMA HORTUM ET3J4 1.4 16V</t>
  </si>
  <si>
    <t>1201.66Y</t>
  </si>
  <si>
    <t>SU KOLLEKTÖR TU3JP 106/306</t>
  </si>
  <si>
    <t>1201.98AYBAY</t>
  </si>
  <si>
    <t>DEVİRDAİM XU7JP4 1.8 16V</t>
  </si>
  <si>
    <t>DEVİRDAİM</t>
  </si>
  <si>
    <t xml:space="preserve">AYBAY </t>
  </si>
  <si>
    <t>1201.A8FROW</t>
  </si>
  <si>
    <t>DEVİRDAİM XUD9 1.9D PARTNER/BERLİNGO 97&gt;</t>
  </si>
  <si>
    <t>1201.A8GRAF</t>
  </si>
  <si>
    <t>GRAF</t>
  </si>
  <si>
    <t>PA391</t>
  </si>
  <si>
    <t>1201.C2ABRASSE</t>
  </si>
  <si>
    <t>DEVİRDAİM ARKA ÇIKIŞ KOLLEKTÖR 106/206/306/307 1.4 TU3JP-ET3J4</t>
  </si>
  <si>
    <t>BRS-66105-PG</t>
  </si>
  <si>
    <t>1201.C2Y</t>
  </si>
  <si>
    <t>1201.C3ABRASSE</t>
  </si>
  <si>
    <t xml:space="preserve">TERMOSTAT KAPAĞI TU5JP4/ 1.6 16V </t>
  </si>
  <si>
    <t>BRS-1201C3-PG</t>
  </si>
  <si>
    <t>1201.C3FROW</t>
  </si>
  <si>
    <t>TERMOSTAT KAPAĞI TU5JP4/ 1.6 16V</t>
  </si>
  <si>
    <t>1201.C3ZEGEN</t>
  </si>
  <si>
    <t xml:space="preserve">ZEGEN </t>
  </si>
  <si>
    <t>ZTH1284</t>
  </si>
  <si>
    <t>1201.C4CRAFTEURO</t>
  </si>
  <si>
    <t>CRAFTEURO 136</t>
  </si>
  <si>
    <t>DEVİRDAİM DW8/DW10 1.9/2.0 HDİ PARTNER/BERLİNGO</t>
  </si>
  <si>
    <t>CRAFTEURO</t>
  </si>
  <si>
    <t xml:space="preserve">1201.C4FROW </t>
  </si>
  <si>
    <t>1201.C4KALE</t>
  </si>
  <si>
    <t>1201.C4LUCAS</t>
  </si>
  <si>
    <t>LWP9410M</t>
  </si>
  <si>
    <t>1201.C4MGA</t>
  </si>
  <si>
    <t>MGA65236</t>
  </si>
  <si>
    <t>1201.C4THERMAX</t>
  </si>
  <si>
    <t>THERMAX</t>
  </si>
  <si>
    <t>T01.179</t>
  </si>
  <si>
    <t>1201.E3GRAF</t>
  </si>
  <si>
    <t>DEVİRDAİM 1.4 8V TU3JP 20DİŞ</t>
  </si>
  <si>
    <t>PA628</t>
  </si>
  <si>
    <t>1201.E4CRAFTEURO</t>
  </si>
  <si>
    <t>DEVİRDAİM 1.5D 1.6 8V TU3M/TU5JP</t>
  </si>
  <si>
    <t>1201.E4FROW</t>
  </si>
  <si>
    <t>1201.E4SWAPP</t>
  </si>
  <si>
    <t>1201.E5AKD</t>
  </si>
  <si>
    <t>DEVİRDAİM TU5JP 1.6 16V</t>
  </si>
  <si>
    <t>PS105101</t>
  </si>
  <si>
    <t>1201.E5GRAF</t>
  </si>
  <si>
    <t xml:space="preserve">DEVİRDAİM TU5JP 1.6 16V </t>
  </si>
  <si>
    <t>PA683</t>
  </si>
  <si>
    <t>1201.E5SWAPP</t>
  </si>
  <si>
    <t>1201.E5THERMAX</t>
  </si>
  <si>
    <t xml:space="preserve">DEVİRDAİM TU5JP4 1.6 16V </t>
  </si>
  <si>
    <t>T01.193</t>
  </si>
  <si>
    <t>1201.E5VALEO</t>
  </si>
  <si>
    <t xml:space="preserve">VALEO </t>
  </si>
  <si>
    <t>1201.G0AIRTEX</t>
  </si>
  <si>
    <t xml:space="preserve">DEVİRDAİM TU1JP/TU3JP/TU3A 1.4 8V 18DIŞ  </t>
  </si>
  <si>
    <t>AIRTEX</t>
  </si>
  <si>
    <t xml:space="preserve">1201.G0DOLZ </t>
  </si>
  <si>
    <t xml:space="preserve">DEVİRDAİM TU1JP/TU3JP/TU3A 1.4 8V 18DIŞ </t>
  </si>
  <si>
    <t xml:space="preserve">DOLZ </t>
  </si>
  <si>
    <t>C114</t>
  </si>
  <si>
    <t>1201.G0GSP</t>
  </si>
  <si>
    <t>GSP</t>
  </si>
  <si>
    <t>WP900575</t>
  </si>
  <si>
    <t>1201.G0VALEO</t>
  </si>
  <si>
    <t>VALEO</t>
  </si>
  <si>
    <t>1201.G2FROW</t>
  </si>
  <si>
    <t>DEVİRDAİM 1.4 16V 135DİŞ ET3J4</t>
  </si>
  <si>
    <t>1201.G8GRAF</t>
  </si>
  <si>
    <t>DEVİRDAİM DV4/DV4C 1.4HDİ</t>
  </si>
  <si>
    <t>PA859</t>
  </si>
  <si>
    <t>1201.G8KARSAN</t>
  </si>
  <si>
    <t>DEVİRDAİM DV4/DV4C 1.4 HDİ</t>
  </si>
  <si>
    <t>KARSAN</t>
  </si>
  <si>
    <t>WP0859</t>
  </si>
  <si>
    <t>1201.G8OES</t>
  </si>
  <si>
    <t>OES</t>
  </si>
  <si>
    <t>N5003</t>
  </si>
  <si>
    <t>1201.G8PIERBURG</t>
  </si>
  <si>
    <t>7.02543.05.0</t>
  </si>
  <si>
    <t>1201.G8SUPSAN</t>
  </si>
  <si>
    <t>PW0024</t>
  </si>
  <si>
    <t>1201.G8THERMAX</t>
  </si>
  <si>
    <t>T01.180</t>
  </si>
  <si>
    <t>1201.G9AIRTEX</t>
  </si>
  <si>
    <t>DEVİRDAİM DV6/DV6C/DV6TED4 1.6HDİ</t>
  </si>
  <si>
    <t xml:space="preserve">1201.G9DOLZ </t>
  </si>
  <si>
    <t>C129</t>
  </si>
  <si>
    <t>1201.G9ERP</t>
  </si>
  <si>
    <t>1201.G9FROWAS</t>
  </si>
  <si>
    <t>1201.G9GRAF</t>
  </si>
  <si>
    <t xml:space="preserve">GRAF </t>
  </si>
  <si>
    <t>PA938</t>
  </si>
  <si>
    <t>1201.G9PIER</t>
  </si>
  <si>
    <t>7.03738.03.0</t>
  </si>
  <si>
    <t>1201.H8DOLZ</t>
  </si>
  <si>
    <t>DEVİRDAİM EP6/N13</t>
  </si>
  <si>
    <t>DOLZ</t>
  </si>
  <si>
    <t>C136</t>
  </si>
  <si>
    <t>1201779CABU</t>
  </si>
  <si>
    <t>AKÜ ALT PLASTİĞİ ASTRA.G/H</t>
  </si>
  <si>
    <t>1201779KRAFTVOLL</t>
  </si>
  <si>
    <t xml:space="preserve">AKÜ ALT PLASTİĞİ ASTRA.G/H </t>
  </si>
  <si>
    <t>1204.55DAYCO</t>
  </si>
  <si>
    <t>DEVİRDAİM GERGİ KASNAĞI ELEKTRİKLİ EP6/N13</t>
  </si>
  <si>
    <t>V KAYIŞ GERGİ</t>
  </si>
  <si>
    <t>APV3627</t>
  </si>
  <si>
    <t>1204.56BMS</t>
  </si>
  <si>
    <t>BMS 444</t>
  </si>
  <si>
    <t>V KAYIŞ GERGİ İÇ RULMAN EP3/EP6/EP6CDT</t>
  </si>
  <si>
    <t>V KAYIŞ</t>
  </si>
  <si>
    <t>BMS</t>
  </si>
  <si>
    <t>1204.59DAYCO</t>
  </si>
  <si>
    <t>DEVİRDAİM KASNAĞI EP6/N13</t>
  </si>
  <si>
    <t>APV2978</t>
  </si>
  <si>
    <t>1204178HELLA</t>
  </si>
  <si>
    <t>ALTERNATÖR KASNAGI ASTRA.J/İNSİGNİA.A A14NET//BMW E46/60/90 M47N/M57N</t>
  </si>
  <si>
    <t>HELLA</t>
  </si>
  <si>
    <t>9XU358039-091</t>
  </si>
  <si>
    <t xml:space="preserve">1204291ASPART </t>
  </si>
  <si>
    <t>8AFR1002</t>
  </si>
  <si>
    <t>ŞARJ DİNAMO KASNAĞI A20DT 2.0D</t>
  </si>
  <si>
    <t>1204291INA</t>
  </si>
  <si>
    <t>535 0204 10</t>
  </si>
  <si>
    <t>1204517CARGO</t>
  </si>
  <si>
    <t>ŞARJ DİNAMO KASNAGI CORSA.C Z13DT</t>
  </si>
  <si>
    <t>CARGO</t>
  </si>
  <si>
    <t>1204853BMS</t>
  </si>
  <si>
    <t xml:space="preserve">V KAYIŞ GERGİ RULMAN Y17DT (KÜTÜKDEKİ) </t>
  </si>
  <si>
    <t xml:space="preserve">1204885ASPART </t>
  </si>
  <si>
    <t>2BUS1002</t>
  </si>
  <si>
    <t>ALTERNATÖR BAĞLANTI BURCU VECTRA.A/B/ASTRA.F/G</t>
  </si>
  <si>
    <t>1206573Y</t>
  </si>
  <si>
    <t>VAKUM POMPA CONTA Z13DT EURO4</t>
  </si>
  <si>
    <t xml:space="preserve">1208003ASPART </t>
  </si>
  <si>
    <t>2ICO1075</t>
  </si>
  <si>
    <t>ATEŞLEME BOBİN VECTRA.A 8V</t>
  </si>
  <si>
    <t>ATEŞLEME</t>
  </si>
  <si>
    <t>BOBİN</t>
  </si>
  <si>
    <t xml:space="preserve">1208008VALEO </t>
  </si>
  <si>
    <t>ATEŞLEME BOBİN X18X/Z18XE ASTRA.G/VECTRA.B</t>
  </si>
  <si>
    <t>1208020ASPART</t>
  </si>
  <si>
    <t>2ICO1078</t>
  </si>
  <si>
    <t>ATEŞLEME BOBİN Z12XE/Z12XEP/Z14XEP</t>
  </si>
  <si>
    <t>1208020BOSCH</t>
  </si>
  <si>
    <t>1208020DELPHİ</t>
  </si>
  <si>
    <t>GN10207-12B1</t>
  </si>
  <si>
    <t xml:space="preserve">1208020HELLA </t>
  </si>
  <si>
    <t xml:space="preserve">HELLA </t>
  </si>
  <si>
    <t>5DA193175-861</t>
  </si>
  <si>
    <t>1208021DELPHİ</t>
  </si>
  <si>
    <t>ATEŞLEME BOBİN Z16XEP/A16LET</t>
  </si>
  <si>
    <t xml:space="preserve">DELPHİ </t>
  </si>
  <si>
    <t>CE20009-12B1</t>
  </si>
  <si>
    <t>1208026ASPART</t>
  </si>
  <si>
    <t>2ICO1081</t>
  </si>
  <si>
    <t>ATEŞLEME BOBİN ASTRA.G/VECTRA.C Z22SE</t>
  </si>
  <si>
    <t>1208063ASPART</t>
  </si>
  <si>
    <t>2ICO1083</t>
  </si>
  <si>
    <t>ATEŞLEME BOBİN X14XE/X16XE</t>
  </si>
  <si>
    <t>1208063BREMİ</t>
  </si>
  <si>
    <t>BREMİ</t>
  </si>
  <si>
    <t xml:space="preserve">1208063FAE </t>
  </si>
  <si>
    <t>ATEŞLEME BOBİN X14XE/X16XEL</t>
  </si>
  <si>
    <t xml:space="preserve">FAE </t>
  </si>
  <si>
    <t xml:space="preserve">1208063HELLA </t>
  </si>
  <si>
    <t>5DA193175-651</t>
  </si>
  <si>
    <t>1208071BREMİ</t>
  </si>
  <si>
    <t>ATEŞLEME BOBİN X20XEV</t>
  </si>
  <si>
    <t>1208071HELLA</t>
  </si>
  <si>
    <t>5DA358.000-291</t>
  </si>
  <si>
    <t>1208086ASPART</t>
  </si>
  <si>
    <t>2ICO1086</t>
  </si>
  <si>
    <t>ATEŞLEME BOBİN A16XER ASTRA.J/İNSİGNİA.A</t>
  </si>
  <si>
    <t>1208086DELPHİ</t>
  </si>
  <si>
    <t>GN10234-12B1</t>
  </si>
  <si>
    <t>1208096BOSCH</t>
  </si>
  <si>
    <t>ATEŞLEME BOBİN A12XER/A14XER/A14NET/B14NET</t>
  </si>
  <si>
    <t>1208096DELPHİ</t>
  </si>
  <si>
    <t>GN10401-12B1</t>
  </si>
  <si>
    <t>1208119BREMİ</t>
  </si>
  <si>
    <t>ATEŞLEME BOBİN A16XHT/B16SHT</t>
  </si>
  <si>
    <t xml:space="preserve">BREMİ </t>
  </si>
  <si>
    <t>1208119DELPHİ</t>
  </si>
  <si>
    <t>GN10796-12B1</t>
  </si>
  <si>
    <t>1208306BOSCH</t>
  </si>
  <si>
    <t>ATEŞLEME BOBİN X10XE/X10XE/Z10XEP</t>
  </si>
  <si>
    <t>1208307DELPHİ</t>
  </si>
  <si>
    <t>ATEŞLEME BOBİN Z14XE/Z16XE</t>
  </si>
  <si>
    <t>CE10000-12B1</t>
  </si>
  <si>
    <t>1208307HELLA</t>
  </si>
  <si>
    <t>5DA358.000-871</t>
  </si>
  <si>
    <t>1208951Y</t>
  </si>
  <si>
    <t xml:space="preserve">BOBİN CONTASI YAN X20XEV </t>
  </si>
  <si>
    <t xml:space="preserve">1211269AKD </t>
  </si>
  <si>
    <t>DİSTRİBÜTÖR KAPAK ASTRA.F/CORSA.B 1.2/1.4 8V</t>
  </si>
  <si>
    <t>DİSTRİBÜTÖR</t>
  </si>
  <si>
    <t>OP169111</t>
  </si>
  <si>
    <t>1211269HELLUX</t>
  </si>
  <si>
    <t>HELLUX</t>
  </si>
  <si>
    <t>HLX.4103</t>
  </si>
  <si>
    <t xml:space="preserve">1211269METTE </t>
  </si>
  <si>
    <t>651D5126</t>
  </si>
  <si>
    <t>1211269TOPRAN</t>
  </si>
  <si>
    <t xml:space="preserve">TOPRAN </t>
  </si>
  <si>
    <t>1211271TAP</t>
  </si>
  <si>
    <t>DİSTRİBÜTÖR KAPAGI ASTRA.F/VECTRA.A 16SV</t>
  </si>
  <si>
    <t xml:space="preserve">TAP </t>
  </si>
  <si>
    <t>TAP.1211271</t>
  </si>
  <si>
    <t>1211271TOPRAN</t>
  </si>
  <si>
    <t>1211276AKD</t>
  </si>
  <si>
    <t>DİSTİRİBÜTÖR KAPAK 1.8/2.0 8V BOSCH TİP ÇİVİLİ</t>
  </si>
  <si>
    <t>OP169104</t>
  </si>
  <si>
    <t>1211276HELLUX</t>
  </si>
  <si>
    <t>HLD.4104</t>
  </si>
  <si>
    <t>1211276Y</t>
  </si>
  <si>
    <t>1211408METTE</t>
  </si>
  <si>
    <t>DİSTRİBÜTÖR KOMPLE DELPCO TİPİ 1.6 8V (KABLOLU)</t>
  </si>
  <si>
    <t>651D5078</t>
  </si>
  <si>
    <t>1211412LCSMETTE</t>
  </si>
  <si>
    <t>DİSTRİBÜTÖR 1.2/1.4 8V LUCAS TİP</t>
  </si>
  <si>
    <t>651D5428</t>
  </si>
  <si>
    <t>1211412METTE</t>
  </si>
  <si>
    <t xml:space="preserve">DİSTRİBÜTÖR 1.2/1.4 8V </t>
  </si>
  <si>
    <t>651D5072</t>
  </si>
  <si>
    <t>1211833METTE</t>
  </si>
  <si>
    <t>DİSTRİBÜTÖR ARA FİBER 1.4 8V/1.6 8V</t>
  </si>
  <si>
    <t>668M6313</t>
  </si>
  <si>
    <t xml:space="preserve">1212200FACET </t>
  </si>
  <si>
    <t>TEVZİ MAKARASI (DELCO TİP) CORSA.B 1.2 8V//VECTRA.A 1.6 8V</t>
  </si>
  <si>
    <t>TEVZİ MAKARA</t>
  </si>
  <si>
    <t>3.8128RS</t>
  </si>
  <si>
    <t>1212206AKD</t>
  </si>
  <si>
    <t>TEVZİ MAKARASI 1.8/2.0 8V</t>
  </si>
  <si>
    <t>OP185101</t>
  </si>
  <si>
    <t>1212206HELLUX</t>
  </si>
  <si>
    <t>HLD.4204</t>
  </si>
  <si>
    <t>1212206Y</t>
  </si>
  <si>
    <t>1212217BERU</t>
  </si>
  <si>
    <t>TEVZİ MAKARA 1.2/1.4 8V DAR TİP</t>
  </si>
  <si>
    <t>BERU</t>
  </si>
  <si>
    <t>EVL088</t>
  </si>
  <si>
    <t>1212222HELLUX</t>
  </si>
  <si>
    <t>TEVZİ MAKARASI 1.2/1.4 8V DAR TİP</t>
  </si>
  <si>
    <t>HLD.4203</t>
  </si>
  <si>
    <t>1214000BOSCH</t>
  </si>
  <si>
    <t>ATEŞLEME BUJİ X14XE/X16XE/X20XEV ÇİFT TIRNAK</t>
  </si>
  <si>
    <t>BUJİ</t>
  </si>
  <si>
    <t>FLR8LDCU+</t>
  </si>
  <si>
    <t>1214000CHAMPİON</t>
  </si>
  <si>
    <t>CHAMPİON</t>
  </si>
  <si>
    <t>OE019</t>
  </si>
  <si>
    <t>1214000ERP</t>
  </si>
  <si>
    <t>1214000EYQUEM</t>
  </si>
  <si>
    <t>EYQUEM</t>
  </si>
  <si>
    <t>RFC42LZ2E</t>
  </si>
  <si>
    <t>1214000NGK</t>
  </si>
  <si>
    <t>NGK</t>
  </si>
  <si>
    <t xml:space="preserve">1214013BOSCH </t>
  </si>
  <si>
    <t>ATEŞLEME BUJİ Z22SE</t>
  </si>
  <si>
    <t>1214031BOSCH</t>
  </si>
  <si>
    <t>ATEŞLEME BUJİ PLATINIUM TWİNPORT</t>
  </si>
  <si>
    <t>FQR8LEU2</t>
  </si>
  <si>
    <t>1214031DENSO</t>
  </si>
  <si>
    <t xml:space="preserve">DENSO </t>
  </si>
  <si>
    <t>K20TT</t>
  </si>
  <si>
    <t>1214031ERP</t>
  </si>
  <si>
    <t>1214031EYQUEM</t>
  </si>
  <si>
    <t>A532</t>
  </si>
  <si>
    <t>1214031HELLA</t>
  </si>
  <si>
    <t>8EH188704231</t>
  </si>
  <si>
    <t>1214031NGK</t>
  </si>
  <si>
    <t>1214031NGK-VLİNE</t>
  </si>
  <si>
    <t xml:space="preserve">NGK </t>
  </si>
  <si>
    <t>1214032ERP</t>
  </si>
  <si>
    <t>KIZDIRMA BUJİ Z13T/Z13DTH</t>
  </si>
  <si>
    <t>1214032SVAC</t>
  </si>
  <si>
    <t>SV041</t>
  </si>
  <si>
    <t xml:space="preserve">SVAC </t>
  </si>
  <si>
    <t>1214040ERP</t>
  </si>
  <si>
    <t xml:space="preserve">KIZDIRMA BUJİ Z19DTH </t>
  </si>
  <si>
    <t xml:space="preserve">1214043SVAC </t>
  </si>
  <si>
    <t>SV082</t>
  </si>
  <si>
    <t>KIZDIRMA BUJİ X15D/X17TD</t>
  </si>
  <si>
    <t>1214066BOSCH</t>
  </si>
  <si>
    <t>ATEŞLEME BUJİ A14NET/B14NET DOUBLE İRİDİUM</t>
  </si>
  <si>
    <t>1214066NGK</t>
  </si>
  <si>
    <t>ATEŞLEME BUJİ A14NET/A14XER</t>
  </si>
  <si>
    <t>91039/IFR7X7G</t>
  </si>
  <si>
    <t>1214101BORGWARNER</t>
  </si>
  <si>
    <t>KIZDIRMA BUJİ SENSÖRLÜ A20DTH</t>
  </si>
  <si>
    <t>BORGWARNER</t>
  </si>
  <si>
    <t>PSG006</t>
  </si>
  <si>
    <t>1214116BOSCH</t>
  </si>
  <si>
    <t>ATEŞLEME BUJİ 1.2/1.4/1.6/1.8/2.0 8V</t>
  </si>
  <si>
    <t>1214128NGK</t>
  </si>
  <si>
    <t>ATEŞLEME BUJİ A16XHT/D14XFT/1.0/1.4T/İNSİGNİA.B 1.5T</t>
  </si>
  <si>
    <t>1214528BOSCH</t>
  </si>
  <si>
    <t xml:space="preserve">ATEŞLEME BUJİ A16LET </t>
  </si>
  <si>
    <t>1214528NGK</t>
  </si>
  <si>
    <t>ATEŞLEME BUJİ A16LET</t>
  </si>
  <si>
    <t>1216053İTHAL</t>
  </si>
  <si>
    <t>FAR SOL VECTRA.B 99-01</t>
  </si>
  <si>
    <t>AYDINLATMA</t>
  </si>
  <si>
    <t>1216053TYC</t>
  </si>
  <si>
    <t>TYC</t>
  </si>
  <si>
    <t>20-5750-A8-2B</t>
  </si>
  <si>
    <t>1216054İTHAL</t>
  </si>
  <si>
    <t>FAR SAĞ VECTRA.B 99-01</t>
  </si>
  <si>
    <t>1216054TYC</t>
  </si>
  <si>
    <t>20-5749-A8-2B</t>
  </si>
  <si>
    <t>1216120TYC</t>
  </si>
  <si>
    <t>ÖN FAR SAĞ VECTRA.C 02-05</t>
  </si>
  <si>
    <t>20-A258-05-2B</t>
  </si>
  <si>
    <t>1216139TYC</t>
  </si>
  <si>
    <t>FAR SAĞ CORSA.C/COMBO.C</t>
  </si>
  <si>
    <t>20-6065-25-2</t>
  </si>
  <si>
    <t>1216139WİSCO</t>
  </si>
  <si>
    <t>WİSCO</t>
  </si>
  <si>
    <t>1216142TYC</t>
  </si>
  <si>
    <t xml:space="preserve">FAR SOL CORSA.C/COMBO.C </t>
  </si>
  <si>
    <t>20-6066-25-2</t>
  </si>
  <si>
    <t>1216142WİSCO</t>
  </si>
  <si>
    <t xml:space="preserve">FAR SOL CORSA.C/COMBO.C  </t>
  </si>
  <si>
    <t>2243118-00</t>
  </si>
  <si>
    <t>1216152VALEO</t>
  </si>
  <si>
    <t>FAR SAĞ MERİVA.A 03-10</t>
  </si>
  <si>
    <t>1216156METTE</t>
  </si>
  <si>
    <t>FAR SAĞ ASTRA.G (BEYAZ)</t>
  </si>
  <si>
    <t>293L3103</t>
  </si>
  <si>
    <t>1216157METTE</t>
  </si>
  <si>
    <t>FAR SOL ASTRA.G (BEYAZ)</t>
  </si>
  <si>
    <t>293L3104</t>
  </si>
  <si>
    <t>1216181TYC</t>
  </si>
  <si>
    <t xml:space="preserve">FAR SOL ASTRA.J ŞEFFAF AKKOR </t>
  </si>
  <si>
    <t>20-12190-05-2</t>
  </si>
  <si>
    <t xml:space="preserve">1216188METTE </t>
  </si>
  <si>
    <t>FAR SAĞ CORSA.D 07-10</t>
  </si>
  <si>
    <t>293L3616</t>
  </si>
  <si>
    <t>1216188TM</t>
  </si>
  <si>
    <t>FAR SAĞ CORSA.D 07-10 (KORE)</t>
  </si>
  <si>
    <t xml:space="preserve">1216189METTE </t>
  </si>
  <si>
    <t>FAR SOL CORSA.D 07-10</t>
  </si>
  <si>
    <t>293L3617</t>
  </si>
  <si>
    <t>1216189TM</t>
  </si>
  <si>
    <t>FAR SOL CORSA.D 07-10 (KORE)</t>
  </si>
  <si>
    <t>1216194WAGENBURG</t>
  </si>
  <si>
    <t>FAR SOL CORSA.D 07-10 (FÜME)</t>
  </si>
  <si>
    <t>WAGENBURG</t>
  </si>
  <si>
    <t>1216471TM</t>
  </si>
  <si>
    <t>FAR SOL VECTRA.A 93-95</t>
  </si>
  <si>
    <t>TM</t>
  </si>
  <si>
    <t>1216472TM</t>
  </si>
  <si>
    <t>FAR SAĞ VECTRA.A 93-95</t>
  </si>
  <si>
    <t>1216486DEPO</t>
  </si>
  <si>
    <t>FAR SOL CORSA.B (ELEKTRİKLİ)</t>
  </si>
  <si>
    <t>DEPO</t>
  </si>
  <si>
    <t>442-1102L-LD-EM</t>
  </si>
  <si>
    <t>1216487DEPO</t>
  </si>
  <si>
    <t>FAR SAĞ CORSA.B (ELEKTRİKLİ)</t>
  </si>
  <si>
    <t>442-1102R-LD-EM</t>
  </si>
  <si>
    <t>1216517TYC</t>
  </si>
  <si>
    <t xml:space="preserve">FAR SOL ASTRA.F 95-98 </t>
  </si>
  <si>
    <t>20-3103-D5-2B</t>
  </si>
  <si>
    <t>1216517Y</t>
  </si>
  <si>
    <t>FAR SOL ASTRA.F 95-98</t>
  </si>
  <si>
    <t>1216518DEPO</t>
  </si>
  <si>
    <t xml:space="preserve">FAR SAĞ ASTRA.F 95-98 </t>
  </si>
  <si>
    <t>442-1112R-LD-E</t>
  </si>
  <si>
    <t>1216518TYC</t>
  </si>
  <si>
    <t>20-3102-D5-2B</t>
  </si>
  <si>
    <t>1216518Y</t>
  </si>
  <si>
    <t>FAR SAĞ ASTRA.F 95-98</t>
  </si>
  <si>
    <t>1216527WİSCO</t>
  </si>
  <si>
    <t>FAR SOL VECTRA.B 96-99</t>
  </si>
  <si>
    <t>2243005-00</t>
  </si>
  <si>
    <t>1216528METTE</t>
  </si>
  <si>
    <t>FAR SAĞ VECTRA.B 96-99</t>
  </si>
  <si>
    <t>293L3145</t>
  </si>
  <si>
    <t>1216528WİSCO</t>
  </si>
  <si>
    <t>2243006-00</t>
  </si>
  <si>
    <t>1216561DEPO</t>
  </si>
  <si>
    <t>FAR SOL ASTRA.H SİYAH 04-13</t>
  </si>
  <si>
    <t>442-1140L-LD-EM</t>
  </si>
  <si>
    <t>1216561METTE</t>
  </si>
  <si>
    <t>FAR SOL ASTRA.H (SİYAH) 04-13</t>
  </si>
  <si>
    <t>METTE</t>
  </si>
  <si>
    <t>293L3170</t>
  </si>
  <si>
    <t>1216562DEPO</t>
  </si>
  <si>
    <t>FAR SAĞ ASTRA.H (SİYAH) 04-13</t>
  </si>
  <si>
    <t xml:space="preserve">DEPO </t>
  </si>
  <si>
    <t>442-1140R-LD-EM</t>
  </si>
  <si>
    <t>1216562METTE</t>
  </si>
  <si>
    <t>293L3159</t>
  </si>
  <si>
    <t>1216562TYC</t>
  </si>
  <si>
    <t>20-A389-05-2B</t>
  </si>
  <si>
    <t>1216659DEPO</t>
  </si>
  <si>
    <t>ÖN FAR SOL ASTRA.H (BEYAZ) 07-09</t>
  </si>
  <si>
    <t>442-1140LMLEMN1</t>
  </si>
  <si>
    <t>1216660DEPO</t>
  </si>
  <si>
    <t>ÖN FAR SAĞ ASTRA.H (BEYAZ)07-09</t>
  </si>
  <si>
    <t>442-1140RMLEMN1</t>
  </si>
  <si>
    <t xml:space="preserve">ÖN FAR SAĞ İNSİGNİA.A 09-13 HALOJEN </t>
  </si>
  <si>
    <t>1216688TYC</t>
  </si>
  <si>
    <t>ÖN FAR SAĞ İNSİGNİA.A 09-13 HALOJEN</t>
  </si>
  <si>
    <t>TYC-20-B763-05</t>
  </si>
  <si>
    <t xml:space="preserve">1216695METTE </t>
  </si>
  <si>
    <t>FAR SOL CORSA.D 11&gt;&gt; (KROM+MAKYAJLI)</t>
  </si>
  <si>
    <t>293L3618</t>
  </si>
  <si>
    <t>1216696WİSCO</t>
  </si>
  <si>
    <t>FAR SAĞ CORSA.D 11&gt;&gt; (KROM+MAKYAJLI)</t>
  </si>
  <si>
    <t xml:space="preserve">WİSCO </t>
  </si>
  <si>
    <t>1216724DEPO</t>
  </si>
  <si>
    <t>FAR SOL ASTRA.J SİYAH (HALOJEN GÜNDÜZ FARI)</t>
  </si>
  <si>
    <t>442-1161LMLDEM2</t>
  </si>
  <si>
    <t>1216724İTHAL</t>
  </si>
  <si>
    <t>1216724METTE</t>
  </si>
  <si>
    <t>293L3423</t>
  </si>
  <si>
    <t>1216725DEPO</t>
  </si>
  <si>
    <t>FAR SAĞ ASTRA.J SİYAH (HALOJEN GÜNDÜZ FARI)</t>
  </si>
  <si>
    <t>442-1161RMLDEM2</t>
  </si>
  <si>
    <t>1216725METTE</t>
  </si>
  <si>
    <t>293L3424</t>
  </si>
  <si>
    <t>1216832WİSCO</t>
  </si>
  <si>
    <t>FAR SOL CORSA.D 13&gt; FÜME</t>
  </si>
  <si>
    <t>1216833WİSCO</t>
  </si>
  <si>
    <t>FAR SAĞ CORSA.D 13&gt; FÜME</t>
  </si>
  <si>
    <t>FAR SOL CORSA.D 13&gt; KROMLU</t>
  </si>
  <si>
    <t>1216849DEPO</t>
  </si>
  <si>
    <t>FAR SOL HALOJEN/AKKAR CORSA.E 15&gt;</t>
  </si>
  <si>
    <t>442-1186LMLDEM2</t>
  </si>
  <si>
    <t xml:space="preserve">1222000MARS </t>
  </si>
  <si>
    <t>STOP SOL CORSA.C (KIRMIZI) 00-06</t>
  </si>
  <si>
    <t xml:space="preserve">MARS </t>
  </si>
  <si>
    <t>1222025DEPO</t>
  </si>
  <si>
    <t>STOP LAMBASI SOL CORSA.B GSI</t>
  </si>
  <si>
    <t>442-1921L-U</t>
  </si>
  <si>
    <t xml:space="preserve">1222057MARS </t>
  </si>
  <si>
    <t xml:space="preserve">STOP SAĞ CORSA.C (KIRMIZI) 00-06 </t>
  </si>
  <si>
    <t>1222061ASPART</t>
  </si>
  <si>
    <t>2TLW1006</t>
  </si>
  <si>
    <t>STOP SOL COMBO.C</t>
  </si>
  <si>
    <t>1222061MARS</t>
  </si>
  <si>
    <t>M611013</t>
  </si>
  <si>
    <t>1222062ASPART</t>
  </si>
  <si>
    <t>2TLW1007</t>
  </si>
  <si>
    <t>STOP SAĞ COMBO.C</t>
  </si>
  <si>
    <t xml:space="preserve">1222062MARS </t>
  </si>
  <si>
    <t>M611012</t>
  </si>
  <si>
    <t>1222087MARELLİ</t>
  </si>
  <si>
    <t>STOP LAMBASI SOL DIŞ ASTRA.J HB 10&gt;</t>
  </si>
  <si>
    <t>1222088ARTEB</t>
  </si>
  <si>
    <t>STOP LAMBASI SAĞ DIŞ ASTRA.J HB 10&gt;</t>
  </si>
  <si>
    <t>ARTEB</t>
  </si>
  <si>
    <t>ART-1222088</t>
  </si>
  <si>
    <t>1222088MARELLİ</t>
  </si>
  <si>
    <t>1222111DEPO</t>
  </si>
  <si>
    <t>STOP LAMBASI SOL ASTRA.H HB BEYAZ</t>
  </si>
  <si>
    <t>442-1936L-UE</t>
  </si>
  <si>
    <t>1222112DEPO</t>
  </si>
  <si>
    <t>STOP LAMBASI SAĞ ASTRA.H HB BEYAZ</t>
  </si>
  <si>
    <t>442-1936R-UE</t>
  </si>
  <si>
    <t>1222193METTE</t>
  </si>
  <si>
    <t>STOP LAMBASI SOL İNSİGNİA.A 09-13</t>
  </si>
  <si>
    <t>293L3384</t>
  </si>
  <si>
    <t>1222339METTE</t>
  </si>
  <si>
    <t>STOP LAMBASI DIŞ SOL ASTRA.J SEDAN 12&gt;</t>
  </si>
  <si>
    <t>293L3951</t>
  </si>
  <si>
    <t>1222339WAGENBURG</t>
  </si>
  <si>
    <t>STOP SOL DIŞ ASTRA.J SEDAN</t>
  </si>
  <si>
    <t>1222340DEPO</t>
  </si>
  <si>
    <t>STOP DIŞ SAĞ ASTRA.J SEDAN 12&gt;</t>
  </si>
  <si>
    <t>442-1982R-UE</t>
  </si>
  <si>
    <t xml:space="preserve">1222340METTE </t>
  </si>
  <si>
    <t>293L3952</t>
  </si>
  <si>
    <t>1222341VALEO</t>
  </si>
  <si>
    <t>STOP SOL İÇ ASTRA.J SEDAN</t>
  </si>
  <si>
    <t>1222355TYC</t>
  </si>
  <si>
    <t>STOP LAMBASI SOL ASTRA.H HB. 07-11 FÜME</t>
  </si>
  <si>
    <t>11-B336-01-2B</t>
  </si>
  <si>
    <t>1222356TYC</t>
  </si>
  <si>
    <t>STOP LAMBASI SAĞ ASTRA.H HB. 07-11 FÜME</t>
  </si>
  <si>
    <t>11-B335-01-2B</t>
  </si>
  <si>
    <t xml:space="preserve">EK FREN LAMBASI ORTA İNSİGNİA.A </t>
  </si>
  <si>
    <t>1222531METTE</t>
  </si>
  <si>
    <t>STOP LAMBASI SOL LED İNSİGNİA.A 13&gt;</t>
  </si>
  <si>
    <t>293L3389</t>
  </si>
  <si>
    <t>1222534ASPART</t>
  </si>
  <si>
    <t>2TLW1008</t>
  </si>
  <si>
    <t>STOP LAMBASI SOL CORSA.D 5K 07&gt;</t>
  </si>
  <si>
    <t>1222534MARS</t>
  </si>
  <si>
    <t>MARS</t>
  </si>
  <si>
    <t>OL S167</t>
  </si>
  <si>
    <t xml:space="preserve">1222535ASPART </t>
  </si>
  <si>
    <t>STOP LAMBASI SAĞ CORSA.D 5K 07&gt;</t>
  </si>
  <si>
    <t>1222535MARS</t>
  </si>
  <si>
    <t>OL S166</t>
  </si>
  <si>
    <t>1222698TYC</t>
  </si>
  <si>
    <t>STOP SOL VECTRA.C 04&gt; BEYAZ (JU)</t>
  </si>
  <si>
    <t>11-A318-B1</t>
  </si>
  <si>
    <t>1222779DEPO</t>
  </si>
  <si>
    <t xml:space="preserve">STOP LAMBASI SOL SEDAN ASTRA.H </t>
  </si>
  <si>
    <t>442-1959L-LD-UE</t>
  </si>
  <si>
    <t>1222779METTE</t>
  </si>
  <si>
    <t>STOP LAMBASI SOL SEDAN ASTRA.H</t>
  </si>
  <si>
    <t>293L3109</t>
  </si>
  <si>
    <t>1223129WİSCO</t>
  </si>
  <si>
    <t>STOP SAĞ VECTRA.A 88-92</t>
  </si>
  <si>
    <t>2243076-00</t>
  </si>
  <si>
    <t>1223242B-WİSCO</t>
  </si>
  <si>
    <t>STOP SOL ŞEFFAF BEYAZ VECTRA.B 99-01</t>
  </si>
  <si>
    <t>1223244MARELLİ</t>
  </si>
  <si>
    <t>STOP LAMBASI SAĞ VECTRA.B 99-01</t>
  </si>
  <si>
    <t>1223244WİSCO</t>
  </si>
  <si>
    <t>STOP SAĞ FÜME BEYAZ VECTRA.B 99-01</t>
  </si>
  <si>
    <t>2243155-00</t>
  </si>
  <si>
    <t>1223289ROOT</t>
  </si>
  <si>
    <t>SİS KAPAĞI SOL ASTRA.J 12&gt; SİYAH KENAR</t>
  </si>
  <si>
    <t xml:space="preserve">1223490METTE </t>
  </si>
  <si>
    <t>STOP SOL CORSA.B 5D</t>
  </si>
  <si>
    <t>293L3111</t>
  </si>
  <si>
    <t>1223490WİSCO</t>
  </si>
  <si>
    <t>STOP SOL CORSA.B 5KAPI</t>
  </si>
  <si>
    <t>2243036-00</t>
  </si>
  <si>
    <t>1223491WİSCO</t>
  </si>
  <si>
    <t xml:space="preserve">STOP SAĞ CORSA.B 5 KAPI </t>
  </si>
  <si>
    <t>2243037-00</t>
  </si>
  <si>
    <t>1223977WİSCO</t>
  </si>
  <si>
    <t>STOP SOL ASTRA.F 95-98 HB.</t>
  </si>
  <si>
    <t>2243138-00</t>
  </si>
  <si>
    <t>1223980DEPO</t>
  </si>
  <si>
    <t>STOP SAĞ ASTRA.F SW</t>
  </si>
  <si>
    <t>442-1914R-UE</t>
  </si>
  <si>
    <t>1223981WİSCO</t>
  </si>
  <si>
    <t>STOP SOL ASTRA.F 95-98 SEDAN</t>
  </si>
  <si>
    <t>2243137-00</t>
  </si>
  <si>
    <t>1223982DEPO</t>
  </si>
  <si>
    <t>STOP LAMBASI SAĞ KOYU ASTRA.F SEDAN 95-98</t>
  </si>
  <si>
    <t>442-1903R-UEN</t>
  </si>
  <si>
    <t>1223982WİSCO</t>
  </si>
  <si>
    <t>STOP SAĞ ASTRA.F 95-98 SEDAN</t>
  </si>
  <si>
    <t>2243136-00</t>
  </si>
  <si>
    <t>1224052-053METTE</t>
  </si>
  <si>
    <t>ARKA PLAKA LAMBASI TAKIM ASTRA.G</t>
  </si>
  <si>
    <t>754K4106</t>
  </si>
  <si>
    <t xml:space="preserve">1224104METTE </t>
  </si>
  <si>
    <t>ARKA PLAKA LAMBA ASTRA.F 92-95</t>
  </si>
  <si>
    <t>754K4292</t>
  </si>
  <si>
    <t>1224104Y</t>
  </si>
  <si>
    <t>PLAKA LAMBASI ASTRA.F</t>
  </si>
  <si>
    <t>1224153METTE</t>
  </si>
  <si>
    <t>ARKA PLAKA LAMBASI KOMPLE VECTRA.A</t>
  </si>
  <si>
    <t>754K4291</t>
  </si>
  <si>
    <t>1224165WİSCO</t>
  </si>
  <si>
    <t>PLAKA LAMBA TAKIM COMBO.B</t>
  </si>
  <si>
    <t>1224202METTE</t>
  </si>
  <si>
    <t>ARKA PLAKA LAMBASI KOMPLE CORSA.B/VECTRA.B/ASTRA.G CUOPE/CABRİO</t>
  </si>
  <si>
    <t>754K4198</t>
  </si>
  <si>
    <t>1224202WİSCO</t>
  </si>
  <si>
    <t>2243253-00</t>
  </si>
  <si>
    <t>1224202Y</t>
  </si>
  <si>
    <t>PLAKA LAMBASI KOMPLE CORSA.B/VECTRA.B</t>
  </si>
  <si>
    <t>1226008Y</t>
  </si>
  <si>
    <t>ÖN SİNYAL SAĞ SARI ASTRA.F 91-95</t>
  </si>
  <si>
    <t>1226059Y</t>
  </si>
  <si>
    <t>ÖN SİNYAL SOL SARI ASTRA.F 91-95</t>
  </si>
  <si>
    <t>1226068METTE</t>
  </si>
  <si>
    <t xml:space="preserve">ÖN SİNYAL SAĞ VECTRA.B 96-99 </t>
  </si>
  <si>
    <t>293L3142</t>
  </si>
  <si>
    <t>1226068TYC</t>
  </si>
  <si>
    <t>18-3403-05-2B</t>
  </si>
  <si>
    <t>1226068Y</t>
  </si>
  <si>
    <t>1226069METTE</t>
  </si>
  <si>
    <t xml:space="preserve">ÖN SİNYAL SOL VECTRA.B 96-99 </t>
  </si>
  <si>
    <t>293L3143</t>
  </si>
  <si>
    <t>1226069TYC</t>
  </si>
  <si>
    <t>ÖN SİNYAL SOL VECTRA.B 96-99</t>
  </si>
  <si>
    <t>18-3404-05-2B</t>
  </si>
  <si>
    <t>1226069Y</t>
  </si>
  <si>
    <t xml:space="preserve">1226084METTE </t>
  </si>
  <si>
    <t>FAR SOKETİ ASTRA.G</t>
  </si>
  <si>
    <t>651D5196</t>
  </si>
  <si>
    <t>1226145WİSCO</t>
  </si>
  <si>
    <t>2243005*44</t>
  </si>
  <si>
    <t>ÖN SİNYAL SOL VECTRA.A (BEYAZ) 93-95</t>
  </si>
  <si>
    <t>1226145Y</t>
  </si>
  <si>
    <t>1226148METTE</t>
  </si>
  <si>
    <t>ÖN SİNYAL SAĞ VECTRA.A (BEYAZ) 93-95</t>
  </si>
  <si>
    <t>293L3168</t>
  </si>
  <si>
    <t>1226148WİSCO</t>
  </si>
  <si>
    <t>2243006*44</t>
  </si>
  <si>
    <t>1226148Y</t>
  </si>
  <si>
    <t>ABS SENSÖR</t>
  </si>
  <si>
    <t>1226149METTE</t>
  </si>
  <si>
    <t xml:space="preserve">ÖN SİNYAL SOL ASTRA.F 95-98 </t>
  </si>
  <si>
    <t>293L3139</t>
  </si>
  <si>
    <t>1226149TYC</t>
  </si>
  <si>
    <t>ÖN SİNYAL SOL ASTRA.F 95-98</t>
  </si>
  <si>
    <t>18-3169-B1-6B</t>
  </si>
  <si>
    <t>1226149Y</t>
  </si>
  <si>
    <t>1226150DEPO</t>
  </si>
  <si>
    <t>ÖN SİNYAL SAĞ ASTRA.F 95-98 (DUYLU)</t>
  </si>
  <si>
    <t>442-1511R3WE</t>
  </si>
  <si>
    <t>1226150METTE</t>
  </si>
  <si>
    <t>ÖN SİNYAL SAĞ ASTRA.F 95-98</t>
  </si>
  <si>
    <t>293L3138</t>
  </si>
  <si>
    <t>1226150TYC</t>
  </si>
  <si>
    <t>18-3168-B1-6B</t>
  </si>
  <si>
    <t>1226150Y</t>
  </si>
  <si>
    <t>1226160KRAFTVOLL</t>
  </si>
  <si>
    <t>SİNYAL LAMBASI SOL ASTRA.J 13&gt;</t>
  </si>
  <si>
    <t>1226160WAGENBURG</t>
  </si>
  <si>
    <t xml:space="preserve">SİNYAL LAMBASI SOL ASTRA.J 13&gt; </t>
  </si>
  <si>
    <t>AST12-7500</t>
  </si>
  <si>
    <t>1226160Y</t>
  </si>
  <si>
    <t>1226161WAGENBURG</t>
  </si>
  <si>
    <t xml:space="preserve">SİNYAL LAMBASI SAĞ ASTRA.J 13&gt; </t>
  </si>
  <si>
    <t>AST12-7501</t>
  </si>
  <si>
    <t>1226161Y</t>
  </si>
  <si>
    <t>SİNYAL LAMBASI SAĞ ASTRA.J 13&gt;</t>
  </si>
  <si>
    <t>FAR SİNYAL SOKETİ CORSA.C/COMBO.C</t>
  </si>
  <si>
    <t>122755METTE</t>
  </si>
  <si>
    <t>ORTA DİREK FİTİL SAĞ VECTRA.B</t>
  </si>
  <si>
    <t>754K4125</t>
  </si>
  <si>
    <t>122779METTE</t>
  </si>
  <si>
    <t>ORTA DİREK FİTİL SOL VECTRA.B</t>
  </si>
  <si>
    <t>754K4126</t>
  </si>
  <si>
    <t>122782-783TK-YTT</t>
  </si>
  <si>
    <t xml:space="preserve">ORTA DİREK FİTİLİ TAKIM ASTRA.H </t>
  </si>
  <si>
    <t>Y21578</t>
  </si>
  <si>
    <t xml:space="preserve">122782ASPART </t>
  </si>
  <si>
    <t>7GSE1001</t>
  </si>
  <si>
    <t xml:space="preserve">ORTA DİREK FİTİLİ SOL ASTRA.H </t>
  </si>
  <si>
    <t>122782KRAFTVOLL</t>
  </si>
  <si>
    <t>122783ASPART</t>
  </si>
  <si>
    <t>7GSE1002</t>
  </si>
  <si>
    <t xml:space="preserve">ORTA DİREK FİTİLİ SAĞ ASTRA.H </t>
  </si>
  <si>
    <t>İÇ TRİM</t>
  </si>
  <si>
    <t>122783KRAFTVOLL</t>
  </si>
  <si>
    <t>1229098KRAFTVOLL</t>
  </si>
  <si>
    <t>ABS SENSÖR ARKA CORSA.D/E</t>
  </si>
  <si>
    <t>123003948R-OPAR</t>
  </si>
  <si>
    <t>VOLANTLI SET KOMPLE K9K 1.5DCİ 6İLERİ ÇİFT SEKMAN RULMAN</t>
  </si>
  <si>
    <t xml:space="preserve">DEBRİYAJ </t>
  </si>
  <si>
    <t>OPAR</t>
  </si>
  <si>
    <t>1232247BOSCH</t>
  </si>
  <si>
    <t>YAKIT POMPASI(ŞAMANDIRA)KOMPLE ASTRA.J A16XER/A14NET</t>
  </si>
  <si>
    <t>YAKIT</t>
  </si>
  <si>
    <t>ŞAMANDIRA</t>
  </si>
  <si>
    <t xml:space="preserve">1232335HELLA </t>
  </si>
  <si>
    <t>XENON FAR BEYNİ D1S İNSİGNİA.A 09-13</t>
  </si>
  <si>
    <t>5DV009.720-001</t>
  </si>
  <si>
    <t xml:space="preserve">1235029BOSCH </t>
  </si>
  <si>
    <t>MAP SENSÖR A14NET/A13DTE/A20DTH</t>
  </si>
  <si>
    <t>YAĞ SEVİYE SENSÖR A20DT/A20DTH/A20DTJ</t>
  </si>
  <si>
    <t xml:space="preserve">OPEL GM </t>
  </si>
  <si>
    <t>1235110ELRİNG</t>
  </si>
  <si>
    <t>VANOS OKUYUCU CONTA A14NET/A14XER/A12XER</t>
  </si>
  <si>
    <t>1235281HELLUX</t>
  </si>
  <si>
    <t>PARK SENSÖR ARKA ASTRA.J/İNSİGNİA.A/MERİVA.B/ZAFİRA.C/AVEO T300</t>
  </si>
  <si>
    <t>HPS.180012</t>
  </si>
  <si>
    <t>EKSANTRİK VANOS DİŞLİ SENSÖRÜ A16XER</t>
  </si>
  <si>
    <t>1235299OEM</t>
  </si>
  <si>
    <t xml:space="preserve">OEM </t>
  </si>
  <si>
    <t>1235299SWAG</t>
  </si>
  <si>
    <t>1236006TM-OEM</t>
  </si>
  <si>
    <t>VURUNTU SENSÖR A12XER/A14XER/A14NET</t>
  </si>
  <si>
    <t>1236284AKD</t>
  </si>
  <si>
    <t>DIŞ HAVA SICAKLIK SENSÖR ASTRA/VECTRA/CORSA/İNSİGNİA</t>
  </si>
  <si>
    <t>OP121142</t>
  </si>
  <si>
    <t xml:space="preserve">1236284FAE </t>
  </si>
  <si>
    <t>1236284HELLUX</t>
  </si>
  <si>
    <t>HLS.8300</t>
  </si>
  <si>
    <t xml:space="preserve">1236284SAGEM </t>
  </si>
  <si>
    <t xml:space="preserve">SAGEMFRANS </t>
  </si>
  <si>
    <t>1236302HELLUX</t>
  </si>
  <si>
    <t>HARARET MÜŞÜR Y17DT</t>
  </si>
  <si>
    <t>PRM.18054</t>
  </si>
  <si>
    <t xml:space="preserve">1236304DELPHİ </t>
  </si>
  <si>
    <t>KİLOMETRE SENSÖR ASTRA.G/CORSA.B</t>
  </si>
  <si>
    <t>SS11313</t>
  </si>
  <si>
    <t xml:space="preserve">1236304FAE </t>
  </si>
  <si>
    <t>1236304VALEO</t>
  </si>
  <si>
    <t>1236883CABU</t>
  </si>
  <si>
    <t>FAN KONTROL BEYİN AYAĞI ASTRA.G</t>
  </si>
  <si>
    <t>1237183FAE</t>
  </si>
  <si>
    <t>KRANK DEVİR SENSÖR A12XER/A14XER/A14NET</t>
  </si>
  <si>
    <t>KRANK DEVİR SENSÖR</t>
  </si>
  <si>
    <t>FAE</t>
  </si>
  <si>
    <t>1238079DELPHİ</t>
  </si>
  <si>
    <t>MOTOR HAVA SICAKLIK SENSÖR CRUZE/ASTRA.F/G/H/CORSA.C/D</t>
  </si>
  <si>
    <t>TS10521</t>
  </si>
  <si>
    <t xml:space="preserve">1238079FAE </t>
  </si>
  <si>
    <t>1238079TOPRAN</t>
  </si>
  <si>
    <t>MOTOR HAVA SICAKLIK SENSÖR CRUZE/ASTRA.G/H/CORSA.C/D</t>
  </si>
  <si>
    <t>KRANK DEVİR SENSÖR X20XEV</t>
  </si>
  <si>
    <t>1238228DELPHİ</t>
  </si>
  <si>
    <t>SS10799</t>
  </si>
  <si>
    <t xml:space="preserve">1238228FACET </t>
  </si>
  <si>
    <t xml:space="preserve">FACET </t>
  </si>
  <si>
    <t>1238228FAE</t>
  </si>
  <si>
    <t>1238236ASPART</t>
  </si>
  <si>
    <t>2WSE1016</t>
  </si>
  <si>
    <t>ABS SENSÖR ÖN CORSA.C</t>
  </si>
  <si>
    <t>1238236DELPHİ</t>
  </si>
  <si>
    <t>SS20110</t>
  </si>
  <si>
    <t>1238236FAE</t>
  </si>
  <si>
    <t xml:space="preserve">1238236SWAG </t>
  </si>
  <si>
    <t>1238244FACET</t>
  </si>
  <si>
    <t>EMME MANİFOLT MAP SENSÖR A13DTE/Z13DTH</t>
  </si>
  <si>
    <t xml:space="preserve">1238269FAE </t>
  </si>
  <si>
    <t xml:space="preserve">MAP SENSÖR (EMME MAN.ÜSTÜ) A14NET/A16LET </t>
  </si>
  <si>
    <t xml:space="preserve">1238399ASPART </t>
  </si>
  <si>
    <t>2WSE1017</t>
  </si>
  <si>
    <t xml:space="preserve">ABS SENSÖR ÖN CORSA.D/E 786mm  </t>
  </si>
  <si>
    <t>1238399BOSCH</t>
  </si>
  <si>
    <t>ABS SENSÖR ÖN CORSA.D/E 786mm</t>
  </si>
  <si>
    <t>1238399DELPHİ</t>
  </si>
  <si>
    <t>SS20241</t>
  </si>
  <si>
    <t>SİLECEK SU DEPO SEVİYE SENSÖR</t>
  </si>
  <si>
    <t>1238442BOSCH</t>
  </si>
  <si>
    <t>ÖN BALATA FİŞİ ASTRA.G</t>
  </si>
  <si>
    <t>BALATA FİŞİ</t>
  </si>
  <si>
    <t>1238442SWAG</t>
  </si>
  <si>
    <t xml:space="preserve">SWAG </t>
  </si>
  <si>
    <t>1238611Y</t>
  </si>
  <si>
    <t>RADYATÖR FAN RÖLESİ VECTRA.A/VECTRA.B</t>
  </si>
  <si>
    <t>YAĞ SEVİYE SENSÖR ORİNG X18XE/X20XEV/X25XE</t>
  </si>
  <si>
    <t xml:space="preserve">1238838BOSCH </t>
  </si>
  <si>
    <t>EMME MANİFOLT BASINC SENSÖR A20DTH/C140 2.0D</t>
  </si>
  <si>
    <t>1238914BREMİ</t>
  </si>
  <si>
    <t>KRANK DEVİR SENSÖR OMEGA.B/VECTRA.A X20XEV(METAL KULAK)</t>
  </si>
  <si>
    <t>1238915ASPART</t>
  </si>
  <si>
    <t>2CSN1014</t>
  </si>
  <si>
    <t>EKSANTRİK SEVİR SENSÖR X20XEV(KARE)</t>
  </si>
  <si>
    <t>EKSANTRİK SENSÖR</t>
  </si>
  <si>
    <t>1238915FAE</t>
  </si>
  <si>
    <t>1238915VALEO</t>
  </si>
  <si>
    <t xml:space="preserve">1238917ASPART </t>
  </si>
  <si>
    <t>2WSE1018</t>
  </si>
  <si>
    <t xml:space="preserve">ABS SENSÖR CORSA.B </t>
  </si>
  <si>
    <t>1238937DELPHİ</t>
  </si>
  <si>
    <t>EKSANTRİK DEVİR SENSÖR Z16XE ASTRA.G/VECTRA.C</t>
  </si>
  <si>
    <t>SS10518-12B1</t>
  </si>
  <si>
    <t>1238937FAE</t>
  </si>
  <si>
    <t>1238938DELPHİ</t>
  </si>
  <si>
    <t>KRANK DEVİR SENSÖR Z14XE/Z16XE/Z16XEP</t>
  </si>
  <si>
    <t>SS10513-12B1</t>
  </si>
  <si>
    <t>1238938MEYLE</t>
  </si>
  <si>
    <t>MEYLE</t>
  </si>
  <si>
    <t>1238966TOPRAN</t>
  </si>
  <si>
    <t>YAKIT POMPA RÖLESİ 12V 15A ASTRA.F/VECTRA.A</t>
  </si>
  <si>
    <t>1239090KRAW</t>
  </si>
  <si>
    <t>CAM AÇMA DÜĞME SOL 4LÜ İNSİGNİA.A/ASTRA.J/MOKKA/ZAFİRA.C/MERİVA.B</t>
  </si>
  <si>
    <t>KRAW</t>
  </si>
  <si>
    <t>AN-374</t>
  </si>
  <si>
    <t>1239111KRAW</t>
  </si>
  <si>
    <t>FREN PEDAL MÜŞÜR AST.RAJ/MOKKA/ZAFİRA.C/CRUZE/TRAX</t>
  </si>
  <si>
    <t>FREN MÜŞÜR</t>
  </si>
  <si>
    <t>AN-2352</t>
  </si>
  <si>
    <t>1239125FAE</t>
  </si>
  <si>
    <t>GERİ VİTES MÜŞÜR ASTRA.H/VECTRA.C/İNSİGNİA.A 6İLERİ M32</t>
  </si>
  <si>
    <t>GERİ VİTES MÜŞÜR</t>
  </si>
  <si>
    <t>1239271AKD</t>
  </si>
  <si>
    <t>GERİ VİTES MÜŞÜR ASTRA/CORSA/VECTRA</t>
  </si>
  <si>
    <t>OP132100</t>
  </si>
  <si>
    <t>1239271KLF</t>
  </si>
  <si>
    <t>KLF</t>
  </si>
  <si>
    <t>1239271METTE</t>
  </si>
  <si>
    <t>651D5028</t>
  </si>
  <si>
    <t>1239271SAGEM</t>
  </si>
  <si>
    <t>1239271TOPRAN</t>
  </si>
  <si>
    <t>1239433AKD</t>
  </si>
  <si>
    <t>FREN STOP MÜŞÜR VETRA.A/B/ASTRA.F</t>
  </si>
  <si>
    <t>OP133100</t>
  </si>
  <si>
    <t xml:space="preserve">1239448FAE </t>
  </si>
  <si>
    <t>FREN PEDAL MÜŞÜRÜ VECTRA.B 4KUTUPLU</t>
  </si>
  <si>
    <t xml:space="preserve">1239449FAE </t>
  </si>
  <si>
    <t>FREN PEDAL MÜŞÜR ASTRA.G/VECTRA.B (4KUTUPLU)</t>
  </si>
  <si>
    <t xml:space="preserve">1240008FAE </t>
  </si>
  <si>
    <t>FREN PEDAL MÜŞÜR ASTRA.G/VECTRA.B 2FİŞ</t>
  </si>
  <si>
    <t>1240126KRAFTVOLL</t>
  </si>
  <si>
    <t>FAR AÇMA ANAHTARI ASTRA.F/VECTRA.A</t>
  </si>
  <si>
    <t>1240126TOPRAN</t>
  </si>
  <si>
    <t>1240451İTHAL</t>
  </si>
  <si>
    <t>BAGAJ AÇMA BUTON ASTRA.J</t>
  </si>
  <si>
    <t>ITHAL</t>
  </si>
  <si>
    <t>1240600KRAFTVOLL</t>
  </si>
  <si>
    <t>CAM AÇMA DÜĞME TAKIM VECTRA.A 4LÜ</t>
  </si>
  <si>
    <t>1240600TAP</t>
  </si>
  <si>
    <t>TAP.1240600</t>
  </si>
  <si>
    <t>1240605KRAW</t>
  </si>
  <si>
    <t xml:space="preserve">CAM AÇMA DÜĞMESİ ARKA VECTRA.A </t>
  </si>
  <si>
    <t>AN-359</t>
  </si>
  <si>
    <t>1240619İTHAL</t>
  </si>
  <si>
    <t>CAM AÇMA DÜĞMESİ KOMPLE ASTRA.F</t>
  </si>
  <si>
    <t xml:space="preserve">İTHAL </t>
  </si>
  <si>
    <t xml:space="preserve">1240619KRAW </t>
  </si>
  <si>
    <t>CAM AÇMA DÜĞMESİ ASTRA.F ÇİFTLİ(TEK DÜĞME)</t>
  </si>
  <si>
    <t xml:space="preserve">KRAW </t>
  </si>
  <si>
    <t>AN-360</t>
  </si>
  <si>
    <t>1241132HELLUX</t>
  </si>
  <si>
    <t>SİLECEK KOLU HB ASTRA.F/ASTRA.G/CORSA.B/ZAFİRA.B</t>
  </si>
  <si>
    <t>PRC.4311</t>
  </si>
  <si>
    <t>1241132Y</t>
  </si>
  <si>
    <t>1241210KRAFTVOLL</t>
  </si>
  <si>
    <t>FAR SİNYAL KOLU CORSA.C/COMBO.C/MERİVA.A</t>
  </si>
  <si>
    <t xml:space="preserve">1241210METTE </t>
  </si>
  <si>
    <t>651D5138</t>
  </si>
  <si>
    <t>1241210TOPRAN</t>
  </si>
  <si>
    <t>1241212AKD</t>
  </si>
  <si>
    <t>FAR SİNYAL KOLU ASTRA.F/VECTRA.B/A/CORSA.B</t>
  </si>
  <si>
    <t>OP129102</t>
  </si>
  <si>
    <t>1241212HOFFER</t>
  </si>
  <si>
    <t xml:space="preserve">HOFFER </t>
  </si>
  <si>
    <t>1241212KRAW</t>
  </si>
  <si>
    <t>AN-10351</t>
  </si>
  <si>
    <t xml:space="preserve">1241212METTE </t>
  </si>
  <si>
    <t>SİNYAL KOLU ASTRA.F/VECTRA.B/VECTRA.A</t>
  </si>
  <si>
    <t>651D5211</t>
  </si>
  <si>
    <t>1241212TOPRAN</t>
  </si>
  <si>
    <t>1241212YASID</t>
  </si>
  <si>
    <t xml:space="preserve">YASID </t>
  </si>
  <si>
    <t>FAR SİNYAL KOLU ASTRA.H</t>
  </si>
  <si>
    <t>BAGAJ AÇMA BUTONU İNSİGNİA.A</t>
  </si>
  <si>
    <t xml:space="preserve">1241457FEBİ </t>
  </si>
  <si>
    <t>1241625METTE</t>
  </si>
  <si>
    <t>DÖRTLÜ İKAZ DÜĞMESİ CORSA.C/COMBO.C</t>
  </si>
  <si>
    <t>651D5276</t>
  </si>
  <si>
    <t xml:space="preserve">1241655AKD </t>
  </si>
  <si>
    <t>DÖRTLÜ FLAŞÖR DÜĞMESİ VECTRA.A GRİ</t>
  </si>
  <si>
    <t>OP131101</t>
  </si>
  <si>
    <t>1241656AKD</t>
  </si>
  <si>
    <t>DÖRTLÜ FLAŞÖR DÜĞMESİ VECTRA.A SİYAH</t>
  </si>
  <si>
    <t>OP131100</t>
  </si>
  <si>
    <t>1247004DELPHİ</t>
  </si>
  <si>
    <t>ABS SENSÖR ÖN ASTRA.J/İNSİGNİA.A/ZAFİRA.C/CRUZE</t>
  </si>
  <si>
    <t>SS20251</t>
  </si>
  <si>
    <t>1247004FAE</t>
  </si>
  <si>
    <t xml:space="preserve">ABS SENSÖR ÖN ASTRA.J/İNSİGNİA.A/ZAFİRA.C/CRUZE </t>
  </si>
  <si>
    <t xml:space="preserve">1247849DELPHİ </t>
  </si>
  <si>
    <t>ABS SENSÖR ARKA SOL İNSİGNİA.A</t>
  </si>
  <si>
    <t>SS20357</t>
  </si>
  <si>
    <t>1247850DELPHİ</t>
  </si>
  <si>
    <t>ABS SENSÖR ARKA SAĞ İNSİGNİA.A</t>
  </si>
  <si>
    <t>SS20356</t>
  </si>
  <si>
    <t>1247862FAE</t>
  </si>
  <si>
    <t>EKSANTRİK DEVİR SENSÖR ASTRA.H/ZAFİRA.B Z16XER/A16XER</t>
  </si>
  <si>
    <t>1247897HELLA</t>
  </si>
  <si>
    <t>EKSANTRİK DEVİR SENSÖR ASTRA.K 1.0/1.4/1.4T/İNSİGNİA.B 1.5T 17&gt;/CORSA.E B13DTE</t>
  </si>
  <si>
    <t>6PU009168-511</t>
  </si>
  <si>
    <t>1247897SWAG</t>
  </si>
  <si>
    <t>1248001OEM</t>
  </si>
  <si>
    <t>YAĞ MÜŞÜRÜ A13DTE EURO5</t>
  </si>
  <si>
    <t>1249066DELPHİ</t>
  </si>
  <si>
    <t>ABS SENSÖR ÖN MOKKA 13&gt;/TRAX</t>
  </si>
  <si>
    <t>SS20817</t>
  </si>
  <si>
    <t>1249089FAE</t>
  </si>
  <si>
    <t>KRANK DEVİR SENSÖR A12XER/A14XER/A14NET/B14NET</t>
  </si>
  <si>
    <t xml:space="preserve">1252555FACET </t>
  </si>
  <si>
    <t xml:space="preserve">YAĞ MÜŞÜR Z12XEP/Z14XEP/Z16XEP </t>
  </si>
  <si>
    <t>1252555FAE</t>
  </si>
  <si>
    <t>1252555FEBİ</t>
  </si>
  <si>
    <t>1252555KLF</t>
  </si>
  <si>
    <t>YAĞ MÜŞÜR Z12XEP/Z14XEP/Z16XEP  0,40BAR</t>
  </si>
  <si>
    <t>1252557DELPHİ</t>
  </si>
  <si>
    <t>YAĞ MÜŞÜR KALIN DİŞ ASTRA/VECTRA/CORSA</t>
  </si>
  <si>
    <t>SW90012</t>
  </si>
  <si>
    <t xml:space="preserve">1252557FAE </t>
  </si>
  <si>
    <t>1252557FEBİ</t>
  </si>
  <si>
    <t>YAĞ MÜŞÜR KALIN ASTRA/VECTRA/CORSA</t>
  </si>
  <si>
    <t>1252557TOPRAN</t>
  </si>
  <si>
    <t>1252557ÜNÜVAR</t>
  </si>
  <si>
    <t>YAĞ MÜŞÜR KALIN DİŞ/Z13DT/Z19DTH</t>
  </si>
  <si>
    <t xml:space="preserve">ÜNÜVAR </t>
  </si>
  <si>
    <t>9508-2</t>
  </si>
  <si>
    <t xml:space="preserve">1252561AKD </t>
  </si>
  <si>
    <t>OP106116</t>
  </si>
  <si>
    <t>YAĞ BASINÇ MÜŞÜR Y17DT</t>
  </si>
  <si>
    <t>1253.74KALE</t>
  </si>
  <si>
    <t>FAN MOTOR KLİMALI 306/XSARA CAP:320MM</t>
  </si>
  <si>
    <t>FAN MOTOR</t>
  </si>
  <si>
    <t>KALE</t>
  </si>
  <si>
    <t>1253.74VEKA</t>
  </si>
  <si>
    <t>FAN MOTOR 306/XSARA 220W</t>
  </si>
  <si>
    <t xml:space="preserve">VEKA </t>
  </si>
  <si>
    <t>25-3309</t>
  </si>
  <si>
    <t>1253.81ABRASSE</t>
  </si>
  <si>
    <t>FAN MOTOR KLİMALI 306/XSARA 97-02 1.4 8V //1.6 16V ÇAP:340mm</t>
  </si>
  <si>
    <t>BRS-1253-09-PG</t>
  </si>
  <si>
    <t>1253.C9KALE</t>
  </si>
  <si>
    <t xml:space="preserve">RADYATÖR FAN MOTOR 206/206+ DV4TD 1.6 16V  </t>
  </si>
  <si>
    <t>1253.C9Y</t>
  </si>
  <si>
    <t xml:space="preserve">RADYATÖR FAN MOTOR 206/206+ DV4TD 1.6 16V </t>
  </si>
  <si>
    <t>1253.K2ABRASSE</t>
  </si>
  <si>
    <t>RADYATÖR FAN MOTOR 307/C4/C4 PİCASSO/3008/5008/TEPEE</t>
  </si>
  <si>
    <t>BRS-125304-PG</t>
  </si>
  <si>
    <t>1253.K2KALE</t>
  </si>
  <si>
    <t xml:space="preserve">RADYATÖR FAN MOTOR 307/C4/C4 PİCASSO/3008/5008/TEPEE </t>
  </si>
  <si>
    <t>1253.K2Y</t>
  </si>
  <si>
    <t>RADYATÖR FAN MOTOR 307/C4/C4 PİCASSO/</t>
  </si>
  <si>
    <t>1254280YTT</t>
  </si>
  <si>
    <t>ŞAMDIRA LASTİKZAFİRA.B/VECTRA.C/ASTRA.H</t>
  </si>
  <si>
    <t>Y1324</t>
  </si>
  <si>
    <t>1254286İBRAS</t>
  </si>
  <si>
    <t>DEPO ŞAMADIRA LASTİK CORSA.B/VECTRA.B</t>
  </si>
  <si>
    <t>1254286KRAFTVOLL</t>
  </si>
  <si>
    <t>12591866VİCTOR</t>
  </si>
  <si>
    <t>ARKA KRANK KEÇE A20NHT/A20NFT</t>
  </si>
  <si>
    <t>81-38229-00</t>
  </si>
  <si>
    <t>KARTER YAĞ SEVİYE SENSÖR CONTA B16DTH/A16XHT/B16SHT/</t>
  </si>
  <si>
    <t>1264.64</t>
  </si>
  <si>
    <t>RÖLE KORUYUCU KAPAK 206/207</t>
  </si>
  <si>
    <t>1267.64</t>
  </si>
  <si>
    <t>YAĞ SOĞUTUCU CONTA B14XFL/B15SFL/B10XFL</t>
  </si>
  <si>
    <t>1267.A9</t>
  </si>
  <si>
    <t>FAN REZİSTANSI 96&gt;PARTNER/BERLİNGOC5/XSARA GRİ</t>
  </si>
  <si>
    <t>1267.A9MARELLİ</t>
  </si>
  <si>
    <t>1267.E3</t>
  </si>
  <si>
    <t>RADYATÖR FAN REZİSTANSI 206/206+/307 SİYAH</t>
  </si>
  <si>
    <t>1267.E3MARELLİ</t>
  </si>
  <si>
    <t xml:space="preserve">MAGNETTİ MARELLİ </t>
  </si>
  <si>
    <t>1268213CAVO</t>
  </si>
  <si>
    <t>KİLOMETRE TELİ ASTRA.F &lt;94</t>
  </si>
  <si>
    <t>CAVO</t>
  </si>
  <si>
    <t xml:space="preserve">1268332AKD </t>
  </si>
  <si>
    <t>KİLOMETRE TELİ VECTRA.A</t>
  </si>
  <si>
    <t>OP156101</t>
  </si>
  <si>
    <t>1268332CAVO</t>
  </si>
  <si>
    <t>5907 6070</t>
  </si>
  <si>
    <t>1268332KRAFTVOLL</t>
  </si>
  <si>
    <t>1268335CAVO</t>
  </si>
  <si>
    <t>5907 6020</t>
  </si>
  <si>
    <t>KİLOMETRE TELİ ASTRA.F 92-98//VECTRA.A 88-95</t>
  </si>
  <si>
    <t xml:space="preserve">CAVO </t>
  </si>
  <si>
    <t>1268350CAVO</t>
  </si>
  <si>
    <t>KİLOMETRE TELİ ASTRA.F 95--</t>
  </si>
  <si>
    <t>1268350WİSCO</t>
  </si>
  <si>
    <t>2213012*00</t>
  </si>
  <si>
    <t>1268351AKD</t>
  </si>
  <si>
    <t>KİLOMETRE TELİ ASTRA.F X16XEL</t>
  </si>
  <si>
    <t>OP156111</t>
  </si>
  <si>
    <t xml:space="preserve">1270000METTE </t>
  </si>
  <si>
    <t>SİLECEK MOTOR ÖN CORSA.C/COMBO.C/TİGRA.B</t>
  </si>
  <si>
    <t>651D5040</t>
  </si>
  <si>
    <t>1272006WPI</t>
  </si>
  <si>
    <t>ARKA SİLECEK ASTRA.J TEK</t>
  </si>
  <si>
    <t>SİLECEK</t>
  </si>
  <si>
    <t>WPI</t>
  </si>
  <si>
    <t>2945924A</t>
  </si>
  <si>
    <t>1272031GRAT</t>
  </si>
  <si>
    <t>ÖN SİLECEK TAKIM ASTRA.J/K/RCZ/508 11-19</t>
  </si>
  <si>
    <t>GRAT</t>
  </si>
  <si>
    <t>GRT-O7060</t>
  </si>
  <si>
    <t>1272031MAXTEL</t>
  </si>
  <si>
    <t xml:space="preserve">ÖN SİLECEK TAKIM ASTRA.J/K/RCZ/508 11-19 </t>
  </si>
  <si>
    <t>MAXTEL</t>
  </si>
  <si>
    <t>1272031PHAFF</t>
  </si>
  <si>
    <t>1272031SİLBAK</t>
  </si>
  <si>
    <t xml:space="preserve">SİLBAK </t>
  </si>
  <si>
    <t>SB2824C</t>
  </si>
  <si>
    <t xml:space="preserve">1272067SİLBAK </t>
  </si>
  <si>
    <t>ÖN SİLECEK TAKIM ZAFİRA.C</t>
  </si>
  <si>
    <t>SB3228C</t>
  </si>
  <si>
    <t>1272089WİSCO</t>
  </si>
  <si>
    <t>ARKA SİLECEK KOMPLE MOKKA/MOKKA.X</t>
  </si>
  <si>
    <t>2233019-00</t>
  </si>
  <si>
    <t>1272092SİLBAK</t>
  </si>
  <si>
    <t>ÖN SİLECEK TAKIM 26-14 MOKKA/MOKKA.X/TRAX/FİAT 500/İX 20 11&gt;</t>
  </si>
  <si>
    <t>SB2614C</t>
  </si>
  <si>
    <t>1272117MAXTEL</t>
  </si>
  <si>
    <t>ARKA SİLECEK KOMPLE 305mm ZAFİRA.C</t>
  </si>
  <si>
    <t>1272326GRAT</t>
  </si>
  <si>
    <t xml:space="preserve">ÖN SİLECEK TAKIM ASTRA.H </t>
  </si>
  <si>
    <t xml:space="preserve">GRAT </t>
  </si>
  <si>
    <t>GRT-O5545</t>
  </si>
  <si>
    <t>1272326MAXTEL</t>
  </si>
  <si>
    <t>1272326PHAFF</t>
  </si>
  <si>
    <t>1272326SİLBAK</t>
  </si>
  <si>
    <t>ÖN SİLECEK TAKIM ASTRA.H</t>
  </si>
  <si>
    <t>SB2218A</t>
  </si>
  <si>
    <t>1272340BOSCH</t>
  </si>
  <si>
    <t>ARKA SİLECEK SÜPÜRGESİ CORSA.D/E/F/MOKKA.B/JUK/CLİO II/III</t>
  </si>
  <si>
    <t>1272346SİLBAK</t>
  </si>
  <si>
    <t>ÖN SİLECEK TAKIM İNSİGNİA.A/CRUZE</t>
  </si>
  <si>
    <t>SB2418U</t>
  </si>
  <si>
    <t>1272346SİLBAK+HBR</t>
  </si>
  <si>
    <t>ÖN SİLECEK TAKIM HYBRID İNSİGNİA.A/CRUZE</t>
  </si>
  <si>
    <t>SH2418</t>
  </si>
  <si>
    <t>1273081HELLUX</t>
  </si>
  <si>
    <t>ARKA SİLECEK MOTOR ASTRA.H</t>
  </si>
  <si>
    <t>HSM.198845</t>
  </si>
  <si>
    <t>1273083AKD</t>
  </si>
  <si>
    <t>SİLECEK MOTOR ÖN ASTRA.H</t>
  </si>
  <si>
    <t>OP201105</t>
  </si>
  <si>
    <t xml:space="preserve">1273083BOSCH </t>
  </si>
  <si>
    <t>1273083DWİS</t>
  </si>
  <si>
    <t>SİLECEK MOTOR DİŞLİ ASTRA.H</t>
  </si>
  <si>
    <t>1273083METTE</t>
  </si>
  <si>
    <t>651D5113</t>
  </si>
  <si>
    <t>1273083SET-WAGENBURG</t>
  </si>
  <si>
    <t>WGN1273083SET</t>
  </si>
  <si>
    <t xml:space="preserve">SİLECEK MEKANİZMASI+MOTOR ÖN ASTRA.H </t>
  </si>
  <si>
    <t>1273083WAGENBURG</t>
  </si>
  <si>
    <t>WGN1273083</t>
  </si>
  <si>
    <t>1273090METTE</t>
  </si>
  <si>
    <t>ARKA SİLECEK KOMPLE CORSA.D</t>
  </si>
  <si>
    <t>977W7007</t>
  </si>
  <si>
    <t>1273094METTE</t>
  </si>
  <si>
    <t>ARKA SİLECEK KOMPLE ASTRA.J 305mm</t>
  </si>
  <si>
    <t>977W7006</t>
  </si>
  <si>
    <t>1273094PLASTECH</t>
  </si>
  <si>
    <t>P12321</t>
  </si>
  <si>
    <t>PLASTECH</t>
  </si>
  <si>
    <t>1273094SAGEM</t>
  </si>
  <si>
    <t>1273094WİSCO</t>
  </si>
  <si>
    <t>2233010-00</t>
  </si>
  <si>
    <t>1273094WPİ</t>
  </si>
  <si>
    <t>WPİ</t>
  </si>
  <si>
    <t>2945934C</t>
  </si>
  <si>
    <t>1273389MAXTEL</t>
  </si>
  <si>
    <t>ARKA SİLECEK KOMPLE ASTRA.G HB.</t>
  </si>
  <si>
    <t>126 07 279</t>
  </si>
  <si>
    <t>1273389METTE</t>
  </si>
  <si>
    <t>977W7003</t>
  </si>
  <si>
    <t>1273389WİSCO</t>
  </si>
  <si>
    <t>2233007-00</t>
  </si>
  <si>
    <t>1273389Y</t>
  </si>
  <si>
    <t xml:space="preserve">ARKA SİLECEK KOMPLE ASTRA.G HB. </t>
  </si>
  <si>
    <t>1273391METTE</t>
  </si>
  <si>
    <t>ARKA SİLECEK KOMPLE CORSA.C/COMBO.C</t>
  </si>
  <si>
    <t>977W7001</t>
  </si>
  <si>
    <t>1273391SAGEMFRANS</t>
  </si>
  <si>
    <t>S26551</t>
  </si>
  <si>
    <t>1273391WİSCO</t>
  </si>
  <si>
    <t>2233011-00</t>
  </si>
  <si>
    <t>1273391WPI</t>
  </si>
  <si>
    <t>2945736A</t>
  </si>
  <si>
    <t>1273391WPİ</t>
  </si>
  <si>
    <t>1273421KRAFTVOLL</t>
  </si>
  <si>
    <t>ÖN CAM SİLECEK MEKANİZMA ASTRA.H</t>
  </si>
  <si>
    <t>1274137TOPRAN</t>
  </si>
  <si>
    <t>SİLECEK MEKANİZMA ÖN CORSA.C/TİGRA.B</t>
  </si>
  <si>
    <t>BLOK SU TAPASI 25mm Z13DT/A13DTE</t>
  </si>
  <si>
    <t>PİSTON KOL CİVATASI Z16XEP/A16XER/A16LET/Z18XE</t>
  </si>
  <si>
    <t>1300132KALE-M</t>
  </si>
  <si>
    <t xml:space="preserve">SU RADYATÖR MEKANİK ÇİFT SIRA ASTRA.F X16XEL +AC+AT  </t>
  </si>
  <si>
    <t>RADYATÖR</t>
  </si>
  <si>
    <t xml:space="preserve">1300132METTE </t>
  </si>
  <si>
    <t>SU RADYATÖR BRAZİNG ASTRA.F X16XEL +AC+AT</t>
  </si>
  <si>
    <t>124R42010</t>
  </si>
  <si>
    <t>1300133METTE</t>
  </si>
  <si>
    <t>SU RADYATÖR BRAZİNG VECTRA.A 88-95 +MT</t>
  </si>
  <si>
    <t>124R42032</t>
  </si>
  <si>
    <t xml:space="preserve">1300147METTE </t>
  </si>
  <si>
    <t>SU RADYATÖR BRAZİNG ASTRA.F X16XEL +AC</t>
  </si>
  <si>
    <t>124R42006</t>
  </si>
  <si>
    <t>1300147ORİS</t>
  </si>
  <si>
    <t>BOP118026</t>
  </si>
  <si>
    <t>SU RADYATÖR BRAZİNG ASTRA.F KLİMALI 26mm</t>
  </si>
  <si>
    <t>ORİS</t>
  </si>
  <si>
    <t>1300151NRF</t>
  </si>
  <si>
    <t>SU RADYATÖR CORSA.B/COMBO.B 1.7D DİZEL</t>
  </si>
  <si>
    <t xml:space="preserve">NRF </t>
  </si>
  <si>
    <t>507522A</t>
  </si>
  <si>
    <t>1300152KALE</t>
  </si>
  <si>
    <t>SU RADYATÖR BRAZİNG CORSA.B 1.4 16V +AC</t>
  </si>
  <si>
    <t>1300152METTE</t>
  </si>
  <si>
    <t>124R42012</t>
  </si>
  <si>
    <t>1300152ORİS</t>
  </si>
  <si>
    <t>BOP103026</t>
  </si>
  <si>
    <t xml:space="preserve">SU RAYDATÖR BRAZİNG CORSA.B 1.2/1.4 8V </t>
  </si>
  <si>
    <t xml:space="preserve">ORİS </t>
  </si>
  <si>
    <t>1300153KALE</t>
  </si>
  <si>
    <t>SU RADYATÖR BRAZİNG CORSA.B X14XE KLİMALI +AT 680X273X26mm</t>
  </si>
  <si>
    <t xml:space="preserve">1300154KALE </t>
  </si>
  <si>
    <t>SU RADYATÖR ASTRA.F 1.4 8V (MEKANİK)</t>
  </si>
  <si>
    <t>1300154MGA</t>
  </si>
  <si>
    <t>1300154WİSCO</t>
  </si>
  <si>
    <t>SU RADYATÖR ASTRA.F 1.4 8V</t>
  </si>
  <si>
    <t>2113070-22</t>
  </si>
  <si>
    <t>1300180BALKAN</t>
  </si>
  <si>
    <t>SU RADYATÖR BRAZİNG VECTRA.B Z16XE/X16XE/X20XEV</t>
  </si>
  <si>
    <t xml:space="preserve">BALKAN </t>
  </si>
  <si>
    <t>BOP101B22</t>
  </si>
  <si>
    <t xml:space="preserve">1300180METTE </t>
  </si>
  <si>
    <t>123R1450</t>
  </si>
  <si>
    <t>1300180MMETTE</t>
  </si>
  <si>
    <t>124R42042</t>
  </si>
  <si>
    <t>1300185BALKAN</t>
  </si>
  <si>
    <t>SU RADYATÖR BRAZİNG VECTRA.B X16XE/X20XEV/Z16XE</t>
  </si>
  <si>
    <t>BALKAN</t>
  </si>
  <si>
    <t>1300185MOPORİS</t>
  </si>
  <si>
    <t>SU RADYATÖR (MEKANİK) VECTRA.B X16XE/X20XEV/Z16XE</t>
  </si>
  <si>
    <t>MOP017034</t>
  </si>
  <si>
    <t>1300185ORİS</t>
  </si>
  <si>
    <t>BOP101022</t>
  </si>
  <si>
    <t>SU RADYATÖR BRAZİNG VECTRA.B X16XE/X20XEV/Z16XE 22mm</t>
  </si>
  <si>
    <t>1300185ORİS+AT</t>
  </si>
  <si>
    <t>BOP100022</t>
  </si>
  <si>
    <t>SU RADYATÖR BRAZİNG VECTRA.B X16XE/X20XEV/Z16XE 22mm +AT</t>
  </si>
  <si>
    <t>1300196BALKAN</t>
  </si>
  <si>
    <t>BOP104B26</t>
  </si>
  <si>
    <t>SU RADYATÖR ASTRA.G BRAZİNG Z16XE +AT</t>
  </si>
  <si>
    <t>1300233METTE</t>
  </si>
  <si>
    <t>SU RADYATÖR CORSA.C/COMBO.C Y17DT</t>
  </si>
  <si>
    <t>123R1416</t>
  </si>
  <si>
    <t xml:space="preserve">1300236METTE </t>
  </si>
  <si>
    <t>SU RADYATÖR BRAZİNG CORSA.C Z12XE/Z12XEP/Z14XEP +AC</t>
  </si>
  <si>
    <t>124R42037</t>
  </si>
  <si>
    <t>1300236VALEO</t>
  </si>
  <si>
    <t>SU RADYAYÖR Z12XEP/Z14XEP CORSA.C (MEKANİK)</t>
  </si>
  <si>
    <t xml:space="preserve">1300237METTE </t>
  </si>
  <si>
    <t>RADYATÖR CORSA.C Z14XE BRAZİNG</t>
  </si>
  <si>
    <t>123R1488</t>
  </si>
  <si>
    <t>1300244NRF</t>
  </si>
  <si>
    <t xml:space="preserve">SU RADYATÖR BAZİNG VECTRA.C Z16XE </t>
  </si>
  <si>
    <t>NRF</t>
  </si>
  <si>
    <t>1300252NİSSENS</t>
  </si>
  <si>
    <t>SU RADYATÖR MERİVA.A Z14XE/Z16XE BRAZİNG</t>
  </si>
  <si>
    <t>NİSSENS</t>
  </si>
  <si>
    <t xml:space="preserve">1300257BALKAN </t>
  </si>
  <si>
    <t xml:space="preserve">SU RADYATÖR ASTRA.G BRAZİNG Z16XE MT </t>
  </si>
  <si>
    <t>BOP138B26</t>
  </si>
  <si>
    <t xml:space="preserve">1300257KALE </t>
  </si>
  <si>
    <t>SU RADYATÖR ASTRA.G BRAZİNG Z16XE MT</t>
  </si>
  <si>
    <t>1300257METTE</t>
  </si>
  <si>
    <t>123R1899</t>
  </si>
  <si>
    <t>1300257NRF</t>
  </si>
  <si>
    <t>SU RADYATÖR ASTRA.G BRAZİNG Z16XE</t>
  </si>
  <si>
    <t>1300257NRF+AT</t>
  </si>
  <si>
    <t>1300257ORİS</t>
  </si>
  <si>
    <t>BOP138016</t>
  </si>
  <si>
    <t>1300258METTE</t>
  </si>
  <si>
    <t>SU RADYATÖR BRAZİNG ASTRA.G Z16XEP</t>
  </si>
  <si>
    <t>123R1717</t>
  </si>
  <si>
    <t>1300259BALKAN</t>
  </si>
  <si>
    <t>BOP160B22</t>
  </si>
  <si>
    <t>SU RADYATÖR CORSA.C/TİGRA.B Z13DT BRAZİNG</t>
  </si>
  <si>
    <t>1300259KALE</t>
  </si>
  <si>
    <t>1300259METTE</t>
  </si>
  <si>
    <t>123R1461</t>
  </si>
  <si>
    <t>1300259NISSENS</t>
  </si>
  <si>
    <t>SU RADYATÖR CORSA.C/TİGRA.B Z13DT MEKANİK</t>
  </si>
  <si>
    <t>NISSENS</t>
  </si>
  <si>
    <t>1300259NRF</t>
  </si>
  <si>
    <t>SU RADYATÖR CORSA.C/TİGRA.B Z13DT BRAZİNG 26MM</t>
  </si>
  <si>
    <t>1300259ORİS</t>
  </si>
  <si>
    <t>BOP160022</t>
  </si>
  <si>
    <t xml:space="preserve">SU RADYATÖR CORSA.C/TİGRA.B Z13DT BRAZİNG </t>
  </si>
  <si>
    <t xml:space="preserve">1300266MAHLE </t>
  </si>
  <si>
    <t>SU RADYATÖR BRAZİNG ASTRA.H Z16XEP/A16XER/Z16XER</t>
  </si>
  <si>
    <t>CR1091000S</t>
  </si>
  <si>
    <t>1300266NRF</t>
  </si>
  <si>
    <t>1300269KRAFTVOLL</t>
  </si>
  <si>
    <t>SU RADYATÖR BRAZİNG ASTRA.H 04- Z13DTH/Z17DTH/Z19DTH</t>
  </si>
  <si>
    <t xml:space="preserve">1300269METTE </t>
  </si>
  <si>
    <t>124R42066</t>
  </si>
  <si>
    <t>1300269NRF</t>
  </si>
  <si>
    <t>1300269ORİS</t>
  </si>
  <si>
    <t>BOP142026</t>
  </si>
  <si>
    <t>1300271Y</t>
  </si>
  <si>
    <t>SU RADYATÖR BRAZİNG ASTRA.H Z13DTH (04-06)</t>
  </si>
  <si>
    <t>1300279NRF</t>
  </si>
  <si>
    <t>SU RADYATÖR BRAZİNG CORSA.D Z12XEP/Z14XEP</t>
  </si>
  <si>
    <t>1300287BALKAN</t>
  </si>
  <si>
    <t>BOP181B22</t>
  </si>
  <si>
    <t>SU RADYATÖR BRAZİNG CORSA.D Z13DTH/Z13DTJ</t>
  </si>
  <si>
    <t>1300287ORİS</t>
  </si>
  <si>
    <t>BOP181022</t>
  </si>
  <si>
    <t>1300290MGA</t>
  </si>
  <si>
    <t>SU RADYATÖR BRAZNİG İNSİGNİ.A A20DTH +AT</t>
  </si>
  <si>
    <t>1300292ORİS</t>
  </si>
  <si>
    <t>BOP568016</t>
  </si>
  <si>
    <t>SU RADYATÖR BRAZİNG A16XER/A16LET İNSİGNİA.A +MT</t>
  </si>
  <si>
    <t>1300299MGA</t>
  </si>
  <si>
    <t>SU RADYATÖR BRAZİNG ASTRA.J/CRUZE A16XER +MT</t>
  </si>
  <si>
    <t>1300299MGA-MEKANİK</t>
  </si>
  <si>
    <t xml:space="preserve">SU RADYATÖR MEKANİK ASTRA.J/CRUZE A16XER +MT </t>
  </si>
  <si>
    <t>1300301ORİS</t>
  </si>
  <si>
    <t>BOP540026</t>
  </si>
  <si>
    <t>SU RADYATÖR ASTRA.J BRAZİNG A13DTE 10&gt;&gt; 26mm</t>
  </si>
  <si>
    <t>1300301Y</t>
  </si>
  <si>
    <t>SU RADYATÖR ASTRA.J BRAZİNG A13DTE 10&gt;&gt;</t>
  </si>
  <si>
    <t>1300303MGA</t>
  </si>
  <si>
    <t xml:space="preserve">SU RADYATÖR BRAZİNG ASTRA.J/CRUZE +AT </t>
  </si>
  <si>
    <t>1300303NRF</t>
  </si>
  <si>
    <t>SU RADYATÖR BRAZİNG ASTRA.J/CRUZE +AT</t>
  </si>
  <si>
    <t>1300306KALE</t>
  </si>
  <si>
    <t>SU RADYATÖR ASTRA.J A16XER/A16LET BRAZİNG +AT</t>
  </si>
  <si>
    <t>1300306KRAFTVOLL</t>
  </si>
  <si>
    <t xml:space="preserve">SU RADYATÖR ASTRA.J A16XER/A16LET BRAZİNG +AT 16mm </t>
  </si>
  <si>
    <t>1300306MGA</t>
  </si>
  <si>
    <t>SU RADYATÖR ASTRA.J A16XER/A16LET BRAZİNG +AT 26mm</t>
  </si>
  <si>
    <t>1300312ORİS</t>
  </si>
  <si>
    <t>SU RADYATÖR BRAZİNG CORSA.D A12XER/A14XER//CORSA.E A12XEL/A14XEL</t>
  </si>
  <si>
    <t>BOP183026</t>
  </si>
  <si>
    <t xml:space="preserve">1300339KALE </t>
  </si>
  <si>
    <t>2501082AL</t>
  </si>
  <si>
    <t>SU RADYATÖRÜ MEKANİK CORSA.D A12XER/A14XER</t>
  </si>
  <si>
    <t>1300339MGA</t>
  </si>
  <si>
    <t>1300339ORİS</t>
  </si>
  <si>
    <t>SU RADYATÖRÜ BRAZİNG CORSA.D A12XER/A14XER</t>
  </si>
  <si>
    <t>1300374MAHER</t>
  </si>
  <si>
    <t xml:space="preserve">SU RADYATÖR BRAZİNG İNSİGNİA.A B16DTH/B20DTH +AT </t>
  </si>
  <si>
    <t xml:space="preserve">MAHER </t>
  </si>
  <si>
    <t>MHR-42761</t>
  </si>
  <si>
    <t>1300374MGA</t>
  </si>
  <si>
    <t>SU RADYATÖR BRAZİNG İNSİGNİA.A B16DTH/B20DTH +AT</t>
  </si>
  <si>
    <t>1300415DENSO</t>
  </si>
  <si>
    <t xml:space="preserve">SU RADYATÖR BRAZİNG CORSA.D Z13DTJ/Z13DTH/A13DTC </t>
  </si>
  <si>
    <t>DENSO</t>
  </si>
  <si>
    <t>DRM20090</t>
  </si>
  <si>
    <t>1300415NRF</t>
  </si>
  <si>
    <t>SU RADYATÖR BRAZİNG CORSA.D Z13DTJ/Z13DTH/A13DTC</t>
  </si>
  <si>
    <t>1302144NRF</t>
  </si>
  <si>
    <t>TURBO İNTERCOOL ASTRA.J A13DTE</t>
  </si>
  <si>
    <t>1302170KALE</t>
  </si>
  <si>
    <t xml:space="preserve">ŞANZUMAN YAĞ SOĞUTUCU CORSA.D A14XER </t>
  </si>
  <si>
    <t>1302170WİSCO</t>
  </si>
  <si>
    <t>ŞANZUMAN YAĞ SOĞUTUCU CORSA.D A14XER</t>
  </si>
  <si>
    <t>2110493-00</t>
  </si>
  <si>
    <t>1302264KALE</t>
  </si>
  <si>
    <t>TURBO İNTERCOOL MOKKA/MOKKA.X/TRAX B16DTH</t>
  </si>
  <si>
    <t>1302268NİFEA</t>
  </si>
  <si>
    <t>TURBO BORU SEKMAN B16DTH ASTRA.J</t>
  </si>
  <si>
    <t>1302287ASPART</t>
  </si>
  <si>
    <t>5HOS1058</t>
  </si>
  <si>
    <t xml:space="preserve">TURBO HORTUM MOKKA B16DTH SOL ÜST </t>
  </si>
  <si>
    <t>1302287YTT</t>
  </si>
  <si>
    <t>Y20004</t>
  </si>
  <si>
    <t>1302531ASPART</t>
  </si>
  <si>
    <t>TURBO HORTUM GİRİŞ A16LET</t>
  </si>
  <si>
    <t xml:space="preserve">TURBO ÜST HORTUM CORSA.C Y17DT </t>
  </si>
  <si>
    <t>1304002KÜHLER</t>
  </si>
  <si>
    <t>252 200 112</t>
  </si>
  <si>
    <t>YEDEK SU DEPO MERİVA.B</t>
  </si>
  <si>
    <t>YEDEK SU DEPO</t>
  </si>
  <si>
    <t>KÜHLER</t>
  </si>
  <si>
    <t xml:space="preserve">YEDEK SU DEPO CORSA.D Z13DT/A13DTE/Z12XEP/Z14XEP  </t>
  </si>
  <si>
    <t xml:space="preserve">1304010KALE </t>
  </si>
  <si>
    <t>YEDEK SU DEPO CORSA.D Z13DT/A13DTE/Z12XEP/Z14XEP</t>
  </si>
  <si>
    <t>1304010KÜHLER</t>
  </si>
  <si>
    <t>1304010WİSCO</t>
  </si>
  <si>
    <t xml:space="preserve">YEDEK SU DEPO CORSA.D Z13DT/A13DTE/Z12XEP/Z14XEP </t>
  </si>
  <si>
    <t>2114009-00</t>
  </si>
  <si>
    <t>YEDEK SU DEPO ASTRA.J/CRUZE +SNS</t>
  </si>
  <si>
    <t>1304019METTE</t>
  </si>
  <si>
    <t>125D5140</t>
  </si>
  <si>
    <t>1304019VEMA</t>
  </si>
  <si>
    <t xml:space="preserve">VEMA </t>
  </si>
  <si>
    <t>1304019Y</t>
  </si>
  <si>
    <t>YEDEK SU DEPO SENSÖR ASTRA.J</t>
  </si>
  <si>
    <t xml:space="preserve">YEDEK SU DEPOSU ASTRA.J/CRUZE  -SNS </t>
  </si>
  <si>
    <t>GM</t>
  </si>
  <si>
    <t>1304028KALE</t>
  </si>
  <si>
    <t xml:space="preserve">YEDEK SU DEPOSU İNSİGNİA.A SENSÖRLÜ </t>
  </si>
  <si>
    <t>1304034AKD</t>
  </si>
  <si>
    <t>OP103141</t>
  </si>
  <si>
    <t>1304034BOGAP</t>
  </si>
  <si>
    <t xml:space="preserve">BOGAP </t>
  </si>
  <si>
    <t>L4240111</t>
  </si>
  <si>
    <t>1304034METTE</t>
  </si>
  <si>
    <t>YEDEK SU DEPOSU İNSİGNİA.A SENSÖRLÜ+KAPAKLI</t>
  </si>
  <si>
    <t>125D5157</t>
  </si>
  <si>
    <t xml:space="preserve">1304034VEMA </t>
  </si>
  <si>
    <t>1304034Y</t>
  </si>
  <si>
    <t xml:space="preserve">1304041VERNET </t>
  </si>
  <si>
    <t xml:space="preserve">YEDEK SU DEPO KAPAKLI MOKKA/TRAX </t>
  </si>
  <si>
    <t>ET0027C1</t>
  </si>
  <si>
    <t>1304041Y</t>
  </si>
  <si>
    <t xml:space="preserve">YEDEK SU DEPO MOKKA/TRAX </t>
  </si>
  <si>
    <t>1304200Y</t>
  </si>
  <si>
    <t>YEDEK SU DEPOSU OMEGA.B 94-03</t>
  </si>
  <si>
    <t>1304208KRAFTVOLL</t>
  </si>
  <si>
    <t>YEDEK SU DEPO VECTRA.B (TEK ÇIKIŞ)</t>
  </si>
  <si>
    <t xml:space="preserve">1304218AKD </t>
  </si>
  <si>
    <t>YEDEK SU DEPOSU VECTRA.B</t>
  </si>
  <si>
    <t>OP103117</t>
  </si>
  <si>
    <t>1304218KRAFTVOLL</t>
  </si>
  <si>
    <t>1304218KÜHLER</t>
  </si>
  <si>
    <t>252 200 105</t>
  </si>
  <si>
    <t xml:space="preserve">KÜHLER </t>
  </si>
  <si>
    <t xml:space="preserve">1304218METTE </t>
  </si>
  <si>
    <t>125D5101</t>
  </si>
  <si>
    <t>1304218TOPRAN</t>
  </si>
  <si>
    <t>1304219GM</t>
  </si>
  <si>
    <t>YEDEK SU DEPO SEVİYE SENSÖR VECTRA.B</t>
  </si>
  <si>
    <t xml:space="preserve">1304223AKD </t>
  </si>
  <si>
    <t>YEDEK SU DEPO ASTRA.G</t>
  </si>
  <si>
    <t>OP103102</t>
  </si>
  <si>
    <t xml:space="preserve">1304223KALE </t>
  </si>
  <si>
    <t>1304223KRAFTVOLL</t>
  </si>
  <si>
    <t>1304223MARELLİ</t>
  </si>
  <si>
    <t xml:space="preserve">1304223TOPRAN </t>
  </si>
  <si>
    <t>1304231KRAFTVOLL</t>
  </si>
  <si>
    <t>YEDEK SU DEPO CORSA.B ÇİFT ÇIKIŞ</t>
  </si>
  <si>
    <t>1304231METTE</t>
  </si>
  <si>
    <t>125D5103</t>
  </si>
  <si>
    <t xml:space="preserve">1304233KALE </t>
  </si>
  <si>
    <t>YEDEK SU DEPO CORSA.C/COMBO.C</t>
  </si>
  <si>
    <t>1304233KRAFTVOLL</t>
  </si>
  <si>
    <t>1304233MARELLİ</t>
  </si>
  <si>
    <t>1304233TOPRAN</t>
  </si>
  <si>
    <t xml:space="preserve">1304237AKD </t>
  </si>
  <si>
    <t>YEDEK SU DEPO VECTRA.C +SENSÖRLÜ</t>
  </si>
  <si>
    <t>OP103118</t>
  </si>
  <si>
    <t>1304237BİTAPART</t>
  </si>
  <si>
    <t>BOP210010</t>
  </si>
  <si>
    <t xml:space="preserve">BİTAPART </t>
  </si>
  <si>
    <t>1304237KALE</t>
  </si>
  <si>
    <t>1304237TOPRAN</t>
  </si>
  <si>
    <t>YEDEK SU DEPOSU ASTRA.H</t>
  </si>
  <si>
    <t xml:space="preserve">1304241KALE </t>
  </si>
  <si>
    <t>1304241KRAFTVOLL</t>
  </si>
  <si>
    <t>1304241KÜHLER</t>
  </si>
  <si>
    <t>1304241MARELLİ</t>
  </si>
  <si>
    <t xml:space="preserve">1304241METTE </t>
  </si>
  <si>
    <t>125D5117</t>
  </si>
  <si>
    <t>1304241TOPRAN</t>
  </si>
  <si>
    <t>1304241VEMA</t>
  </si>
  <si>
    <t xml:space="preserve">1304242VEMA </t>
  </si>
  <si>
    <t>YEDEK SU DEPOSU ZAFİRA.B</t>
  </si>
  <si>
    <t>1304243ADLER</t>
  </si>
  <si>
    <t>YEDEK SU DEPOSU ZAFİRA.A</t>
  </si>
  <si>
    <t xml:space="preserve">ADLER </t>
  </si>
  <si>
    <t>ET05040</t>
  </si>
  <si>
    <t xml:space="preserve">YEDEK SU DEPO MERİVA.A 03-10 </t>
  </si>
  <si>
    <t xml:space="preserve">1304611KALE </t>
  </si>
  <si>
    <t>YEDEK SU DEPO MERİVA.A 03-10</t>
  </si>
  <si>
    <t>1304611KÜHLER</t>
  </si>
  <si>
    <t>252 200 113</t>
  </si>
  <si>
    <t>1304611METTE</t>
  </si>
  <si>
    <t>345C6500</t>
  </si>
  <si>
    <t>1304611WİSCO</t>
  </si>
  <si>
    <t>1304640KRAFTVOLL</t>
  </si>
  <si>
    <t>YEDEK SU DEPO VECTRA.A ÇİFT ÇIKIŞ</t>
  </si>
  <si>
    <t>1304640TOPRAN</t>
  </si>
  <si>
    <t>1304640WİSCO</t>
  </si>
  <si>
    <t>2113991*00</t>
  </si>
  <si>
    <t>1304642KRAFTVOLL</t>
  </si>
  <si>
    <t>YEDEK SU DEPO ASTRA.F TEK ÇIKIS</t>
  </si>
  <si>
    <t>1304643AKD</t>
  </si>
  <si>
    <t>YEDEK SU DEPO ASTRA.F ÇİFT ÇIKIS</t>
  </si>
  <si>
    <t>OP103100</t>
  </si>
  <si>
    <t>1304643KRAFTVOLL</t>
  </si>
  <si>
    <t>1304643MARELLİ</t>
  </si>
  <si>
    <t>1304643TOPRAN</t>
  </si>
  <si>
    <t xml:space="preserve">1304666FEBİ </t>
  </si>
  <si>
    <t>YEDEK SU DEPO KAPAK ASTRA.F/G/CORSA.B/C/VECTRA.A/B</t>
  </si>
  <si>
    <t xml:space="preserve">1304666OEM </t>
  </si>
  <si>
    <t>1304666TAP</t>
  </si>
  <si>
    <t>TAP.1304666</t>
  </si>
  <si>
    <t>1304666TOPRAN</t>
  </si>
  <si>
    <t>YEDEK SU DEPO KAPAK ASTRA.H/CORSA.D/VECTRA.C</t>
  </si>
  <si>
    <t>1304677FEBİ</t>
  </si>
  <si>
    <t>1304677SWAG</t>
  </si>
  <si>
    <t>YEDEK SU DEPO MÜŞÜR ASTRA.H</t>
  </si>
  <si>
    <t xml:space="preserve">1304702VEMA </t>
  </si>
  <si>
    <t xml:space="preserve">YEDEK SU DEPO MÜŞÜR ASTRA.H  </t>
  </si>
  <si>
    <t xml:space="preserve">1304729METTE </t>
  </si>
  <si>
    <t>YEDEK SU DEPO SENSÖR ASTRA.G</t>
  </si>
  <si>
    <t>651D5163</t>
  </si>
  <si>
    <t>YEDEK SU DEPO KAPAK ASTRA.J/CRUZE/MOKKA/İNSİGNİA</t>
  </si>
  <si>
    <t>1305248ASPART</t>
  </si>
  <si>
    <t>6COV1003</t>
  </si>
  <si>
    <t xml:space="preserve">1305248FEBİ </t>
  </si>
  <si>
    <t>1305248RPR</t>
  </si>
  <si>
    <t>R66138</t>
  </si>
  <si>
    <t>1305248SWAG</t>
  </si>
  <si>
    <t>1306.91</t>
  </si>
  <si>
    <t>YEDEK SU DEPO TAPA PARTNER/BERLİNGO Y.M</t>
  </si>
  <si>
    <t>1306.91ABRASSE</t>
  </si>
  <si>
    <t xml:space="preserve">YEDEK SU DEPO TAPA PARTNER/BERLİNGO Y.M </t>
  </si>
  <si>
    <t>BRS-30691-PG</t>
  </si>
  <si>
    <t>1306.C0ABRASSE</t>
  </si>
  <si>
    <t>YEDEK SU DEPO MÜŞÜR PARTNER/206 DV4/ DW8/DW10</t>
  </si>
  <si>
    <t>BRS-1306C0-PG</t>
  </si>
  <si>
    <t>1306.C7BİT</t>
  </si>
  <si>
    <t>BPE210009</t>
  </si>
  <si>
    <t>YEDEK SU DEPO KAPAK 106/306/PARTNER/SAXO</t>
  </si>
  <si>
    <t>1306.C7SWAG</t>
  </si>
  <si>
    <t>1306.F0ABRASSE</t>
  </si>
  <si>
    <t xml:space="preserve">YEDEK SU DEPO SENSÖRÜ 206/PARTNER/306/BERLİNGO </t>
  </si>
  <si>
    <t>1306.F0MEAT&amp;DORIA</t>
  </si>
  <si>
    <t>YEDEK SU DEPO SENSÖRÜ 206/PARTNER/306/BERLİNGO</t>
  </si>
  <si>
    <t>MEAT&amp;DORIA</t>
  </si>
  <si>
    <t>1306.F2FROW</t>
  </si>
  <si>
    <t>YEDEK SU DEPO 407/C5</t>
  </si>
  <si>
    <t>1306.J5</t>
  </si>
  <si>
    <t>YEDEK SU DEPO KAPAK  PEUGEOT</t>
  </si>
  <si>
    <t>1306.J5BİTAPART</t>
  </si>
  <si>
    <t>BPE210089</t>
  </si>
  <si>
    <t>1306.J5KAYA</t>
  </si>
  <si>
    <t xml:space="preserve">YEDEK SU DEPO KAPAK </t>
  </si>
  <si>
    <t xml:space="preserve">KAYA PLASTİK </t>
  </si>
  <si>
    <t>KP-2009</t>
  </si>
  <si>
    <t>1306.J5KRAFTVOLL</t>
  </si>
  <si>
    <t>1306.J5RPR</t>
  </si>
  <si>
    <t>R66101</t>
  </si>
  <si>
    <t>1307.ANABRASSE</t>
  </si>
  <si>
    <t>YEDEK SU DEPO 106/SAXO 1.5DİZEL</t>
  </si>
  <si>
    <t>BRS-7109-PG</t>
  </si>
  <si>
    <t>1307.LSRPR</t>
  </si>
  <si>
    <t>YEDEK SU DEPO HORTUM 206 TU3JP 8V/TU5JP4 1.6 16V</t>
  </si>
  <si>
    <t>R15213</t>
  </si>
  <si>
    <t>1307.NRRPR</t>
  </si>
  <si>
    <t>YAĞ SOĞUTUCU-TERMOSTAT ARA HORTUM DW8 PART./BERL.</t>
  </si>
  <si>
    <t>R15234</t>
  </si>
  <si>
    <t>1307.NSRPR</t>
  </si>
  <si>
    <t>YAĞ SOĞUTUCU ÜST HORTUM DW8 1.9D PARTNER/BERLİNGO 2003&gt;</t>
  </si>
  <si>
    <t>R15239</t>
  </si>
  <si>
    <t>1307.QEİBRAS</t>
  </si>
  <si>
    <t>KALORİFER HORTUM 206 1.4/1.6 BENİZNLİ</t>
  </si>
  <si>
    <t>1307.QEKRAFTVOLL</t>
  </si>
  <si>
    <t>KALORİFER HORTM 206</t>
  </si>
  <si>
    <t>1307.SYRPR</t>
  </si>
  <si>
    <t>YEDEK SU DEPO HORTUM PARTNER 2.0HDİ 03&gt;</t>
  </si>
  <si>
    <t>R15241</t>
  </si>
  <si>
    <t>1307.WLRPR</t>
  </si>
  <si>
    <t>YEDEK SU DEPO HORTUM 206 1.4/1.6 16V</t>
  </si>
  <si>
    <t>R15212</t>
  </si>
  <si>
    <t>1307.WLYTT</t>
  </si>
  <si>
    <t>YEDEK SU DEPO ALT HORTUM 206</t>
  </si>
  <si>
    <t>Y32108</t>
  </si>
  <si>
    <t>1307.XH</t>
  </si>
  <si>
    <t>YEDEK SU DEPO HORTUM 1007/C2/C3 03&gt;</t>
  </si>
  <si>
    <t>SOGUTMA</t>
  </si>
  <si>
    <t>1307.XHKRAFTVOLL</t>
  </si>
  <si>
    <t>1307.XHWIN</t>
  </si>
  <si>
    <t>WIN0500295</t>
  </si>
  <si>
    <t>YEDEK SU DEPO HORTUM 1.1İ/1.4HDİ/1.6 16V</t>
  </si>
  <si>
    <t xml:space="preserve">1307.XRWİNTECH </t>
  </si>
  <si>
    <t>WIN0500261</t>
  </si>
  <si>
    <t>YEDEK SU DEPO HORTUM 307 1.4HDİ DV4 01-05</t>
  </si>
  <si>
    <t xml:space="preserve">WİNTECH </t>
  </si>
  <si>
    <t>1307.XRYTT</t>
  </si>
  <si>
    <t>YEDEK SU DEPO HORTUM 307 1.4HDİ DV4</t>
  </si>
  <si>
    <t>Y32267</t>
  </si>
  <si>
    <t>1307.XTABRASSE</t>
  </si>
  <si>
    <t>YEDEK SU DEPOSU 307 DV4 1.4HDİ</t>
  </si>
  <si>
    <t>BRS-7100-PG</t>
  </si>
  <si>
    <t>1307.XWİBRAS</t>
  </si>
  <si>
    <t>YEDEK SU DEPO DÖNÜŞ HORTUM 206 1.4HDİ</t>
  </si>
  <si>
    <t xml:space="preserve">İBRAŞ </t>
  </si>
  <si>
    <t>1307.YPİBRAS</t>
  </si>
  <si>
    <t>YEDEK SU DEPO HORTUM TERMOSTATA C2/C3/1007 1.4HDİ</t>
  </si>
  <si>
    <t>1307.YPWIN</t>
  </si>
  <si>
    <t>WIN0500313</t>
  </si>
  <si>
    <t>1307.YZ</t>
  </si>
  <si>
    <t>ARKA BLOK SU BORUSU DW10 2.0HDİ</t>
  </si>
  <si>
    <t>1307.ZV</t>
  </si>
  <si>
    <t>YEDEK SU DEPO HORTUM DW8/DW10 PARTNER M59 96-03</t>
  </si>
  <si>
    <t>1323.ZV</t>
  </si>
  <si>
    <t>1307.ZVWIN</t>
  </si>
  <si>
    <t>WIN0500259</t>
  </si>
  <si>
    <t>YEDEK SU DEPO HORTUM PARTNER/BERLİNGO</t>
  </si>
  <si>
    <t>1308.CX</t>
  </si>
  <si>
    <t>FAN RÖLE KAPAĞI 206/307/308/5008</t>
  </si>
  <si>
    <t>1307.CX</t>
  </si>
  <si>
    <t>1310002DNK</t>
  </si>
  <si>
    <t xml:space="preserve">RADYATÖR ALT TRAVERS SACI CORSA.D </t>
  </si>
  <si>
    <t>DNK</t>
  </si>
  <si>
    <t>1310002TAP</t>
  </si>
  <si>
    <t>TAP.1310002</t>
  </si>
  <si>
    <t>RADYATÖR ÜST BAĞLANTI AYAĞI ASTRA.J/CRUZE/ZAFİRA.C/CASCADA</t>
  </si>
  <si>
    <t>1310936YTT</t>
  </si>
  <si>
    <t>RADYATÖR ÜST LASTİK CORSA.C/COMBO.C</t>
  </si>
  <si>
    <t>Y2318</t>
  </si>
  <si>
    <t>1310943Y</t>
  </si>
  <si>
    <t xml:space="preserve">RADYATÖR ALT LASTİK ASTRA.H </t>
  </si>
  <si>
    <t xml:space="preserve">1310954ASPART </t>
  </si>
  <si>
    <t>RADYATÖR ÜST TAKOZ VECTRA.A</t>
  </si>
  <si>
    <t>1310957RPR</t>
  </si>
  <si>
    <t>RADYATÖR ALT LASTİK ASTRA.F/G/VECTRA.B/CORSA.C/İNSİGNİA.A</t>
  </si>
  <si>
    <t>R59228</t>
  </si>
  <si>
    <t>1310958YTT</t>
  </si>
  <si>
    <t>RADYATÖR ÜST LASTİK VECTRA.B/ASTRA.G/ASTRA.F</t>
  </si>
  <si>
    <t>Y1579</t>
  </si>
  <si>
    <t>1310976ASPART</t>
  </si>
  <si>
    <t>6RRU1016</t>
  </si>
  <si>
    <t>RADYATÖR ÜST LASTİK ASTRA.J/İNSİGNİA.A/CORSA.D</t>
  </si>
  <si>
    <t>1311976METTE</t>
  </si>
  <si>
    <t>RADYATÖR ALT LASTİK CORSA.D</t>
  </si>
  <si>
    <t>754K4552</t>
  </si>
  <si>
    <t>1312.99BİT</t>
  </si>
  <si>
    <t>BPE309075</t>
  </si>
  <si>
    <t>RADYATÖR BAĞLANTI AYAK 206/307/207</t>
  </si>
  <si>
    <t>1312.A3NİFEA</t>
  </si>
  <si>
    <t>RADYATÖR VE FAN DAVLUMBAZ ALT LASTİK DV4/DV6/DW10</t>
  </si>
  <si>
    <t>1312.C5</t>
  </si>
  <si>
    <t>RADYATÖR BAĞLANTI AYAK 301</t>
  </si>
  <si>
    <t>1312.F2</t>
  </si>
  <si>
    <t>RADYATÖR ALT-ÜST LASTİK BİPPER/NEMO</t>
  </si>
  <si>
    <t>1312135DNK</t>
  </si>
  <si>
    <t>ÖN PANEL ORTA ASTRA.J</t>
  </si>
  <si>
    <t>13122971TAP</t>
  </si>
  <si>
    <t>OTOMATİK VİTES MANDALI EASYTRONİC CORSA.C/MERİVA.A</t>
  </si>
  <si>
    <t>TA.13122971</t>
  </si>
  <si>
    <t>13122971TMETTE</t>
  </si>
  <si>
    <t>754K4207</t>
  </si>
  <si>
    <t>1313000ROOT</t>
  </si>
  <si>
    <t>SİS FAR KAPAK ÜST BÜYÜK SOL ASTRA.J 13&gt;</t>
  </si>
  <si>
    <t>ÖN GÖĞÜSLÜK KOMPLE ASTRA.H FÜME</t>
  </si>
  <si>
    <t>1317.K0İBRAS</t>
  </si>
  <si>
    <t>YEDEK SU DEPO HORTUM (ALT) 307 1.4/1.6 HDİ DV4/DV6</t>
  </si>
  <si>
    <t>1317.K0KRAFTVOLL</t>
  </si>
  <si>
    <t>1317.K0RPR</t>
  </si>
  <si>
    <t>YEDEK SU DEPO HORTUM ALT 307 1.6HDİ DV6/1.4HDİ DV4</t>
  </si>
  <si>
    <t>R15201</t>
  </si>
  <si>
    <t>1317.K0ÜÇEL</t>
  </si>
  <si>
    <t>ÜÇEL</t>
  </si>
  <si>
    <t>1317.N7MES</t>
  </si>
  <si>
    <t>DEVİRDAİM HORTUM ARKA 1.4HDİ/1.6HDİ</t>
  </si>
  <si>
    <t>1317.N7RPR</t>
  </si>
  <si>
    <t>R15302</t>
  </si>
  <si>
    <t>1317.R8RPR</t>
  </si>
  <si>
    <t>YEDEK SU DEPO HORTUM DV6 1.6HDİ EURO4 (DEMİR)</t>
  </si>
  <si>
    <t>R15536</t>
  </si>
  <si>
    <t>1317.S5</t>
  </si>
  <si>
    <t xml:space="preserve">YEDEK SU DEPO ÇIKIŞ HORTUM PARTNER TEPEE/3008/5008 1.6HDİ EURO5 </t>
  </si>
  <si>
    <t>1317.S5NİFEA</t>
  </si>
  <si>
    <t>YEDEK SU DEPO ÇIKIŞ HORTUM PARTNER TEPEE/3008/5008 1.6HDİ EURO5</t>
  </si>
  <si>
    <t>1317.V2</t>
  </si>
  <si>
    <t>YEDEK SU DEPO HORTUM DV6 308/C4</t>
  </si>
  <si>
    <t>1317V2</t>
  </si>
  <si>
    <t>1317.V6RPR</t>
  </si>
  <si>
    <t>YEDEK SU DEPO HORTUM 207/208/1007/2007/301/C-ELYSEE/C2/C3/C4 1.6HDİ DV6C</t>
  </si>
  <si>
    <t>R15621</t>
  </si>
  <si>
    <t>13188288TAP</t>
  </si>
  <si>
    <t xml:space="preserve">BAGAJ TUTMA KOLU KOMPE CORSA.D </t>
  </si>
  <si>
    <t>1319.N5</t>
  </si>
  <si>
    <t>DEVİRDAİM ARKA BORU SEKMAN EP6CDT</t>
  </si>
  <si>
    <t>13191081HERTH+BUSS</t>
  </si>
  <si>
    <t>SİLECEK KUMANDA KOLU CORSA.D</t>
  </si>
  <si>
    <t>1320180GAF-SET</t>
  </si>
  <si>
    <t>ÖN PANJUR KOMPLE NİKELAJLI CORSA.D 11&gt;</t>
  </si>
  <si>
    <t>GAF</t>
  </si>
  <si>
    <t>1320196ROOT</t>
  </si>
  <si>
    <t>TAMPON ALT IZGARA CORSA.D 11-14</t>
  </si>
  <si>
    <t>1320197EUROSTAMP</t>
  </si>
  <si>
    <t>ÖN TAMPON ALT IZGARA CORSA.D 11&gt;</t>
  </si>
  <si>
    <t>EUROSTAMP</t>
  </si>
  <si>
    <t>101.14.7400</t>
  </si>
  <si>
    <t>1320210SET-METTE</t>
  </si>
  <si>
    <t>ÖN PANJUR KOMPLE ASTRA.J 13&gt;</t>
  </si>
  <si>
    <t>754K4976</t>
  </si>
  <si>
    <t>1320211+022SET-ROOT</t>
  </si>
  <si>
    <t>ÖN TAMPON ALT PANJUR KOMPLE NİKALAJLI ASTRA.J 13&gt;</t>
  </si>
  <si>
    <t>111118-119</t>
  </si>
  <si>
    <t>1320211PLEKSAN</t>
  </si>
  <si>
    <t>ÖN TAMPON ALT PANJUR ASTRA.J 13&gt;</t>
  </si>
  <si>
    <t>PLEKSAN</t>
  </si>
  <si>
    <t>1320211ROOT</t>
  </si>
  <si>
    <t>1320211ZYD-SET</t>
  </si>
  <si>
    <t>ÖN TAMPON ALT PANJUR KOMPLE NİKALAJLI ASTRA.J 13&gt;(SENSÖRLÜ)</t>
  </si>
  <si>
    <t>ZYD</t>
  </si>
  <si>
    <t>OP999442</t>
  </si>
  <si>
    <t>1320358WİSCO</t>
  </si>
  <si>
    <t>PANJUR ÖN KOMPLE ASTRA.H 04-07 (NİKELAJLI)</t>
  </si>
  <si>
    <t>2233507-00</t>
  </si>
  <si>
    <t>1320370KMP-WİSCO</t>
  </si>
  <si>
    <t>ÖN PANJUR KOMPLE ASTRA.H 07&gt;</t>
  </si>
  <si>
    <t>2233746-00</t>
  </si>
  <si>
    <t>1320377-TKM-METTE</t>
  </si>
  <si>
    <t>ÖN PANJUR KOMPLE NİKELAJLI İNSİGNİA.A 09-13</t>
  </si>
  <si>
    <t>754K5104</t>
  </si>
  <si>
    <t>13212251Y</t>
  </si>
  <si>
    <t>KAPUT-BAGAJ AYAR TAKOZ ASTRA.H/J/K//CORSA.D/E</t>
  </si>
  <si>
    <t>13219067DOGRU</t>
  </si>
  <si>
    <t>HELEZON YAY ÖN ALT İZALASYON LASTİĞİ ASTRA.J/İNSİGNİA.A/ZAFİRA.C/CRUZE</t>
  </si>
  <si>
    <t>SÜSPANSİYON</t>
  </si>
  <si>
    <t>DK90-1206</t>
  </si>
  <si>
    <t>13219067YTT</t>
  </si>
  <si>
    <t>Y20270</t>
  </si>
  <si>
    <t>1322025ROOT</t>
  </si>
  <si>
    <t>ÖN TAMPON ALT PANJUR ÇITASI SİYAH</t>
  </si>
  <si>
    <t>1323.11ABRASSE</t>
  </si>
  <si>
    <t xml:space="preserve">YEDEK SU DEPO 206 1.4/1.6 16V </t>
  </si>
  <si>
    <t>BRS-7111-PG</t>
  </si>
  <si>
    <t>1323.11MARELLİ</t>
  </si>
  <si>
    <t>YEDEK SU DEPO 206 1.4/1.6 16V</t>
  </si>
  <si>
    <t>1323.12NİFEA</t>
  </si>
  <si>
    <t>YEDEK SU DEPO HORTUM 206 1.4/1.6 TU5JP4/TU3JP</t>
  </si>
  <si>
    <t>1323.21</t>
  </si>
  <si>
    <t xml:space="preserve">YEDEK SU DEPO HORTUM 307 ET3J4/TU5JP4 1.4/1.6 16V </t>
  </si>
  <si>
    <t>1323.21NİFEA</t>
  </si>
  <si>
    <t>1323.23ABRASSE</t>
  </si>
  <si>
    <t>YEDEK SU DEPO PARTNER/BERLİNGO M59 1.6HDİ/2.0HDİ</t>
  </si>
  <si>
    <t>BRS-7104-PG</t>
  </si>
  <si>
    <t>1323.23NRF</t>
  </si>
  <si>
    <t>1323.23PLEKSAN</t>
  </si>
  <si>
    <t>1323.23SPK</t>
  </si>
  <si>
    <t>SPK</t>
  </si>
  <si>
    <t>223-K</t>
  </si>
  <si>
    <t>1323.24KRAFTVOLL</t>
  </si>
  <si>
    <t>YEDEK SU DEPO HORTUM DW8 1.9D PARTNER(TERMOSTAT GÖVDEYE GELEN)</t>
  </si>
  <si>
    <t>1323.48KRAFTVOLL</t>
  </si>
  <si>
    <t>YEDEK SU DEPO HORTUM 206 1.4HDİ DV4 (DEPO-RADYATÖR ARASI)</t>
  </si>
  <si>
    <t>1323.48WINTECH</t>
  </si>
  <si>
    <t>WINTECH</t>
  </si>
  <si>
    <t>WIN0500278</t>
  </si>
  <si>
    <t xml:space="preserve">1323.86KALE </t>
  </si>
  <si>
    <t>YEDEK SU DEPO 307 1.4/1.6 16V/1.6HDİ</t>
  </si>
  <si>
    <t>1323.A0VEMA</t>
  </si>
  <si>
    <t>YEDEK SU DEPO 307/C4 ET3J4/TU5JP4</t>
  </si>
  <si>
    <t>1323.A1WIN</t>
  </si>
  <si>
    <t>WIN0500297</t>
  </si>
  <si>
    <t>YEDEK SU DEPO HORTUM 307/C4  04-11 1.6HDİ</t>
  </si>
  <si>
    <t>1323.A1YTT</t>
  </si>
  <si>
    <t>Y23023</t>
  </si>
  <si>
    <t xml:space="preserve">1323.A3KALE </t>
  </si>
  <si>
    <t>YEDEK SU DEPOSU  307/C4 1.4/1.6 16V /DV6TED4</t>
  </si>
  <si>
    <t>1323.A5</t>
  </si>
  <si>
    <t>YEDEK SU DEPO HORTUM 1.6/2.0 16V 307/308/C4/DS4/TEPEE(08&gt;)</t>
  </si>
  <si>
    <t>1323.A5İBRAS</t>
  </si>
  <si>
    <t>1323.A5NİFEA</t>
  </si>
  <si>
    <t>1323.A5WİNTECH</t>
  </si>
  <si>
    <t>WIN0500260</t>
  </si>
  <si>
    <t>1323.CEÜÇEL</t>
  </si>
  <si>
    <t>YEDEK SU DEPO 05&gt; PARTNER/BERLİNGO 1.6HDİ/2.0HDİ</t>
  </si>
  <si>
    <t>1323.CF</t>
  </si>
  <si>
    <t>YEDEK SU DEPO HORTUM 1.6HDİ EURO4 PARTNER 05-15</t>
  </si>
  <si>
    <t>1323.CTVEMA</t>
  </si>
  <si>
    <t>YEDEK SU DEPOSU BİPPER/NEMO</t>
  </si>
  <si>
    <t>1323.CWKRAFTVOLL</t>
  </si>
  <si>
    <t>YEDEK SU DEPO BAĞLANTI HORTUM KOMPLE 1.4HDİ DV4 BİPPER/NEMO</t>
  </si>
  <si>
    <t>1323.F9NİFEA</t>
  </si>
  <si>
    <t>YEDEK SU DEPO HORTUM C1 1.4HDİ</t>
  </si>
  <si>
    <t>1323.FA</t>
  </si>
  <si>
    <t>YEDEK SU DEPOSU  307/308/RCZ/C4 DW6/DW10CTED/ET3J4 1.4 16V</t>
  </si>
  <si>
    <t>1323.FGFROW</t>
  </si>
  <si>
    <t>RADYATÖR ALT HORTUM 206/206+/307/C3/C4</t>
  </si>
  <si>
    <t>1323.G5İBRAS</t>
  </si>
  <si>
    <t xml:space="preserve">YEDEK SU DEPO HORTUM C1/107 DV4 1.4HDİ </t>
  </si>
  <si>
    <t>1323.G5WINTECH</t>
  </si>
  <si>
    <t>WIN0500363</t>
  </si>
  <si>
    <t>YEDEK SU DEPO HORTUM C1/107 DV4 1.4HDİ</t>
  </si>
  <si>
    <t>1323.G8</t>
  </si>
  <si>
    <t>SU DAĞITIM AHTAPOT BORU PARTNER/BERLİNGO M59 DW8 1.9D</t>
  </si>
  <si>
    <t>1323.G8BİTAPART</t>
  </si>
  <si>
    <t>BPE210073</t>
  </si>
  <si>
    <t>1323.H6WINTECH</t>
  </si>
  <si>
    <t xml:space="preserve">YEDEK SU DEPO HORTUM 307 DV4 1.4HDİ (TERMOSTATA GİDEN) </t>
  </si>
  <si>
    <t>1323.HA</t>
  </si>
  <si>
    <t xml:space="preserve">YEDEK SU DEPO HORTUM 508 I/C5 X7/10-18 1.6HDİ EURO5 </t>
  </si>
  <si>
    <t>1323.JQ</t>
  </si>
  <si>
    <t>YEDEK SU DEPO DÖNÜŞ HORTUM EP6CDT</t>
  </si>
  <si>
    <t>1323.V1ABRASSE</t>
  </si>
  <si>
    <t>YEDEK SU DEPOSU 407/C5 X7 1.6HDİ/2.0HDİ/EPCDT/C5 X7</t>
  </si>
  <si>
    <t>BRS-7113-PG</t>
  </si>
  <si>
    <t>1323.V3BİT</t>
  </si>
  <si>
    <t>BPE260078</t>
  </si>
  <si>
    <t>SU KOLLEKTÖR HAVA ALMA TAPASI DV6/DV4</t>
  </si>
  <si>
    <t>1323.V3İBRAS</t>
  </si>
  <si>
    <t>1323.V3NİFEA</t>
  </si>
  <si>
    <t>1323.X6FROW</t>
  </si>
  <si>
    <t>YEDEK SU DEPO 3008/5008/TEPEE/C4 10&gt;(B7)DS4/DS5/BERLİNGO B9</t>
  </si>
  <si>
    <t>1323.X6KALE</t>
  </si>
  <si>
    <t>1323.X6VEMA</t>
  </si>
  <si>
    <t>YEDEK SU DEPOSU 3008/5008/TEPEE/C4/C4 PCS./DS4/DS5</t>
  </si>
  <si>
    <t>1323.Y2</t>
  </si>
  <si>
    <t>YEDEK SU DEPO HORTUM 206 1.4/1.6 8V/16V YTU5JP4/TU3JP/TU3AF</t>
  </si>
  <si>
    <t>1323.Y2WİNTECH</t>
  </si>
  <si>
    <t>WIN0500276</t>
  </si>
  <si>
    <t>1323.Z5BİTAPART</t>
  </si>
  <si>
    <t>YEDEK SU DEPOSU 206 DV4TD 1.4HDİ (MONTAJ)</t>
  </si>
  <si>
    <t>1323.Z5</t>
  </si>
  <si>
    <t>1323.Z6</t>
  </si>
  <si>
    <t>YEDEK SU DEPO HORTUM 206/206+ DV4TD 1.4HDİ</t>
  </si>
  <si>
    <t>1323.Z6İBRAS</t>
  </si>
  <si>
    <t>1323.Z9</t>
  </si>
  <si>
    <t>YEDEK SU DEPO HORTUM 1.6HDİ/1.6/1.4-16V</t>
  </si>
  <si>
    <t>1323.Z9WİNTECH</t>
  </si>
  <si>
    <t>WIN0500262</t>
  </si>
  <si>
    <t>13239221LEMFÖRDER</t>
  </si>
  <si>
    <t>ARKA DENGE KOLU FİŞEGİ İNSİGNİA.A(13219171 E GELEN)</t>
  </si>
  <si>
    <t>LEMFÖRDER</t>
  </si>
  <si>
    <t>13239610ASPART</t>
  </si>
  <si>
    <t>8TBC1011</t>
  </si>
  <si>
    <t>V KAYIŞ KORUMA KAPAGI ASTRA.J/CRUZE/İNSİGNİA.A/ZAFİRA.C</t>
  </si>
  <si>
    <t>13239610METTE</t>
  </si>
  <si>
    <t>754K5026</t>
  </si>
  <si>
    <t>1324033WİSCO</t>
  </si>
  <si>
    <t>ÖN PANJUR ARMASI ASTRA.H 04-07</t>
  </si>
  <si>
    <t>2233510-00</t>
  </si>
  <si>
    <t>13248551Y</t>
  </si>
  <si>
    <t>MOTOR TAKOZ SOL CRUZE</t>
  </si>
  <si>
    <t xml:space="preserve">MOTOR TAKOZ </t>
  </si>
  <si>
    <t xml:space="preserve">13248607ASPART </t>
  </si>
  <si>
    <t>8ESU1015</t>
  </si>
  <si>
    <t>MOTOR TAKOZ ÖN CRUZE/ASTRA.J/MOKKA</t>
  </si>
  <si>
    <t>13248607DOGRU</t>
  </si>
  <si>
    <t>MOTOR TAKOZ ÖN CRUZE F14D4</t>
  </si>
  <si>
    <t>DK90-3028</t>
  </si>
  <si>
    <t>13248607YTT</t>
  </si>
  <si>
    <t>Y3125</t>
  </si>
  <si>
    <t>13251729WIN</t>
  </si>
  <si>
    <t>WIN0500628</t>
  </si>
  <si>
    <t>YAKIT BORUSU İNSİGNİA.A B16DTH</t>
  </si>
  <si>
    <t>13252362YTT</t>
  </si>
  <si>
    <t>AMORTİSÖR TAKOZ MOKKA/TRAX/CRUZE</t>
  </si>
  <si>
    <t>Y2412</t>
  </si>
  <si>
    <t>AMORTİSÖR DARBE TAKOZ ÖN İNSİGNİA.A</t>
  </si>
  <si>
    <t>KA</t>
  </si>
  <si>
    <t>13258265METTE</t>
  </si>
  <si>
    <t>ARKA KAPI KİLİDİ SOL CORSA.D</t>
  </si>
  <si>
    <t>754K6257</t>
  </si>
  <si>
    <t>JANT 17İNÇ ASTRA.J</t>
  </si>
  <si>
    <t>132608Y</t>
  </si>
  <si>
    <t>KAPI MENTEŞE PİMİ CORSA.B/ ASTRA.F/G/VECTRA.A/B/OMEGA.A/B</t>
  </si>
  <si>
    <t>132670FROW</t>
  </si>
  <si>
    <t xml:space="preserve">BAGAJ AMORTİSÖR CORSA.C </t>
  </si>
  <si>
    <t>132670KRAFTVOLL</t>
  </si>
  <si>
    <t>13267652METTE</t>
  </si>
  <si>
    <t>SU RADYATÖR ASTRA.J/CRUZE A16XER +AT</t>
  </si>
  <si>
    <t>124R32055</t>
  </si>
  <si>
    <t>132677MANUS</t>
  </si>
  <si>
    <t>BAGAJ AMORTİSÖR ASTRA.G HB.</t>
  </si>
  <si>
    <t>MANUS</t>
  </si>
  <si>
    <t>291101RC/H</t>
  </si>
  <si>
    <t>132725TUFF</t>
  </si>
  <si>
    <t>BAGAJ AMORTİSÖR CORSA.B 5KAPI</t>
  </si>
  <si>
    <t>13272605ASPART</t>
  </si>
  <si>
    <t>1CAR1339</t>
  </si>
  <si>
    <t xml:space="preserve">SALINCAK SOL ASTRA.J/CRUZE   </t>
  </si>
  <si>
    <t>13272605AYD</t>
  </si>
  <si>
    <t xml:space="preserve">SALINCAK SOL ASTRA.J/CRUZE </t>
  </si>
  <si>
    <t>AYD</t>
  </si>
  <si>
    <t>97-10187</t>
  </si>
  <si>
    <t>13272605FROW</t>
  </si>
  <si>
    <t>13272605KRAFTVOLL</t>
  </si>
  <si>
    <t xml:space="preserve">SALINCAK SOL ASTRA.J/CRUZE    </t>
  </si>
  <si>
    <t>13272606ASPART</t>
  </si>
  <si>
    <t>1CAR1338</t>
  </si>
  <si>
    <t xml:space="preserve">SALINCAK SAĞ ASTRA.J/CRUZE   </t>
  </si>
  <si>
    <t>13272606AYD</t>
  </si>
  <si>
    <t xml:space="preserve">SALINCAK SAĞ ASTRA.J/CRUZE </t>
  </si>
  <si>
    <t>97-10188</t>
  </si>
  <si>
    <t>13278357ASPART</t>
  </si>
  <si>
    <t xml:space="preserve">DİREKSİYON KÖRÜĞÜ HİD.DİR+ ASTRA.J/CRUZE </t>
  </si>
  <si>
    <t>1BST1032</t>
  </si>
  <si>
    <t>13278358AYD</t>
  </si>
  <si>
    <t>ROT MİLİ ASTRA.J/CRUZE (ELK.DİR.HARİÇ)</t>
  </si>
  <si>
    <t xml:space="preserve">AYD </t>
  </si>
  <si>
    <t>95-10190</t>
  </si>
  <si>
    <t>13278358SWAPP</t>
  </si>
  <si>
    <t>40-10190</t>
  </si>
  <si>
    <t>13278359AYD</t>
  </si>
  <si>
    <t>ROT BAŞI ASTRA.J/CRUZE (HİD.DİREK İÇİN)</t>
  </si>
  <si>
    <t>91-10189</t>
  </si>
  <si>
    <t>13285997İTHAL</t>
  </si>
  <si>
    <t>ÇEKİ DEMİR KAPAĞI CORSA.D 11&gt;</t>
  </si>
  <si>
    <t>İTHAL</t>
  </si>
  <si>
    <t>13286445HERTH+BUSS</t>
  </si>
  <si>
    <t>FREN ANA MERKEZ ASTRA.J/CRUZE/İNSİGNİA.A</t>
  </si>
  <si>
    <t>FREN MERKEZ</t>
  </si>
  <si>
    <t>J3100926</t>
  </si>
  <si>
    <t>13286445METTE</t>
  </si>
  <si>
    <t>FREN ANA MERKEZ ASTRA.J/İNSİGNİA.A/CRUZE</t>
  </si>
  <si>
    <t>987B3615</t>
  </si>
  <si>
    <t xml:space="preserve">13286687AYD </t>
  </si>
  <si>
    <t>ROT MİLİ OPEL ASTRA.J ELEK. SERVO DİR.İÇİN</t>
  </si>
  <si>
    <t>95-10074</t>
  </si>
  <si>
    <t>13287459WİSCO</t>
  </si>
  <si>
    <t>ARKA TAMPON DİFİZÖR ÇİFT EKSOZ ÇIKIŞLI İNSİGNİA.A 13-18</t>
  </si>
  <si>
    <t>2233688-00</t>
  </si>
  <si>
    <t xml:space="preserve">13293994ELRİNG </t>
  </si>
  <si>
    <t>EKSOZ BOGAZ CONTA A16XHT</t>
  </si>
  <si>
    <t>1330.45VEKA</t>
  </si>
  <si>
    <t>SU RADYATÖRÜ MEKANİK 306/XSARA (RAD.ALT HRT. SEKMANLI TİP)</t>
  </si>
  <si>
    <t>16-3308</t>
  </si>
  <si>
    <t>1330.84KRAFTVOLL</t>
  </si>
  <si>
    <t>SU RADYATÖR BRAZİNG 307/C4/1.4/1.6 16V//XSARA VTS 2.0 16V</t>
  </si>
  <si>
    <t>1330.F4+BRZ-MGA</t>
  </si>
  <si>
    <t>SU RADYATÖR BRAZİNG 206/307/PARTNER/BERLİNGO</t>
  </si>
  <si>
    <t>1330.F4-26MMBALKAN</t>
  </si>
  <si>
    <t>BPE020B26</t>
  </si>
  <si>
    <t>SU RADYATÖR BRAZİNG 206/307/PARTNER/BERLİNGO 26MM</t>
  </si>
  <si>
    <t>1330.F4BALKAN</t>
  </si>
  <si>
    <t>SU RADYATÖR BRAZİNG 206/307/PARTNER/BERLİNGO 16mm</t>
  </si>
  <si>
    <t>BPE020B16</t>
  </si>
  <si>
    <t>1330.F4EUROFAN</t>
  </si>
  <si>
    <t>SU RADYATÖR BRAZİNG 206/307/PARTNER/BERLİNGO(ÇOK APARATLI) 22mm</t>
  </si>
  <si>
    <t>EUROFAN</t>
  </si>
  <si>
    <t>E-FAN1330.F</t>
  </si>
  <si>
    <t>1330.F4MGA</t>
  </si>
  <si>
    <t>SU RADYATÖR MEKANİK 206/307/PARTNER/BERLİNGO</t>
  </si>
  <si>
    <t>1330.F4ORİS-26MM</t>
  </si>
  <si>
    <t>BPE020022</t>
  </si>
  <si>
    <t>1330.F4SWAPP</t>
  </si>
  <si>
    <t xml:space="preserve">SU RADYATÖR BRAZİNG 26mm 206/307/PARTNER/BERLİNGO </t>
  </si>
  <si>
    <t xml:space="preserve">1330.FPKALE </t>
  </si>
  <si>
    <t>SU RADYATÖR BRAZİNG  206/206+ 1.4 8V/16V//1.6 8V/16V</t>
  </si>
  <si>
    <t>2038011AB</t>
  </si>
  <si>
    <t>1330.P9KALE</t>
  </si>
  <si>
    <t>SU RADYATÖR BRAZİNG 301/207/208/2008/C2/C4/C-ELYSEE/DS3</t>
  </si>
  <si>
    <t>1330.P9KRAFTVOLL</t>
  </si>
  <si>
    <t>1330.V0KRAFTVOLL</t>
  </si>
  <si>
    <t>SU RADYATÖR BRAZİNG BİPPER/NEMO DV4 1.4HDİ</t>
  </si>
  <si>
    <t>1330.V0ORİS</t>
  </si>
  <si>
    <t>BFI033022</t>
  </si>
  <si>
    <t xml:space="preserve">1330.W2KALE </t>
  </si>
  <si>
    <t>2061011AB</t>
  </si>
  <si>
    <t>SU RADYATÖR BRAZİNG 04&gt;307/308/407/3008/C4/C5 1.6HDİ/2.0HDİ/PRT.TEPEE 1.6HDİ</t>
  </si>
  <si>
    <t>1330.W2ORİS</t>
  </si>
  <si>
    <t>BPE050016</t>
  </si>
  <si>
    <t>1330.X2VALEO</t>
  </si>
  <si>
    <t>SU RADYATÖR  508/C5 X7 EP6/EP6CDT BRAZİNG</t>
  </si>
  <si>
    <t>1330.X2VEKA</t>
  </si>
  <si>
    <t>VEKA</t>
  </si>
  <si>
    <t>16-3328B</t>
  </si>
  <si>
    <t>13304695Y</t>
  </si>
  <si>
    <t>RADYATÖR ALT LASTİK ASTRA.J/İNSİGNİA.A/CRUZE</t>
  </si>
  <si>
    <t>13308302DFG</t>
  </si>
  <si>
    <t>HAVA FİLTRE HORTUM CRUZE A16XER</t>
  </si>
  <si>
    <t>DFG</t>
  </si>
  <si>
    <t>13308302METTE</t>
  </si>
  <si>
    <t xml:space="preserve">HAVA FİLTRE HORTUM CRUZE A16XER </t>
  </si>
  <si>
    <t>754K4660</t>
  </si>
  <si>
    <t>MOTOR TAKOZ SOL İNSİGNİA.A A20DTH/A20NHT</t>
  </si>
  <si>
    <t>Y20279</t>
  </si>
  <si>
    <t>13313656İTHAL</t>
  </si>
  <si>
    <t>VİTES TELİ UÇ KLİPSİ ASTRA.J/İNSİGNİA.A/CRUZE +AT</t>
  </si>
  <si>
    <t xml:space="preserve">13313656METTE </t>
  </si>
  <si>
    <t>835N5084</t>
  </si>
  <si>
    <t>13319412ZYD</t>
  </si>
  <si>
    <t>ARKA DİNGİL ASTRA.J 10&gt;</t>
  </si>
  <si>
    <t>OP999521</t>
  </si>
  <si>
    <t>13328572522HENGST</t>
  </si>
  <si>
    <t>MAZOT FİLTRESİ N47 F20/30 B-37</t>
  </si>
  <si>
    <t>MAZOT FİLTRE</t>
  </si>
  <si>
    <t>H351WK</t>
  </si>
  <si>
    <t>13332257LEMFÖRDER</t>
  </si>
  <si>
    <t>ARKA DENGE KOLU WATTSS BAGLANTISI ASTRA.J/ASTRA.K/ZAFİRA.C/CASCADA</t>
  </si>
  <si>
    <t>13335181TAP</t>
  </si>
  <si>
    <t>FAN REZİSTANSI ASTRA.J/CRUZE</t>
  </si>
  <si>
    <t>ITH.94749639</t>
  </si>
  <si>
    <t>P13337826</t>
  </si>
  <si>
    <t>RADYATÖR ALT BAĞLANTI AYAĞI ASTRA.J/CRUZE/ZAFİRA.C/CASCADA</t>
  </si>
  <si>
    <t>13338427YTT</t>
  </si>
  <si>
    <t>KALORİFER ÇIKIŞ HORTUM ASTRA.J A16XER/B16XER/A16LET</t>
  </si>
  <si>
    <t>Y11778</t>
  </si>
  <si>
    <t>1334008BENDİX</t>
  </si>
  <si>
    <t>DEVİRDAİM 1.8/2.0 8V 88-92</t>
  </si>
  <si>
    <t>BENDİX</t>
  </si>
  <si>
    <t>190087B</t>
  </si>
  <si>
    <t xml:space="preserve">1334008DOLZ </t>
  </si>
  <si>
    <t>O117</t>
  </si>
  <si>
    <t xml:space="preserve">1334008ELİTCAR </t>
  </si>
  <si>
    <t xml:space="preserve">ELİTCAR </t>
  </si>
  <si>
    <t>SPA325</t>
  </si>
  <si>
    <t>1334054ELİTCAR</t>
  </si>
  <si>
    <t>DEVİRDAİM VECTRA.A 1.8/2.0 8V 93-95</t>
  </si>
  <si>
    <t>SPA577</t>
  </si>
  <si>
    <t>1334054FİXON</t>
  </si>
  <si>
    <t>FİXON</t>
  </si>
  <si>
    <t>FXS-28500002</t>
  </si>
  <si>
    <t>1334054SUPSAN</t>
  </si>
  <si>
    <t>PW0048</t>
  </si>
  <si>
    <t>1334054THERMAX</t>
  </si>
  <si>
    <t>T01.172</t>
  </si>
  <si>
    <t>1334065ASPART</t>
  </si>
  <si>
    <t>6WPU1186</t>
  </si>
  <si>
    <t xml:space="preserve">DEVİRDAİM 1.2/1.4 8V ASTRA.F/CORSA.B/KALOS/AVEO 1.4 8V </t>
  </si>
  <si>
    <t xml:space="preserve">1334065DOLZ </t>
  </si>
  <si>
    <t>O106</t>
  </si>
  <si>
    <t xml:space="preserve">1334065ELİTCAR </t>
  </si>
  <si>
    <t>SPA442</t>
  </si>
  <si>
    <t>1334065FİXON</t>
  </si>
  <si>
    <t>1334065GRAF</t>
  </si>
  <si>
    <t>DEVİRDAİM 1.2/1.4 8V ASTRA.F/CORSA.B/KALOS/AVEO 1.4 8V</t>
  </si>
  <si>
    <t>PA442</t>
  </si>
  <si>
    <t>1334065HERTH+BUSS</t>
  </si>
  <si>
    <t xml:space="preserve">DEVİRDAİM 1.2/1.4 8V ASTRA.F/CORSA.B/KALOS/AVEO 1.4 8V  </t>
  </si>
  <si>
    <t>J1510900</t>
  </si>
  <si>
    <t>1334065JUST</t>
  </si>
  <si>
    <t>JUST</t>
  </si>
  <si>
    <t>WP2000</t>
  </si>
  <si>
    <t>1334065KRAFTVOLL</t>
  </si>
  <si>
    <t>1334065OPTİMAL</t>
  </si>
  <si>
    <t>OPTİMAL</t>
  </si>
  <si>
    <t>AQ-1474</t>
  </si>
  <si>
    <t>1334065THERMAX</t>
  </si>
  <si>
    <t>T01.160</t>
  </si>
  <si>
    <t>1334066MARELLİ</t>
  </si>
  <si>
    <t>DEVİRDAİM X14XE/X16XE</t>
  </si>
  <si>
    <t>1334073AIRTEX</t>
  </si>
  <si>
    <t>DEVİRDAİM Y17DT CORSA.C/ASTRA.G</t>
  </si>
  <si>
    <t>1334073ELİTCAR</t>
  </si>
  <si>
    <t>SPA834</t>
  </si>
  <si>
    <t>1334073KALE</t>
  </si>
  <si>
    <t>1334073THERMAX</t>
  </si>
  <si>
    <t>T01.196</t>
  </si>
  <si>
    <t>1334115ELİTCAR</t>
  </si>
  <si>
    <t>DEVİRDAİM CORSA.B/COMBO.B 1.7D/X17D/</t>
  </si>
  <si>
    <t>SPA664</t>
  </si>
  <si>
    <t>1334117AKD</t>
  </si>
  <si>
    <t>DEVİRDAİM X20DTH/Y20DTH/X22DTH</t>
  </si>
  <si>
    <t>OP105111</t>
  </si>
  <si>
    <t>1334117ASPART</t>
  </si>
  <si>
    <t>6WPU1217</t>
  </si>
  <si>
    <t>1334129ELRİNG</t>
  </si>
  <si>
    <t>DEVİRDAİM CONTA A12XER/A14XER/A14NET/B14NET</t>
  </si>
  <si>
    <t>1334129PRESTIGE</t>
  </si>
  <si>
    <t>PRESTIGE</t>
  </si>
  <si>
    <t>1334135MARELLİ</t>
  </si>
  <si>
    <t>DEVİRDAİM X18XE/Z18XE</t>
  </si>
  <si>
    <t>1334139AIRTEX</t>
  </si>
  <si>
    <t>DEVİRDAİM X20XEV</t>
  </si>
  <si>
    <t>1334139BENDİX</t>
  </si>
  <si>
    <t>190049B</t>
  </si>
  <si>
    <t xml:space="preserve">1334139DOLZ </t>
  </si>
  <si>
    <t>O139</t>
  </si>
  <si>
    <t xml:space="preserve">1334139ELİTCAR </t>
  </si>
  <si>
    <t>SPA572</t>
  </si>
  <si>
    <t>1334139GRAF</t>
  </si>
  <si>
    <t xml:space="preserve">DEVİRDAİM X20XEV </t>
  </si>
  <si>
    <t>PA572</t>
  </si>
  <si>
    <t>1334139GSP</t>
  </si>
  <si>
    <t>WP900549A</t>
  </si>
  <si>
    <t>1334139KALE</t>
  </si>
  <si>
    <t>1334139LUCAS</t>
  </si>
  <si>
    <t>LWP4115M</t>
  </si>
  <si>
    <t>1334139OPTİMAL</t>
  </si>
  <si>
    <t>AQ-1499</t>
  </si>
  <si>
    <t>1334139SUPSAN</t>
  </si>
  <si>
    <t>PW0095-01</t>
  </si>
  <si>
    <t>1334139THERMAX</t>
  </si>
  <si>
    <t>T01.168</t>
  </si>
  <si>
    <t>1334142AIRTEX</t>
  </si>
  <si>
    <t>DEVİRDAİM Z16XEP/A16XER/A16LET</t>
  </si>
  <si>
    <t xml:space="preserve">AIRTEX </t>
  </si>
  <si>
    <t>1334142ASPART</t>
  </si>
  <si>
    <t>6WPU1207</t>
  </si>
  <si>
    <t>1334142DOLZ</t>
  </si>
  <si>
    <t>O263</t>
  </si>
  <si>
    <t>1334142ELİTCAR</t>
  </si>
  <si>
    <t>ELİTCAR</t>
  </si>
  <si>
    <t>SPA959</t>
  </si>
  <si>
    <t xml:space="preserve">1334142GRAF </t>
  </si>
  <si>
    <t>PA959</t>
  </si>
  <si>
    <t>1334142KRAFTVOLL</t>
  </si>
  <si>
    <t xml:space="preserve">DEVİRDAİM Z16XEP/A16XER/A16LET </t>
  </si>
  <si>
    <t>1334142LUCAS</t>
  </si>
  <si>
    <t>LWP4114M</t>
  </si>
  <si>
    <t>1334142PIERBURG</t>
  </si>
  <si>
    <t>7.07152.21.0</t>
  </si>
  <si>
    <t xml:space="preserve">1334142SUPSAN </t>
  </si>
  <si>
    <t>PW0095</t>
  </si>
  <si>
    <t>1334142THERMAX</t>
  </si>
  <si>
    <t>T01.169</t>
  </si>
  <si>
    <t>1334142VALEO</t>
  </si>
  <si>
    <t>1334145AIRTEX</t>
  </si>
  <si>
    <t>DEVİRDAİM Z12XEP/Z14XEP MÜŞÜRLÜ</t>
  </si>
  <si>
    <t>1334145ASPART</t>
  </si>
  <si>
    <t>6WPU1212</t>
  </si>
  <si>
    <t>DEVİRDAİM Z12XEP/Z14XEP</t>
  </si>
  <si>
    <t>1334145BENDİX</t>
  </si>
  <si>
    <t>190051B</t>
  </si>
  <si>
    <t>1334145GRAF</t>
  </si>
  <si>
    <t>PA958</t>
  </si>
  <si>
    <t>1334145JUST</t>
  </si>
  <si>
    <t xml:space="preserve">JUST </t>
  </si>
  <si>
    <t>WP2017</t>
  </si>
  <si>
    <t>1334145KRAFTVOLL</t>
  </si>
  <si>
    <t xml:space="preserve">DEVİRDAİM Z12XEP/Z14XEP </t>
  </si>
  <si>
    <t>1334145SUPSAN</t>
  </si>
  <si>
    <t>PW0099</t>
  </si>
  <si>
    <t>DEVİRDAİM A12XER/A14XER/A14NET</t>
  </si>
  <si>
    <t>1334219AIRTEX</t>
  </si>
  <si>
    <t>1334219ASPART</t>
  </si>
  <si>
    <t>6WPU1206</t>
  </si>
  <si>
    <t>1334219CRAFTEURO</t>
  </si>
  <si>
    <t xml:space="preserve">DEVİRDAİM A12XER/A14XER/A14NET </t>
  </si>
  <si>
    <t>1334219DOLZ</t>
  </si>
  <si>
    <t>O267</t>
  </si>
  <si>
    <t>1334219GRAF</t>
  </si>
  <si>
    <t>PA1285</t>
  </si>
  <si>
    <t>1334219HONGZE</t>
  </si>
  <si>
    <t xml:space="preserve">DEVİRDAİM A12XER/A14XER/A14NET  </t>
  </si>
  <si>
    <t xml:space="preserve">HONGZE </t>
  </si>
  <si>
    <t xml:space="preserve">1334219KALE </t>
  </si>
  <si>
    <t>1334219PIERBURG</t>
  </si>
  <si>
    <t>7.07152.24.0</t>
  </si>
  <si>
    <t>1334219SUPSAN</t>
  </si>
  <si>
    <t>PW0100</t>
  </si>
  <si>
    <t xml:space="preserve">1334219VALEO </t>
  </si>
  <si>
    <t>1334244DOLZ</t>
  </si>
  <si>
    <t>DEVİRDAİM B16DTH İNS.A/AST.J/K</t>
  </si>
  <si>
    <t>O201</t>
  </si>
  <si>
    <t>1334284ASPART</t>
  </si>
  <si>
    <t>6WPU1211</t>
  </si>
  <si>
    <t>DEVİRDAİM A20DTH/Z19DTH</t>
  </si>
  <si>
    <t xml:space="preserve">1334284DOLZ </t>
  </si>
  <si>
    <t>A300</t>
  </si>
  <si>
    <t>1334284LPR</t>
  </si>
  <si>
    <t>LPR</t>
  </si>
  <si>
    <t>WP0340</t>
  </si>
  <si>
    <t>1334284LUCAS</t>
  </si>
  <si>
    <t>LWP9120M</t>
  </si>
  <si>
    <t>1334284MARELLİ</t>
  </si>
  <si>
    <t>1334633METTE</t>
  </si>
  <si>
    <t xml:space="preserve">DEVİRDAİM CONTA X12XE </t>
  </si>
  <si>
    <t>266C2198</t>
  </si>
  <si>
    <t xml:space="preserve">13346363İBRAS </t>
  </si>
  <si>
    <t xml:space="preserve">RADYATÖR ALT HORTUM ASTRA.J B16DTH </t>
  </si>
  <si>
    <t>13346364İBRAS</t>
  </si>
  <si>
    <t>RADYATÖR ÜST HORTUM ASTRA.J B16DTH MANUEL</t>
  </si>
  <si>
    <t xml:space="preserve">1334637ELRİNG </t>
  </si>
  <si>
    <t>DEVİRDAİM CONTA Z12XEP/Z14XEP</t>
  </si>
  <si>
    <t>13346488ASPART</t>
  </si>
  <si>
    <t>1SRU1143</t>
  </si>
  <si>
    <t>VİRAJ DEMİR LASTİK CRUZE J300</t>
  </si>
  <si>
    <t>1335002İBRAS</t>
  </si>
  <si>
    <t>ELEKTRİKLİ DEVİRDAİM HORTUM A16XHT/B16SHL</t>
  </si>
  <si>
    <t>13356026YTT</t>
  </si>
  <si>
    <t>AMORTİSÖR DARBE TAKOZ ÖN ASTRA.J/CRUZE/ZAFİRA.C</t>
  </si>
  <si>
    <t>Y20293</t>
  </si>
  <si>
    <t>1336.A1FROWAS</t>
  </si>
  <si>
    <t>TERMOSTAT KAPAGI XU7JP 306/406/XM</t>
  </si>
  <si>
    <t>1336.AF</t>
  </si>
  <si>
    <t>P1336AF</t>
  </si>
  <si>
    <t>TERMOSTAT DV6/DV6TED4 EURO4</t>
  </si>
  <si>
    <t>1336.AF FACET</t>
  </si>
  <si>
    <t>1336.AF4U</t>
  </si>
  <si>
    <t>4U</t>
  </si>
  <si>
    <t>47605PU</t>
  </si>
  <si>
    <t>1336.AFMEAT&amp;DORIA</t>
  </si>
  <si>
    <t>1336.AFOES</t>
  </si>
  <si>
    <t>T100.03</t>
  </si>
  <si>
    <t>1336.AG</t>
  </si>
  <si>
    <t>DEVİRDAİM ARKA BORU DV6TED4 1.6HDİ</t>
  </si>
  <si>
    <t>1336.AGPLASTECH</t>
  </si>
  <si>
    <t>P12504</t>
  </si>
  <si>
    <t>1336.AGRPR</t>
  </si>
  <si>
    <t>R15537</t>
  </si>
  <si>
    <t>1336.AGRPR/B</t>
  </si>
  <si>
    <t>DEVİRDAİM ARKA BORU PARÇASI DV6TED4 1.6HDİ</t>
  </si>
  <si>
    <t>R15537/B</t>
  </si>
  <si>
    <t>1336.AX</t>
  </si>
  <si>
    <t>TERMOSTAT DV6C 1.6HDİ EURO5</t>
  </si>
  <si>
    <t>PEUGOET</t>
  </si>
  <si>
    <t>1336.AXMARELLİ</t>
  </si>
  <si>
    <t>1336.AXMGA</t>
  </si>
  <si>
    <t>1336.AXTOPRAN</t>
  </si>
  <si>
    <t>1336.C9FROW</t>
  </si>
  <si>
    <t>SU TANKI ÇIKIŞ BORU FLANS DW8/XUD9 TÜM.MOD.</t>
  </si>
  <si>
    <t>1336.C9KAPARS</t>
  </si>
  <si>
    <t>KAPARS</t>
  </si>
  <si>
    <t>KA-32-TH022</t>
  </si>
  <si>
    <t>1336.C9KRAFTVOLL</t>
  </si>
  <si>
    <t>1336.CPVERNET</t>
  </si>
  <si>
    <t xml:space="preserve">TERMOSTAT EP6CDT TURBOLU </t>
  </si>
  <si>
    <t>TE7269.102J</t>
  </si>
  <si>
    <t>1336.E8FROW</t>
  </si>
  <si>
    <t>TERMOSTAT KAPAK XU/DW8</t>
  </si>
  <si>
    <t>1336.N1VERNET</t>
  </si>
  <si>
    <t>TERMOSTAT TU3JP/TU3A/TU3AE/TU5JP 1.4/1.6 8V</t>
  </si>
  <si>
    <t>TH6191.89J</t>
  </si>
  <si>
    <t>1336.N8FROWAS</t>
  </si>
  <si>
    <t>DEVİRDAİM ARKA ÇIKIŞ KOLLEKTÖR PARTNER/BERLİNGO DW8 1.9D M59</t>
  </si>
  <si>
    <t>1336.N8KRAFTVOLL</t>
  </si>
  <si>
    <t>1336.N8WORTHY</t>
  </si>
  <si>
    <t>WORTHY</t>
  </si>
  <si>
    <t>WT6495</t>
  </si>
  <si>
    <t>1336.N8Y</t>
  </si>
  <si>
    <t>1336.P0FROW</t>
  </si>
  <si>
    <t>SU KOLLEKTÖR DW8/XUD9 PARTNER/BERLİNGO M49</t>
  </si>
  <si>
    <t>1336.P5ABRASSE</t>
  </si>
  <si>
    <t>DEVİRDAİM SU KOLLEKTÖR DW10 2.0HDİ/DW10ATED</t>
  </si>
  <si>
    <t>BRS-1336P5-PG</t>
  </si>
  <si>
    <t>1336.Q1</t>
  </si>
  <si>
    <t>TERMOSTAT 206/306/307/C4 1.4-1.6 8V-16V</t>
  </si>
  <si>
    <t xml:space="preserve">1336.Q1ÜNÜVAR </t>
  </si>
  <si>
    <t>9111-2</t>
  </si>
  <si>
    <t>1336.Q1VERNET</t>
  </si>
  <si>
    <t>TH6488.89J</t>
  </si>
  <si>
    <t>1336.RPFROWAS</t>
  </si>
  <si>
    <t>TERMOSTAT KAPAGI 206/307/PARTNER/BERLİNGO 2.0HDİ DW10</t>
  </si>
  <si>
    <t>1336.S4ABRASSE</t>
  </si>
  <si>
    <t>TERMOSTAT GÖVDESİ KOMPLE DW10 2.0HDİ PARTNER/307/407</t>
  </si>
  <si>
    <t xml:space="preserve">BRS-6331-PG </t>
  </si>
  <si>
    <t>1336.S4K&amp;B</t>
  </si>
  <si>
    <t>TERMOSTAT YUVASI KOMPLE 307/406/PARTNER/C5 2.0HDİ DW10</t>
  </si>
  <si>
    <t>KB10301</t>
  </si>
  <si>
    <t>1336.V3FROWAS</t>
  </si>
  <si>
    <t>DEVİRDAİM ARKA BORU DV4 1.4HDİ EURO4</t>
  </si>
  <si>
    <t>1336.V3KRAFTVOLL</t>
  </si>
  <si>
    <t>1336.V3MEHA</t>
  </si>
  <si>
    <t>MH51421</t>
  </si>
  <si>
    <t>DEVİRDAİM ARKA BORU DV4 1.4HDİ</t>
  </si>
  <si>
    <t xml:space="preserve">MEHA </t>
  </si>
  <si>
    <t>1336.V3RPR</t>
  </si>
  <si>
    <t>R15570</t>
  </si>
  <si>
    <t>1336.V3RPR-P</t>
  </si>
  <si>
    <t>DEVİRDAİM ARKA BORU DV4 1.4HDİ PLASTİK TİP</t>
  </si>
  <si>
    <t>R15528</t>
  </si>
  <si>
    <t>1336.V6</t>
  </si>
  <si>
    <t>TERMOSTAT DV4 1.4HDİ EURO4</t>
  </si>
  <si>
    <t>1336.V6FROW</t>
  </si>
  <si>
    <t>1336.V6KALE</t>
  </si>
  <si>
    <t>1336.V6MARELLİ</t>
  </si>
  <si>
    <t xml:space="preserve">1336.V6MGA </t>
  </si>
  <si>
    <t>1336.V6OES</t>
  </si>
  <si>
    <t>T93.03</t>
  </si>
  <si>
    <t>1336.V6SAGEM</t>
  </si>
  <si>
    <t>SAGEMFRANS</t>
  </si>
  <si>
    <t>1336.V6TRİTON</t>
  </si>
  <si>
    <t>PEG0468</t>
  </si>
  <si>
    <t>TRİTON</t>
  </si>
  <si>
    <t>1336.W3ABRASSE</t>
  </si>
  <si>
    <t>TERMOSTAT GÖVDESİ TU5JP4 1.6 16V 307-C4</t>
  </si>
  <si>
    <t>BRS-1336W3-PG</t>
  </si>
  <si>
    <t>1336.X2KALE</t>
  </si>
  <si>
    <t>TERMOSTAT DV6 EURO4 206/207/307/407/C4/C5/PRT.TEPEE</t>
  </si>
  <si>
    <t>1336.X2OES</t>
  </si>
  <si>
    <t>T94-03</t>
  </si>
  <si>
    <t>1336.X3RPR</t>
  </si>
  <si>
    <t>DEVİRDAİM ARKA BORU 1.6HDİ EURO4</t>
  </si>
  <si>
    <t>R15572</t>
  </si>
  <si>
    <t>1336.Y8ABRASSE</t>
  </si>
  <si>
    <t>TERMOSTAT GÖVDESİ PLASTİK MÜŞÜRLİ TU3JP/TU5JP 1.4/1.6</t>
  </si>
  <si>
    <t>BRS-1336Y8-PG</t>
  </si>
  <si>
    <t>1336.Z0FACET</t>
  </si>
  <si>
    <t>TERMOSTAT KOMPLE TU5JP4/ET3J4 1.6 16V</t>
  </si>
  <si>
    <t>1336.Z0FROW</t>
  </si>
  <si>
    <t>1336.Z0GATES</t>
  </si>
  <si>
    <t>TH41291G</t>
  </si>
  <si>
    <t>1336.Z0KALE</t>
  </si>
  <si>
    <t>1336.Z0TOPRAN</t>
  </si>
  <si>
    <t>1336.Z3OES</t>
  </si>
  <si>
    <t>TERMOSTAT KOMPLE BOXER III 06&gt;2.2HDİ//TRANSIT V347</t>
  </si>
  <si>
    <t>T149.03</t>
  </si>
  <si>
    <t>1336026RPR</t>
  </si>
  <si>
    <t>RADYATÖR ÜST HORTUM CORSA.D A12XER/A14XER</t>
  </si>
  <si>
    <t>R18545</t>
  </si>
  <si>
    <t>1336026YTT</t>
  </si>
  <si>
    <t xml:space="preserve">RADYATÖR ÜST HORTUM CORSA.D A12XER/A14XER </t>
  </si>
  <si>
    <t>Y11675</t>
  </si>
  <si>
    <t>1336027KRAFTVOLL</t>
  </si>
  <si>
    <t>YEDEK SU DEPO HORTUM CORSA.D A12XER/A14XER</t>
  </si>
  <si>
    <t xml:space="preserve">1336027RPR </t>
  </si>
  <si>
    <t xml:space="preserve">RAPRO </t>
  </si>
  <si>
    <t>R18512</t>
  </si>
  <si>
    <t>1336027SWAPP</t>
  </si>
  <si>
    <t>SWAPPP</t>
  </si>
  <si>
    <t>1336027YTT</t>
  </si>
  <si>
    <t>Y11678</t>
  </si>
  <si>
    <t>1336028RPR</t>
  </si>
  <si>
    <t>RADYATÖR ALT HORTUM CORSA.D A12XER/A14XER</t>
  </si>
  <si>
    <t>R18379</t>
  </si>
  <si>
    <t>1336041İBRAS</t>
  </si>
  <si>
    <t>YEDEK SU DEPO HORTUM MERİVA.B A14NET</t>
  </si>
  <si>
    <t xml:space="preserve">1336062AKD </t>
  </si>
  <si>
    <t>BAKALİT BORU ARKA VECTRA.A 88-95 1.6/1.8/2.0 8V</t>
  </si>
  <si>
    <t>OP152105</t>
  </si>
  <si>
    <t>13360795İTHAL</t>
  </si>
  <si>
    <t>VİTES KOL KÖRÜĞÜ ASTRA.J MANUEL NİKELAJLI</t>
  </si>
  <si>
    <t>1336079Y</t>
  </si>
  <si>
    <t>BAKALİT BORU ARKA ASTRA.F 1.4/1.6 8V</t>
  </si>
  <si>
    <t>1336080İBRAS</t>
  </si>
  <si>
    <t>ARKA BAKALİT BORU ASTRA.F 1.4/1.6 8V</t>
  </si>
  <si>
    <t>1336080RPR</t>
  </si>
  <si>
    <t>R18239/P</t>
  </si>
  <si>
    <t>1336080YTT</t>
  </si>
  <si>
    <t>Y1617</t>
  </si>
  <si>
    <t>1336086BİTAPART</t>
  </si>
  <si>
    <t>ARKA BAKALİT BORU CORSA.B 1.2/1.4 8V</t>
  </si>
  <si>
    <t>1336086RPR</t>
  </si>
  <si>
    <t>R18238/P</t>
  </si>
  <si>
    <t>1336086YTT</t>
  </si>
  <si>
    <t>Y1614</t>
  </si>
  <si>
    <t>1336096İBRAŞ</t>
  </si>
  <si>
    <t>ARKA BAKALİT BORU ASTRA.F X16XEL</t>
  </si>
  <si>
    <t>1336096RPR</t>
  </si>
  <si>
    <t>R18242/P</t>
  </si>
  <si>
    <t>1336096TAP</t>
  </si>
  <si>
    <t>TAP.1336096</t>
  </si>
  <si>
    <t>1336096Y</t>
  </si>
  <si>
    <t>1336097KRAFTVOLL</t>
  </si>
  <si>
    <t>DEVİRDAİM ARKA BAKALİT BORU CORSA.B X14XE</t>
  </si>
  <si>
    <t>1336125-TEK-RPR</t>
  </si>
  <si>
    <t>RADYATÖR ALT HORTUM (ALT PARÇA) VECTRA.B X20XEV</t>
  </si>
  <si>
    <t>R18129/B</t>
  </si>
  <si>
    <t>1336125-TEK-YTT</t>
  </si>
  <si>
    <t>Y11520</t>
  </si>
  <si>
    <t>1336125İBRAS</t>
  </si>
  <si>
    <t>AHTAPOT HORTUM KOMPLE VECTRA.B X20XEV</t>
  </si>
  <si>
    <t>1336125KRAFTVOLL</t>
  </si>
  <si>
    <t>1336125RPR</t>
  </si>
  <si>
    <t>R18129</t>
  </si>
  <si>
    <t>1336125TEKMETTE</t>
  </si>
  <si>
    <t>AHTAPOT HORTUM PLASTİK PARÇA X20XEV VECTRA.B</t>
  </si>
  <si>
    <t>668M6793</t>
  </si>
  <si>
    <t>1336125TEKRPR</t>
  </si>
  <si>
    <t>R18236/P</t>
  </si>
  <si>
    <t>1336125UCPA</t>
  </si>
  <si>
    <t>ÜÇPA</t>
  </si>
  <si>
    <t>22H23304</t>
  </si>
  <si>
    <t>1336125YTT</t>
  </si>
  <si>
    <t>Y11553</t>
  </si>
  <si>
    <t>1336157KRAFTVOLL</t>
  </si>
  <si>
    <t>RADAYATÖR ÜST HORTUM VECTRA.B X20DTH</t>
  </si>
  <si>
    <t>1336168AKD</t>
  </si>
  <si>
    <t>BAKALİT BORU ARKA ASTRA.G/ZAFİRA.A Z18XE</t>
  </si>
  <si>
    <t>OP152118</t>
  </si>
  <si>
    <t>1336196RPR</t>
  </si>
  <si>
    <t>RADYATÖR ALT HORTUM ASTRA.J A14NET</t>
  </si>
  <si>
    <t>R18283</t>
  </si>
  <si>
    <t>1336233İBRAS</t>
  </si>
  <si>
    <t>RADYATÖR ALT HORTUM CORSA.C/TİGRA.B Z12XE/Z12XEP/Z14XEP</t>
  </si>
  <si>
    <t>1336248İBRAS</t>
  </si>
  <si>
    <t>YEDEK SU DEPO HORTUM CORSA.C Z10XE/Z12XE/Z12XEP/Z14XEP</t>
  </si>
  <si>
    <t>1336268YTT</t>
  </si>
  <si>
    <t>DEVİRDAİM ÇIKIS BORU KADETT</t>
  </si>
  <si>
    <t>Y10550</t>
  </si>
  <si>
    <t>1336279İBRAS</t>
  </si>
  <si>
    <t>YEDEK SU DEPO HORTUM Y17DT/Y17DTL</t>
  </si>
  <si>
    <t>1336344İBRAS</t>
  </si>
  <si>
    <t>RADYATÖR ALT HORTUM CRUZE/ASTRA.J A16XER/B16XER</t>
  </si>
  <si>
    <t>1336344YTT</t>
  </si>
  <si>
    <t>Y11768</t>
  </si>
  <si>
    <t>1336360ASPART</t>
  </si>
  <si>
    <t>6HOS1082</t>
  </si>
  <si>
    <t xml:space="preserve">YEDEK SU DEPO HORTUM ASTRA.J A14NET </t>
  </si>
  <si>
    <t>1336360RPR</t>
  </si>
  <si>
    <t>YEDEK SU DEPO HORTUM ASTRA.J A14NET</t>
  </si>
  <si>
    <t>R18533</t>
  </si>
  <si>
    <t>DEVİRDAİM ARKA HORTUM CORSA.D A12XER/A14XER</t>
  </si>
  <si>
    <t>1336379YILPAR</t>
  </si>
  <si>
    <t>YEDEK SU DEPO ALT HORTUM CORSA.D A12XER/A14XER</t>
  </si>
  <si>
    <t>YILPAR</t>
  </si>
  <si>
    <t>1336380ASPART</t>
  </si>
  <si>
    <t>YEDEK SU DEPO HORTUM ASTRA.J A16XER/A16LET/A13DTE/A20DTH</t>
  </si>
  <si>
    <t>1336461RPR</t>
  </si>
  <si>
    <t>TERMOSTAT GÖVDE ARA HORTUM Y17DT/Z17DTL/17TD/15D</t>
  </si>
  <si>
    <t>R18183</t>
  </si>
  <si>
    <t>1336498RPR</t>
  </si>
  <si>
    <t>RADYATÖR ALT HORTUM VECTRA.A</t>
  </si>
  <si>
    <t>R18101</t>
  </si>
  <si>
    <t>1336522RPR</t>
  </si>
  <si>
    <t>RADYATÖR ALT HORTUM ASTRA.J A16XER/A16LET</t>
  </si>
  <si>
    <t>R18376</t>
  </si>
  <si>
    <t>1336523YTT</t>
  </si>
  <si>
    <t>RADYATÖR ALT HORTUM A13DTE ASTRA.J 10&gt;</t>
  </si>
  <si>
    <t>Y11704</t>
  </si>
  <si>
    <t xml:space="preserve">RADYATÖR ÜST HORTUM İNSİGNİA.A A14NET </t>
  </si>
  <si>
    <t>1336609YILPAR</t>
  </si>
  <si>
    <t>RADYATÖR ALT HORTUM MOKKA/TRAX A16XER</t>
  </si>
  <si>
    <t>Y-23388</t>
  </si>
  <si>
    <t>1336643İBRAS</t>
  </si>
  <si>
    <t>RADYATÖR ALT HORTUM A16XHT/B16SHL İNSİGNİA.A</t>
  </si>
  <si>
    <t>1336653İBRAS</t>
  </si>
  <si>
    <t>YEDEK SU DEPO ALT HORTUM ASTRA.J/ZAFİRA.C B16DTH</t>
  </si>
  <si>
    <t xml:space="preserve">1336656İBRAS </t>
  </si>
  <si>
    <t>RADYATÖR ÜST HORTUM İNSİGNİA.A A16XHT/B16SHL</t>
  </si>
  <si>
    <t>1336656YTT</t>
  </si>
  <si>
    <t xml:space="preserve">RADYATÖR ÜST HORTUM İNSİGNİA.A A16XHT/B16SHL </t>
  </si>
  <si>
    <t>Y20013</t>
  </si>
  <si>
    <t>1336658ASPART</t>
  </si>
  <si>
    <t>YEDEK SU DEPO HORTUM INSIGNIA.A A16XHT</t>
  </si>
  <si>
    <t>6HOS1275</t>
  </si>
  <si>
    <t>1336658WİNTECH</t>
  </si>
  <si>
    <t>WIN0500613</t>
  </si>
  <si>
    <t>YEDEK SU DEPO HORTUM İNSİGNİA.A A16XHT</t>
  </si>
  <si>
    <t>13367286RPR</t>
  </si>
  <si>
    <t>HAVA FİLTRE GİRİŞ HORTUM ASTRA.K B16DTH</t>
  </si>
  <si>
    <t>R18521</t>
  </si>
  <si>
    <t>1336757İBRAS</t>
  </si>
  <si>
    <t>YEDEK SU DEPO DÖNÜŞ HORTUM ASTRA.J/ZAFİRA.C B16DTH</t>
  </si>
  <si>
    <t>1336956Y</t>
  </si>
  <si>
    <t>RADYATÖR HORTUM KLİPSİ VECTRA.A</t>
  </si>
  <si>
    <t>668M6311</t>
  </si>
  <si>
    <t>1337008YTT</t>
  </si>
  <si>
    <t>YEDEK SU DEPO HORTUM VECTRA.A İNCE</t>
  </si>
  <si>
    <t>Y11510</t>
  </si>
  <si>
    <t>1337087UCPA</t>
  </si>
  <si>
    <t>22H13337</t>
  </si>
  <si>
    <t>YEDEK SU DEPO HORTUM VECTRA.A</t>
  </si>
  <si>
    <t xml:space="preserve">ÜÇPA </t>
  </si>
  <si>
    <t>1337093İBRAS</t>
  </si>
  <si>
    <t>EMME MANİFOLT HORTUM VECTRA.A 1.8 8V</t>
  </si>
  <si>
    <t>1337093NİFEA</t>
  </si>
  <si>
    <t>1337093RPR</t>
  </si>
  <si>
    <t>R18201</t>
  </si>
  <si>
    <t>1337095ASPART</t>
  </si>
  <si>
    <t>DEVİRDAİM ARKA BORU ASTRA.F/CORSA.B 1.2/1.4 8V</t>
  </si>
  <si>
    <t>6HOS1087</t>
  </si>
  <si>
    <t>1337095KRAFTVOLL</t>
  </si>
  <si>
    <t>1337095RPR</t>
  </si>
  <si>
    <t>R18161</t>
  </si>
  <si>
    <t>1337095YTT</t>
  </si>
  <si>
    <t>Y10544</t>
  </si>
  <si>
    <t>1337138RPR</t>
  </si>
  <si>
    <t>RADYATÖR ÜST HORTUM ASTRA.F 92-98 -AC</t>
  </si>
  <si>
    <t>R18188</t>
  </si>
  <si>
    <t>1337147UCPA</t>
  </si>
  <si>
    <t>YEDEK SU DEPO GİRİŞ HORTUM VECTRA.A</t>
  </si>
  <si>
    <t>UCPA</t>
  </si>
  <si>
    <t>22H13311</t>
  </si>
  <si>
    <t>1337186ASPART</t>
  </si>
  <si>
    <t>6HOS1088</t>
  </si>
  <si>
    <t xml:space="preserve">RADYATÖR ÜST HORTUM CORSA.B 1.2/1.4 8V </t>
  </si>
  <si>
    <t xml:space="preserve">1337186İBRAS </t>
  </si>
  <si>
    <t>RADYATÖR ÜST HORTUM CORSA.B 1.2/1.4 8V</t>
  </si>
  <si>
    <t>1337186RPR</t>
  </si>
  <si>
    <t>R18176</t>
  </si>
  <si>
    <t>1337188YTT</t>
  </si>
  <si>
    <t>RADYATÖR ÜST HORTUM CORSA.B X14SZ</t>
  </si>
  <si>
    <t>Y10548</t>
  </si>
  <si>
    <t>1337191RPR</t>
  </si>
  <si>
    <t>RADYATÖR ÜST HORTUM CORSA.B A.T X14XE</t>
  </si>
  <si>
    <t>R18162</t>
  </si>
  <si>
    <t xml:space="preserve">1337193ASPART </t>
  </si>
  <si>
    <t>6HOS2281</t>
  </si>
  <si>
    <t>RADYATÖR ALT HORTUM CORSA.B/TİGRA.A  X14XE/X16XE</t>
  </si>
  <si>
    <t>1337193RPR</t>
  </si>
  <si>
    <t>R18111</t>
  </si>
  <si>
    <t>1337233İBRAS</t>
  </si>
  <si>
    <t>SU HORTUM DEVİRDAİM GÖVDESİ Y17DT/Y17DTL</t>
  </si>
  <si>
    <t>1337279RPR</t>
  </si>
  <si>
    <t>RADYATÖR ÜST HORTUM ASTRA.F X14XE/X16XEL</t>
  </si>
  <si>
    <t>R18166</t>
  </si>
  <si>
    <t>1337279YTT</t>
  </si>
  <si>
    <t>Y10530</t>
  </si>
  <si>
    <t>1337280RPR</t>
  </si>
  <si>
    <t>RADYATÖR ÜST HORTUM ASTRA.F X16XEL -AC</t>
  </si>
  <si>
    <t>R18189</t>
  </si>
  <si>
    <t xml:space="preserve">1337282İBRAS </t>
  </si>
  <si>
    <t>EMME MANİFOLT HORTUM VECTRA.A 18SV</t>
  </si>
  <si>
    <t>1337282RPR</t>
  </si>
  <si>
    <t>R18117</t>
  </si>
  <si>
    <t>1337322RPR</t>
  </si>
  <si>
    <t>RADYATÖR ALT HORTUM CORSA.B X14XE/X16XE</t>
  </si>
  <si>
    <t>R18190</t>
  </si>
  <si>
    <t>1337328YTT</t>
  </si>
  <si>
    <t>RADYATÖR ÜST HORTUM VECTRA.B X16XEL</t>
  </si>
  <si>
    <t>Y10571</t>
  </si>
  <si>
    <t>1337329ASPART</t>
  </si>
  <si>
    <t>6HOS11089</t>
  </si>
  <si>
    <t>RADYATÖR ÜST HORTUM VECTRA.B X20XEV</t>
  </si>
  <si>
    <t>1337329RPR</t>
  </si>
  <si>
    <t>R18105</t>
  </si>
  <si>
    <t>1337347RPR</t>
  </si>
  <si>
    <t>RADYATÖR ALT HORTUM ASTRA.F X14XE/X16XE</t>
  </si>
  <si>
    <t>R18113</t>
  </si>
  <si>
    <t>1337380YTT</t>
  </si>
  <si>
    <t>RADYATÖR ALT HORTUM CORSA.B X17DT</t>
  </si>
  <si>
    <t>YTTT</t>
  </si>
  <si>
    <t>Y11568</t>
  </si>
  <si>
    <t>1337388YTT</t>
  </si>
  <si>
    <t>RADYATÖR ÜST HORTUM ASTRA.F</t>
  </si>
  <si>
    <t>Y10552</t>
  </si>
  <si>
    <t xml:space="preserve">1337389RPR </t>
  </si>
  <si>
    <t>R18112</t>
  </si>
  <si>
    <t>1337393YTT</t>
  </si>
  <si>
    <t>DEVİRDAİM ARKA BORU VECTRA.A GT C20XE</t>
  </si>
  <si>
    <t>Y10577</t>
  </si>
  <si>
    <t>1337394RPR</t>
  </si>
  <si>
    <t>DEVİRDAİM ARKA BORU VECTRA.B X20XEV</t>
  </si>
  <si>
    <t>R18128/C</t>
  </si>
  <si>
    <t>1337394UCPA</t>
  </si>
  <si>
    <t>22H133568</t>
  </si>
  <si>
    <t>1337433YILPAR</t>
  </si>
  <si>
    <t>YEDEK SU DEPO HORTUM TERMOSTAT ARASI VECTRA.B X20XEV</t>
  </si>
  <si>
    <t>Y23337</t>
  </si>
  <si>
    <t>1337456RPR</t>
  </si>
  <si>
    <t>ISI ESANJÖR HORTUMU (SOGUTUCU) VECTRA.B X20DTL/X20DTH/Y20DTH</t>
  </si>
  <si>
    <t>R18203</t>
  </si>
  <si>
    <t>1337463RPR</t>
  </si>
  <si>
    <t>DEVİRDAİM ARKA HORTUM ASTRA.F/VECTRA.A</t>
  </si>
  <si>
    <t>R18104</t>
  </si>
  <si>
    <t>1337463YTT</t>
  </si>
  <si>
    <t>Y10578</t>
  </si>
  <si>
    <t>1337464NİFEA</t>
  </si>
  <si>
    <t>EMME MANİFOLT TERMOSTAT ARA HORTUM VECTRA.A/ASTRA.F</t>
  </si>
  <si>
    <t xml:space="preserve">1337491ASPART </t>
  </si>
  <si>
    <t>6HOS1090</t>
  </si>
  <si>
    <t>YEDEK SU DEPO ALT ÇIKIŞ HORTUM ASTRA.G/ZAFİRA.A Z14XE/Z16XE</t>
  </si>
  <si>
    <t>1337491YTT</t>
  </si>
  <si>
    <t>YEDEK SU DEPO ALT HORTUM ASTRA.G</t>
  </si>
  <si>
    <t>Y11548</t>
  </si>
  <si>
    <t>1337495İBRAS</t>
  </si>
  <si>
    <t>GAZ KELEBEK HORTUM ASTRA.G/CORSA.B X14XE/X16XEL</t>
  </si>
  <si>
    <t>1337495YTT</t>
  </si>
  <si>
    <t>GAZ KELEBEK GİRİŞ HORTUM X14XE/X16XE ASTRA.G</t>
  </si>
  <si>
    <t>Y10598</t>
  </si>
  <si>
    <t>1337518RPR</t>
  </si>
  <si>
    <t>RADYATÖR ÜST HORTUM ASTRA.G/ZAFİRA.A</t>
  </si>
  <si>
    <t>R18204</t>
  </si>
  <si>
    <t xml:space="preserve">1337521İBRAS </t>
  </si>
  <si>
    <t>DEVİRDAİM ARKA BORU Z14XE/Z16XE</t>
  </si>
  <si>
    <t>1337521KRAFTVOLL</t>
  </si>
  <si>
    <t>1337521RPR</t>
  </si>
  <si>
    <t>R18194</t>
  </si>
  <si>
    <t>1337521YTT</t>
  </si>
  <si>
    <t>Y11616</t>
  </si>
  <si>
    <t xml:space="preserve">1337536ASPART </t>
  </si>
  <si>
    <t>6HOS1091</t>
  </si>
  <si>
    <t>DEVİRDAİM ARKA BORU Z18XE/X18XE</t>
  </si>
  <si>
    <t>1337543İBRAS</t>
  </si>
  <si>
    <t>RADYATÖR ALT HORTUM ASTRA.G/ZAFİRA.A Y17DT/Y17DTL(ABS İÇİN)</t>
  </si>
  <si>
    <t>1337554İBRAŞ</t>
  </si>
  <si>
    <t>RADYATÖR SU DEPO HORTUM ASTRA.G/ZAFİRA.A X16XE/Z16XE/Z14XE</t>
  </si>
  <si>
    <t>1337556RPR</t>
  </si>
  <si>
    <t>RADYATÖR ALT HORTUM ASTRA.G/ZAFİRA.A Z14XE/Z16XE</t>
  </si>
  <si>
    <t>R18195</t>
  </si>
  <si>
    <t>1337563YTT</t>
  </si>
  <si>
    <t>RADYATÖR ÜST HORTUM Z18XE ASTRA.G/ZAFİRA.A</t>
  </si>
  <si>
    <t>Y20820</t>
  </si>
  <si>
    <t>1337573KRAFTVOLL</t>
  </si>
  <si>
    <t>RADYATÖR ÜST HORTUM CORSA.C Z12XE/Z12XEP/Z14XEP</t>
  </si>
  <si>
    <t>1337573YTT</t>
  </si>
  <si>
    <t>RADYATÖR ÜST HORTUM CORSA.C Z14XEP/Z12XEP</t>
  </si>
  <si>
    <t>Y10560</t>
  </si>
  <si>
    <t>1337574İBRAS</t>
  </si>
  <si>
    <t>RADYATÖR ÜST HORTUM CORSA.C/COMBO.C Y17DT/Y17DTL</t>
  </si>
  <si>
    <t>1337574NİFEA</t>
  </si>
  <si>
    <t>1337574YTT</t>
  </si>
  <si>
    <t>Y11582</t>
  </si>
  <si>
    <t>1337579YTT</t>
  </si>
  <si>
    <t>RADYATÖR ÜST HORTUM ASTRA.G Z14XEP</t>
  </si>
  <si>
    <t>Y11776</t>
  </si>
  <si>
    <t>1337600İBRAS</t>
  </si>
  <si>
    <t xml:space="preserve">YEDEK SU DEPO HORTUM ASTRA.G Z14XE/Z16XE </t>
  </si>
  <si>
    <t>1337600RPR</t>
  </si>
  <si>
    <t>YEDEK SU DEPO HORTUM ASTRA.G Z14XE/Z16XE</t>
  </si>
  <si>
    <t>R18196</t>
  </si>
  <si>
    <t>1337601İBRAS</t>
  </si>
  <si>
    <t>RADYATÖR ÜST HORTUM CORSA.C Z14XE</t>
  </si>
  <si>
    <t>1337615UCPA</t>
  </si>
  <si>
    <t>22H133188</t>
  </si>
  <si>
    <t>RADYATÖR ÜST HORTUM VECTRA.C Z16XE</t>
  </si>
  <si>
    <t>1337615YTT</t>
  </si>
  <si>
    <t xml:space="preserve">RADYATÖR ÜST HORTUM VECTRA.C Z16XE </t>
  </si>
  <si>
    <t>Y11611</t>
  </si>
  <si>
    <t>1337624YTT</t>
  </si>
  <si>
    <t>RADYATÖR ALT HORTUM VECTRA.C Z16XE</t>
  </si>
  <si>
    <t xml:space="preserve">YTT </t>
  </si>
  <si>
    <t>Y11610</t>
  </si>
  <si>
    <t>1337625YTT</t>
  </si>
  <si>
    <t>YEDEK SU DEPO HORTUM VECTRA.C Z16XE</t>
  </si>
  <si>
    <t>Y10584</t>
  </si>
  <si>
    <t>1337659İBRAŞ</t>
  </si>
  <si>
    <t>RADYATÖR ALT HORTUM ASTRA.G Z16XEP</t>
  </si>
  <si>
    <t>1337674İBRAS</t>
  </si>
  <si>
    <t>RADYATÖR ÜST HORTUM MERİVA.A Z16XE</t>
  </si>
  <si>
    <t>1337674YILPAR</t>
  </si>
  <si>
    <t xml:space="preserve">RADYATÖR ÜST HORTUM MERİVA.A Z16XE </t>
  </si>
  <si>
    <t xml:space="preserve">YILPAR </t>
  </si>
  <si>
    <t>Y-23368</t>
  </si>
  <si>
    <t xml:space="preserve">1337696ASPART </t>
  </si>
  <si>
    <t>6HOS1757</t>
  </si>
  <si>
    <t>RADYATÖR ÜST HORTUM CORSA.C/COMBO.C Z13DT</t>
  </si>
  <si>
    <t>1337696NİFEA</t>
  </si>
  <si>
    <t>1337696RPR</t>
  </si>
  <si>
    <t>R18326</t>
  </si>
  <si>
    <t>1337696YTT</t>
  </si>
  <si>
    <t>Y10554</t>
  </si>
  <si>
    <t>1337714ASPART</t>
  </si>
  <si>
    <t>6HOS1758</t>
  </si>
  <si>
    <t>RADYATÖR ÜST HORTUM ASTRA.H Z16XEP</t>
  </si>
  <si>
    <t>1337714GROS</t>
  </si>
  <si>
    <t xml:space="preserve">GROS </t>
  </si>
  <si>
    <t>T10591</t>
  </si>
  <si>
    <t>1337714İBRAS</t>
  </si>
  <si>
    <t>1337714KRAFTVOLL</t>
  </si>
  <si>
    <t>RADYATÖR ÜST HORTUM ASTRA.H Z16XEP/A16XER</t>
  </si>
  <si>
    <t>1337714RPR</t>
  </si>
  <si>
    <t>R18433</t>
  </si>
  <si>
    <t>1337714YTT</t>
  </si>
  <si>
    <t>Y10557</t>
  </si>
  <si>
    <t>RADYATÖR ALT HORTUM ASTRA.H Z16XEP/A16XER</t>
  </si>
  <si>
    <t>1337715ASPART</t>
  </si>
  <si>
    <t>6HOS1094</t>
  </si>
  <si>
    <t>1337715YTT</t>
  </si>
  <si>
    <t>Y10558</t>
  </si>
  <si>
    <t>1337741İBRAS</t>
  </si>
  <si>
    <t>YEDEK SU DEPO HORTUM ASTRA.H Z16XEP/Z16XER (RADYATÖR-DEPO ARASI)</t>
  </si>
  <si>
    <t>1337743RPR</t>
  </si>
  <si>
    <t>YEDEK SU DEPO HORTUM ASTRA.H Z13DTH (RADYATÖRE)</t>
  </si>
  <si>
    <t>R18329</t>
  </si>
  <si>
    <t>1337745İBRAS</t>
  </si>
  <si>
    <t>RADYATÖR ÜST HORTUM ASTRA.H Z13DTH</t>
  </si>
  <si>
    <t>1337745RPR</t>
  </si>
  <si>
    <t>R18323</t>
  </si>
  <si>
    <t>1337745YTT</t>
  </si>
  <si>
    <t>Y11634</t>
  </si>
  <si>
    <t>1337751Y</t>
  </si>
  <si>
    <t>YEDEK SU DEPO HORTUM VECTRA.B</t>
  </si>
  <si>
    <t>1337766İBRAS</t>
  </si>
  <si>
    <t>RADYATÖR AL HORTUM VECTRA.C Z16XEP</t>
  </si>
  <si>
    <t>1337766YTT</t>
  </si>
  <si>
    <t>Y11650</t>
  </si>
  <si>
    <t>13377814BGA</t>
  </si>
  <si>
    <t>AMORTİSÖR ÜST TAKOZ ASTRA.K (RULMANLI)</t>
  </si>
  <si>
    <t>BGA</t>
  </si>
  <si>
    <t>SM95046</t>
  </si>
  <si>
    <t>13377814KAUTEK</t>
  </si>
  <si>
    <t>KAUTEK</t>
  </si>
  <si>
    <t>OP-SM042KT</t>
  </si>
  <si>
    <t>1337782NİFEA</t>
  </si>
  <si>
    <t>RADYATÖR HORTUM CORSA.C Z12XEP/Z14XEP/Z13DT</t>
  </si>
  <si>
    <t>1337782WINTECH</t>
  </si>
  <si>
    <t>1337803İBRAS</t>
  </si>
  <si>
    <t>RADYATÖR ÜST HORTUM CORSA.D Z13DTH</t>
  </si>
  <si>
    <t>1337806İBRAS</t>
  </si>
  <si>
    <t>RADYATÖR ÜST HORTUM CORSA.D Z12XEP/Z14XEP +AT</t>
  </si>
  <si>
    <t>1337807NİFEA</t>
  </si>
  <si>
    <t>RADYATÖR ÜST HORTUM CORSA.D Z12XEP/Z14XEP</t>
  </si>
  <si>
    <t>1337807RPR</t>
  </si>
  <si>
    <t>R18377</t>
  </si>
  <si>
    <t>1337807YTT</t>
  </si>
  <si>
    <t>Y10593</t>
  </si>
  <si>
    <t>1337811SAGEM</t>
  </si>
  <si>
    <t>FAN BEYNİ VECTRA.C Z16XE</t>
  </si>
  <si>
    <t>1337834İBRAS</t>
  </si>
  <si>
    <t>RADYATÖR ÜST HORTUM CORSA.D Z13DT</t>
  </si>
  <si>
    <t>1337834RPR</t>
  </si>
  <si>
    <t>R18314</t>
  </si>
  <si>
    <t>1337834YTT</t>
  </si>
  <si>
    <t>Y11692</t>
  </si>
  <si>
    <t>1337837İBRAS</t>
  </si>
  <si>
    <t>RADYATÖR ALT HORTUM CORSA.D A12XER/A14XER +AT</t>
  </si>
  <si>
    <t>1337838İBRAS</t>
  </si>
  <si>
    <t xml:space="preserve">RADYATÖR ÜST HORTUM CORSA.D A13DTE </t>
  </si>
  <si>
    <t>1337838RPR</t>
  </si>
  <si>
    <t>R18428</t>
  </si>
  <si>
    <t>1337839YTT</t>
  </si>
  <si>
    <t>RADYATÖR ÜST HORUM ASTRA.J A14NET</t>
  </si>
  <si>
    <t>Y11676</t>
  </si>
  <si>
    <t xml:space="preserve">1337840İBRAS </t>
  </si>
  <si>
    <t>RADYATÖR ÜST HORTUM ASTRA.J A16XER/A16LET</t>
  </si>
  <si>
    <t>1337840RPR</t>
  </si>
  <si>
    <t>R18394</t>
  </si>
  <si>
    <t>1337840YTT</t>
  </si>
  <si>
    <t>Y11710</t>
  </si>
  <si>
    <t>1337841İBRAS</t>
  </si>
  <si>
    <t xml:space="preserve">RADYATÖR ÜST HORTUM A13DTE ASTRA.J </t>
  </si>
  <si>
    <t>1337841KRAFTVOLL</t>
  </si>
  <si>
    <t>RADYATÖR ÜST HORTUM A13DTE ASTRA.J</t>
  </si>
  <si>
    <t>1337841YTT</t>
  </si>
  <si>
    <t>Y10591</t>
  </si>
  <si>
    <t>1337847YTT</t>
  </si>
  <si>
    <t>RADYATÖR ÜST HORTUM A14NET ASTRA.J A/T</t>
  </si>
  <si>
    <t>Y11711</t>
  </si>
  <si>
    <t>1337852İBRAS</t>
  </si>
  <si>
    <t xml:space="preserve">YEDEK SU DEPO HORTUM İNSİGNİA.A A16LET  </t>
  </si>
  <si>
    <t>1337852KRAFTVOLL</t>
  </si>
  <si>
    <t xml:space="preserve">YEDEK SU DEPO HORTUM İNSİGNİA.A A16LET </t>
  </si>
  <si>
    <t>1337852YTT</t>
  </si>
  <si>
    <t>Y20014</t>
  </si>
  <si>
    <t xml:space="preserve">1337853RPR </t>
  </si>
  <si>
    <t>RADYATÖR ÜST HORTUM ASTRA.J A16XER +AT</t>
  </si>
  <si>
    <t>R18484</t>
  </si>
  <si>
    <t>1337854İBRAS</t>
  </si>
  <si>
    <t>RADYATÖR ALT HORTUM CORSA.D Z13DTJ</t>
  </si>
  <si>
    <t>1337854RPR</t>
  </si>
  <si>
    <t>R18295</t>
  </si>
  <si>
    <t>1337856ASPART</t>
  </si>
  <si>
    <t>6HOS1659</t>
  </si>
  <si>
    <t>RADYATÖR ALT HORTUM ASTRA.H Z13DTH</t>
  </si>
  <si>
    <t>1337856İBRAS</t>
  </si>
  <si>
    <t>1337856RPR</t>
  </si>
  <si>
    <t>RR18321</t>
  </si>
  <si>
    <t>1337858ASPART</t>
  </si>
  <si>
    <t>6HOS1762</t>
  </si>
  <si>
    <t>RADYATÖR ÜST HORTUM CORSA.D A12XER/A14XER +AT</t>
  </si>
  <si>
    <t>1337858KRAFTVOLL</t>
  </si>
  <si>
    <t>1337858RPR</t>
  </si>
  <si>
    <t>R18436</t>
  </si>
  <si>
    <t>1337888İBRAS</t>
  </si>
  <si>
    <t xml:space="preserve">RADYATÖR ALT HORTUM İNSİGNİA.A A16XER/A16LET </t>
  </si>
  <si>
    <t>1337888RPR</t>
  </si>
  <si>
    <t>RADYATÖR ALT HORTUM İNSİGNİA.A A16XER/A16LET 13220125</t>
  </si>
  <si>
    <t>R18543</t>
  </si>
  <si>
    <t>1337889İBRAS</t>
  </si>
  <si>
    <t>RADYATÖR ÜST HORTUM İNSİGNİA.A A16XER/A16LET</t>
  </si>
  <si>
    <t>1337889YTT</t>
  </si>
  <si>
    <t xml:space="preserve">RADYATÖR ÜST HORTUM İNSİGNİA.A A16XER/A16LET </t>
  </si>
  <si>
    <t>Y11655</t>
  </si>
  <si>
    <t>1337893İBRAS</t>
  </si>
  <si>
    <t xml:space="preserve">RADYATÖR ALT HORTUM İNSİGNİA.A A20DTH </t>
  </si>
  <si>
    <t>1337896RPR</t>
  </si>
  <si>
    <t>RADYATÖR ÜST HORTUM İNSİGNİA.A A20DTH/A20DTJ MT</t>
  </si>
  <si>
    <t>R18506</t>
  </si>
  <si>
    <t>1337897İBRAS</t>
  </si>
  <si>
    <t>RADYATÖR ÜST HORTUM İNSİGNİA.A A20DTH 2.0CDTİ</t>
  </si>
  <si>
    <t>1337897RPR</t>
  </si>
  <si>
    <t>RADYATÖR ÜST HORTUM İNSİGNİA.A A20DTH/A20DTR 11&gt;</t>
  </si>
  <si>
    <t>R18547</t>
  </si>
  <si>
    <t>1338.23HERTH+BUSS</t>
  </si>
  <si>
    <t>TERMOSTAT XUD9/DW8/DW10/DW12 83C</t>
  </si>
  <si>
    <t>J1538013</t>
  </si>
  <si>
    <t>1338.23MARELLİ</t>
  </si>
  <si>
    <t>1338.23MGA</t>
  </si>
  <si>
    <t>1338.23ÜNÜVAR</t>
  </si>
  <si>
    <t>9103-2</t>
  </si>
  <si>
    <t xml:space="preserve">1338.23VERNET </t>
  </si>
  <si>
    <t>TH5130.83J</t>
  </si>
  <si>
    <t xml:space="preserve">1338.55DELPHİ </t>
  </si>
  <si>
    <t>HARARET MÜŞÜR 106/306/406/PARTNER(KAHVE)</t>
  </si>
  <si>
    <t>TS10268</t>
  </si>
  <si>
    <t xml:space="preserve">1338.83VERNET </t>
  </si>
  <si>
    <t>TERMOSTAT 306/405/ 1.8/2.0 16V</t>
  </si>
  <si>
    <t>TH5108.83</t>
  </si>
  <si>
    <t>1338.87FROW</t>
  </si>
  <si>
    <t>HARARET MÜŞÜR 4FİŞLİ 1.9D PARTNER/BERLİNGO</t>
  </si>
  <si>
    <t xml:space="preserve">1338.A0VERNET </t>
  </si>
  <si>
    <t>TERMOSTAT EW10J4/1.8/2.0 16V 306/406/C4</t>
  </si>
  <si>
    <t>TH6332.89J</t>
  </si>
  <si>
    <t>1338.A6BİTAPART</t>
  </si>
  <si>
    <t>BPE372016</t>
  </si>
  <si>
    <t>HARARET MÜŞÜR  206/207/306/307/C3 1.4/1.6</t>
  </si>
  <si>
    <t>1338.A6VALEO</t>
  </si>
  <si>
    <t>HARARET MÜŞÜR (3FİŞ MAVİ) 106/206/207/307/BİPPER/C3/SAXO/XSARA TU5JP4</t>
  </si>
  <si>
    <t>1338.A6VERNET</t>
  </si>
  <si>
    <t>VERNET</t>
  </si>
  <si>
    <t>WS2608</t>
  </si>
  <si>
    <t>1338.A7FROW</t>
  </si>
  <si>
    <t xml:space="preserve">HARARET MÜŞÜR 1.4/1.6 </t>
  </si>
  <si>
    <t xml:space="preserve">1338.A7VERNET </t>
  </si>
  <si>
    <t>WS2606</t>
  </si>
  <si>
    <t>1338.C1FAE</t>
  </si>
  <si>
    <t>HARARET MÜŞÜR  1.4/1.6/2.0HDİ</t>
  </si>
  <si>
    <t xml:space="preserve">1338.C1VERNET </t>
  </si>
  <si>
    <t>WS2609</t>
  </si>
  <si>
    <t>TERMOSTAT Z14XE/Z16XE</t>
  </si>
  <si>
    <t>1338003ASPART</t>
  </si>
  <si>
    <t>6TCO1017</t>
  </si>
  <si>
    <t xml:space="preserve">1338003BGA </t>
  </si>
  <si>
    <t xml:space="preserve">BGA </t>
  </si>
  <si>
    <t>CT5086</t>
  </si>
  <si>
    <t xml:space="preserve">1338003FACET </t>
  </si>
  <si>
    <t>1338003MARELLİ</t>
  </si>
  <si>
    <t>1338003NRF</t>
  </si>
  <si>
    <t>1338003TOPRAN</t>
  </si>
  <si>
    <t>1338003VEMA</t>
  </si>
  <si>
    <t xml:space="preserve">1338003VERNET </t>
  </si>
  <si>
    <t>TH6856.92J</t>
  </si>
  <si>
    <t>1338003VERNET-1</t>
  </si>
  <si>
    <t xml:space="preserve">TERMOSTAT Z14XE/Z16XE </t>
  </si>
  <si>
    <t>TH6519.92J</t>
  </si>
  <si>
    <t>1338009ASPART</t>
  </si>
  <si>
    <t>6TCO1116</t>
  </si>
  <si>
    <t>TERMOSTAT X20DTH/Y20DTH</t>
  </si>
  <si>
    <t>1338009HELLUX</t>
  </si>
  <si>
    <t>TERMOSTAT VECTRA.B X20DTH</t>
  </si>
  <si>
    <t>HTR.251057</t>
  </si>
  <si>
    <t xml:space="preserve">1338021AKD </t>
  </si>
  <si>
    <t xml:space="preserve">SU FLANŞ GÖVDE CONTA A12XER/A14XER/A14NET </t>
  </si>
  <si>
    <t>1338021İBRAS</t>
  </si>
  <si>
    <t>SU FLANŞ GÖVDE CONTA A12XER/A14XER/A14NET</t>
  </si>
  <si>
    <t>1338027ASPART</t>
  </si>
  <si>
    <t>6TCO1062</t>
  </si>
  <si>
    <t xml:space="preserve">TERMOSTAT A20DTH 2.0CDTİ </t>
  </si>
  <si>
    <t>1338027HELLUX</t>
  </si>
  <si>
    <t>TERMOSTAT A20DTH 2.0CDTİ</t>
  </si>
  <si>
    <t>HTR.251011</t>
  </si>
  <si>
    <t>1338032Y</t>
  </si>
  <si>
    <t>TERMOSTAT CONTA A14NET/B14NET</t>
  </si>
  <si>
    <t>TERMOSTAT VECTRA.A/ASTRA.F 1.8/2.0 8V</t>
  </si>
  <si>
    <t>1338049ASPART</t>
  </si>
  <si>
    <t>6TCO1018</t>
  </si>
  <si>
    <t>1338049MARELLİ</t>
  </si>
  <si>
    <t>1338049TOPRAN</t>
  </si>
  <si>
    <t>1338052AKD</t>
  </si>
  <si>
    <t>TERMOSTAT 1.2/1.4/1.6 8V</t>
  </si>
  <si>
    <t>OP143100</t>
  </si>
  <si>
    <t>1338052GATES</t>
  </si>
  <si>
    <t>TH28592G1</t>
  </si>
  <si>
    <t>1338052MARELLİ</t>
  </si>
  <si>
    <t xml:space="preserve">1338052MGA </t>
  </si>
  <si>
    <t>1338052TOPRAN</t>
  </si>
  <si>
    <t xml:space="preserve">1338052VERNET </t>
  </si>
  <si>
    <t>TH4898.92J</t>
  </si>
  <si>
    <t>1338063MARELLİ</t>
  </si>
  <si>
    <t>TERMOSTAT ASTRA.F/VECTRA.A C20XE</t>
  </si>
  <si>
    <t>1338073AKD</t>
  </si>
  <si>
    <t xml:space="preserve">TERMOSTAT ASTRA.F/CORSA.B/VECTRA.B X16XE/X14XE </t>
  </si>
  <si>
    <t>OP143102</t>
  </si>
  <si>
    <t>1338073ASPART</t>
  </si>
  <si>
    <t>6TCO1016</t>
  </si>
  <si>
    <t>TERMOSTAT ASTRA.F/CORSA.B/VECTRA.B X16XE/X14XE</t>
  </si>
  <si>
    <t>1338073MGA</t>
  </si>
  <si>
    <t>1338073TOPRAN</t>
  </si>
  <si>
    <t>TERMOSTAT X14XE/X16XE</t>
  </si>
  <si>
    <t xml:space="preserve">1338073VERNET </t>
  </si>
  <si>
    <t>TH6171.92J</t>
  </si>
  <si>
    <t xml:space="preserve">1338075ELBA </t>
  </si>
  <si>
    <t>TERMOSTAT X17D/X17DT</t>
  </si>
  <si>
    <t xml:space="preserve">ELBA </t>
  </si>
  <si>
    <t>1338075MARELLİ</t>
  </si>
  <si>
    <t>1338079AKD</t>
  </si>
  <si>
    <t>TERMOSTAT X20XEV</t>
  </si>
  <si>
    <t>OP143103</t>
  </si>
  <si>
    <t xml:space="preserve">1338079ASPART </t>
  </si>
  <si>
    <t>6TCO1015</t>
  </si>
  <si>
    <t>1338079BGA</t>
  </si>
  <si>
    <t>CT5140</t>
  </si>
  <si>
    <t xml:space="preserve">1338079VERNET </t>
  </si>
  <si>
    <t>TH6237.92J</t>
  </si>
  <si>
    <t>1338151-052MARELLİ</t>
  </si>
  <si>
    <t>TERMOSTAT GÖVDELİ KOMPLE 1.2/1.4/1.6 8V</t>
  </si>
  <si>
    <t xml:space="preserve">1338151MGA </t>
  </si>
  <si>
    <t>TERMOSTAT KAPAGI ASTRA.F/CORSA.B 1.2/1.4 8V</t>
  </si>
  <si>
    <t>1338177-178ASPART</t>
  </si>
  <si>
    <t>6THO1012</t>
  </si>
  <si>
    <t>TERMOSTAT ASTRA.H A16XER/CRUZE/KALOS/AVEO 1.4/1.6 16V</t>
  </si>
  <si>
    <t>1338177AKD-M</t>
  </si>
  <si>
    <t>TERMOSTAT GÖVDE A16XER/A16LET (METAL)</t>
  </si>
  <si>
    <t>OP199103</t>
  </si>
  <si>
    <t>1338177ASPART</t>
  </si>
  <si>
    <t>6THO1002</t>
  </si>
  <si>
    <t>TERMOSTAT GÖVDE A16XER/A16LET</t>
  </si>
  <si>
    <t xml:space="preserve">1338177CABU </t>
  </si>
  <si>
    <t>1338177WERHAFT</t>
  </si>
  <si>
    <t>WERHAFT</t>
  </si>
  <si>
    <t>1338177YTT</t>
  </si>
  <si>
    <t>Y1772</t>
  </si>
  <si>
    <t>1338178ASPART</t>
  </si>
  <si>
    <t>6TCO1038</t>
  </si>
  <si>
    <t>TERMOSTAT Z16XEP ASTRA.G/H/VECTRA.C</t>
  </si>
  <si>
    <t>1338178BGA</t>
  </si>
  <si>
    <t>CT5001</t>
  </si>
  <si>
    <t>1338178FİXON-95D</t>
  </si>
  <si>
    <t>TERMOSTAT 95D ASTRA.H Z16XEP/Z16XER/A16XER</t>
  </si>
  <si>
    <t>FXS-39600012</t>
  </si>
  <si>
    <t xml:space="preserve">1338178KALE </t>
  </si>
  <si>
    <t>1338178MAHLE</t>
  </si>
  <si>
    <t>TM55105</t>
  </si>
  <si>
    <t>1338178METTE</t>
  </si>
  <si>
    <t>345C6112</t>
  </si>
  <si>
    <t xml:space="preserve">1338178MGA </t>
  </si>
  <si>
    <t xml:space="preserve">1338178VEMA </t>
  </si>
  <si>
    <t xml:space="preserve">TERMOSTAT GÖVDESİ +TERMOSTAT KOMPLE Z14XE/Z16XE </t>
  </si>
  <si>
    <t>1338229HANSFEL</t>
  </si>
  <si>
    <t>TERMOSTAT ORİNG X20XEV</t>
  </si>
  <si>
    <t>HANSFEL</t>
  </si>
  <si>
    <t>HSF-2042</t>
  </si>
  <si>
    <t>1338285ASPART</t>
  </si>
  <si>
    <t>6HOS1096</t>
  </si>
  <si>
    <t xml:space="preserve">TERMOSTAT ARA DEMİR HORTUM Y17DT </t>
  </si>
  <si>
    <t>1338285NİFEA</t>
  </si>
  <si>
    <t>1338358ASPART</t>
  </si>
  <si>
    <t>6TCO1050</t>
  </si>
  <si>
    <t xml:space="preserve">TERMOSTAT A13DTE 1.3 EURO5  </t>
  </si>
  <si>
    <t>1338358BROM</t>
  </si>
  <si>
    <t>TERMOSTAT A13DTE 1.3 EURO5</t>
  </si>
  <si>
    <t>BROM</t>
  </si>
  <si>
    <t>FI41002</t>
  </si>
  <si>
    <t xml:space="preserve">1338358FACET </t>
  </si>
  <si>
    <t xml:space="preserve">TERMOSTAT A13DTE 1.3 EURO5 </t>
  </si>
  <si>
    <t xml:space="preserve">1338358HELLUX </t>
  </si>
  <si>
    <t>HTR.251012</t>
  </si>
  <si>
    <t>1338358KALE</t>
  </si>
  <si>
    <t xml:space="preserve">1338358SAGEM </t>
  </si>
  <si>
    <t>1338358WORTHY</t>
  </si>
  <si>
    <t>WT6504</t>
  </si>
  <si>
    <t xml:space="preserve">1338359FAE </t>
  </si>
  <si>
    <t>HARARET MÜŞÜR A13DTE</t>
  </si>
  <si>
    <t>FAN MÜŞÜR</t>
  </si>
  <si>
    <t>HARARET MÜŞÜR A12XER/A14XER/A16XER/A16LET/A14NET</t>
  </si>
  <si>
    <t xml:space="preserve">1338370FAE </t>
  </si>
  <si>
    <t>1338370FEBİ</t>
  </si>
  <si>
    <t xml:space="preserve">1338370METTE </t>
  </si>
  <si>
    <t>651D5085</t>
  </si>
  <si>
    <t>TERMOSTAT A16XER/B16XER 105D</t>
  </si>
  <si>
    <t>1338372AKD</t>
  </si>
  <si>
    <t>OP143138</t>
  </si>
  <si>
    <t>1338372ASPART</t>
  </si>
  <si>
    <t>6TCO1036</t>
  </si>
  <si>
    <t>1338372BGA</t>
  </si>
  <si>
    <t>CT9509</t>
  </si>
  <si>
    <t>1338372HELLUX</t>
  </si>
  <si>
    <t>TERMOSTAT A16XER/B16XER (METAL)</t>
  </si>
  <si>
    <t>HTR.251078</t>
  </si>
  <si>
    <t>1338372VEMA</t>
  </si>
  <si>
    <t xml:space="preserve">1338372VERNET </t>
  </si>
  <si>
    <t>TERMOSTAT A16XER/B16XER</t>
  </si>
  <si>
    <t>TE7277P.105J</t>
  </si>
  <si>
    <t>1338372Y</t>
  </si>
  <si>
    <t>1338377ATİK</t>
  </si>
  <si>
    <t>DEVİRDAİM BORU YAĞ SOĞUTUCU GELEN A13DTE EURO5 ASTRA.J/CORSA.D/AVEO T300</t>
  </si>
  <si>
    <t xml:space="preserve">ATİK </t>
  </si>
  <si>
    <t>ATK-208</t>
  </si>
  <si>
    <t>1338377SWAPP</t>
  </si>
  <si>
    <t>TERMOSTAT A12XER/A14XER</t>
  </si>
  <si>
    <t>1338379AL-FİXON</t>
  </si>
  <si>
    <t>TERMOSTAT A12XER/A14XER 95D ALÜMİNYUM</t>
  </si>
  <si>
    <t>FXS-39600027</t>
  </si>
  <si>
    <t>1338379AL-WUPPEN</t>
  </si>
  <si>
    <t>WUPPEN</t>
  </si>
  <si>
    <t>WP360208-AL</t>
  </si>
  <si>
    <t xml:space="preserve">1338379ASPART </t>
  </si>
  <si>
    <t>6TCO1037</t>
  </si>
  <si>
    <t xml:space="preserve">1338379BGA </t>
  </si>
  <si>
    <t>CT5656</t>
  </si>
  <si>
    <t>1338379CABU</t>
  </si>
  <si>
    <t>1338379DOLZ</t>
  </si>
  <si>
    <t>THO001</t>
  </si>
  <si>
    <t>1338379FEBİ</t>
  </si>
  <si>
    <t>1338379UMT</t>
  </si>
  <si>
    <t>TERMOSTAT A12XER/A14XER 90D ALÜMİNYUM</t>
  </si>
  <si>
    <t>UMT</t>
  </si>
  <si>
    <t>25200454METAL</t>
  </si>
  <si>
    <t xml:space="preserve">1338379VERNET </t>
  </si>
  <si>
    <t>TE7246.103J</t>
  </si>
  <si>
    <t>1338380AL-FİXON</t>
  </si>
  <si>
    <t>TERMOSTAT A14NET/B14NET 95D ALÜMİNYUN</t>
  </si>
  <si>
    <t>FXS-39600028</t>
  </si>
  <si>
    <t>1338380AL-WUPPEN</t>
  </si>
  <si>
    <t>WP100201-AL</t>
  </si>
  <si>
    <t>1338380ASPART</t>
  </si>
  <si>
    <t>6TCO1039</t>
  </si>
  <si>
    <t>TERMOSTAT A14NET/B14NET 103C</t>
  </si>
  <si>
    <t>1338380BGA</t>
  </si>
  <si>
    <t>CT9500</t>
  </si>
  <si>
    <t xml:space="preserve">1338380DOLZ </t>
  </si>
  <si>
    <t>THO002</t>
  </si>
  <si>
    <t xml:space="preserve">1338380MGA </t>
  </si>
  <si>
    <t>1338380UMT</t>
  </si>
  <si>
    <t>TERMOSTAT A14NET/B14NET 90D ALÜMİNYUN</t>
  </si>
  <si>
    <t>25200455-AL90ITH</t>
  </si>
  <si>
    <t>1338380Y</t>
  </si>
  <si>
    <t>TERMOSTAT A14NET/B14NET</t>
  </si>
  <si>
    <t>1338389ASPART</t>
  </si>
  <si>
    <t>6THO1006</t>
  </si>
  <si>
    <t>SU FLANSI A14NET/B14NET/A14NEL</t>
  </si>
  <si>
    <t>1338402METTE</t>
  </si>
  <si>
    <t>TERMSOTAT KOMPLE Z16XER/A16XER ASTRA.H/J/İNSİGNİA.A</t>
  </si>
  <si>
    <t>345C6225</t>
  </si>
  <si>
    <t>1338402WİSCO</t>
  </si>
  <si>
    <t>2113458-00</t>
  </si>
  <si>
    <t>TERMSOTAT KOMPLE(METAL GÖVDE) Z16XER/A16XER ASTRA.H/J/İNSİGNİA.A</t>
  </si>
  <si>
    <t>1338403ASPART</t>
  </si>
  <si>
    <t>6THO1009</t>
  </si>
  <si>
    <t>TERMOSTAT KOMPLE GÖVDELİ Z16XEP</t>
  </si>
  <si>
    <t xml:space="preserve">1338433VERNET </t>
  </si>
  <si>
    <t>TERMOSTAT Y20DTH/Y22DTR</t>
  </si>
  <si>
    <t>TH6518.92J</t>
  </si>
  <si>
    <t>1338458FACET</t>
  </si>
  <si>
    <t>HARARET MÜŞÜR ASTRA.F/CORSA.B/VECTRA.B X14XE/X16XEL</t>
  </si>
  <si>
    <t>1338458Y</t>
  </si>
  <si>
    <t xml:space="preserve">1338461FAE </t>
  </si>
  <si>
    <t>SU SICAKLIK MÜŞÜR(BEYAZ) Z14XEP</t>
  </si>
  <si>
    <t>1338467DELPHİ</t>
  </si>
  <si>
    <t>HARARET MÜŞÜR Z14XE/Z16XE</t>
  </si>
  <si>
    <t>TS10253</t>
  </si>
  <si>
    <t>SU FLANSI A12XER/A14XER CORSA.D/E</t>
  </si>
  <si>
    <t>1338487AKD</t>
  </si>
  <si>
    <t xml:space="preserve">SU FLANSI A12XER/A14XER CORSA.D/E  </t>
  </si>
  <si>
    <t>OP143119</t>
  </si>
  <si>
    <t>1338487AKD-METAL</t>
  </si>
  <si>
    <t>SU FLANSI A12XER/A14XER CORSA.D/E (METAL)</t>
  </si>
  <si>
    <t>OP143139</t>
  </si>
  <si>
    <t xml:space="preserve">1338487ASPART </t>
  </si>
  <si>
    <t>6THO1011</t>
  </si>
  <si>
    <t xml:space="preserve">SU FLANSI A12XER/A14XER CORSA.D/E </t>
  </si>
  <si>
    <t>1338487CABU</t>
  </si>
  <si>
    <t>1338487METTE</t>
  </si>
  <si>
    <t>345C6130</t>
  </si>
  <si>
    <t xml:space="preserve">1338487VEMA </t>
  </si>
  <si>
    <t>1338487Y</t>
  </si>
  <si>
    <t>1338489AKD-METAL</t>
  </si>
  <si>
    <t>SU FLANSI METAL A14NET/B14NET/A14NEL</t>
  </si>
  <si>
    <t>OP143140</t>
  </si>
  <si>
    <t>1338489AMETTE</t>
  </si>
  <si>
    <t>SU FLANŞI UC YUVA ADAPTÖRÜ A12XER/A14XER/A14NET</t>
  </si>
  <si>
    <t>345C6518</t>
  </si>
  <si>
    <t>1338489CABU</t>
  </si>
  <si>
    <t xml:space="preserve">1338511FAE </t>
  </si>
  <si>
    <t>MOTOR SICAKLIK SENSÖR ASTRA.F/VECTRA.B X16XE</t>
  </si>
  <si>
    <t>DEVİRDAİM SU HORTUM CORSA.C/MERİVA.A/ASTRA.H Z13DT/Z13DTH 75HP/90HP</t>
  </si>
  <si>
    <t>1338561ATİK</t>
  </si>
  <si>
    <t>ATK-230</t>
  </si>
  <si>
    <t>1338561GM</t>
  </si>
  <si>
    <t xml:space="preserve">1338561METTE </t>
  </si>
  <si>
    <t>DEVİRDAİM SU HORTUM CORSA.C/MERİVA.A Z13DT 75HP</t>
  </si>
  <si>
    <t>668M6349</t>
  </si>
  <si>
    <t>1338561YTT</t>
  </si>
  <si>
    <t>Y11797</t>
  </si>
  <si>
    <t>1338724MARELLİ</t>
  </si>
  <si>
    <t>TERMOSTAT ASTRA.G/CORSA.C Y17DT</t>
  </si>
  <si>
    <t>1338753RPR</t>
  </si>
  <si>
    <t>TERMOSTAT ARA HORTUM Z13DT/A13DTE</t>
  </si>
  <si>
    <t>R18328</t>
  </si>
  <si>
    <t>1338753SWAPP</t>
  </si>
  <si>
    <t>1338761ATİK</t>
  </si>
  <si>
    <t>DEVİRDAİM HORTUM Z13DTH  90HP (SOĞUTUCUYA GELEN)</t>
  </si>
  <si>
    <t>ATİK</t>
  </si>
  <si>
    <t>ATK-214</t>
  </si>
  <si>
    <t>1338761SAGEM</t>
  </si>
  <si>
    <t xml:space="preserve">1338766ATİK </t>
  </si>
  <si>
    <t>DEVİRDAİM HORTUM Z13DT CORSA.C/D/MERİVA.A/BİPPER/NEMO 75HP (SOĞUTUCUYA GELEN)</t>
  </si>
  <si>
    <t>ATK-196</t>
  </si>
  <si>
    <t>1338766SWAPP</t>
  </si>
  <si>
    <t>1340005ABA</t>
  </si>
  <si>
    <t xml:space="preserve">V KAYIŞ 6PK1400 AVEO T300 A14XER/ASTRA.J A14NET </t>
  </si>
  <si>
    <t>ABA</t>
  </si>
  <si>
    <t>6PK1400</t>
  </si>
  <si>
    <t>1340005ABA-K</t>
  </si>
  <si>
    <t xml:space="preserve">V KAYIŞ 6PK1390 AVEO T300 A14XER/ASTRA.J A14NET </t>
  </si>
  <si>
    <t>6PK1390</t>
  </si>
  <si>
    <t>1340005BOSCH</t>
  </si>
  <si>
    <t>V KAYIŞ 6PK1400 AVEO T300 A14XER/ASTRA.J A14NET</t>
  </si>
  <si>
    <t>1340005GMB</t>
  </si>
  <si>
    <t>GMB</t>
  </si>
  <si>
    <t>GMB-6PK1400</t>
  </si>
  <si>
    <t>1340017BANDO</t>
  </si>
  <si>
    <t xml:space="preserve">V KAYIŞ 5PK1335 CORSA.D/E A12XER/A14XER </t>
  </si>
  <si>
    <t xml:space="preserve">BANDO </t>
  </si>
  <si>
    <t>5PK1335EPDM</t>
  </si>
  <si>
    <t>1340017DAYCO</t>
  </si>
  <si>
    <t>5PK1334</t>
  </si>
  <si>
    <t>1340018ABA</t>
  </si>
  <si>
    <t>V KAYIŞ 5PK1398 A14NET/A14NEL/B14NET/B14NEH/B14NEJ</t>
  </si>
  <si>
    <t>5PK1398</t>
  </si>
  <si>
    <t>1340018BANDO</t>
  </si>
  <si>
    <t xml:space="preserve">V KAYIŞ 5PK1398 A14NET/A14NEL/B14NET/B14NEH/B14NEJ </t>
  </si>
  <si>
    <t>BANDO</t>
  </si>
  <si>
    <t>5PK1397(EPDM)</t>
  </si>
  <si>
    <t xml:space="preserve">1340018BOSCH </t>
  </si>
  <si>
    <t>1340023BANDO</t>
  </si>
  <si>
    <t>V KAYIŞ 6PK1325 CORSA.D A13TE/A13DTC</t>
  </si>
  <si>
    <t>6PK1325</t>
  </si>
  <si>
    <t>1340023BOSCH</t>
  </si>
  <si>
    <t>1340028BANDO</t>
  </si>
  <si>
    <t xml:space="preserve">V KAYIŞ 6PK1360 A13DTE ASTRA.J/CORSA.D EURO5 </t>
  </si>
  <si>
    <t>1340028BOSCH</t>
  </si>
  <si>
    <t>V KAYIŞ 6PK1360 A13DTE/PARTNER 1.6HDİ</t>
  </si>
  <si>
    <t>1340028GMB</t>
  </si>
  <si>
    <t>6PK1360</t>
  </si>
  <si>
    <t>1340028MOCA</t>
  </si>
  <si>
    <t>MOCA</t>
  </si>
  <si>
    <t>1340050BANDO</t>
  </si>
  <si>
    <t>V KAYIŞ 6PK1635 B16DTH ASTRA.J/K/İNSİGNİA</t>
  </si>
  <si>
    <t>6PK1635</t>
  </si>
  <si>
    <t xml:space="preserve">1340050BOSCH </t>
  </si>
  <si>
    <t>1340050WUTSE</t>
  </si>
  <si>
    <t xml:space="preserve">V KAYIŞ 6PK1635 B16DTH ASTRA.J/K/İNSİGNİA </t>
  </si>
  <si>
    <t xml:space="preserve">WUTSE </t>
  </si>
  <si>
    <t>1340269ABA</t>
  </si>
  <si>
    <t>V KAYIŞ GERGİ KOMPLE A20DTH İNSİGNİA.A</t>
  </si>
  <si>
    <t>1340269AKD</t>
  </si>
  <si>
    <t xml:space="preserve">V KAYIŞ GERGİ KOMPLE A20DTH İNSİGNİA.A </t>
  </si>
  <si>
    <t>OP115112</t>
  </si>
  <si>
    <t>1340269ASPART</t>
  </si>
  <si>
    <t>8TLV1078</t>
  </si>
  <si>
    <t>1340269KAPARS</t>
  </si>
  <si>
    <t>KA-16-20506200</t>
  </si>
  <si>
    <t xml:space="preserve">1340269VOE </t>
  </si>
  <si>
    <t xml:space="preserve">VOE </t>
  </si>
  <si>
    <t>VTB 35330</t>
  </si>
  <si>
    <t>1340280ABA</t>
  </si>
  <si>
    <t xml:space="preserve">V KAYIŞ 6PK1453 206 1.4 8V//ASTRA.F </t>
  </si>
  <si>
    <t>6PK1453</t>
  </si>
  <si>
    <t>1340280BOSCH</t>
  </si>
  <si>
    <t>V KAYIŞ 6PK1453 206 1.4 8V//ASTRA.F</t>
  </si>
  <si>
    <t>SİGORTA KAPAGI ASTRA.J</t>
  </si>
  <si>
    <t>1340514ABA</t>
  </si>
  <si>
    <t>V KAYIŞ GERGİ RULMAN Z14XE/Z16XE</t>
  </si>
  <si>
    <t>1340514BMS</t>
  </si>
  <si>
    <t>BMS-020</t>
  </si>
  <si>
    <t>1340514ECO</t>
  </si>
  <si>
    <t xml:space="preserve">V KAYIŞ GERGİ RULMAN Z14XE/Z16XE </t>
  </si>
  <si>
    <t xml:space="preserve">ECO </t>
  </si>
  <si>
    <t>G7622006</t>
  </si>
  <si>
    <t>1340514WAGENBURG</t>
  </si>
  <si>
    <t>OP.701</t>
  </si>
  <si>
    <t>1340530AKD</t>
  </si>
  <si>
    <t>V AKYIŞ GERGİ KOMPLE X20DTH/Y20DTH</t>
  </si>
  <si>
    <t>OP115126</t>
  </si>
  <si>
    <t xml:space="preserve">1340530ASPART </t>
  </si>
  <si>
    <t>V KAYIŞ GERGİSİ KOMPLE X20DTH/X22DTH</t>
  </si>
  <si>
    <t>8TLV1079</t>
  </si>
  <si>
    <t>1340530BMS</t>
  </si>
  <si>
    <t>BMS 029</t>
  </si>
  <si>
    <t xml:space="preserve">V KAYIŞ GERGİ RULMAN X20TH/X22DTH/306 1.8 </t>
  </si>
  <si>
    <t>1340530WAGENBURG</t>
  </si>
  <si>
    <t>CHV.106</t>
  </si>
  <si>
    <t>1340533ABA</t>
  </si>
  <si>
    <t>V KAYIŞ GERGİ KOMPLE C16NZ/VECTRA.B X16XE</t>
  </si>
  <si>
    <t>1340535ASPART</t>
  </si>
  <si>
    <t>8DGP1102</t>
  </si>
  <si>
    <t>V KAYIŞ RULMAN (SABİT KANALLI) ASTRA.F X16XEL</t>
  </si>
  <si>
    <t>1340541ABA</t>
  </si>
  <si>
    <t>V KAYIŞ GERGİ KOMPLE X14XE/X16XE/X20XEV</t>
  </si>
  <si>
    <t xml:space="preserve">1340541ALT </t>
  </si>
  <si>
    <t xml:space="preserve">ALT </t>
  </si>
  <si>
    <t xml:space="preserve">1340541ASPART </t>
  </si>
  <si>
    <t>8TLV1081</t>
  </si>
  <si>
    <t>1340541ECO</t>
  </si>
  <si>
    <t>ECOPARTS</t>
  </si>
  <si>
    <t>ECO KG1347</t>
  </si>
  <si>
    <t>1340541MOCA</t>
  </si>
  <si>
    <t>MCA BT7025</t>
  </si>
  <si>
    <t>1340555ABA</t>
  </si>
  <si>
    <t>V KAYIŞ GERGİ KOMPLE Z14XE/Z16XE</t>
  </si>
  <si>
    <t xml:space="preserve">1340555AKD </t>
  </si>
  <si>
    <t xml:space="preserve">V KAYIŞ GERGİ KOMPLE Z14XE/Z16XE </t>
  </si>
  <si>
    <t>OP115102</t>
  </si>
  <si>
    <t>1340555ALT</t>
  </si>
  <si>
    <t>1340555ASPART</t>
  </si>
  <si>
    <t>8TLV1082</t>
  </si>
  <si>
    <t xml:space="preserve">1340555BGA </t>
  </si>
  <si>
    <t>DC9503</t>
  </si>
  <si>
    <t>1340555ECO</t>
  </si>
  <si>
    <t>ECO KG0035</t>
  </si>
  <si>
    <t xml:space="preserve">1340555GVA </t>
  </si>
  <si>
    <t xml:space="preserve">GVA </t>
  </si>
  <si>
    <t>2790111K</t>
  </si>
  <si>
    <t xml:space="preserve">1340555INA </t>
  </si>
  <si>
    <t>1340555KAPARS</t>
  </si>
  <si>
    <t>KA-16-20201200</t>
  </si>
  <si>
    <t>1340555LUCAS</t>
  </si>
  <si>
    <t>LA0263</t>
  </si>
  <si>
    <t>1340555PFİ</t>
  </si>
  <si>
    <t>PFİ</t>
  </si>
  <si>
    <t>PTI35012</t>
  </si>
  <si>
    <t>1340556ECO</t>
  </si>
  <si>
    <t>V KAYIŞ GERGİ RULMAN Z12XE/X12XE/Z14XEP/A12XER/A14NET</t>
  </si>
  <si>
    <t>G7026001</t>
  </si>
  <si>
    <t xml:space="preserve">1340622BOSCH </t>
  </si>
  <si>
    <t>V KAYIŞ 10X925 ASTRA.F/CORSA.B 1.2/1.4 8V</t>
  </si>
  <si>
    <t>1340638ABA</t>
  </si>
  <si>
    <t>V KAYIŞ 6PK1853 İNSİGNİA.A A20DTH</t>
  </si>
  <si>
    <t>6PK1853</t>
  </si>
  <si>
    <t>1340638GMB</t>
  </si>
  <si>
    <t>6PK1855</t>
  </si>
  <si>
    <t>1340647BANDO</t>
  </si>
  <si>
    <t>V KAYIŞ 6PK1900 VECTRA.B X20XEV/X20DTH/İNSİGNİA.A A20DTH</t>
  </si>
  <si>
    <t>6PK1900</t>
  </si>
  <si>
    <t>1340647BOSCH</t>
  </si>
  <si>
    <t>1340647GATES</t>
  </si>
  <si>
    <t xml:space="preserve">V KAYIŞ 6PK1900 VECTRA.B X20XEV/X20DTH/İNSİGNİA.A A20DTH </t>
  </si>
  <si>
    <t>6PK1903</t>
  </si>
  <si>
    <t>1340647GMB</t>
  </si>
  <si>
    <t>GPK 6PK1900</t>
  </si>
  <si>
    <t>1340647ROADMAX</t>
  </si>
  <si>
    <t>ROADMAX</t>
  </si>
  <si>
    <t>1903K6</t>
  </si>
  <si>
    <t>1340647WUTSE</t>
  </si>
  <si>
    <t>1340648ABA</t>
  </si>
  <si>
    <t xml:space="preserve">V KAYIŞ 6PK1725 ASTRA.F X16XE KLİMASIZ </t>
  </si>
  <si>
    <t>6PK1725</t>
  </si>
  <si>
    <t>1340648ABA-S1</t>
  </si>
  <si>
    <t>6PK1725S1</t>
  </si>
  <si>
    <t>V KAYIŞ+RULMAN SET 6PK1725 ASTRA.F X16XE KLİMASIZ</t>
  </si>
  <si>
    <t>1340648ECO</t>
  </si>
  <si>
    <t>1340657ABA</t>
  </si>
  <si>
    <t>V KAYIŞ 5PK1255 ZAFİRA.A Z16XE/X18XE/Z18XE/VECTRA.C</t>
  </si>
  <si>
    <t>5PK1255</t>
  </si>
  <si>
    <t>1340657WUTSE</t>
  </si>
  <si>
    <t>WUTSE</t>
  </si>
  <si>
    <t>1340662ABA</t>
  </si>
  <si>
    <t>V KAYIŞ 6PK1590 Y17DT KLİMALI</t>
  </si>
  <si>
    <t>6PK1590</t>
  </si>
  <si>
    <t>1340662ROADMAX</t>
  </si>
  <si>
    <t>1590K6</t>
  </si>
  <si>
    <t>1340671BOSCH</t>
  </si>
  <si>
    <t>V KAYIŞ ASTRA.G/H/CORSA.C Z12XEP/Z14XEP</t>
  </si>
  <si>
    <t>13407492-P/AYD</t>
  </si>
  <si>
    <t>ARKA DİNGİK BAĞLANTI KOLU BURCU ASTRA.K</t>
  </si>
  <si>
    <t>87-16084</t>
  </si>
  <si>
    <t xml:space="preserve">134077BANDO </t>
  </si>
  <si>
    <t>V KAYIŞ 5PK1680 İNSİGNİA.B 1.5T/ASTRA.K 1.4T/1.0T</t>
  </si>
  <si>
    <t>5PK1680(EPDM)</t>
  </si>
  <si>
    <t>1340827WAGENBURG</t>
  </si>
  <si>
    <t>V KAYIŞ GERGİ RULMAN SABİT KANALLI X20DTH/X22DTH</t>
  </si>
  <si>
    <t>OP.715</t>
  </si>
  <si>
    <t>13408388YTT</t>
  </si>
  <si>
    <t>Y10827</t>
  </si>
  <si>
    <t>1341007WİSCO</t>
  </si>
  <si>
    <t>FAN MOTORU DAVLUMBAZLI ÇİFT FANLI İNSİGNİA.A A20DTH/A20NHT/A20NFT 09-12</t>
  </si>
  <si>
    <t>2113516-00</t>
  </si>
  <si>
    <t>1341011AKD</t>
  </si>
  <si>
    <t>FAN MÜŞÜR CORSA.B/VECTRA.A/ASTRA.F 2 FİŞ</t>
  </si>
  <si>
    <t>OP106100</t>
  </si>
  <si>
    <t xml:space="preserve">1341011FACET </t>
  </si>
  <si>
    <t xml:space="preserve">1341011FAE </t>
  </si>
  <si>
    <t>1341011TOPRAN</t>
  </si>
  <si>
    <t xml:space="preserve">1341011VERNET </t>
  </si>
  <si>
    <t>TS1958</t>
  </si>
  <si>
    <t xml:space="preserve">1341025AKD </t>
  </si>
  <si>
    <t xml:space="preserve">FAN MÜŞÜRÜ ASTRA.F/VECTRA.A 3FİŞ </t>
  </si>
  <si>
    <t>OP106101</t>
  </si>
  <si>
    <t>1341025FAE</t>
  </si>
  <si>
    <t>1341025METTE</t>
  </si>
  <si>
    <t xml:space="preserve">FAN MÜŞÜRÜ ASTRA.F/VECTRA.A 3FİŞ  </t>
  </si>
  <si>
    <t>651D5058</t>
  </si>
  <si>
    <t>1341025TOPRAN</t>
  </si>
  <si>
    <t>FAN MÜŞÜRÜ ASTRA.F/VECTRA.A 3FİŞ</t>
  </si>
  <si>
    <t xml:space="preserve">1341030FAE </t>
  </si>
  <si>
    <t>FAN MÜŞÜR VECTRA.A/ASTRA.F/CORSA.B (2FİŞ)</t>
  </si>
  <si>
    <t>1341042AKD</t>
  </si>
  <si>
    <t>FAN MÜŞÜR VECTRA.B X20XEV</t>
  </si>
  <si>
    <t>OP106103</t>
  </si>
  <si>
    <t xml:space="preserve">1341042FAE </t>
  </si>
  <si>
    <t xml:space="preserve">1341043FAE </t>
  </si>
  <si>
    <t>FAN MÜŞÜR VECTRA.B (XQ) X20XEV KARE SOKET</t>
  </si>
  <si>
    <t>1341043KRAFTVOLL</t>
  </si>
  <si>
    <t>1341043TOPRAN</t>
  </si>
  <si>
    <t>1341096KRAFTVOLL</t>
  </si>
  <si>
    <t xml:space="preserve">RADYATÖR FAN MOTOR 390mm İNSİGNİA.A A16LET DAVLUMBAZLI </t>
  </si>
  <si>
    <t>1341108MGA</t>
  </si>
  <si>
    <t>RADAYATÖR FAM MOTOR DAVLUMBAZLI MOKKA/TRAX A14NET</t>
  </si>
  <si>
    <t>1341113WİSCO</t>
  </si>
  <si>
    <t>RADYATÖR FAN MOTOR (1314021 DAVLUMBAZLI)ASTRA.J B16DTH/A16XHT</t>
  </si>
  <si>
    <t>2113560-00</t>
  </si>
  <si>
    <t xml:space="preserve">1341118MGA </t>
  </si>
  <si>
    <t>RADYATÖR FAN MOTOR (1314001 DAVLUMBAZLI)ASTRA.J A14NET/A16XER/CRUZE 1.4T/F14D4</t>
  </si>
  <si>
    <t>1341118WİSCO</t>
  </si>
  <si>
    <t xml:space="preserve">RADYATÖR FAN MOTOR (1314001 DAVLUMBAZLI)ASTRA.J A14NET/A16XER/CRUZE 1.4T/F14D4 </t>
  </si>
  <si>
    <t>2113556-00</t>
  </si>
  <si>
    <t>1341244KALE</t>
  </si>
  <si>
    <t>RADYATÖR FAN MOTOR+DAVLUMBAZ ASTRA.F/CORSA.B 1.2/1.4 8V</t>
  </si>
  <si>
    <t>1341262SGR</t>
  </si>
  <si>
    <t>KLİMA FAN MOTOR DAVLUMBAZLI VECTRA.B X20XEV/X16XEL 96&gt;</t>
  </si>
  <si>
    <t xml:space="preserve">SGR </t>
  </si>
  <si>
    <t>1341264NISSENS</t>
  </si>
  <si>
    <t xml:space="preserve">SU RADYATÖR FAN MOTOR VECTRA.B </t>
  </si>
  <si>
    <t xml:space="preserve">NISSENS </t>
  </si>
  <si>
    <t>1341264SGR</t>
  </si>
  <si>
    <t>SU RADYATÖR FAN MOTOR VECTRA.B</t>
  </si>
  <si>
    <t>1341264SWAPP</t>
  </si>
  <si>
    <t>1341271KALE</t>
  </si>
  <si>
    <t>FAN MOTORU VECTRA.A/ASTRA.F</t>
  </si>
  <si>
    <t>1341271TOPRAN</t>
  </si>
  <si>
    <t>1341331SGR</t>
  </si>
  <si>
    <t xml:space="preserve">RADYATÖR FAN MOTOR DAVLUMBAZLI CORSA.C Z12XE/Z14XE </t>
  </si>
  <si>
    <t>SGR</t>
  </si>
  <si>
    <t>1341334MGA</t>
  </si>
  <si>
    <t>FAN MOTOR DAVLUMBAZLI CORSA.C Y17DT 3FİŞ</t>
  </si>
  <si>
    <t>1341334SGR</t>
  </si>
  <si>
    <t>1341334SWAPP</t>
  </si>
  <si>
    <t xml:space="preserve">1341337MGA </t>
  </si>
  <si>
    <t>RADYATÖR FAN MOTOR CORSA.C Y17DT (1314443 DAVLUMBAZ)</t>
  </si>
  <si>
    <t xml:space="preserve">1341338KALE </t>
  </si>
  <si>
    <t>KLİMA FAN MOTOR CORSA.C Z13DT</t>
  </si>
  <si>
    <t xml:space="preserve">1341344SGR </t>
  </si>
  <si>
    <t>FAN MOTOR DAVLUMBAZLI ASTRA.G/ZAFİRA.A X14XE/Z14XE/Z16XE/X16XE</t>
  </si>
  <si>
    <t xml:space="preserve">1341345METTE </t>
  </si>
  <si>
    <t>KLİMA FAN MOTOR KOMPLE ASTRA.G/ZAFİRA.A</t>
  </si>
  <si>
    <t>345C0102</t>
  </si>
  <si>
    <t>1341345TAP</t>
  </si>
  <si>
    <t>KLİMA FAN PERVANESİ ASTRA.G</t>
  </si>
  <si>
    <t>1341372WİSCO</t>
  </si>
  <si>
    <t>RADYATÖR FAN MOTOR DAVLUMBAZLI ASTRA.G Z16XEP 4FİŞ</t>
  </si>
  <si>
    <t>2113068-00</t>
  </si>
  <si>
    <t>1341378METTE(559)</t>
  </si>
  <si>
    <t>KLİMA FAN MOTOR ASTRA.H 04- Z13DTH/Z19DTH (DAVLUMBAZ 1314559)</t>
  </si>
  <si>
    <t>345C6154</t>
  </si>
  <si>
    <t>1341378MEYLE(555)</t>
  </si>
  <si>
    <t>KLİMA FAN MOTOR 310mm ASTRA.H 04- Z13DTH/Z19DTH (DAVLUMBAZ 1314555)</t>
  </si>
  <si>
    <t xml:space="preserve">MEYLE </t>
  </si>
  <si>
    <t xml:space="preserve">1341386KALE </t>
  </si>
  <si>
    <t>FAN MOTOR 3FİŞ ASTRA.G/ASTRA.H Z16XEP/Z16XER/Z14XEP</t>
  </si>
  <si>
    <t>1341388METTE</t>
  </si>
  <si>
    <t>RADYATÖR FAN MOTOR DAVLUMBAZLI CORSA.C Z13DT/Z17DTH 4FİŞ</t>
  </si>
  <si>
    <t>345C0157</t>
  </si>
  <si>
    <t>1341388MGA</t>
  </si>
  <si>
    <t>1341390SGR</t>
  </si>
  <si>
    <t>FAN MOTOR CORSA.D DAVLUMBAZLI Z12XEP/Z14XEP/A14XER +AC</t>
  </si>
  <si>
    <t>1341399SGR</t>
  </si>
  <si>
    <t>RADYATÖR FAN MOTOR KOMPLE CORSA.D Z13DT/Z13DTH/Z17DTJ</t>
  </si>
  <si>
    <t>1341586METTE</t>
  </si>
  <si>
    <t>RADYATÖR FAN REZİSTANSI CORSA.D A12XER/A14XER</t>
  </si>
  <si>
    <t>345C6397</t>
  </si>
  <si>
    <t xml:space="preserve">1341641AKD </t>
  </si>
  <si>
    <t xml:space="preserve">RADYATÖR FAN REZİSTANSI CORSA.D </t>
  </si>
  <si>
    <t>OP107111</t>
  </si>
  <si>
    <t>1341641MARELLİ</t>
  </si>
  <si>
    <t>1341641METTE</t>
  </si>
  <si>
    <t>651D5559</t>
  </si>
  <si>
    <t>1341721TAP</t>
  </si>
  <si>
    <t xml:space="preserve">RADYATÖR FAN REZİSTANSI MERİVA.A </t>
  </si>
  <si>
    <t>TAP.1341721</t>
  </si>
  <si>
    <t>13417362CABU</t>
  </si>
  <si>
    <t>KALORİFER MUZULU CORSA.D ORTASI NİKELAJ</t>
  </si>
  <si>
    <t>13419000MAXTEL</t>
  </si>
  <si>
    <t>ARKA SİLECEK KOMPLE ASTRA.K 2015&gt;/İNSİGNİA.B SW</t>
  </si>
  <si>
    <t>126 07 283</t>
  </si>
  <si>
    <t>13419000PALSTECH</t>
  </si>
  <si>
    <t>P12322</t>
  </si>
  <si>
    <t xml:space="preserve">ARKA SİLECEK KOMPLE ASTRA.K 2015&gt;İNSİGNİA.B SW </t>
  </si>
  <si>
    <t>13419000SAGEM</t>
  </si>
  <si>
    <t>13419000WİSCO</t>
  </si>
  <si>
    <t>ARKA SİLECEK KOMPLE ASTRA.K 2015&gt;İNSİGNİA.B SW</t>
  </si>
  <si>
    <t>2233017-00</t>
  </si>
  <si>
    <t>13419000Y</t>
  </si>
  <si>
    <t>13419441YTT</t>
  </si>
  <si>
    <t>Y20020A</t>
  </si>
  <si>
    <t>TURBO HORTUM TAMİR TAKIM İNSİGNİA.A B16DTH</t>
  </si>
  <si>
    <t xml:space="preserve">13422268METTE </t>
  </si>
  <si>
    <t>BAGAJ AÇMA BUTON İSNİGNİA.A</t>
  </si>
  <si>
    <t>754K4273</t>
  </si>
  <si>
    <t>13422399YTT</t>
  </si>
  <si>
    <t xml:space="preserve">KALORİFER GİRİŞ HORTUM CORSA.E 1.2/1.4 </t>
  </si>
  <si>
    <t>Y20847</t>
  </si>
  <si>
    <t xml:space="preserve">13422454İBRAS </t>
  </si>
  <si>
    <t xml:space="preserve">RADYATÖR ALT HORTUM İNSİGNİA.A B16DTH </t>
  </si>
  <si>
    <t xml:space="preserve">13422456İBRAS </t>
  </si>
  <si>
    <t>RADYATÖR ÜST HORTUM İNSİGNİA.A B16DTH</t>
  </si>
  <si>
    <t>13423599ASPART</t>
  </si>
  <si>
    <t>7CPH1017</t>
  </si>
  <si>
    <t>ÇEKİ DEMİR KAPAĞI ÖN ASTRA.K 16-19</t>
  </si>
  <si>
    <t>13425481EUROSTAMP</t>
  </si>
  <si>
    <t xml:space="preserve">ARKA TAMPON ASTRA.K 16&gt;&gt; SENSÖRLÜ </t>
  </si>
  <si>
    <t>101.45.9660</t>
  </si>
  <si>
    <t xml:space="preserve">1342561FACET </t>
  </si>
  <si>
    <t>HARARET MÜŞÜR 1.2/1.4/1.6/1.8/2.0 8V-16V</t>
  </si>
  <si>
    <t xml:space="preserve">1342561FAE </t>
  </si>
  <si>
    <t>1342567AKD</t>
  </si>
  <si>
    <t xml:space="preserve">HARARET MÜŞÜR ASTRA.H/VECTRA.C Z16XEP </t>
  </si>
  <si>
    <t>OP126102</t>
  </si>
  <si>
    <t>1342567BOSCH</t>
  </si>
  <si>
    <t>HARARET MÜŞÜR ASTRA.H/VECTRA.C Z16XEP</t>
  </si>
  <si>
    <t>1342567FACET</t>
  </si>
  <si>
    <t xml:space="preserve">1342567FAE </t>
  </si>
  <si>
    <t xml:space="preserve">1342570FAE </t>
  </si>
  <si>
    <t>HARARET MÜŞÜR Z16XE/Z18XE/X12XE</t>
  </si>
  <si>
    <t>1342850FAE</t>
  </si>
  <si>
    <t>HARARET MÜŞÜR VECTRA.B X20XEV</t>
  </si>
  <si>
    <t>1342850TOPRAN</t>
  </si>
  <si>
    <t>1343.82RPR</t>
  </si>
  <si>
    <t>RADYATÖR ÜST HORTUM 309 1.9D</t>
  </si>
  <si>
    <t>R15271</t>
  </si>
  <si>
    <t>1343.CQ</t>
  </si>
  <si>
    <t xml:space="preserve">RADYATÖR ÜST HORTUM PARTNER BERLİNGO </t>
  </si>
  <si>
    <t>Y32204</t>
  </si>
  <si>
    <t>1343.ELİBRAS</t>
  </si>
  <si>
    <t>RADYATÖR ÜST HORTUM 307/C4 TU5JP4 1.6 16V</t>
  </si>
  <si>
    <t>1343.FCİBRAS</t>
  </si>
  <si>
    <t>RADYATÖR ÜST HORTUM 1.4HDİ DV4 307/XSARA II</t>
  </si>
  <si>
    <t>1343.FCKRAFTVOLL</t>
  </si>
  <si>
    <t>1343.FERPR</t>
  </si>
  <si>
    <t>RADYATÖR ÜST HORTUM 1.4HDİ DV4 206/206+</t>
  </si>
  <si>
    <t>R15109</t>
  </si>
  <si>
    <t>1343.GH</t>
  </si>
  <si>
    <t>RADYATÖR ÜST HORTUM PARTNER M59 DV6BTED4 1.6HDİ</t>
  </si>
  <si>
    <t>1343GH</t>
  </si>
  <si>
    <t>1343.HTRPR</t>
  </si>
  <si>
    <t>RADYATÖR ÜST HORTUM DV6TED4 207/C2/C3 II</t>
  </si>
  <si>
    <t>R15346</t>
  </si>
  <si>
    <t>1343.HVİBRAS</t>
  </si>
  <si>
    <t>RADYATÖR ÜST HORTUM 1007/207/C2/C3 I/II/III 1.4HDİ</t>
  </si>
  <si>
    <t>1343.HVSWAPP</t>
  </si>
  <si>
    <t>1343.HXGB</t>
  </si>
  <si>
    <t>RADYATÖR ÜST HORTUM 307 1.4/1.6 16V</t>
  </si>
  <si>
    <t xml:space="preserve">GB </t>
  </si>
  <si>
    <t>1343.HXİBRAS</t>
  </si>
  <si>
    <t>İBRAS</t>
  </si>
  <si>
    <t>1343.HXMES</t>
  </si>
  <si>
    <t>1343.HXRPR</t>
  </si>
  <si>
    <t>R15196</t>
  </si>
  <si>
    <t>1343.J3RPR</t>
  </si>
  <si>
    <t>RADYATÖR ÜST HORTUM XSARA/306 1.4-1.6 16V</t>
  </si>
  <si>
    <t>R15140</t>
  </si>
  <si>
    <t>1343.JGYTT</t>
  </si>
  <si>
    <t>RADYATÖR ÜST HORTUM 208/2008/301/C3 C-ELYSEE 1.6V 16V</t>
  </si>
  <si>
    <t>Y32251</t>
  </si>
  <si>
    <t>1343.JPSVB</t>
  </si>
  <si>
    <t>RADYATÖR SÜT HORTUM 2.2HDİ 120HP  BOXER III/JUMPER III/DUCATO</t>
  </si>
  <si>
    <t>1343.KERPR</t>
  </si>
  <si>
    <t>RADYATÖR ÜST HORTUM 1.6VTİ 308/C4</t>
  </si>
  <si>
    <t>R15467</t>
  </si>
  <si>
    <t>1343.KQKRAFTVOLL</t>
  </si>
  <si>
    <t>RADYATÖR ALT HORTUM 1.4HDİ DV4 BİPPER/NEMO</t>
  </si>
  <si>
    <t>1343.KXIBRAS</t>
  </si>
  <si>
    <t>RADYATÖR ÜST HORTUM PARTNER TEPEE 1.6HDİ/307/308/3008/5008/C4/C4PİCASSO</t>
  </si>
  <si>
    <t>1343.KXRPR</t>
  </si>
  <si>
    <t>R15367</t>
  </si>
  <si>
    <t>1343.KXYTT</t>
  </si>
  <si>
    <t>Y23702</t>
  </si>
  <si>
    <t>1343.LP</t>
  </si>
  <si>
    <t>RADYATÖR ÜST HORTUM DV6ETED 308/3008</t>
  </si>
  <si>
    <t>1343.X2RPR</t>
  </si>
  <si>
    <t>RADYATÖR ÜST HORTUM XUD9/DW8 PARTNER M49/M59</t>
  </si>
  <si>
    <t>R15102</t>
  </si>
  <si>
    <t>1343.Z2YTT</t>
  </si>
  <si>
    <t>RADYATÖR ÜST HORTUM 98-06 206 1.4/1.6 8V/16V</t>
  </si>
  <si>
    <t>Y32222</t>
  </si>
  <si>
    <t>1343.Z3RPR</t>
  </si>
  <si>
    <t>RADYATÖR ÜST HORTUM PARTNER/BERLİNGO M59 1.9D</t>
  </si>
  <si>
    <t>Y15116</t>
  </si>
  <si>
    <t>13459964ADLER</t>
  </si>
  <si>
    <t>YEDEK SU DEPOSU ASTRA.K 16&gt;</t>
  </si>
  <si>
    <t>ADLER</t>
  </si>
  <si>
    <t>ET05104</t>
  </si>
  <si>
    <t xml:space="preserve">13462049ASPART </t>
  </si>
  <si>
    <t>1JKD1004</t>
  </si>
  <si>
    <t>DIŞ AKS KAFASI ASTRA.K 14XFL/B16DTH OTOMATİK</t>
  </si>
  <si>
    <t>AKS</t>
  </si>
  <si>
    <t>13464344ORJİN</t>
  </si>
  <si>
    <t>ROT MİLİ ASTRA.K 16&gt;</t>
  </si>
  <si>
    <t>ORJİN</t>
  </si>
  <si>
    <t>13476927YTT</t>
  </si>
  <si>
    <t>TURBO SU GERİ DÖNÜŞ HORTUM A16XHT</t>
  </si>
  <si>
    <t>Y1716</t>
  </si>
  <si>
    <t>ÖN BALATA ASTRA.K 276mm 15inç</t>
  </si>
  <si>
    <t>BALATA</t>
  </si>
  <si>
    <t>13478300APETECH</t>
  </si>
  <si>
    <t>APETECH</t>
  </si>
  <si>
    <t>AP2163</t>
  </si>
  <si>
    <t>13504035Y</t>
  </si>
  <si>
    <t>KALİPER PİM TAKIMI ÖN CRUZE/T300/ASTRA.J</t>
  </si>
  <si>
    <t>KALİPER</t>
  </si>
  <si>
    <t>LASTİK BASINÇ SENSÖRÜ ASTRA.K 16&gt;</t>
  </si>
  <si>
    <t>TS23</t>
  </si>
  <si>
    <t>ÖN ARKA TEKER PORYA İNSİGNİA.B</t>
  </si>
  <si>
    <t>TEKER RULMAN</t>
  </si>
  <si>
    <t>YQ00995080</t>
  </si>
  <si>
    <t>13507454FAG</t>
  </si>
  <si>
    <t>ARKA TEKER PORYA ASTRA.K</t>
  </si>
  <si>
    <t>FAG</t>
  </si>
  <si>
    <t>13509120MARGO</t>
  </si>
  <si>
    <t>ARKA FREN DİSKİ 5D288mm ASTRA.K</t>
  </si>
  <si>
    <t>MARGO</t>
  </si>
  <si>
    <t>MRG-1210033</t>
  </si>
  <si>
    <t>1351.CLYTT</t>
  </si>
  <si>
    <t>RADYATÖR ALT HORTUM 206/307/XSARA 1.4/1.6 16V TU5JP4</t>
  </si>
  <si>
    <t>Y23780</t>
  </si>
  <si>
    <t>1351.EJİBRAS</t>
  </si>
  <si>
    <t>RADYATÖR ALT HORTUM 307 1.4 8V/1.6 16V TU5JP4</t>
  </si>
  <si>
    <t>1351.EJSWAPP</t>
  </si>
  <si>
    <t>1351.FWYTT</t>
  </si>
  <si>
    <t>RADYATÖR ÜST HORTUM 1.4HDİ 307 02-08</t>
  </si>
  <si>
    <t>Y32231</t>
  </si>
  <si>
    <t>1351.LSSWAPP</t>
  </si>
  <si>
    <t>RADYATÖR ALT HORTUM 207/1007/C2/C3 1.4HDİ DV4</t>
  </si>
  <si>
    <t>1351.LYKRAFTVOLL</t>
  </si>
  <si>
    <t>YEDEK SU DEPO HORTUM C2/C3/C4/DS3/1007/2008/207/208///CROSSLAND.X 1.2</t>
  </si>
  <si>
    <t>1351.LYNİFEA</t>
  </si>
  <si>
    <t>1351.NEFROW</t>
  </si>
  <si>
    <t>DEVİRDAİM ARKA BORU EP6/EP3 TÜM.MOD.</t>
  </si>
  <si>
    <t>1351.NEİBR</t>
  </si>
  <si>
    <t>1351.NENİFEA</t>
  </si>
  <si>
    <t>1351.NGFROWAS</t>
  </si>
  <si>
    <t>DEVİRDAİM HORTUM (PALSTİK BORU HARİÇ) EP6CDT</t>
  </si>
  <si>
    <t>1351.NGİBR</t>
  </si>
  <si>
    <t>DEVİRDAİM HORTUM EP3/EP6/EP6CDT</t>
  </si>
  <si>
    <t>1351.REİBRAS</t>
  </si>
  <si>
    <t>RADYATÖR ALT HORTUM PRT.TEPEE/307/308/5008/C4/ 1.6HDİ DV6</t>
  </si>
  <si>
    <t>1351.RERPR</t>
  </si>
  <si>
    <t>RADYATÖR ALT HORTUM PARTNER TEPEE/BERLİNGO 1.6HDİ DV6</t>
  </si>
  <si>
    <t>R15341</t>
  </si>
  <si>
    <t>1351.RESVB</t>
  </si>
  <si>
    <t>1351.SYRPR</t>
  </si>
  <si>
    <t>RADYATÖR ÜST HORTUM 08&gt;BİPPER/NEMO 1.4HDİ</t>
  </si>
  <si>
    <t>R15344</t>
  </si>
  <si>
    <t>1351.SYSWAPP</t>
  </si>
  <si>
    <t>1351.VTİBRAS</t>
  </si>
  <si>
    <t>RADYATÖR ÜST HORTUM 207/208/2008/301/C3/C4/C4CACTUS/DS3 1.6HDİ</t>
  </si>
  <si>
    <t>1351.VTUCPA</t>
  </si>
  <si>
    <t>15H15193</t>
  </si>
  <si>
    <t>1351.VVYTT</t>
  </si>
  <si>
    <t>RADYATÖR ALT HORTUM 1.6HDİ 207/208</t>
  </si>
  <si>
    <t>Y32228</t>
  </si>
  <si>
    <t>1351.VZRPR</t>
  </si>
  <si>
    <t>RADYATÖR ÜST HORTUM 12&gt;208/2008/C3/DS3 1.4HDİ</t>
  </si>
  <si>
    <t>R15696</t>
  </si>
  <si>
    <t>1351.Y4KRAFTVOLL</t>
  </si>
  <si>
    <t>RADYATÖR ALT HORTUM 206 1.4/1.6 8V</t>
  </si>
  <si>
    <t>1351.Y7KRAFTVOLL</t>
  </si>
  <si>
    <t>RADYATÖR ALT HORTUM DW8 1.9D PARTNER/BERLİNGO</t>
  </si>
  <si>
    <t>1351.Y7RAPRO</t>
  </si>
  <si>
    <t>R15117</t>
  </si>
  <si>
    <t>1351.Y7SWAPP</t>
  </si>
  <si>
    <t>1351.Z1İBR</t>
  </si>
  <si>
    <t>RADYATÖR ALT HORTUM XUD9/DW8PARTNER/BERLİNGO M49</t>
  </si>
  <si>
    <t>13513995METTE</t>
  </si>
  <si>
    <t>BAGAJ KİLİDİ İNSİGNİA.A/ASTRA.J/AVEO T300/CRUZE J300 SEDAN İÇİN</t>
  </si>
  <si>
    <t>754K4059</t>
  </si>
  <si>
    <t>13517515APETECH</t>
  </si>
  <si>
    <t>ARKA FREN BALATA İNSİGNİA.B/ASTRA.K</t>
  </si>
  <si>
    <t>AP2252</t>
  </si>
  <si>
    <t>13517515ASPART</t>
  </si>
  <si>
    <t>3BPA1302</t>
  </si>
  <si>
    <t xml:space="preserve">ARKA FREN BALATA İNSİGNİA.B/ASTRA.K </t>
  </si>
  <si>
    <t>13517515DELPHİ</t>
  </si>
  <si>
    <t>LP3372</t>
  </si>
  <si>
    <t>13517515FEBİ</t>
  </si>
  <si>
    <t>13517694ASPART</t>
  </si>
  <si>
    <t>3BPA1343</t>
  </si>
  <si>
    <t>ARKA BALATA İNSİGNİA.B</t>
  </si>
  <si>
    <t>13517694AYD</t>
  </si>
  <si>
    <t>11-60431A</t>
  </si>
  <si>
    <t>13517694BLUEPRİNT</t>
  </si>
  <si>
    <t>ARKA BALATA İNSİGNİA.B 17İNÇ</t>
  </si>
  <si>
    <t>ADW194215</t>
  </si>
  <si>
    <t>13517694BREMBO</t>
  </si>
  <si>
    <t>BREMBO</t>
  </si>
  <si>
    <t>P59097</t>
  </si>
  <si>
    <t>13517694DELPHİ</t>
  </si>
  <si>
    <t>LP3373</t>
  </si>
  <si>
    <t>13517694MGA</t>
  </si>
  <si>
    <t xml:space="preserve">ARKA BALATA İNSİGNİA.B </t>
  </si>
  <si>
    <t>13517853BLUEPRİNT</t>
  </si>
  <si>
    <t>ÖN FREN DİSKİ 5D321mm İNSİGNİA.B 17İNÇ</t>
  </si>
  <si>
    <t>ADW194331</t>
  </si>
  <si>
    <t>13517857BRAXIS</t>
  </si>
  <si>
    <t>ARKA FREN DİSKİ 5D288mm İNSİGNİA.B 16INC</t>
  </si>
  <si>
    <t>BRAXIS</t>
  </si>
  <si>
    <t>AE0916</t>
  </si>
  <si>
    <t>1352.23</t>
  </si>
  <si>
    <t>RADYATÖR ALT HORTUM DV6DTED EURO5 308/3008</t>
  </si>
  <si>
    <t>1352.30RPR</t>
  </si>
  <si>
    <t xml:space="preserve">RADYATÖR ALT HORTUM 12&gt;208/2008/C3/DS3 1.4HDİ </t>
  </si>
  <si>
    <t>R15690</t>
  </si>
  <si>
    <t>1352.31</t>
  </si>
  <si>
    <t>RADYATÖR ALT HORTUM EP6CDT 508</t>
  </si>
  <si>
    <t>13521005DELPHİ</t>
  </si>
  <si>
    <t>ÖN FREN DİSKİ 5D321mm İNSİGNİA.B KAPLAMALI</t>
  </si>
  <si>
    <t>BG9238C</t>
  </si>
  <si>
    <t>13521005ERP</t>
  </si>
  <si>
    <t>ÖN DİSK 5D321MM 17İNÇ İNSİGNİA.B</t>
  </si>
  <si>
    <t>13521008DELPHİ</t>
  </si>
  <si>
    <t>ARKA FREN DİSKİ 5D288mm İNSİGNİA.B KAPLAMALI</t>
  </si>
  <si>
    <t>BG4977C</t>
  </si>
  <si>
    <t>13577822BOSCH</t>
  </si>
  <si>
    <t>YAKIT DEPO ŞAMADIRASI KOMPLE AVEO T300 A13DTE</t>
  </si>
  <si>
    <t>1359226080TEKNOROT</t>
  </si>
  <si>
    <t>ROT MİLİ BOXER III/JUMPER III/DUCATO III 06&gt;</t>
  </si>
  <si>
    <t>TEKNOROT</t>
  </si>
  <si>
    <t>F-813</t>
  </si>
  <si>
    <t>136035PRASCO</t>
  </si>
  <si>
    <t>KAPI İÇ AÇMA KOLU SOL CORSA.C NİKELAJLI</t>
  </si>
  <si>
    <t>PRASCO</t>
  </si>
  <si>
    <t>OP0308406</t>
  </si>
  <si>
    <t xml:space="preserve">136040METTE </t>
  </si>
  <si>
    <t>KAPI KİLİT MEKANİZMA PİMİ CORSA.D</t>
  </si>
  <si>
    <t>754K4181</t>
  </si>
  <si>
    <t>136044CABU</t>
  </si>
  <si>
    <t xml:space="preserve">İÇ AÇMA KOLU SOL CORSA.D </t>
  </si>
  <si>
    <t>136044GRT</t>
  </si>
  <si>
    <t>GRT</t>
  </si>
  <si>
    <t>136045CABU</t>
  </si>
  <si>
    <t xml:space="preserve">İÇ AÇMA KOLU SAĞ CORSA.D </t>
  </si>
  <si>
    <t>136045GTR</t>
  </si>
  <si>
    <t>136651CABU</t>
  </si>
  <si>
    <t>KAPI İÇ AÇMA KOLU ÖN SOL ASTRA.F (SİYAH)</t>
  </si>
  <si>
    <t>136652CABU</t>
  </si>
  <si>
    <t>KAPI İÇ AÇMA KOLU ÖN SAĞ ASTRA.F (SİYAH)</t>
  </si>
  <si>
    <t>136680CABU</t>
  </si>
  <si>
    <t xml:space="preserve">İÇ AÇMA KAPI KOLU VECTRA.B ÖN SAĞ </t>
  </si>
  <si>
    <t xml:space="preserve">136704AKD </t>
  </si>
  <si>
    <t xml:space="preserve">KAPI AÇMA KOLU İÇ ÖN SAĞ CORSA.B </t>
  </si>
  <si>
    <t>OP182103</t>
  </si>
  <si>
    <t xml:space="preserve">136705AKD </t>
  </si>
  <si>
    <t xml:space="preserve">KAPI AÇMA KOLU İÇ ÖN SOL CORSA.B </t>
  </si>
  <si>
    <t>OP182102</t>
  </si>
  <si>
    <t>1371 7 803 842 ASPART</t>
  </si>
  <si>
    <t>5PIP1031</t>
  </si>
  <si>
    <t>MOTOR HAVALANDIRMA BORUSU E60/87/90/F10 N47</t>
  </si>
  <si>
    <t>13718511668HENGST</t>
  </si>
  <si>
    <t>HAVA FİLİTRESİ N47 N F-20/30</t>
  </si>
  <si>
    <t>E1082L</t>
  </si>
  <si>
    <t>13X900CONTİ</t>
  </si>
  <si>
    <t>V KAYIŞ 13X900</t>
  </si>
  <si>
    <t>CONTİNENTAL</t>
  </si>
  <si>
    <t>1400121D-ZYK</t>
  </si>
  <si>
    <t xml:space="preserve">ÖN TAMPON ASTRA.F 91-98 SİSLİ </t>
  </si>
  <si>
    <t>OP555014</t>
  </si>
  <si>
    <t>1400164ZYK</t>
  </si>
  <si>
    <t>ÖN TAMPON VECTRA.B 96-99 SİSSİZ SPOYLERLİ</t>
  </si>
  <si>
    <t>OP555001</t>
  </si>
  <si>
    <t>ÖN TAMPON ASTRA.G SİSSİZ ASTARLI</t>
  </si>
  <si>
    <t>1400196EUROBUMP</t>
  </si>
  <si>
    <t xml:space="preserve">ÖN TAMPON ASTRA.G SİSSİZ </t>
  </si>
  <si>
    <t>EUROBUMP</t>
  </si>
  <si>
    <t>OPL07AS0071</t>
  </si>
  <si>
    <t>1400196PRASCO</t>
  </si>
  <si>
    <t>ÖN TAMPON ASTRA.G SİSSİZ ASTARLI (FAR ALT DESTEKLİ)</t>
  </si>
  <si>
    <t xml:space="preserve">PRASCO </t>
  </si>
  <si>
    <t>OP0171001</t>
  </si>
  <si>
    <t>1400196R2A</t>
  </si>
  <si>
    <t>R2A</t>
  </si>
  <si>
    <t>ZYK-OP111014</t>
  </si>
  <si>
    <t>1400196S-PRASCO</t>
  </si>
  <si>
    <t>ÖN TAMPON ASTRA.G SİSLİ ASTARLI (FAR ALT DESTEKLİ)</t>
  </si>
  <si>
    <t>OP0171021</t>
  </si>
  <si>
    <t>1400297EUROBUMP</t>
  </si>
  <si>
    <t>ÖN TAMPON CORSA.C/COMBO.C 04&gt;</t>
  </si>
  <si>
    <t>OPL07CO020</t>
  </si>
  <si>
    <t>1400297PRASCO</t>
  </si>
  <si>
    <t>OP0321001</t>
  </si>
  <si>
    <t>1400298ROOT</t>
  </si>
  <si>
    <t>ÖN TAMPON ORTA IZGARA CORSA.C 03&gt;</t>
  </si>
  <si>
    <t>1400299EUROSTAMP</t>
  </si>
  <si>
    <t>SİS KAPAĞI SOL CORSA.C (SİSLİ)</t>
  </si>
  <si>
    <t>101.11.7301</t>
  </si>
  <si>
    <t>1400303EUROBUMP</t>
  </si>
  <si>
    <t>ÖN TAMPON ASTRA.H 04-07 (FAR YIKAMA KAPAKLI)</t>
  </si>
  <si>
    <t>1400303R2A</t>
  </si>
  <si>
    <t>1400303ZYK</t>
  </si>
  <si>
    <t>1400304ISAM</t>
  </si>
  <si>
    <t>ÖN TAMPON ORTA IZGARA ASTRA.H 04-07</t>
  </si>
  <si>
    <t>ISAM</t>
  </si>
  <si>
    <t>1400305ROOT</t>
  </si>
  <si>
    <t>SİS FAR KAPAĞI SOL SİSLİ ASTRA.H 04-07</t>
  </si>
  <si>
    <t>1400305ZYD</t>
  </si>
  <si>
    <t>OP999312</t>
  </si>
  <si>
    <t>1400306METTE</t>
  </si>
  <si>
    <t>SİS FAR KAPAĞI SAĞ SİSLİ ASTRA.H 04-07</t>
  </si>
  <si>
    <t>754K6287</t>
  </si>
  <si>
    <t>1400306ROOT</t>
  </si>
  <si>
    <t>1400306ZYD</t>
  </si>
  <si>
    <t>OP999313</t>
  </si>
  <si>
    <t>1400410DEGA</t>
  </si>
  <si>
    <t>SİS FAR KAPAĞI SOL SİSLİ ASTRA.H 07-11</t>
  </si>
  <si>
    <t>OP555064</t>
  </si>
  <si>
    <t>1400411ZYD</t>
  </si>
  <si>
    <t>SİS FAR KAPAĞI SAĞ SİSSİZ ASTRA.H 07-11</t>
  </si>
  <si>
    <t>OP999468</t>
  </si>
  <si>
    <t>1400412ZYD</t>
  </si>
  <si>
    <t>SİS FAR KAPAĞI SOL SİSSİZ ASTRA.H 07-11</t>
  </si>
  <si>
    <t>OP999467</t>
  </si>
  <si>
    <t>1400414+413METTE</t>
  </si>
  <si>
    <t>ÖN TAMPON ALT KARLIK TAKIM ASTRA.H 04-14</t>
  </si>
  <si>
    <t>754K5291</t>
  </si>
  <si>
    <t>1400465İTHAL</t>
  </si>
  <si>
    <t>ÖN TAMPON ALT IZGARA ASTRA.J 10-12 SENSÖRLÜ TİP</t>
  </si>
  <si>
    <t>1400528ROOT</t>
  </si>
  <si>
    <t>ÖN TAMPON ORTA IZGARA ÜST ASTRA.G</t>
  </si>
  <si>
    <t>1400529ROOT</t>
  </si>
  <si>
    <t>ÖN TAMPON ORTA IZGARA ALT ASTRA.G</t>
  </si>
  <si>
    <t>1400530ROOT</t>
  </si>
  <si>
    <t>ÖN TAMPON ALT LASTİK SAĞ ASTRA.G</t>
  </si>
  <si>
    <t>1400531ROOT</t>
  </si>
  <si>
    <t>ÖN TAMPON ALT LASTİK SOL ASTRA.G</t>
  </si>
  <si>
    <t>1400575PRASCO</t>
  </si>
  <si>
    <t>ÖN TAMPON ASTRA.H 07-11 MAKYAJLI ASTARLI</t>
  </si>
  <si>
    <t>OP4141001</t>
  </si>
  <si>
    <t>1400658ASPART</t>
  </si>
  <si>
    <t>7CPH1020</t>
  </si>
  <si>
    <t xml:space="preserve">ÖN TAMPON ÇEKİ DEMİR KAPAĞI ASTRA.G </t>
  </si>
  <si>
    <t>1400658BİTAPART</t>
  </si>
  <si>
    <t>BOP309158</t>
  </si>
  <si>
    <t>1400658KRAFTVOLL</t>
  </si>
  <si>
    <t>1400658METTE</t>
  </si>
  <si>
    <t>754K4851</t>
  </si>
  <si>
    <t>1400658YTT</t>
  </si>
  <si>
    <t>Y1692</t>
  </si>
  <si>
    <t>1400724ROOT</t>
  </si>
  <si>
    <t>ÖN TAMPON KAPLAMA SAĞ CORSA.C 03&gt;</t>
  </si>
  <si>
    <t>1400725ROOT</t>
  </si>
  <si>
    <t>ÖN TAMPON KAPLAMA SOL CORSA.C 03&gt;</t>
  </si>
  <si>
    <t>1400726ISAM</t>
  </si>
  <si>
    <t>ÖN TAMPON SİS KAPAGI SAĞ CORSA.C (SİSSİZ)</t>
  </si>
  <si>
    <t xml:space="preserve">ISAM </t>
  </si>
  <si>
    <t>1400726ROOT</t>
  </si>
  <si>
    <t xml:space="preserve">1400727ISAM </t>
  </si>
  <si>
    <t xml:space="preserve">ÖN TAMPON SİS KAPAGI SOL (SİSSİZ) </t>
  </si>
  <si>
    <t>1400727ROOT</t>
  </si>
  <si>
    <t>1400728ROOT</t>
  </si>
  <si>
    <t>SİS KAPAĞI SAĞ CORSA.C (SİSLİ)</t>
  </si>
  <si>
    <t>1400736ROOT</t>
  </si>
  <si>
    <t>ÖN TAMPON SİS ÜST KAŞI SOL ASTRA.H</t>
  </si>
  <si>
    <t>1400769METTE</t>
  </si>
  <si>
    <t>ÖN FAR FİSKİYE KAPAĞI SOL ASTRA.H 04-07</t>
  </si>
  <si>
    <t>754K4859</t>
  </si>
  <si>
    <t>1400770METTE</t>
  </si>
  <si>
    <t>ÖN FAR FİSKİYE KAPAĞI SAĞ ASTRA.H 04-07</t>
  </si>
  <si>
    <t>754K4858</t>
  </si>
  <si>
    <t>1400806AKD</t>
  </si>
  <si>
    <t>ÖN TAMPON ALT KLİPS BLM..</t>
  </si>
  <si>
    <t>OP200102</t>
  </si>
  <si>
    <t>1400806YTT</t>
  </si>
  <si>
    <t>Y1648</t>
  </si>
  <si>
    <t xml:space="preserve">ÖN PANJUR NİKELAJ CORSA.C </t>
  </si>
  <si>
    <t>1400865ROOT</t>
  </si>
  <si>
    <t xml:space="preserve">SİS FAR KAPAGI SOL CORSA.D 11&gt; SİSSİZ </t>
  </si>
  <si>
    <t xml:space="preserve">1400866ROOT </t>
  </si>
  <si>
    <t xml:space="preserve">SİS FAR KAPAGI SAĞ CORSA.D 11&gt; SİSSİZ </t>
  </si>
  <si>
    <t>ÖN TAMPON CORSA.D 11&gt;</t>
  </si>
  <si>
    <t>1400869EUROSTAMP</t>
  </si>
  <si>
    <t>101.14.9120</t>
  </si>
  <si>
    <t>1400869ZYK</t>
  </si>
  <si>
    <t>OPL07CO062</t>
  </si>
  <si>
    <t>1400872ROOT</t>
  </si>
  <si>
    <t>ÖN TAMPON ALT PLAKALIK CORSA.D 10&gt;</t>
  </si>
  <si>
    <t xml:space="preserve">1400873ROOT </t>
  </si>
  <si>
    <t>SİS FAR KAPAGI CORSA.D 11&gt;&gt; NİKELAJLI</t>
  </si>
  <si>
    <t xml:space="preserve">1401017ROOT </t>
  </si>
  <si>
    <t>SİS FAR KAPAK KROM ÇITA SOL ASTRA.J 13&gt;&gt;</t>
  </si>
  <si>
    <t xml:space="preserve">1401018WİSCO </t>
  </si>
  <si>
    <t>SİS FAR KAPAK KROM ÇITA SAĞ ASTRA.J 13&gt;&gt;</t>
  </si>
  <si>
    <t>2233735-00</t>
  </si>
  <si>
    <t>1401019ROOT</t>
  </si>
  <si>
    <t xml:space="preserve">ÖN TAMPON ALT KARLIK SOL ASTRA.J  2012&gt; </t>
  </si>
  <si>
    <t>1401020ROOT</t>
  </si>
  <si>
    <t xml:space="preserve">ÖN TAMPON ALT KARLIK SAĞ ASTRA.J  2012&gt; </t>
  </si>
  <si>
    <t>1401021ROOT</t>
  </si>
  <si>
    <t>SİS KAPAĞI SOL ASTRA.J 13&gt;</t>
  </si>
  <si>
    <t>1401022ROOT</t>
  </si>
  <si>
    <t>SİS KAPAĞI SAĞ ASTRA.J 13&gt;</t>
  </si>
  <si>
    <t>1401027ROOT</t>
  </si>
  <si>
    <t>SİS FAR KAPAK ÜST BÜYÜK SAĞ ASTRA.J 13&gt;</t>
  </si>
  <si>
    <t>1401028ROOT</t>
  </si>
  <si>
    <t>SİS FAR KAPAGI KÜÇÜK SOL ASTRA.J 13&gt;</t>
  </si>
  <si>
    <t>1401028WİSCO</t>
  </si>
  <si>
    <t>2233948-00</t>
  </si>
  <si>
    <t>1401029ROOT</t>
  </si>
  <si>
    <t>SİS FAR KAPAK ALT KÜÇÜK SAĞ ASTRA.J 13&gt;</t>
  </si>
  <si>
    <t>1401032PRASCO</t>
  </si>
  <si>
    <t>ÖN TAMPON (ASTARLI) ASTRA.J 13&gt; (FAR YIKAMA HARİÇ)</t>
  </si>
  <si>
    <t>OP4181001</t>
  </si>
  <si>
    <t>1401032ZYD</t>
  </si>
  <si>
    <t>OP999197</t>
  </si>
  <si>
    <t>1401033METTE</t>
  </si>
  <si>
    <t>ÖN TAMPON ALT BAKALİTİ ASTRA.J 10&gt;</t>
  </si>
  <si>
    <t>754K4397</t>
  </si>
  <si>
    <t>1401033ROOT</t>
  </si>
  <si>
    <t xml:space="preserve">ÖN TAMPON ALT BAKALİTİ ASTRA.J 10&gt; </t>
  </si>
  <si>
    <t>1401036ROOT</t>
  </si>
  <si>
    <t>ÖN TAMPON PLAKALIK BAKALİT ASTRA.J 13&gt;</t>
  </si>
  <si>
    <t>1401036ZYD</t>
  </si>
  <si>
    <t>OP999238</t>
  </si>
  <si>
    <t>1401055ZYK</t>
  </si>
  <si>
    <t>ÖN TAMPON BANDI ASTRA.J 13&gt;&gt; (PARK PİLOT SİSTEMİ İÇİN)</t>
  </si>
  <si>
    <t>OP555033</t>
  </si>
  <si>
    <t>1401086EUROSTAMP</t>
  </si>
  <si>
    <t>ÖN TAMPON ALT MOKKA 13-16 (2 SENSÖRLÜ)</t>
  </si>
  <si>
    <t>101.44.9430</t>
  </si>
  <si>
    <t xml:space="preserve">1401108EUROSTAMP </t>
  </si>
  <si>
    <t xml:space="preserve">ÖN TAMPON ÜST MOKKA 13-16  (2 SENSÖRLÜ/FAR YIKAMALI) </t>
  </si>
  <si>
    <t xml:space="preserve">EUROSTAMP </t>
  </si>
  <si>
    <t>101.44.9150</t>
  </si>
  <si>
    <t>1404021TONGYANG</t>
  </si>
  <si>
    <t>ARKA TAMPON ASTRA.G SEDAN ASTARLI</t>
  </si>
  <si>
    <t>TONGYANG</t>
  </si>
  <si>
    <t>1404172PRASCO</t>
  </si>
  <si>
    <t>OP0321051</t>
  </si>
  <si>
    <t>ARKA TAMPON CORSA.C 04&gt;</t>
  </si>
  <si>
    <t>1404175ISAM</t>
  </si>
  <si>
    <t>ARKA TAMPON ASTRA.H HB.</t>
  </si>
  <si>
    <t>1404175PRASCO</t>
  </si>
  <si>
    <t>OP4101051</t>
  </si>
  <si>
    <t>ARKA TAMPON AYAGI SAĞ İNSİGNİA.A</t>
  </si>
  <si>
    <t>1404506ZYD</t>
  </si>
  <si>
    <t>ARKA TAMPON ALT SPOYLER ASTRA.J SEDAN S.Lİ TİP</t>
  </si>
  <si>
    <t>OP999475</t>
  </si>
  <si>
    <t>1404517EUROBUMP</t>
  </si>
  <si>
    <t>ARKA TAMPON VECTRA.B 99-01</t>
  </si>
  <si>
    <t>ARKA TAMPON AYAĞI SOL ASTRA.H</t>
  </si>
  <si>
    <t>1405038DNK</t>
  </si>
  <si>
    <t>ÖN TAMPON DEMİRİ ASTRA.G</t>
  </si>
  <si>
    <t xml:space="preserve">1405038WİSCO </t>
  </si>
  <si>
    <t xml:space="preserve">1405043ROOT </t>
  </si>
  <si>
    <t xml:space="preserve">ÖN TAMPON ALT KARLIK SAĞ CORSA.C </t>
  </si>
  <si>
    <t>1405045METTE</t>
  </si>
  <si>
    <t>TAMPON ÇEKİ DEMİR KAPAĞI ÖN ASTRA.J 10-12</t>
  </si>
  <si>
    <t>754K4251</t>
  </si>
  <si>
    <t>1405045Y</t>
  </si>
  <si>
    <t>1405046DNK</t>
  </si>
  <si>
    <t>ÖN TAMPON DEMİR ASTRA.H</t>
  </si>
  <si>
    <t>1405084ROOT</t>
  </si>
  <si>
    <t xml:space="preserve">ÖN TAMPON ALT DESTEK ASTRA.J </t>
  </si>
  <si>
    <t xml:space="preserve">1405148METTE </t>
  </si>
  <si>
    <t>TAMPON ÇEKİ DEMİR KAPAĞI ARKA ASTRA.J SEDAN</t>
  </si>
  <si>
    <t>754K4560</t>
  </si>
  <si>
    <t>1405169ROOT</t>
  </si>
  <si>
    <t>ÖN TAMPON ALT DESTEK AYAĞI ASTRA.J 10&gt;</t>
  </si>
  <si>
    <t xml:space="preserve">1405170METTE </t>
  </si>
  <si>
    <t>TAMPON ÇEKİ DEMİR KAPAĞI ARKA ASTRA.J HB. 12&gt;&gt;</t>
  </si>
  <si>
    <t>754K4559</t>
  </si>
  <si>
    <t xml:space="preserve">ÖN TAMPON DEMİRİ İNSİGNİA.A  </t>
  </si>
  <si>
    <t>1405172DNK</t>
  </si>
  <si>
    <t xml:space="preserve">ÖN TAMPON DEMİRİ İNSİGNİA.A </t>
  </si>
  <si>
    <t xml:space="preserve">1405177METTE </t>
  </si>
  <si>
    <t>ÖN TAMPON ÇEKİ DEMİR KAPAĞI ASTRA.J 13&gt;</t>
  </si>
  <si>
    <t>754K4252</t>
  </si>
  <si>
    <t>1405177Y</t>
  </si>
  <si>
    <t>ÇEKİ DEMİR KAPAGI ÖN ASTRA.J 13&gt;</t>
  </si>
  <si>
    <t xml:space="preserve">1405191METTE </t>
  </si>
  <si>
    <t>TAMPON ÇEKİ DEMİR KAPAĞI ARKA İNSİGNİA.A 14&gt;</t>
  </si>
  <si>
    <t>754K4302</t>
  </si>
  <si>
    <t>1405191Y</t>
  </si>
  <si>
    <t>1405236DNK</t>
  </si>
  <si>
    <t xml:space="preserve">ÖN TAMPON DEMİRİ CORSA.D </t>
  </si>
  <si>
    <t xml:space="preserve">DNK </t>
  </si>
  <si>
    <t>1405237KRAFTVOLL</t>
  </si>
  <si>
    <t xml:space="preserve">ÖN TAMPON ALT DESTEK CORSA.D </t>
  </si>
  <si>
    <t>1405247DNK</t>
  </si>
  <si>
    <t xml:space="preserve">ÖN TAMPON DEMİRİ CORSA.E 15&gt; </t>
  </si>
  <si>
    <t xml:space="preserve">1405484METTE </t>
  </si>
  <si>
    <t>ÖN TAMPON ÇEKİ DEMİR KAPAĞI CORSA.C 01-03/MERİVA.A 03-06</t>
  </si>
  <si>
    <t>754K4212</t>
  </si>
  <si>
    <t>1405495YTT</t>
  </si>
  <si>
    <t>ÇEKİ DEMİR KAPAK ÖN CORSA.C 04&gt;</t>
  </si>
  <si>
    <t>Y2019</t>
  </si>
  <si>
    <t>1406050METTE</t>
  </si>
  <si>
    <t>ÖN TAMPON ORTA BRAKET ASTRA.H 04-07</t>
  </si>
  <si>
    <t>754K5210</t>
  </si>
  <si>
    <t xml:space="preserve">1406060METTE </t>
  </si>
  <si>
    <t>ÖN TAMPON ORTA BRAKET VECTRA.C</t>
  </si>
  <si>
    <t>754K5211</t>
  </si>
  <si>
    <t>1406093METTE</t>
  </si>
  <si>
    <t>ÖN TAMPON ORTA AYAK ASTRA.J 10&gt;</t>
  </si>
  <si>
    <t>754K5589</t>
  </si>
  <si>
    <t xml:space="preserve">1406189METTE </t>
  </si>
  <si>
    <t>ÖN TAMPON AYAGI SOL CORSA.C</t>
  </si>
  <si>
    <t>754K4368</t>
  </si>
  <si>
    <t>1406189TAP</t>
  </si>
  <si>
    <t>ÖN TAMPON AYAGI SOL CORSA.C/COMBO.C</t>
  </si>
  <si>
    <t>TAP.1406189</t>
  </si>
  <si>
    <t>ÖN TAMPON AYAGI SAĞ CORSA.C/COMBO.C</t>
  </si>
  <si>
    <t>1406190METTE</t>
  </si>
  <si>
    <t>754K4369</t>
  </si>
  <si>
    <t>1406190TAP</t>
  </si>
  <si>
    <t>TAP.1406190</t>
  </si>
  <si>
    <t>1406207METTE</t>
  </si>
  <si>
    <t xml:space="preserve">ÖN TAMPON AYAĞI SOL CORSA.D </t>
  </si>
  <si>
    <t>754K4370</t>
  </si>
  <si>
    <t>1406207WİSCO</t>
  </si>
  <si>
    <t>2233835*00</t>
  </si>
  <si>
    <t xml:space="preserve">1406208WİSCO </t>
  </si>
  <si>
    <t>2233836*00</t>
  </si>
  <si>
    <t xml:space="preserve">ÖN TAMPON AYAĞI SAĞ CORSA.D </t>
  </si>
  <si>
    <t>1406208ZYD</t>
  </si>
  <si>
    <t>OP999145</t>
  </si>
  <si>
    <t>1406302KRAFTVOLL</t>
  </si>
  <si>
    <t>ÖN TAMPON BRAKETİ SOL ASTRA.J 10-12</t>
  </si>
  <si>
    <t>1406302METTE</t>
  </si>
  <si>
    <t>754K4372</t>
  </si>
  <si>
    <t>1406303KRAFTVOLL</t>
  </si>
  <si>
    <t>ÖN TAMPON BRAKETİ SAĞ ASTRA.J 10-12</t>
  </si>
  <si>
    <t>1406303METTE</t>
  </si>
  <si>
    <t>754K4373</t>
  </si>
  <si>
    <t>1406468METTE</t>
  </si>
  <si>
    <t>TAMPON ÖN UÇ BRAKETİ CORSA.B</t>
  </si>
  <si>
    <t>754K4345</t>
  </si>
  <si>
    <t>1406488METTE</t>
  </si>
  <si>
    <t>ÖN TAMPON AYAĞI SAĞ ASTRA.J 13&gt;</t>
  </si>
  <si>
    <t>754K4374</t>
  </si>
  <si>
    <t>1406488TAP</t>
  </si>
  <si>
    <t xml:space="preserve">ÖN TAMPON AYAĞI SOL ASTRA.J 12&gt; </t>
  </si>
  <si>
    <t>TAP.1406488</t>
  </si>
  <si>
    <t>1406488Y</t>
  </si>
  <si>
    <t>ÖN TAMPON AYAĞI SOL ASTRA.J 12&gt;</t>
  </si>
  <si>
    <t xml:space="preserve">1406489METTE </t>
  </si>
  <si>
    <t>754K4375</t>
  </si>
  <si>
    <t>1406489TAP</t>
  </si>
  <si>
    <t>TAP.1406489</t>
  </si>
  <si>
    <t xml:space="preserve">1406490METTE </t>
  </si>
  <si>
    <t>ÖN TAMPON BRAKETİ SOL İNCE ASTRA.J 2012&gt;</t>
  </si>
  <si>
    <t>754K4972</t>
  </si>
  <si>
    <t>1406490TAP</t>
  </si>
  <si>
    <t xml:space="preserve">1406491METTE </t>
  </si>
  <si>
    <t>ÖN TAMPON BRAKETİ SAĞ İNCE ASTRA.J 2012&gt;</t>
  </si>
  <si>
    <t>754K4973</t>
  </si>
  <si>
    <t>1406491TAP</t>
  </si>
  <si>
    <t xml:space="preserve">1406492METTE </t>
  </si>
  <si>
    <t>ÖN TAMPON FAR ALT BAĞLANTI AYAĞI SOL ASTRA.J 10&gt;</t>
  </si>
  <si>
    <t>754K5113</t>
  </si>
  <si>
    <t>1406493METTE</t>
  </si>
  <si>
    <t>FAR ALT BAĞLANTI AYAĞI SAĞ ASTRA.J 10&gt;</t>
  </si>
  <si>
    <t>754K5114</t>
  </si>
  <si>
    <t>ÖN TAMPON BRAKETİ SAĞ ASTRA.G</t>
  </si>
  <si>
    <t>ÖN TAMPON BRAKETİ SOL ASTRA.G</t>
  </si>
  <si>
    <t>1406523ROOT</t>
  </si>
  <si>
    <t>1406545KRAFTVOLL</t>
  </si>
  <si>
    <t xml:space="preserve">ÖN TAMPON AYAĞI SOL VECTRA.C </t>
  </si>
  <si>
    <t>1406545TAP</t>
  </si>
  <si>
    <t>1406546KRAFTVOLL</t>
  </si>
  <si>
    <t xml:space="preserve">ÖN TAMPON AYAĞI SAĞ VECTRA.C </t>
  </si>
  <si>
    <t>1406546TAP</t>
  </si>
  <si>
    <t>1406547METTE</t>
  </si>
  <si>
    <t>ÖN TAMPON AYAK SOL ASTRA.H</t>
  </si>
  <si>
    <t>754K4521</t>
  </si>
  <si>
    <t>1406547PLEKSAN</t>
  </si>
  <si>
    <t xml:space="preserve">ÖN TAMPON AYAK SOL ASTRA.H </t>
  </si>
  <si>
    <t>1406547Y</t>
  </si>
  <si>
    <t>1406548METTE</t>
  </si>
  <si>
    <t>ÖN TAMPON AYAK SAĞ ASTRA.H</t>
  </si>
  <si>
    <t>754K4378</t>
  </si>
  <si>
    <t>1406548PLEKSAN</t>
  </si>
  <si>
    <t xml:space="preserve">ÖN TAMPON AYAK SAĞ ASTRA.H </t>
  </si>
  <si>
    <t>1406548Y</t>
  </si>
  <si>
    <t>1406612KRAFTVOLL</t>
  </si>
  <si>
    <t>ÖN TAMPON ORTA BRAKETİ ASTRA.H 07&gt;&gt;</t>
  </si>
  <si>
    <t>1406612METTE</t>
  </si>
  <si>
    <t>754K4850</t>
  </si>
  <si>
    <t>1406925Y</t>
  </si>
  <si>
    <t>ÖN TAMPON ÜST KLİPSİ VECTRA.C/ASTRA/CORSA</t>
  </si>
  <si>
    <t>1409133ROOT</t>
  </si>
  <si>
    <t>ARKA TAMPON KAŞI CORSA.C SOL</t>
  </si>
  <si>
    <t>1409134ROOT</t>
  </si>
  <si>
    <t>ARKA TAMPON KAŞI CORSA.C SAĞ</t>
  </si>
  <si>
    <t>1420.K3</t>
  </si>
  <si>
    <t>HAVA FİLTRE ALT KUTUSU DV4 1.4HDİ</t>
  </si>
  <si>
    <t>1420.K4</t>
  </si>
  <si>
    <t>HAVA FİLTRE ÜST KUTUSU DV4 1.4HDİ</t>
  </si>
  <si>
    <t>142479TOPRAN</t>
  </si>
  <si>
    <t>CAM ACMA KOLU ARKA ASTRA.G/VECTRA.B</t>
  </si>
  <si>
    <t>142479Y</t>
  </si>
  <si>
    <t>1426388SPJ</t>
  </si>
  <si>
    <t>DIŞ DİKİZ AYNA SAĞ ASTRA.F MANUEL</t>
  </si>
  <si>
    <t>DIŞ DİKİZ AYNA</t>
  </si>
  <si>
    <t>SPJ</t>
  </si>
  <si>
    <t>E-0560</t>
  </si>
  <si>
    <t>1426388VMX</t>
  </si>
  <si>
    <t>VİEWMAX</t>
  </si>
  <si>
    <t>VM-164 R</t>
  </si>
  <si>
    <t>1426392FROW</t>
  </si>
  <si>
    <t>DIŞ DİKİZ AYNA SAĞ ASTRA.F +ELK+IST</t>
  </si>
  <si>
    <t>1426395SPJ</t>
  </si>
  <si>
    <t>DIŞ DİKİZ AYNA SOL ASTRA.F MANUEL</t>
  </si>
  <si>
    <t>E-0559</t>
  </si>
  <si>
    <t>1426395VMX</t>
  </si>
  <si>
    <t>VM-164 L</t>
  </si>
  <si>
    <t>1426397FROW</t>
  </si>
  <si>
    <t>DIŞ DİKİZ AYNA SOL ASTRA.F +ELK+IST</t>
  </si>
  <si>
    <t>1427440SPJ</t>
  </si>
  <si>
    <t>DIŞ DİKİZ AYNA SOL CORSA.B MEKANİK</t>
  </si>
  <si>
    <t>E-0253</t>
  </si>
  <si>
    <t>1427440VİEWMAX</t>
  </si>
  <si>
    <t>VM-160L</t>
  </si>
  <si>
    <t>1427442SPJ</t>
  </si>
  <si>
    <t>DIŞ DİKİZ AYNA SAĞ CORSA.B MANUEL</t>
  </si>
  <si>
    <t>E-0254</t>
  </si>
  <si>
    <t>1427442VİEWMAX</t>
  </si>
  <si>
    <t xml:space="preserve">DIŞ DİKİZ AYNA SAĞ CORSA.B MEKANİK </t>
  </si>
  <si>
    <t>VM-160R</t>
  </si>
  <si>
    <t>1428043VIEWMAX</t>
  </si>
  <si>
    <t>DIŞ DİKİZ AYNA SOL VECTRA.A MANUEL</t>
  </si>
  <si>
    <t>VIEVMAX</t>
  </si>
  <si>
    <t>VM-162L</t>
  </si>
  <si>
    <t>1428044VIEWMAX</t>
  </si>
  <si>
    <t>DIŞ DİKİZ AYNA SAĞ VECTRA.A MANUEL</t>
  </si>
  <si>
    <t>VIEWMAX</t>
  </si>
  <si>
    <t>VM-162R</t>
  </si>
  <si>
    <t>1428227ART</t>
  </si>
  <si>
    <t xml:space="preserve">DIŞ DİKİZ AYNA SOL ASTRA.H 3KAPI </t>
  </si>
  <si>
    <t>ART</t>
  </si>
  <si>
    <t>M024.4034</t>
  </si>
  <si>
    <t>1428280SPJ</t>
  </si>
  <si>
    <t xml:space="preserve">DIŞ DİKİZ AYNA MANUEL SOL CORSA.C </t>
  </si>
  <si>
    <t>E-1427</t>
  </si>
  <si>
    <t>1428308SPJ</t>
  </si>
  <si>
    <t>DIŞ DİKİZ AYNA SAĞ CORSA.C +ELEKT.+ISITMA</t>
  </si>
  <si>
    <t>E-1434</t>
  </si>
  <si>
    <t>1428348TAP</t>
  </si>
  <si>
    <t>AYNA KAPAĞI SAĞ ASTRA.H 10&gt;&gt;</t>
  </si>
  <si>
    <t>TAP.13300591</t>
  </si>
  <si>
    <t>1428371KRAFTVOLL</t>
  </si>
  <si>
    <t>DIŞ DİKİZ AYNA CAMI ASTRA.H 10&gt;&gt; +ISITMA</t>
  </si>
  <si>
    <t xml:space="preserve">1428421CABU </t>
  </si>
  <si>
    <t>AYNA DIŞ ÜÇGEN KAPAĞI SOL VECTRA.B</t>
  </si>
  <si>
    <t>1428422CABU</t>
  </si>
  <si>
    <t>AYNA DIŞ ÜÇGEN KAPAĞI SAĞ VECTRA.B</t>
  </si>
  <si>
    <t>1428452ART</t>
  </si>
  <si>
    <t>DIŞ DİKİZ AYNA CAMI ISITMALI SAĞ ASTRA.J</t>
  </si>
  <si>
    <t>MG024.4549</t>
  </si>
  <si>
    <t>1428455SPJ</t>
  </si>
  <si>
    <t>DIŞ DİKİZ AYNA SOL ASTRA.J</t>
  </si>
  <si>
    <t>E3459</t>
  </si>
  <si>
    <t>1428455VİEVMAX</t>
  </si>
  <si>
    <t>VİEVMAX</t>
  </si>
  <si>
    <t>973EHPAL</t>
  </si>
  <si>
    <t>1428456SPJ</t>
  </si>
  <si>
    <t>DIŞ DİKİZ AYNA SAĞ ASTRA.J 10&gt; +ELEK</t>
  </si>
  <si>
    <t>E-3460</t>
  </si>
  <si>
    <t>1428476FROW</t>
  </si>
  <si>
    <t>DIŞ DİKİZ AYNA SAĞ İNSİGNİA.A +ISIT.+ELEK.</t>
  </si>
  <si>
    <t>1428477FROW</t>
  </si>
  <si>
    <t>DIŞ DİKİZ AYNA SOL İNSİGNİA.A +ISIT.+ELK.</t>
  </si>
  <si>
    <t>1428944VİEWMAX</t>
  </si>
  <si>
    <t>AYNA KAPAĞI SAĞ CORSA.D</t>
  </si>
  <si>
    <t>VM-964CP R</t>
  </si>
  <si>
    <t xml:space="preserve">1434.15İBRAS </t>
  </si>
  <si>
    <t>TURBO HORTUM ÜST DV4 1.4HDİ (SENSÖRSÜZ)</t>
  </si>
  <si>
    <t>1434.15KRAFTVOLL</t>
  </si>
  <si>
    <t>1434.15MES</t>
  </si>
  <si>
    <t>1434.45İBRAS</t>
  </si>
  <si>
    <t xml:space="preserve">TURBO ÇIKIŞ HORTUM DV4TD 1.4HDİ(SENSÖRLÜ)  </t>
  </si>
  <si>
    <t>1434.45RPR</t>
  </si>
  <si>
    <t>TURBO ÇIKIŞ HORTUM DV4TD 1.4HDİ(SENSÖRLÜ)</t>
  </si>
  <si>
    <t>R15397</t>
  </si>
  <si>
    <t>1434.C1BİT</t>
  </si>
  <si>
    <t>BPE333014</t>
  </si>
  <si>
    <t>HAVA FİLTRE HORTUM  1.6HDİ DV6TED4207/307/308/407</t>
  </si>
  <si>
    <t>1434.C8ÜÇEL</t>
  </si>
  <si>
    <t>TURBO HORTUM CONTASI DV6 1.6HDİ</t>
  </si>
  <si>
    <t>1434.E1</t>
  </si>
  <si>
    <t>HAVA FİLTRE HORTUM DV6 1.6HDİ EURO4</t>
  </si>
  <si>
    <t>1434.E1SAGEM</t>
  </si>
  <si>
    <t>1434.E1YTT</t>
  </si>
  <si>
    <t>Y32163</t>
  </si>
  <si>
    <t>1434.F6MEHA</t>
  </si>
  <si>
    <t>MH10054</t>
  </si>
  <si>
    <t>HAVA FİLTRE HORTUM DV4 1.4HDİ</t>
  </si>
  <si>
    <t>1436.Q4NİFEA-TEK</t>
  </si>
  <si>
    <t>TURBO HAVA KUTUSU UÇ HORTUM BİPPER/NEMO 1.4HDİ</t>
  </si>
  <si>
    <t>1436.S4</t>
  </si>
  <si>
    <t xml:space="preserve">HAVA FİLTRE KUTU BAĞLANTI AYAGI DV6 </t>
  </si>
  <si>
    <t xml:space="preserve">1437032+036METTE </t>
  </si>
  <si>
    <t>GÜNEŞLİK TAKIM SAĞ+SOL ASTRA.G</t>
  </si>
  <si>
    <t>754K4138</t>
  </si>
  <si>
    <t xml:space="preserve">1437070METTE </t>
  </si>
  <si>
    <t xml:space="preserve">GÜNEŞLİK AYNA KAPAĞI ASTRA.H </t>
  </si>
  <si>
    <t>754K4630</t>
  </si>
  <si>
    <t>1437603+1437879METTE</t>
  </si>
  <si>
    <t>GÜNEŞLİK TAKIM CORSA.D 07-14</t>
  </si>
  <si>
    <t>754K5893</t>
  </si>
  <si>
    <t>1438006WİSCO</t>
  </si>
  <si>
    <t>GÜNEŞLİK AYAK ASTRA.J/ASTRA.K/ZAFİRA.C/CRUZE/AVEO T300</t>
  </si>
  <si>
    <t>2223149-00</t>
  </si>
  <si>
    <t>1438336YTT</t>
  </si>
  <si>
    <t>GÜNEŞLİK AYAĞI ASTRA.F/VECTRA.A/CORSA.B</t>
  </si>
  <si>
    <t>Y1633</t>
  </si>
  <si>
    <t>1440.23K&amp;B</t>
  </si>
  <si>
    <t>TURBO ÜST HAVA KUTUSU DV4 1.4HDİ</t>
  </si>
  <si>
    <t>1440.68KRAFTVOLL</t>
  </si>
  <si>
    <t>TURBO HAVA GİRİŞ BORU (SUSTURUCU) DV6 1.6HDİ 307/308/5008/PARTNER TEPEE</t>
  </si>
  <si>
    <t>1444.84EURO</t>
  </si>
  <si>
    <t>HAVA FİLTRE DW8/XUD9 E.M PARTNER/BERLİNGO M49 YUVARLAK KISA</t>
  </si>
  <si>
    <t>EUROFİL</t>
  </si>
  <si>
    <t>EF244484</t>
  </si>
  <si>
    <t>1444.84SİON</t>
  </si>
  <si>
    <t>SİON</t>
  </si>
  <si>
    <t>SH1303</t>
  </si>
  <si>
    <t>1444.85EUROFİL</t>
  </si>
  <si>
    <t>HAVA FİLTRESİ 106/306/SAXO/XSARA</t>
  </si>
  <si>
    <t>EF244485</t>
  </si>
  <si>
    <t>1444.85MOTOCAR</t>
  </si>
  <si>
    <t>HAVA FİLTRESİ 106</t>
  </si>
  <si>
    <t>MOTOCAR</t>
  </si>
  <si>
    <t>1444.A0SARDES</t>
  </si>
  <si>
    <t>SA406</t>
  </si>
  <si>
    <t>HAVA FİLTRE 94&gt; JUMPER/BOXER/DUCATO 2.8HDİ UZUN</t>
  </si>
  <si>
    <t>1444.E5FİLTRON</t>
  </si>
  <si>
    <t>HAVA FİLTRESİ 106/306 OVAL</t>
  </si>
  <si>
    <t>AE311/1</t>
  </si>
  <si>
    <t>1444.E5GRAT</t>
  </si>
  <si>
    <t>GRT-12123</t>
  </si>
  <si>
    <t>1444.EFMOTORCAR</t>
  </si>
  <si>
    <t xml:space="preserve">HAVA FİLTRE 207 1.4 16V/301/107/C2/C3 1.6 16V/8V   </t>
  </si>
  <si>
    <t>8300 112</t>
  </si>
  <si>
    <t>1444.EFVOLLER</t>
  </si>
  <si>
    <t xml:space="preserve">HAVA FİLTRE 207 1.4 16V/301/107/C2/C3 1.6 16V/8V  </t>
  </si>
  <si>
    <t>VOLLER</t>
  </si>
  <si>
    <t>VOL-64107</t>
  </si>
  <si>
    <t>1444.EFWUNDER</t>
  </si>
  <si>
    <t>HAVA FİLTRE 207 1.4 16V/301/107/C2/C3 1.6 16V/8V</t>
  </si>
  <si>
    <t xml:space="preserve">WUNDER </t>
  </si>
  <si>
    <t>WH515</t>
  </si>
  <si>
    <t>1444.EQABRASSE</t>
  </si>
  <si>
    <t>HAVA FİLTRE 407 1.6HDİ</t>
  </si>
  <si>
    <t>BRS-14401-PG</t>
  </si>
  <si>
    <t>1444.EQSİON</t>
  </si>
  <si>
    <t>HAVA FİLTRE 407/EXPERT/JUMPY 1.6HDİ</t>
  </si>
  <si>
    <t>SH1591S</t>
  </si>
  <si>
    <t>1444.EQWUNDER</t>
  </si>
  <si>
    <t>WH514</t>
  </si>
  <si>
    <t>1444.FFSARDES</t>
  </si>
  <si>
    <t>HAVA FİLTRESİ 206/307/C4/PARTNER 1.6 16V</t>
  </si>
  <si>
    <t xml:space="preserve">SARDES </t>
  </si>
  <si>
    <t>SA 2014</t>
  </si>
  <si>
    <t>1444.FFY</t>
  </si>
  <si>
    <t>1444.H2SMF</t>
  </si>
  <si>
    <t>HAVA FİLTRESİ PARTNER/306 1.9D DW8 00-02</t>
  </si>
  <si>
    <t xml:space="preserve">SMF </t>
  </si>
  <si>
    <t>1059HF</t>
  </si>
  <si>
    <t>1444.QTAŞAS</t>
  </si>
  <si>
    <t>HAVA FİLTRESİ BOXER/JUMPER/DUCATO 100BG 2.2D 06&gt;</t>
  </si>
  <si>
    <t>ASAŞ</t>
  </si>
  <si>
    <t>HF2108S</t>
  </si>
  <si>
    <t>1444.RJFİLTRON</t>
  </si>
  <si>
    <t>HAVA FİLTRESİ 10&gt; 207/308/508 1.4/1.6 16V  1444.RK/1444.XG/1611158080</t>
  </si>
  <si>
    <t>AP058/8</t>
  </si>
  <si>
    <t>1444.RJKRAFTVOLL</t>
  </si>
  <si>
    <t xml:space="preserve">HAVA FİLTRESİ 10&gt; 207/308/508 1.4/1.6 16V  </t>
  </si>
  <si>
    <t>1444.SQKRAFTVOLL</t>
  </si>
  <si>
    <t>HAVA FİLTRESİ BOXER III/DUCATO III/JUMPER III 100HP 2.2HDİ/2.3JTD</t>
  </si>
  <si>
    <t>1444.SQSARDES</t>
  </si>
  <si>
    <t>SA489</t>
  </si>
  <si>
    <t>1444.TF</t>
  </si>
  <si>
    <t>HAVA FİLTRE 206/XSARA BENZİN</t>
  </si>
  <si>
    <t>1444TF</t>
  </si>
  <si>
    <t>1444.TFFİLTRON</t>
  </si>
  <si>
    <t>AP080/2</t>
  </si>
  <si>
    <t>1444.TFKRAFTVOLL</t>
  </si>
  <si>
    <t>1444.TJ</t>
  </si>
  <si>
    <t>HAVA FİTLRE 1.6HDİ DV6 EURO4</t>
  </si>
  <si>
    <t>1444TJ</t>
  </si>
  <si>
    <t>1444.TJEUROFIL</t>
  </si>
  <si>
    <t>EUROFIL</t>
  </si>
  <si>
    <t>EF244450</t>
  </si>
  <si>
    <t>1444.TJGRAT</t>
  </si>
  <si>
    <t>GRT-12100</t>
  </si>
  <si>
    <t>1444.TJLEV</t>
  </si>
  <si>
    <t>LEVRETTÖ</t>
  </si>
  <si>
    <t>1444.TJSARDES</t>
  </si>
  <si>
    <t>SA416</t>
  </si>
  <si>
    <t>1444.TJWUNDER</t>
  </si>
  <si>
    <t>WH512</t>
  </si>
  <si>
    <t>1444.TLGRAT</t>
  </si>
  <si>
    <t>HAVA FİLTRESİ 206/307/C4 ET3J4 1.4 16V</t>
  </si>
  <si>
    <t>GRT-12106</t>
  </si>
  <si>
    <t>1444.TLKRAFTVOLL</t>
  </si>
  <si>
    <t>1444.TLSARDES</t>
  </si>
  <si>
    <t>SA2097</t>
  </si>
  <si>
    <t xml:space="preserve">HAVA FİLTRESİ 206/307/C4 ET3J4 1.4 16V </t>
  </si>
  <si>
    <t>1444.TTMOTORCAR</t>
  </si>
  <si>
    <t>HAVA FİLTRESİ THP EP6CDT</t>
  </si>
  <si>
    <t xml:space="preserve">MOTORCAR </t>
  </si>
  <si>
    <t xml:space="preserve">8300 121 </t>
  </si>
  <si>
    <t>1444.TTPHAFF</t>
  </si>
  <si>
    <t>DH667</t>
  </si>
  <si>
    <t>1444.TTSARDES</t>
  </si>
  <si>
    <t>SA2502/1</t>
  </si>
  <si>
    <t>1444.TTSİON</t>
  </si>
  <si>
    <t>HAVA FİLTRE EP3/EP6/EP6CDT</t>
  </si>
  <si>
    <t>SH 1651</t>
  </si>
  <si>
    <t>1444.TTVOLLER</t>
  </si>
  <si>
    <t xml:space="preserve">VOLLER </t>
  </si>
  <si>
    <t>VOL-64117</t>
  </si>
  <si>
    <t>1444.TTWUNDER</t>
  </si>
  <si>
    <t>WUNDER</t>
  </si>
  <si>
    <t>WH530</t>
  </si>
  <si>
    <t>1444.TV</t>
  </si>
  <si>
    <t>HAVA FİLTRESİ DV6 1.6HDİ EURO5</t>
  </si>
  <si>
    <t>1444TV</t>
  </si>
  <si>
    <t>1444.TVGRAT</t>
  </si>
  <si>
    <t>GRT12102BX</t>
  </si>
  <si>
    <t>1444.TVLEVRETTÖ</t>
  </si>
  <si>
    <t>1444.TVVOLLER</t>
  </si>
  <si>
    <t>VOL-64102/1</t>
  </si>
  <si>
    <t>1444.TVWUNDER</t>
  </si>
  <si>
    <t>WH528</t>
  </si>
  <si>
    <t>1444.VH</t>
  </si>
  <si>
    <t>HAVA FİLTRE 1.6/1.4 8V/16V 207/1007/C2/C3</t>
  </si>
  <si>
    <t>1444 VH</t>
  </si>
  <si>
    <t>1444.VQ</t>
  </si>
  <si>
    <t>HAVA FİLTRE DW8/DW10 PARTNER/BERLİNGO</t>
  </si>
  <si>
    <t>1444VQ</t>
  </si>
  <si>
    <t>1444.VQEUROFIL</t>
  </si>
  <si>
    <t xml:space="preserve">EUROFİL </t>
  </si>
  <si>
    <t>EF201444</t>
  </si>
  <si>
    <t>1444.VQFİLTRON</t>
  </si>
  <si>
    <t>AP080/10</t>
  </si>
  <si>
    <t>1444.VQLEV</t>
  </si>
  <si>
    <t>HAVA FİLTRE DW8/DW10 PARTNER BERLİNGO</t>
  </si>
  <si>
    <t xml:space="preserve">1444.VQSARDES </t>
  </si>
  <si>
    <t>SA440</t>
  </si>
  <si>
    <t>1444.VQSİON</t>
  </si>
  <si>
    <t>SH1401S</t>
  </si>
  <si>
    <t>1444.VQSMF</t>
  </si>
  <si>
    <t>2014HF</t>
  </si>
  <si>
    <t>1444.VZ</t>
  </si>
  <si>
    <t>1444VZ</t>
  </si>
  <si>
    <t>HAVA FİLTRE DV4 1.4HDİ EURO4</t>
  </si>
  <si>
    <t>1444.VZABRASSE</t>
  </si>
  <si>
    <t>BRS-44-1101-PG</t>
  </si>
  <si>
    <t>1444.VZSİON</t>
  </si>
  <si>
    <t>SH1415</t>
  </si>
  <si>
    <t>1444.W2EUROFIL</t>
  </si>
  <si>
    <t>HAVA FİLTRE 307/C4 1.4/1.6/2.0 16V 2.0HDİ</t>
  </si>
  <si>
    <t>EF214442</t>
  </si>
  <si>
    <t>1444.W2KRAFTVOLL</t>
  </si>
  <si>
    <t>1444.W2SARDES</t>
  </si>
  <si>
    <t>SA372</t>
  </si>
  <si>
    <t>1450058HERTH+BUSS</t>
  </si>
  <si>
    <t>SU FİSKİYE MOTOR İNSİGNİA.A/B/ASTRA.J SEDAN/CRUZE</t>
  </si>
  <si>
    <t xml:space="preserve">1450059FEBİ </t>
  </si>
  <si>
    <t>SU FİSKİYE MOTOR İNSİGNİA/ASTRA.J/CROSSLAND.X</t>
  </si>
  <si>
    <t>1450059HELLUX</t>
  </si>
  <si>
    <t>HLM.40400</t>
  </si>
  <si>
    <t>1450174HELLUX</t>
  </si>
  <si>
    <t>SU FİSKİYE MOTOR SEDAN ASTRA.F/VECTRA.A/DUCATO/BOXER II</t>
  </si>
  <si>
    <t>HLM.40100</t>
  </si>
  <si>
    <t>1450175AKD</t>
  </si>
  <si>
    <t>SU FİSKİYE MOTOR CORSA.B/ASTRA.F HB.</t>
  </si>
  <si>
    <t>OP149105</t>
  </si>
  <si>
    <t>1450175EMA</t>
  </si>
  <si>
    <t>EMA</t>
  </si>
  <si>
    <t>WP1700</t>
  </si>
  <si>
    <t xml:space="preserve">1450175VEMA </t>
  </si>
  <si>
    <t>1450184EMA</t>
  </si>
  <si>
    <t>SU FİSKİYE MOTOR ASTRA.G NB/VECTRA.B</t>
  </si>
  <si>
    <t>WP2008</t>
  </si>
  <si>
    <t>1450184TOPRAN</t>
  </si>
  <si>
    <t xml:space="preserve">1450184VEMA </t>
  </si>
  <si>
    <t>1450185AKD</t>
  </si>
  <si>
    <t xml:space="preserve">SU FİSKİYE MOTOR ASTRA.G/ASTRA.H/ZAFİRA.A/B/CORSA.C/D HB. </t>
  </si>
  <si>
    <t>OP149100</t>
  </si>
  <si>
    <t>1450185HELLUX</t>
  </si>
  <si>
    <t>HLM.40140</t>
  </si>
  <si>
    <t>1450185TOPRAN</t>
  </si>
  <si>
    <t>1450185VEMA</t>
  </si>
  <si>
    <t>1450185Y</t>
  </si>
  <si>
    <t>1450185ZENON</t>
  </si>
  <si>
    <t>ZENON</t>
  </si>
  <si>
    <t>FI6404</t>
  </si>
  <si>
    <t>1450270ASPART</t>
  </si>
  <si>
    <t>7TCA1016</t>
  </si>
  <si>
    <t>SU FİSKİYE DEPO KAPAK COR.E/AST.J/K/İNS.A/B/CROSSLAND/MOKKA</t>
  </si>
  <si>
    <t>1450270METTTE</t>
  </si>
  <si>
    <t>668M6207</t>
  </si>
  <si>
    <t>1450607CABU</t>
  </si>
  <si>
    <t>CAM SU FİSKİYE DEPO ASTRA.G/ZAFİRA.A</t>
  </si>
  <si>
    <t>1450633BİRLİK</t>
  </si>
  <si>
    <t>SİLECEK SU DEPO DOLUM BORU CORSA.D/CORSA.C</t>
  </si>
  <si>
    <t xml:space="preserve">BİRLİK </t>
  </si>
  <si>
    <t>1450634BİRLİK</t>
  </si>
  <si>
    <t>SİLECEK SU DEPOSU KOMPLE (BORU+KAPAK) CORSA.D/CORSA.C</t>
  </si>
  <si>
    <t>1451182TOPRAN</t>
  </si>
  <si>
    <t>SU FİSKİYE MEMESİ VECTRA.A</t>
  </si>
  <si>
    <t>1451183TOPRAN</t>
  </si>
  <si>
    <t>SU FİSKİYE MEMESİ ASTRA.F</t>
  </si>
  <si>
    <t>1451212PLASTECH</t>
  </si>
  <si>
    <t>P12598</t>
  </si>
  <si>
    <t>SU FİSKİYE MEMESİ SAĞ ASTRA.G/H</t>
  </si>
  <si>
    <t>1451212TOPRAN</t>
  </si>
  <si>
    <t>1451243PLASTECH</t>
  </si>
  <si>
    <t>P12599</t>
  </si>
  <si>
    <t>SU FİSKİYE MEMESİ ÖN MERİVA.A</t>
  </si>
  <si>
    <t>SU FİSKİYE MEME SOL İNSİGNİA.A</t>
  </si>
  <si>
    <t>1451329PLASTECH</t>
  </si>
  <si>
    <t>P12597</t>
  </si>
  <si>
    <t>SU FİSKİYE MEMESİ SOL ASTRA.G/H</t>
  </si>
  <si>
    <t>1451329TOPRAN</t>
  </si>
  <si>
    <t>1452047METTE</t>
  </si>
  <si>
    <t>FAR YIKAMA FİSKİYE KAPAĞI SOL MOKKA 13-16</t>
  </si>
  <si>
    <t>754K5241</t>
  </si>
  <si>
    <t>1452048METTE</t>
  </si>
  <si>
    <t>FAR YIKAMA FİSKİYE KAPAĞI SAĞ MOKKA 13-16</t>
  </si>
  <si>
    <t>754K5239</t>
  </si>
  <si>
    <t>1452528CABU</t>
  </si>
  <si>
    <t>CAM SU FİSKİYE DEPO ASTRA.G/ZAFİRA.A (ÖN FAR YIKAMALI)</t>
  </si>
  <si>
    <t xml:space="preserve">ARKA TAMPON REFLEKTÖR SOL ASTRA.J </t>
  </si>
  <si>
    <t>OTOMATİK ŞANZUMAN RADYATÖR YAĞ SOGUTUCU KONNEKTÖRÜ</t>
  </si>
  <si>
    <t>1525.95HELLA</t>
  </si>
  <si>
    <t>YAKIT DEPO ŞAMANDIRA KOMPLE 306 Y.M</t>
  </si>
  <si>
    <t>8TF358106-311</t>
  </si>
  <si>
    <t>1525.H8ABRASSE</t>
  </si>
  <si>
    <t xml:space="preserve">YAKIT DEPO ŞAMANDIRASI 206/XSARA </t>
  </si>
  <si>
    <t>BRS-1525H8-PG</t>
  </si>
  <si>
    <t>1525.H8MGA</t>
  </si>
  <si>
    <t>YAKIT DEPO ŞAMADIRASI KOMPLE 206/PARTNER II/XSARA PCS. BENZİNLİ</t>
  </si>
  <si>
    <t>1525.JCABRASSE</t>
  </si>
  <si>
    <t>YAKIT DEPO ŞAMANDIRA KOMPLE PARTNER TEPEE/BERLİNGO DV6BTED4 1.6HDİ</t>
  </si>
  <si>
    <t>BRS-1525JC-PG</t>
  </si>
  <si>
    <t>1525.S8BOSCH</t>
  </si>
  <si>
    <t>YAKIT DEPO ŞAMANDIRASI KOMPLE 1.6HDİ/2.0HDİ 206/207/307/308/407/PARTNER</t>
  </si>
  <si>
    <t>1525.Y1BOSCH</t>
  </si>
  <si>
    <t>YAKIT DEPO ŞAMADIRASI 99&gt; 206 1.4/1.6 TEK ÇIKIŞ</t>
  </si>
  <si>
    <t>1525.Y2FDR</t>
  </si>
  <si>
    <t xml:space="preserve">YAKIT DEPO ŞAMANDIRASI KOMPLE 206 1.4/1.6 8V/16V </t>
  </si>
  <si>
    <t>FDR</t>
  </si>
  <si>
    <t>1525.Y2KRAFTVOLL</t>
  </si>
  <si>
    <t>YAKIT DEPO ŞAMANDIRASI KOMPLE 206 1.4/1.6 8V/16V</t>
  </si>
  <si>
    <t>1525.Y5WIN</t>
  </si>
  <si>
    <t>WIN0500294</t>
  </si>
  <si>
    <t>YAKIT HORTUM 206/206+1.4-8V/16V FİLTREDEN DEPOYA GİDEN//TU3JP-ET3J4</t>
  </si>
  <si>
    <t>1525.YGWIN</t>
  </si>
  <si>
    <t>WIN0500293</t>
  </si>
  <si>
    <t>YAKIT GERİ DÖNÜŞ HORTUM 1.4 8V/16V 206-206+</t>
  </si>
  <si>
    <t>1531.41</t>
  </si>
  <si>
    <t>ŞAMANDIRA SOMUN CONTA 206/207/208/301/308/COMBO.E/RIFTER</t>
  </si>
  <si>
    <t>1531.41KRAFTVOLL</t>
  </si>
  <si>
    <t xml:space="preserve">YAKI DEPO ŞAMANDIRA SOMUN CONTASI 306/206/PARTNER/BERLİNGO </t>
  </si>
  <si>
    <t xml:space="preserve">1567.C1MAHLE </t>
  </si>
  <si>
    <t>BENZİN FİLTRE 206/207/301/308/C5 X7</t>
  </si>
  <si>
    <t>BENZİN FİLTRE</t>
  </si>
  <si>
    <t>KL248</t>
  </si>
  <si>
    <t>1567.C6CHAMPION</t>
  </si>
  <si>
    <t>BENZİN FİLTRESİ ASTRA.L/MOKKA.B/CORSA.F/GRANDLAND 1.2//106/206/207/306/307</t>
  </si>
  <si>
    <t>CHAMPION</t>
  </si>
  <si>
    <t>CFF100236</t>
  </si>
  <si>
    <t>1567.C6ERP</t>
  </si>
  <si>
    <t>E145064</t>
  </si>
  <si>
    <t>1573.YGWIN</t>
  </si>
  <si>
    <t>WIN0500146</t>
  </si>
  <si>
    <t>MAZOT GİRİŞ HORTUM M59 PARTNER-BERLİNGO DW8</t>
  </si>
  <si>
    <t>1574.FSWIN</t>
  </si>
  <si>
    <t>WIN0500292</t>
  </si>
  <si>
    <t>YAKIT HORTUM 508 10-18/ 1.6HDİ</t>
  </si>
  <si>
    <t>1574.H4WIN</t>
  </si>
  <si>
    <t>WIN0500291</t>
  </si>
  <si>
    <t>ENJEKTÖR GERİ DÖNÜŞ HORTUM DW10 2.0HDİ</t>
  </si>
  <si>
    <t>1574.HLWIN</t>
  </si>
  <si>
    <t>WIN0500148</t>
  </si>
  <si>
    <t>ENJEKTÖR GERİ DÖNÜŞ HORTUM DW10 2.0HDİ 307/407/C4/C5</t>
  </si>
  <si>
    <t>1574.HXWIN</t>
  </si>
  <si>
    <t>WIN0500206</t>
  </si>
  <si>
    <t>ENJEKTÖR GERİ DÖNÜŞ HORTUM 1.6HDİ DV6C 115HP</t>
  </si>
  <si>
    <t>1574.JKWIN</t>
  </si>
  <si>
    <t>WIN0500186</t>
  </si>
  <si>
    <t>ENJEKTÖR GERİ DÖNÜŞ HORTUM 1.6HDİ DV6TED4 EURO4</t>
  </si>
  <si>
    <t>1574.N8İBRAS</t>
  </si>
  <si>
    <t>ENJEKTÖR GERİ DÖNÜŞ HORTUM 1.4HDİ DV4TD</t>
  </si>
  <si>
    <t>1574.N8WIN</t>
  </si>
  <si>
    <t>WIN0500161</t>
  </si>
  <si>
    <t>1574.Q1WIN</t>
  </si>
  <si>
    <t>WIN0500149</t>
  </si>
  <si>
    <t>ENJEKTÖR GERİ DÖNÜŞ HORTUM 1.4HDİ DV4 EURO4</t>
  </si>
  <si>
    <t>1574.Q5İBR</t>
  </si>
  <si>
    <t>ENJEKTÖR GERİ DÖNÜŞ HORTUM DV6 TÜM.MOD.</t>
  </si>
  <si>
    <t>1574.R2YTT</t>
  </si>
  <si>
    <t>ENJEKTÖR GERİ DÖNÜŞ HORTUM DV6TED</t>
  </si>
  <si>
    <t>Y5331</t>
  </si>
  <si>
    <t>1574.S9WIN0500108</t>
  </si>
  <si>
    <t>WIN0500108</t>
  </si>
  <si>
    <t>MAZOT HORTUM TAKIM DV4TD 1.4HDİ 03-09 C1/C2/C3/107</t>
  </si>
  <si>
    <t>1574.SRWIN</t>
  </si>
  <si>
    <t>WIN0500228</t>
  </si>
  <si>
    <t>ENJEKTÖR GERİ DÖNÜŞ HORTUM 2.0HDİ DW10TD</t>
  </si>
  <si>
    <t>1574.T0KRAFTVOLL</t>
  </si>
  <si>
    <t>MAZOT HORTUM TAKIMI DV4 1.4HDİ BİPPER/NEMO/206/206+/207/C2/C3</t>
  </si>
  <si>
    <t>1574.T0WINTECH</t>
  </si>
  <si>
    <t>WIN0500109</t>
  </si>
  <si>
    <t>MAZOT BORU TAKIM 1.4HDİ DV4 206/207/BİPPER/C2/C3</t>
  </si>
  <si>
    <t>1574.T0YTT</t>
  </si>
  <si>
    <t>Y32198</t>
  </si>
  <si>
    <t>1574.T1İBRAS</t>
  </si>
  <si>
    <t>MAZOT BORU TAKIM DV4TD 1.4HDİ 206/307/C2/C3/XSARA</t>
  </si>
  <si>
    <t>1574.T1WINTECH</t>
  </si>
  <si>
    <t>WIN0500110</t>
  </si>
  <si>
    <t>1574.T2WINTECH</t>
  </si>
  <si>
    <t>WIN0500135</t>
  </si>
  <si>
    <t>MAZOT BORU TAKIM DV4 1.4HDİ 206/307/XSARA</t>
  </si>
  <si>
    <t>1574.T5WINTECH</t>
  </si>
  <si>
    <t>WIN0500159</t>
  </si>
  <si>
    <t>MAZOT BORU TAKIM DV6 TÜM MODELLER</t>
  </si>
  <si>
    <t>1574.T5YTT</t>
  </si>
  <si>
    <t>Y32196</t>
  </si>
  <si>
    <t>1574.W2WINTECH</t>
  </si>
  <si>
    <t>WIN0500158</t>
  </si>
  <si>
    <t>MAZOT BORU TAKIM 207/307/308/PARTNER/BERLİNGO/C3/C4/C5 DV6 1.6HDİ</t>
  </si>
  <si>
    <t>1579.Q4KRAFTVOLL</t>
  </si>
  <si>
    <t>YAKIT BORUSU FİLTREDEN DEPOYA PARTNER/BERLİNGO DW8 1.9D</t>
  </si>
  <si>
    <t>1579.Q4WİN</t>
  </si>
  <si>
    <t>WIN0500145</t>
  </si>
  <si>
    <t>MAZOT ALT HORTUM M59 PARTNER/BERLİNGO DW8</t>
  </si>
  <si>
    <t>160010KİTATECH</t>
  </si>
  <si>
    <t>KAPI GERGİSİ ÖN ASTRA.J</t>
  </si>
  <si>
    <t>KİTATECH</t>
  </si>
  <si>
    <t>160256KİTATECH</t>
  </si>
  <si>
    <t>KAPI GERGİSİ ÖN CORSA.C/TİGRA.B</t>
  </si>
  <si>
    <t>160256YTT</t>
  </si>
  <si>
    <t>Y2311</t>
  </si>
  <si>
    <t>1603008ASPART</t>
  </si>
  <si>
    <t>1ITR1019</t>
  </si>
  <si>
    <t>ROT MİLİ CORSA.C/COMBO.C</t>
  </si>
  <si>
    <t>1603008AYD</t>
  </si>
  <si>
    <t>95-01886</t>
  </si>
  <si>
    <t>1603008KAPİM</t>
  </si>
  <si>
    <t>KAPİMSAN</t>
  </si>
  <si>
    <t>18-12705</t>
  </si>
  <si>
    <t>1603008KRAFTVOLL</t>
  </si>
  <si>
    <t>1603008VOTTO</t>
  </si>
  <si>
    <t>VOTTO</t>
  </si>
  <si>
    <t>14-05300</t>
  </si>
  <si>
    <t>1603009AYD</t>
  </si>
  <si>
    <t>ROT BAŞI CORSA.C/COMBO.C</t>
  </si>
  <si>
    <t>91-00870</t>
  </si>
  <si>
    <t xml:space="preserve">1603009DELPHİ </t>
  </si>
  <si>
    <t>TA1135</t>
  </si>
  <si>
    <t>1603009FROWAS</t>
  </si>
  <si>
    <t>1603009KAPİM</t>
  </si>
  <si>
    <t>18-09707</t>
  </si>
  <si>
    <t>1603009TEKNOROT</t>
  </si>
  <si>
    <t>O-111</t>
  </si>
  <si>
    <t>1603009TRW</t>
  </si>
  <si>
    <t>TRW</t>
  </si>
  <si>
    <t>JTE211</t>
  </si>
  <si>
    <t>1603009VOTTO</t>
  </si>
  <si>
    <t>14-05200</t>
  </si>
  <si>
    <t>1603022BRTEC</t>
  </si>
  <si>
    <t>960295A</t>
  </si>
  <si>
    <t>ÖN TEKER RULMAN AVEO T300/MOKKA/MERİVA.B</t>
  </si>
  <si>
    <t>BRTEC</t>
  </si>
  <si>
    <t>1603121ASPART</t>
  </si>
  <si>
    <t>1BJO1044</t>
  </si>
  <si>
    <t>ROTİL ASTRA.F/VECTRA.A</t>
  </si>
  <si>
    <t xml:space="preserve">1603121AYD </t>
  </si>
  <si>
    <t>92-00020</t>
  </si>
  <si>
    <t>1603142DOGRU</t>
  </si>
  <si>
    <t xml:space="preserve">AKS KÖRÜĞÜ İÇ ASTRA.F/G/H//VECTRA.B Z16XE/Z16XER </t>
  </si>
  <si>
    <t xml:space="preserve">AKS </t>
  </si>
  <si>
    <t>DK90-841</t>
  </si>
  <si>
    <t>1603142MEYLE</t>
  </si>
  <si>
    <t>AKS KÖRÜĞÜ İÇ ASTRA.F/G/H//VECTRA.B Z16XE/Z16XER</t>
  </si>
  <si>
    <t>1603142YTT</t>
  </si>
  <si>
    <t>Y1401</t>
  </si>
  <si>
    <t>1603180DOGRU</t>
  </si>
  <si>
    <t>DIŞ AKS KÖRÜĞÜ VECTRA.A/ASTRA.F/VECTRA.B X20XEV</t>
  </si>
  <si>
    <t>DK90-851</t>
  </si>
  <si>
    <t>1603180YTT</t>
  </si>
  <si>
    <t>Y1405</t>
  </si>
  <si>
    <t>1603183DOGRU</t>
  </si>
  <si>
    <t>AKS KÖRÜĞÜ İÇ ASTRA.F/VECTRA.A/ASTRA.H Z13DT</t>
  </si>
  <si>
    <t xml:space="preserve">DOĞRU </t>
  </si>
  <si>
    <t>DK90-849</t>
  </si>
  <si>
    <t>1603183YTT</t>
  </si>
  <si>
    <t>Y1406</t>
  </si>
  <si>
    <t>1603187AYD</t>
  </si>
  <si>
    <t xml:space="preserve">ROTİL ALT CORSA.B/COMBO.B/TİGRA.A 93-96 </t>
  </si>
  <si>
    <t>92-00360</t>
  </si>
  <si>
    <t>1603188AKD</t>
  </si>
  <si>
    <t>AKS KÖRÜĞÜ DIŞ ASTRA.G/VECTRA.B 1.6 16V</t>
  </si>
  <si>
    <t>OP184104</t>
  </si>
  <si>
    <t xml:space="preserve">1603188ASPART </t>
  </si>
  <si>
    <t>1ABE1006</t>
  </si>
  <si>
    <t>1603188YTT</t>
  </si>
  <si>
    <t>Y1404</t>
  </si>
  <si>
    <t>1603191SKF</t>
  </si>
  <si>
    <t>ÖN TEKER RULMAN VECTRA.A/ASTRA.F</t>
  </si>
  <si>
    <t>VKBC20042</t>
  </si>
  <si>
    <t>1603192FEBİ</t>
  </si>
  <si>
    <t xml:space="preserve">ÖN TEKER RULMAN ASTRA.F/CORSA.B/VECTRA/KALOS/AVEO/SPARK </t>
  </si>
  <si>
    <t>1603192GMB</t>
  </si>
  <si>
    <t>ÖN TEKER RULMAN ASTRA.F/CORSA.B/VECTRA/KALOS/AVEO/SPARK</t>
  </si>
  <si>
    <t>GH034030C</t>
  </si>
  <si>
    <t>1603192MEYLE</t>
  </si>
  <si>
    <t>614 160 0007</t>
  </si>
  <si>
    <t>1603192PFİ</t>
  </si>
  <si>
    <t>PW34640037CS</t>
  </si>
  <si>
    <t>1603192SNR</t>
  </si>
  <si>
    <t>GB10884</t>
  </si>
  <si>
    <t>1603193FEBİ</t>
  </si>
  <si>
    <t>ARKA TEKER RULMAN SET CORSA.B/ASTRA.F/VECTRA.A</t>
  </si>
  <si>
    <t>1603193PFİ</t>
  </si>
  <si>
    <t>PWK4544</t>
  </si>
  <si>
    <t>1603193SWAG</t>
  </si>
  <si>
    <t>1603195KOYO</t>
  </si>
  <si>
    <t>ÖN TEKER RULMAN CORSA.B/ASTRA.F</t>
  </si>
  <si>
    <t>KOYO</t>
  </si>
  <si>
    <t>1603195MEYLE</t>
  </si>
  <si>
    <t xml:space="preserve">ÖN TEKER RULMAN CORSA.B/ASTRA.F </t>
  </si>
  <si>
    <t>1603195PFİ</t>
  </si>
  <si>
    <t>PW34660037CS</t>
  </si>
  <si>
    <t>1603195SKF</t>
  </si>
  <si>
    <t xml:space="preserve">ÖN TEKER RULMAN CORSA.B/ASTRA.F  </t>
  </si>
  <si>
    <t>BAHB636114B/VK210</t>
  </si>
  <si>
    <t>1603196FAG</t>
  </si>
  <si>
    <t xml:space="preserve">ÖN TEKER RULMAN VECTRA.B X20XEV </t>
  </si>
  <si>
    <t>1603196PFİ</t>
  </si>
  <si>
    <t>ÖN TEKER RULMAN VECTRA.B X20XEV</t>
  </si>
  <si>
    <t>PW39740039CS</t>
  </si>
  <si>
    <t>1603196VALEO</t>
  </si>
  <si>
    <t xml:space="preserve">1603202AYD </t>
  </si>
  <si>
    <t>ROTİL CORSA.B/COMBO.B 97-01</t>
  </si>
  <si>
    <t>92-00355</t>
  </si>
  <si>
    <t>1603202KAPİM</t>
  </si>
  <si>
    <t>18-05703</t>
  </si>
  <si>
    <t>1603206ASPART</t>
  </si>
  <si>
    <t>1ITR1021</t>
  </si>
  <si>
    <t>ROT MİLİ VECTRA.B</t>
  </si>
  <si>
    <t>1603206AYD</t>
  </si>
  <si>
    <t>95-00725</t>
  </si>
  <si>
    <t>1603206TEKNOROT</t>
  </si>
  <si>
    <t>O-442</t>
  </si>
  <si>
    <t>1603208MARELLİ</t>
  </si>
  <si>
    <t>ÖN TEKER PORYA ASTRA.G 4BİJON -ABS</t>
  </si>
  <si>
    <t xml:space="preserve">1603209ASPART </t>
  </si>
  <si>
    <t>1WHU1015</t>
  </si>
  <si>
    <t>ÖN TEKER PORYA ASTRA.G +ABS 4BİJON</t>
  </si>
  <si>
    <t>1603209ELİTCAR</t>
  </si>
  <si>
    <t>ELT-B30049</t>
  </si>
  <si>
    <t>1603209PRAKSSIS</t>
  </si>
  <si>
    <t>PRA101904</t>
  </si>
  <si>
    <t>PRAKSSIS</t>
  </si>
  <si>
    <t>1603209SKF</t>
  </si>
  <si>
    <t>VKBC 20088</t>
  </si>
  <si>
    <t>1603209VEKA</t>
  </si>
  <si>
    <t>44-3203</t>
  </si>
  <si>
    <t>1603211ASPART</t>
  </si>
  <si>
    <t>1WHU1016</t>
  </si>
  <si>
    <t>ÖN TEKER PORYA ASTRA.G/ZAFİRA.A 5 BİJON +ABS</t>
  </si>
  <si>
    <t>1603214ASPART</t>
  </si>
  <si>
    <t>1TRE1063</t>
  </si>
  <si>
    <t>ROT BAŞI ASTRA.G</t>
  </si>
  <si>
    <t>1603214AYD</t>
  </si>
  <si>
    <t>91-01358</t>
  </si>
  <si>
    <t>1603214DELPHİ</t>
  </si>
  <si>
    <t>TA1676</t>
  </si>
  <si>
    <t>1603214KAPİM</t>
  </si>
  <si>
    <t>18-09704</t>
  </si>
  <si>
    <t>1603216ASPART</t>
  </si>
  <si>
    <t>1ITR1018</t>
  </si>
  <si>
    <t>ROT MİLİ ASTRA.G/H</t>
  </si>
  <si>
    <t>1603216AYD</t>
  </si>
  <si>
    <t>95-00724</t>
  </si>
  <si>
    <t>1603216PRAKSSIS</t>
  </si>
  <si>
    <t>OP-310</t>
  </si>
  <si>
    <t>1603216RIW</t>
  </si>
  <si>
    <t>RIW</t>
  </si>
  <si>
    <t>OP3010</t>
  </si>
  <si>
    <t>1603216TEKNOROT</t>
  </si>
  <si>
    <t>O-452</t>
  </si>
  <si>
    <t>1603216VOTTO</t>
  </si>
  <si>
    <t>VOT-14-02303</t>
  </si>
  <si>
    <t>1603226KRAFTVOLL</t>
  </si>
  <si>
    <t>AKS KÖRÜĞÜ İÇ CORSA.D Z13DTH</t>
  </si>
  <si>
    <t>1603226YTT</t>
  </si>
  <si>
    <t>Y2333</t>
  </si>
  <si>
    <t>1603227AYD</t>
  </si>
  <si>
    <t>ROT BAŞI SOL VECTRA.C/SİGNUM</t>
  </si>
  <si>
    <t>91-01867</t>
  </si>
  <si>
    <t xml:space="preserve">1603228AYD </t>
  </si>
  <si>
    <t>ROT BAŞI SAĞ VECTRA.C/SİGNUM</t>
  </si>
  <si>
    <t>91-01866</t>
  </si>
  <si>
    <t>1603228SWAPP</t>
  </si>
  <si>
    <t xml:space="preserve">ROT BAŞI SAĞ VECTRA.C/SİGNUM </t>
  </si>
  <si>
    <t>10-01866</t>
  </si>
  <si>
    <t>1603229AYD</t>
  </si>
  <si>
    <t>ROT MİLİ VECTRA.C</t>
  </si>
  <si>
    <t>95-01923</t>
  </si>
  <si>
    <t>1603229ORJİN</t>
  </si>
  <si>
    <t>1603230DOGRU</t>
  </si>
  <si>
    <t>AKS KÖRÜĞÜ İÇ CORSA.C</t>
  </si>
  <si>
    <t>DK90-852</t>
  </si>
  <si>
    <t>1603230YTT</t>
  </si>
  <si>
    <t>Y1514</t>
  </si>
  <si>
    <t>1603231AKD</t>
  </si>
  <si>
    <t>DIŞ AKS KÖRÜĞÜ CORSA.C//AVEO 1.2 16V T255</t>
  </si>
  <si>
    <t>OP184107</t>
  </si>
  <si>
    <t xml:space="preserve">1603231DOGRU </t>
  </si>
  <si>
    <t>DK90-1099</t>
  </si>
  <si>
    <t>1603231YTT</t>
  </si>
  <si>
    <t>Y1547</t>
  </si>
  <si>
    <t>1603233ASPART</t>
  </si>
  <si>
    <t>1JKD1006</t>
  </si>
  <si>
    <t>AKS KAFASI DIŞ VECTRA.C Z16XE</t>
  </si>
  <si>
    <t>1603233Y</t>
  </si>
  <si>
    <t>1603237LUK-1</t>
  </si>
  <si>
    <t>DEBRİYAJ SETİ ASTRA.G-CORSA.C Z14XE/CORSA.B X14XE/CORSA.D A12XER/A14XER/Z14XEP</t>
  </si>
  <si>
    <t xml:space="preserve">LUK </t>
  </si>
  <si>
    <t>1603237MAPA</t>
  </si>
  <si>
    <t>DEBRİYAJ SETİ ASTRA.G-CORSA.C Z14XE/CORSA.B X14XE/CORSA.C A12XER/A14XER/Z14XEP</t>
  </si>
  <si>
    <t xml:space="preserve">MAPA </t>
  </si>
  <si>
    <t>1603237MAPA-1</t>
  </si>
  <si>
    <t>DEBRİYAJ SETİ RULMANLI ASTRA.G-CORSA.C Z14XE/CORSA.B X14XE/CORSA.C A12XER/A14XER/Z14XEP</t>
  </si>
  <si>
    <t>MAPA</t>
  </si>
  <si>
    <t>1603237VALEO</t>
  </si>
  <si>
    <t>1603238DOGRU</t>
  </si>
  <si>
    <t>AKS KÖRÜĞÜ İÇ VECTRA.C Z16XE</t>
  </si>
  <si>
    <t>DK90-846</t>
  </si>
  <si>
    <t>1603238YTT</t>
  </si>
  <si>
    <t>Y1526</t>
  </si>
  <si>
    <t>1603240AYD</t>
  </si>
  <si>
    <t>ROT BAŞI MERİVA.A</t>
  </si>
  <si>
    <t>91-03575</t>
  </si>
  <si>
    <t>1603240KRAFTVOLL</t>
  </si>
  <si>
    <t>1603240RIW</t>
  </si>
  <si>
    <t>OP2004</t>
  </si>
  <si>
    <t>1603240TEKNOROT</t>
  </si>
  <si>
    <t>O-161</t>
  </si>
  <si>
    <t>1603253ASPART</t>
  </si>
  <si>
    <t>1WHU1017</t>
  </si>
  <si>
    <t>ÖN TEKER PORYA ASTRA.H 4BİJON+ABS</t>
  </si>
  <si>
    <t>1603253MGA</t>
  </si>
  <si>
    <t xml:space="preserve">1603254ASPART </t>
  </si>
  <si>
    <t>ÖN PORYA ASTRA.H 5BİJON +ABS</t>
  </si>
  <si>
    <t>1603254FORMPART</t>
  </si>
  <si>
    <t>FORMPART</t>
  </si>
  <si>
    <t>20498019/K</t>
  </si>
  <si>
    <t xml:space="preserve">1603254MARELLİ </t>
  </si>
  <si>
    <t>1603254MGA</t>
  </si>
  <si>
    <t>1603254PRAKSSIS</t>
  </si>
  <si>
    <t>PRA101906</t>
  </si>
  <si>
    <t xml:space="preserve">1603257AYD </t>
  </si>
  <si>
    <t>ROT BAŞI SAĞ ASTRA.H/ZAFİRA.B</t>
  </si>
  <si>
    <t>91-04086</t>
  </si>
  <si>
    <t>1603257KAPİM</t>
  </si>
  <si>
    <t>18-09706</t>
  </si>
  <si>
    <t>1603257TEKNOROT</t>
  </si>
  <si>
    <t>O-461</t>
  </si>
  <si>
    <t xml:space="preserve">1603258AYD </t>
  </si>
  <si>
    <t>ROT BAŞI SOL ASTRA.H/ZAFİRA.B</t>
  </si>
  <si>
    <t>91-04085</t>
  </si>
  <si>
    <t>1603258KRAFTVOLL</t>
  </si>
  <si>
    <t xml:space="preserve">1603258TEKNOROT </t>
  </si>
  <si>
    <t xml:space="preserve">TEKNOROT </t>
  </si>
  <si>
    <t>O-462</t>
  </si>
  <si>
    <t>1603272ASPART</t>
  </si>
  <si>
    <t>1JKD1008</t>
  </si>
  <si>
    <t>AKS KAFASI ORTA İÇ (DİŞİ) ASTRA.H Z13DT/VECTRA.C Z22SE/Z19DTH</t>
  </si>
  <si>
    <t>1603273Y</t>
  </si>
  <si>
    <t>DIŞ AKS KAFASI ASTRA.H Z16XEP/Z16XER/ASTRA.J A16XER</t>
  </si>
  <si>
    <t>1603274ASPART</t>
  </si>
  <si>
    <t>1JKD1010</t>
  </si>
  <si>
    <t>AKS KAFASI DIŞ ASTRA.H Z13DTH/Z17DTH</t>
  </si>
  <si>
    <t xml:space="preserve">1603274GSP </t>
  </si>
  <si>
    <t xml:space="preserve">GSP </t>
  </si>
  <si>
    <t>1603274MARELLİ</t>
  </si>
  <si>
    <t>1603277ASPART</t>
  </si>
  <si>
    <t>AKS KÖRÜĞÜ DIŞ ASTRA.H Z13DTH/Z17DTH</t>
  </si>
  <si>
    <t>1ABE1012</t>
  </si>
  <si>
    <t>1603277YTT</t>
  </si>
  <si>
    <t>Y1562</t>
  </si>
  <si>
    <t>1603294ASPART</t>
  </si>
  <si>
    <t>1WHU1019</t>
  </si>
  <si>
    <t>ÖN TEKER PORYA VECTRA.C (KALIN SOKET)</t>
  </si>
  <si>
    <t>1603337PFİ</t>
  </si>
  <si>
    <t>ÖN TEKER RULMAN CORSA.D A12XER/A14XER KÜÇÜK</t>
  </si>
  <si>
    <t>PW35720033CSM</t>
  </si>
  <si>
    <t>1603338ABA</t>
  </si>
  <si>
    <t>TR100706</t>
  </si>
  <si>
    <t>ÖN TEKER RULMAN CORSA.D/E/BİPPER/NEMO</t>
  </si>
  <si>
    <t>1603338KRAFTVOLL</t>
  </si>
  <si>
    <t>1603338OPTİMAL</t>
  </si>
  <si>
    <t xml:space="preserve">ÖN TEKER RULMAN CORSA.D/E/BİPPER/NEMO  </t>
  </si>
  <si>
    <t xml:space="preserve">OPTİMAL </t>
  </si>
  <si>
    <t>801838XS</t>
  </si>
  <si>
    <t>1603338PFİ</t>
  </si>
  <si>
    <t xml:space="preserve">ÖN TEKER RULMAN CORSA.D/E/BİPPER/NEMO </t>
  </si>
  <si>
    <t>PW37720437CSM96</t>
  </si>
  <si>
    <t>1603338SKF</t>
  </si>
  <si>
    <t>VKBC20016</t>
  </si>
  <si>
    <t>1603405MGA</t>
  </si>
  <si>
    <t>DIŞ AKS KAFASI CORSA.D Z13DTJ/Z13DTH</t>
  </si>
  <si>
    <t>1603406AKD</t>
  </si>
  <si>
    <t>AKS KÖRÜĞÜ DIŞ CORSA.D Z13DT</t>
  </si>
  <si>
    <t>OP184108</t>
  </si>
  <si>
    <t xml:space="preserve">1603406DOGRU </t>
  </si>
  <si>
    <t>DK90-1100</t>
  </si>
  <si>
    <t>1603408ASPART</t>
  </si>
  <si>
    <t>AKS KAFASI İÇ SAĞ CORSA.D Z13DTH/A13DTR 90HP</t>
  </si>
  <si>
    <t>1JKD1014</t>
  </si>
  <si>
    <t xml:space="preserve">1603410ASPART </t>
  </si>
  <si>
    <t>AKS KAFASI İÇ SAĞ CORSA.D Z13DTJ 75HP</t>
  </si>
  <si>
    <t>1JKD1016</t>
  </si>
  <si>
    <t xml:space="preserve">1603411ASPART </t>
  </si>
  <si>
    <t>1JKD1017</t>
  </si>
  <si>
    <t>DIŞ AKS KAFASI CORSA.D Z12XEP/Z14EP/A12XER/A14XER</t>
  </si>
  <si>
    <t>1603414DOGRU</t>
  </si>
  <si>
    <t>AKS KÖRÜĞÜ İÇ CORSA.D Z12XEP/A14XER</t>
  </si>
  <si>
    <t>DK90-1101</t>
  </si>
  <si>
    <t>1603429AYD</t>
  </si>
  <si>
    <t>ROT MİLİ MERİVA.A</t>
  </si>
  <si>
    <t>95-03576</t>
  </si>
  <si>
    <t>1603436SEON</t>
  </si>
  <si>
    <t>SK2027</t>
  </si>
  <si>
    <t>AKS KÖRÜĞÜ DIŞ ASTRA.J/ZAFİRA.B</t>
  </si>
  <si>
    <t>SEON</t>
  </si>
  <si>
    <t>1603438ASPART</t>
  </si>
  <si>
    <t>AKS KÖRÜĞÜ İÇ ASTRA J/INSIGNIA 14NET-NEL</t>
  </si>
  <si>
    <t>1RKI1013</t>
  </si>
  <si>
    <t>1603438DOGRU</t>
  </si>
  <si>
    <t>İÇ AKS KÖRÜĞÜ ASTRA.J/İNSİGNİA.A/MERİVA.B</t>
  </si>
  <si>
    <t>DK90-1102</t>
  </si>
  <si>
    <t>1603439YTT</t>
  </si>
  <si>
    <t>İÇ AKS KÖRÜĞÜ İNSİGNİA.A/ASTRA.J A16LET</t>
  </si>
  <si>
    <t>Y2336</t>
  </si>
  <si>
    <t>1603543ASPART</t>
  </si>
  <si>
    <t>1ITR1020</t>
  </si>
  <si>
    <t>ROT MİLİ CORSA.D/E</t>
  </si>
  <si>
    <t>1603543TEKNOROT</t>
  </si>
  <si>
    <t>O-183</t>
  </si>
  <si>
    <t>1603544ABRASSE</t>
  </si>
  <si>
    <t>ROT BAŞI SOL CORSA.D/E/BİPPER/NEMO</t>
  </si>
  <si>
    <t>BRS-06-45-PG</t>
  </si>
  <si>
    <t>1603544AYD</t>
  </si>
  <si>
    <t>91-05145</t>
  </si>
  <si>
    <t>1603544KAPİM</t>
  </si>
  <si>
    <t>18-09724</t>
  </si>
  <si>
    <t>1603544KRAFTVOLL</t>
  </si>
  <si>
    <t>1603544SWAPP</t>
  </si>
  <si>
    <t>10-05145</t>
  </si>
  <si>
    <t>1603544TEKNOROT</t>
  </si>
  <si>
    <t>F-482</t>
  </si>
  <si>
    <t>1603544VOTTO</t>
  </si>
  <si>
    <t>VOT-10-18201</t>
  </si>
  <si>
    <t>1603545ABRASSE</t>
  </si>
  <si>
    <t>ROT BAŞI SAĞ CORSA.D/E/BİPPER/NEMO</t>
  </si>
  <si>
    <t>BRS-06-44-PG</t>
  </si>
  <si>
    <t>1603545ASPART</t>
  </si>
  <si>
    <t>1TRE1070</t>
  </si>
  <si>
    <t xml:space="preserve">1603545AYD </t>
  </si>
  <si>
    <t>91-05146</t>
  </si>
  <si>
    <t>1603545KAPİM</t>
  </si>
  <si>
    <t>18-09725</t>
  </si>
  <si>
    <t>1603545KRAFTVOLL</t>
  </si>
  <si>
    <t>1603545TEKNOROT</t>
  </si>
  <si>
    <t>F-481</t>
  </si>
  <si>
    <t>1603545VOTTO</t>
  </si>
  <si>
    <t>VOT-10-18202</t>
  </si>
  <si>
    <t xml:space="preserve">1604002ASPART </t>
  </si>
  <si>
    <t>1WHU1022</t>
  </si>
  <si>
    <t xml:space="preserve">ARK TEKER PORYA ASTRA.G/VECTRA.B 5BİJON+ABS </t>
  </si>
  <si>
    <t>1604003ASPART</t>
  </si>
  <si>
    <t>1WHU1023</t>
  </si>
  <si>
    <t>ARKA PORYA ASTRA.G/VECTRA.B +ABS 4BİJON</t>
  </si>
  <si>
    <t>1604007BRTEC</t>
  </si>
  <si>
    <t xml:space="preserve">ARKA TEKER RULMAN CORSA.C </t>
  </si>
  <si>
    <t>1604007KRAFTVOLL</t>
  </si>
  <si>
    <t>1604007OPTİMAL</t>
  </si>
  <si>
    <t>1604007PFİ</t>
  </si>
  <si>
    <t>ARKA TEKER RULMAN CORSA.C</t>
  </si>
  <si>
    <t>PW27530043CHSD</t>
  </si>
  <si>
    <t>1604007VEKA</t>
  </si>
  <si>
    <t>47-3203</t>
  </si>
  <si>
    <t>1604008YTT</t>
  </si>
  <si>
    <t>AKS KÖRÜĞÜ DIŞ ASTRA.J/MERİVA.B//İNSİGNİA.A</t>
  </si>
  <si>
    <t>Y2345</t>
  </si>
  <si>
    <t>1604286FAG</t>
  </si>
  <si>
    <t>ARKA TEKER RULMAN SET COMBO.B</t>
  </si>
  <si>
    <t>713 6445 20</t>
  </si>
  <si>
    <t>1604314MGA</t>
  </si>
  <si>
    <t>ARKA TEKER PORYA VECTRA.C</t>
  </si>
  <si>
    <t>1604316ASPART</t>
  </si>
  <si>
    <t>1WHU1026</t>
  </si>
  <si>
    <t>ARKA TEKER PORYA ASTRA.H 5BİJON +ABS</t>
  </si>
  <si>
    <t>1604358DASLAGER</t>
  </si>
  <si>
    <t>ARKA PORYA CORSA.D/E +ABS</t>
  </si>
  <si>
    <t>DASLAGER</t>
  </si>
  <si>
    <t>DLB10119AX</t>
  </si>
  <si>
    <t>1604358JFA</t>
  </si>
  <si>
    <t>JFA</t>
  </si>
  <si>
    <t>811310K</t>
  </si>
  <si>
    <t>1604358PFİ</t>
  </si>
  <si>
    <t>HU56552K</t>
  </si>
  <si>
    <t>1605034APETECH</t>
  </si>
  <si>
    <t>ÖN BALATA ASTRA.G</t>
  </si>
  <si>
    <t>AP1376</t>
  </si>
  <si>
    <t>1605034ASPART</t>
  </si>
  <si>
    <t>3BPA1150</t>
  </si>
  <si>
    <t>1605034AYD</t>
  </si>
  <si>
    <t>11-60019A</t>
  </si>
  <si>
    <t xml:space="preserve">1605034BOSCH </t>
  </si>
  <si>
    <t>1605034BRAXIS</t>
  </si>
  <si>
    <t>AB0015</t>
  </si>
  <si>
    <t>1605034DELPHİ</t>
  </si>
  <si>
    <t>LP1673</t>
  </si>
  <si>
    <t>1605034SKF</t>
  </si>
  <si>
    <t>VKBP 80158A</t>
  </si>
  <si>
    <t>1605036AYD</t>
  </si>
  <si>
    <t>ÖN FREN BALATA VECTRA.B</t>
  </si>
  <si>
    <t>11-60111AA</t>
  </si>
  <si>
    <t xml:space="preserve">1605036BOSCH </t>
  </si>
  <si>
    <t>ÖN BALATA VECTRA.B</t>
  </si>
  <si>
    <t>1605036DELPHİ</t>
  </si>
  <si>
    <t>LP1600</t>
  </si>
  <si>
    <t>1605036TRW</t>
  </si>
  <si>
    <t>GDB1271</t>
  </si>
  <si>
    <t>1605081APETECH</t>
  </si>
  <si>
    <t xml:space="preserve">ÖN FREN BALATA CORSA.C </t>
  </si>
  <si>
    <t>AP1595</t>
  </si>
  <si>
    <t xml:space="preserve">1605081ASPART </t>
  </si>
  <si>
    <t>3BPA1146</t>
  </si>
  <si>
    <t>1605081AYD</t>
  </si>
  <si>
    <t>11-60025A</t>
  </si>
  <si>
    <t>1605081BENDİX</t>
  </si>
  <si>
    <t>ÖN BALATA CORSA.C</t>
  </si>
  <si>
    <t>1605081BOSCH</t>
  </si>
  <si>
    <t>1605081DELPHİ</t>
  </si>
  <si>
    <t>LP1676</t>
  </si>
  <si>
    <t xml:space="preserve">1605081VALEO </t>
  </si>
  <si>
    <t>1605088ASPART</t>
  </si>
  <si>
    <t>3BPA1237</t>
  </si>
  <si>
    <t xml:space="preserve">ÖN BALATA VECTRA.C </t>
  </si>
  <si>
    <t>1605088BRAXIS</t>
  </si>
  <si>
    <t>AA0045</t>
  </si>
  <si>
    <t>1605088DELPHİ</t>
  </si>
  <si>
    <t>LP1723</t>
  </si>
  <si>
    <t>1605103APETECH</t>
  </si>
  <si>
    <t>ARKA BALATA İNSİGNİ.A</t>
  </si>
  <si>
    <t>AP1809</t>
  </si>
  <si>
    <t>1605104APETECH</t>
  </si>
  <si>
    <t>ARKA BALATA İNSİGNİA.A/SAAB 9,5 10&gt;</t>
  </si>
  <si>
    <t>1605104ASPART</t>
  </si>
  <si>
    <t>3BPA1184</t>
  </si>
  <si>
    <t>1605104BREMBO</t>
  </si>
  <si>
    <t>P59059</t>
  </si>
  <si>
    <t>1605104DELPHİ</t>
  </si>
  <si>
    <t>LP2084</t>
  </si>
  <si>
    <t>1605104JURİD</t>
  </si>
  <si>
    <t xml:space="preserve">JURİD </t>
  </si>
  <si>
    <t>573313JC</t>
  </si>
  <si>
    <t>1605104TRW</t>
  </si>
  <si>
    <t>GDB1784</t>
  </si>
  <si>
    <t>1605108DELPHİ</t>
  </si>
  <si>
    <t>ARKA KAMPANA BALATA BİPPER/NEMO/CORSA.D</t>
  </si>
  <si>
    <t>LS1981</t>
  </si>
  <si>
    <t>1605108SWAPP</t>
  </si>
  <si>
    <t>1605169ASPART</t>
  </si>
  <si>
    <t>3BPA1149</t>
  </si>
  <si>
    <t>ÖN BALATA ASTRA.J/CRUZE/T300 15İNC</t>
  </si>
  <si>
    <t>1605169BOSCH</t>
  </si>
  <si>
    <t>1605169DELPHİ</t>
  </si>
  <si>
    <t>LP2171</t>
  </si>
  <si>
    <t>1605178APETECH</t>
  </si>
  <si>
    <t>FREN BALATASI ÖN ASTRA.J/MOKKA.X/CRUZE 16İNÇ</t>
  </si>
  <si>
    <t>AP1872</t>
  </si>
  <si>
    <t>1605178ASPART</t>
  </si>
  <si>
    <t>3BPA1228</t>
  </si>
  <si>
    <t>1605178DELPHİ</t>
  </si>
  <si>
    <t>LP2170</t>
  </si>
  <si>
    <t>1605178ERP</t>
  </si>
  <si>
    <t>1605178LPR</t>
  </si>
  <si>
    <t>1605178MARGO</t>
  </si>
  <si>
    <t xml:space="preserve">MARGO </t>
  </si>
  <si>
    <t>MAR1200015</t>
  </si>
  <si>
    <t>1605200APETECH</t>
  </si>
  <si>
    <t>ARKA BALATA VECTRA.C</t>
  </si>
  <si>
    <t>AP1646</t>
  </si>
  <si>
    <t>1605200AYD</t>
  </si>
  <si>
    <t>11-60138A</t>
  </si>
  <si>
    <t>1605200DELPHİ</t>
  </si>
  <si>
    <t>LP1958</t>
  </si>
  <si>
    <t>1605200FERODO</t>
  </si>
  <si>
    <t>FERODO</t>
  </si>
  <si>
    <t>FDB1766</t>
  </si>
  <si>
    <t>1605202DJPARTS</t>
  </si>
  <si>
    <t>ÖN FREN BALATASI İNSİGNİA.A 17İNC++</t>
  </si>
  <si>
    <t>DJPARTS</t>
  </si>
  <si>
    <t>BP2617</t>
  </si>
  <si>
    <t xml:space="preserve">1605202VALEO </t>
  </si>
  <si>
    <t>ÖN FREN BALATA İNSİGNİA.A 17+İNC(184.7mm)</t>
  </si>
  <si>
    <t>1605204Y</t>
  </si>
  <si>
    <t>ŞANZUMAN TAKIM CONTA F-16/17(BÜYÜK)</t>
  </si>
  <si>
    <t>1605226-1APETECH</t>
  </si>
  <si>
    <t>ÖN BALATA CORSA.D/BİPPER/NEMO</t>
  </si>
  <si>
    <t>AP1507</t>
  </si>
  <si>
    <t>1605226APETECH</t>
  </si>
  <si>
    <t>ÖN BALATA CORSA.D</t>
  </si>
  <si>
    <t>AP1604</t>
  </si>
  <si>
    <t>1605226ASPART</t>
  </si>
  <si>
    <t>3BPA1155</t>
  </si>
  <si>
    <t>1605226AYD-B</t>
  </si>
  <si>
    <t>11-60040B</t>
  </si>
  <si>
    <t xml:space="preserve">1605226BOSCH </t>
  </si>
  <si>
    <t>1605226DELPHİ</t>
  </si>
  <si>
    <t>LP1899</t>
  </si>
  <si>
    <t>1605226ERP</t>
  </si>
  <si>
    <t>1605226FROWAS</t>
  </si>
  <si>
    <t>1605226LPR</t>
  </si>
  <si>
    <t>1605226MEYLE</t>
  </si>
  <si>
    <t>1605226MGA</t>
  </si>
  <si>
    <t>1605280ASPART</t>
  </si>
  <si>
    <t>3BPA1214</t>
  </si>
  <si>
    <t>ÖN FREN BALATA CORSA.E 15İNÇ 155,2mm</t>
  </si>
  <si>
    <t>1605280DJPARTS</t>
  </si>
  <si>
    <t xml:space="preserve">DJPARTS </t>
  </si>
  <si>
    <t>BP2764</t>
  </si>
  <si>
    <t>1605280MARELLİ</t>
  </si>
  <si>
    <t>1605281ASPART</t>
  </si>
  <si>
    <t>3BPA1319</t>
  </si>
  <si>
    <t>ÖN FREN BALATA 155.2mm CORSA.E 15İNÇ.</t>
  </si>
  <si>
    <t>1605281GRAP</t>
  </si>
  <si>
    <t>GRAP</t>
  </si>
  <si>
    <t>1605434ASPART</t>
  </si>
  <si>
    <t>3BPA1316</t>
  </si>
  <si>
    <t>ÖN FREN BALATA İNSİGNİA.A 17İNÇ/ASTRA.J GTC</t>
  </si>
  <si>
    <t>1605434BREMBO</t>
  </si>
  <si>
    <t>P59055</t>
  </si>
  <si>
    <t>1605434DELPHİ</t>
  </si>
  <si>
    <t>LP2081</t>
  </si>
  <si>
    <t>1605434MEYLE</t>
  </si>
  <si>
    <t>1605434TRW</t>
  </si>
  <si>
    <t>GDB1783</t>
  </si>
  <si>
    <t>1605624APETECH</t>
  </si>
  <si>
    <t xml:space="preserve">ÖN BALATA İNSİGNİA.A 16İNÇ </t>
  </si>
  <si>
    <t xml:space="preserve">APETECH </t>
  </si>
  <si>
    <t>AP1807</t>
  </si>
  <si>
    <t>1605624ASPART</t>
  </si>
  <si>
    <t>3BPA1312</t>
  </si>
  <si>
    <t>1605624BOSCH</t>
  </si>
  <si>
    <t>1605624DELPHİ</t>
  </si>
  <si>
    <t>LP2080</t>
  </si>
  <si>
    <t>1605624ERP</t>
  </si>
  <si>
    <t>1605624FROW</t>
  </si>
  <si>
    <t xml:space="preserve">1605624SAMKO </t>
  </si>
  <si>
    <t xml:space="preserve">SAMKO </t>
  </si>
  <si>
    <t>5SP1409</t>
  </si>
  <si>
    <t>1605749Y</t>
  </si>
  <si>
    <t>FREN KALİPER TAMİR TAKIM ÖN VECTRA.A</t>
  </si>
  <si>
    <t>1605808ASPART</t>
  </si>
  <si>
    <t>3BPA1280</t>
  </si>
  <si>
    <t>ÖN FREN BALATA ASTRA.F/VECTRA.A/B 156mm</t>
  </si>
  <si>
    <t xml:space="preserve">1605808AYD </t>
  </si>
  <si>
    <t>ÖN FREN BALATA ASTRA.F/VECTRA.A 156mm</t>
  </si>
  <si>
    <t>11-60171AA</t>
  </si>
  <si>
    <t>1605808BRAXIS</t>
  </si>
  <si>
    <t>AA0038</t>
  </si>
  <si>
    <t>1605808DELPHİ</t>
  </si>
  <si>
    <t>LP585</t>
  </si>
  <si>
    <t>1605808TRW</t>
  </si>
  <si>
    <t>GDB951</t>
  </si>
  <si>
    <t>1605870BREMBO</t>
  </si>
  <si>
    <t>ÖN BALATA VECTRA.A 81-88</t>
  </si>
  <si>
    <t xml:space="preserve">BREMBO </t>
  </si>
  <si>
    <t>P59005</t>
  </si>
  <si>
    <t xml:space="preserve">1605870MEYLE </t>
  </si>
  <si>
    <t>1605877DELPHİ</t>
  </si>
  <si>
    <t>ARKA FREN BALATA VECTRA.A(DİSK)</t>
  </si>
  <si>
    <t>LP586</t>
  </si>
  <si>
    <t>1605877MEYLE</t>
  </si>
  <si>
    <t>1605881APETECH</t>
  </si>
  <si>
    <t>ÖN FREN BALATA 141mm ASTRA.F/CORSA.B/VECTRA.A/LANOS/NEXİA</t>
  </si>
  <si>
    <t>AP1065</t>
  </si>
  <si>
    <t xml:space="preserve">1605881ASPART </t>
  </si>
  <si>
    <t>3BPA1189</t>
  </si>
  <si>
    <t>1605881BOSCH</t>
  </si>
  <si>
    <t>1605881DELPHİ</t>
  </si>
  <si>
    <t>LP702</t>
  </si>
  <si>
    <t>1605881TRW</t>
  </si>
  <si>
    <t>GDB1040</t>
  </si>
  <si>
    <t>1605920DELPHİ</t>
  </si>
  <si>
    <t>ARKA BALATA PABUÇ ASTRA.G/COMBO.C</t>
  </si>
  <si>
    <t>LS1829</t>
  </si>
  <si>
    <t>1605920FERODO</t>
  </si>
  <si>
    <t>FSB545</t>
  </si>
  <si>
    <t>1605920PBS</t>
  </si>
  <si>
    <t>PBS</t>
  </si>
  <si>
    <t>1605920SWAPP</t>
  </si>
  <si>
    <t>1605924DELPHİ</t>
  </si>
  <si>
    <t>ARKA BALATA VECTRA.B/OMEGA.B</t>
  </si>
  <si>
    <t>LP590</t>
  </si>
  <si>
    <t>1605924MGA</t>
  </si>
  <si>
    <t>1605938BRAXIS</t>
  </si>
  <si>
    <t>EL FREN BALATASI VECTRA.A/B/ASTRA.F/G</t>
  </si>
  <si>
    <t>AC0101</t>
  </si>
  <si>
    <t>1605938KRAFTVOLL</t>
  </si>
  <si>
    <t>KRAFVOLL</t>
  </si>
  <si>
    <t>1605938LPR</t>
  </si>
  <si>
    <t>1605952BRAXIS</t>
  </si>
  <si>
    <t xml:space="preserve">ARKA FREN BALATA PABUÇ CORSA.B/CORSA.C İNCE </t>
  </si>
  <si>
    <t>AC0054</t>
  </si>
  <si>
    <t>1605952DELPHİ</t>
  </si>
  <si>
    <t>ARKA BALATA KAMPANA CORSA.B/ASTRA.F (İNCE)</t>
  </si>
  <si>
    <t>LS1621</t>
  </si>
  <si>
    <t xml:space="preserve">1605952VALEO </t>
  </si>
  <si>
    <t>1605953BRAXIS</t>
  </si>
  <si>
    <t>ARKA KAMPANA BALATA ASTRA.F/VECTRA.A/CORSA.C KALIN</t>
  </si>
  <si>
    <t>1605953DELPHİ</t>
  </si>
  <si>
    <t>LS1622</t>
  </si>
  <si>
    <t>1605953HATTAT</t>
  </si>
  <si>
    <t>HATTAT</t>
  </si>
  <si>
    <t xml:space="preserve">1605953MEYLE </t>
  </si>
  <si>
    <t>614 042 1007</t>
  </si>
  <si>
    <t>1605953PBS</t>
  </si>
  <si>
    <t>1605985DELPHİ</t>
  </si>
  <si>
    <t>FREN BALATA YAY TAKIMI (KAMPANA) ASTRA.F/CORSA.B/CROSA.C</t>
  </si>
  <si>
    <t>LY1133</t>
  </si>
  <si>
    <t>1605988YTT</t>
  </si>
  <si>
    <t>BALATA YAY TAKIM CORSA.C/B/ASTRA.F/G</t>
  </si>
  <si>
    <t>Y1727</t>
  </si>
  <si>
    <t>1605992APETECH</t>
  </si>
  <si>
    <t>ÖN BALATA ASTRA.H/COMBO.C</t>
  </si>
  <si>
    <t>AP1693</t>
  </si>
  <si>
    <t xml:space="preserve">1605992ASPART </t>
  </si>
  <si>
    <t>3BPA1144</t>
  </si>
  <si>
    <t>1605992AYD</t>
  </si>
  <si>
    <t>11-60045BA</t>
  </si>
  <si>
    <t xml:space="preserve">1605992BOSCH </t>
  </si>
  <si>
    <t>1605992BRAXIS</t>
  </si>
  <si>
    <t xml:space="preserve">BRAXIS </t>
  </si>
  <si>
    <t>AA0604</t>
  </si>
  <si>
    <t>1605992DELPHİ</t>
  </si>
  <si>
    <t>LP1861</t>
  </si>
  <si>
    <t>1605992ERP</t>
  </si>
  <si>
    <t>1605992MGA</t>
  </si>
  <si>
    <t>1605995ASPART</t>
  </si>
  <si>
    <t>3BPA1143</t>
  </si>
  <si>
    <t>ARKA BALATA ASTRA.H/COMBO.C</t>
  </si>
  <si>
    <t>1605995AYD</t>
  </si>
  <si>
    <t>AO1540</t>
  </si>
  <si>
    <t>1605995BOSCH</t>
  </si>
  <si>
    <t>1605995DELPHİ</t>
  </si>
  <si>
    <t>LP1681</t>
  </si>
  <si>
    <t>1605995ERP</t>
  </si>
  <si>
    <t xml:space="preserve">EURORPEAR </t>
  </si>
  <si>
    <t>1605995LPR</t>
  </si>
  <si>
    <t>1606034BGA</t>
  </si>
  <si>
    <t>ÜST TAKIM CONTA X14XE</t>
  </si>
  <si>
    <t>HK3561</t>
  </si>
  <si>
    <t xml:space="preserve">1606078BGA </t>
  </si>
  <si>
    <t xml:space="preserve">ÜST TAKIM CONTA Z22SE </t>
  </si>
  <si>
    <t>HK6793</t>
  </si>
  <si>
    <t xml:space="preserve">1606096VİCTOR </t>
  </si>
  <si>
    <t>ALT TAKIM CONTA Z14XE/Z16XE (KEÇESİZ)</t>
  </si>
  <si>
    <t xml:space="preserve">1606130ELRİNG </t>
  </si>
  <si>
    <t>ÜST TAKIM CONTA Z16XE</t>
  </si>
  <si>
    <t>1606130VİCTOR</t>
  </si>
  <si>
    <t>1606167ELRİNG</t>
  </si>
  <si>
    <t>ÜST TAKIM CONTA Z10XE CORSA.C/AGİLA.A</t>
  </si>
  <si>
    <t>1606170ELRİNG</t>
  </si>
  <si>
    <t>ALT TAKIM CONTA Z14XE/Z16XE</t>
  </si>
  <si>
    <t xml:space="preserve">1606170VİCTOR </t>
  </si>
  <si>
    <t>1606209LUK</t>
  </si>
  <si>
    <t>DEBRİYAJ SET ASTRA.H/VECTRA.C/ASTRA.G Z16XEP</t>
  </si>
  <si>
    <t>LUK</t>
  </si>
  <si>
    <t>1606221ELRİNG</t>
  </si>
  <si>
    <t>ÜST TAKIM CONTA Z16XEP</t>
  </si>
  <si>
    <t>1606221VİCTOR</t>
  </si>
  <si>
    <t>1606222VİCTOR</t>
  </si>
  <si>
    <t>ALT TAKIM CONTA Z16XEP</t>
  </si>
  <si>
    <t>1606237-1MAPA</t>
  </si>
  <si>
    <t>DEBRİYAJ SETİ ASTRA.F/CORSA.B 1.2/1.4/1.6 8V(RULMANSIZ)</t>
  </si>
  <si>
    <t>1606237LUK</t>
  </si>
  <si>
    <t>1606237MAPA</t>
  </si>
  <si>
    <t xml:space="preserve">1606237SACHS </t>
  </si>
  <si>
    <t xml:space="preserve">SACHS </t>
  </si>
  <si>
    <t>1606247ELRİNG</t>
  </si>
  <si>
    <t>ÜST TAKIM CONTA Z12XEP/Z14XEP</t>
  </si>
  <si>
    <t>1606247PAYEN</t>
  </si>
  <si>
    <t>FULL TAKIM CONTA Z12XEP/Z14XEP (KEÇESİZ)</t>
  </si>
  <si>
    <t>CH5030</t>
  </si>
  <si>
    <t>1606247VİCTOR</t>
  </si>
  <si>
    <t>1606248ELRİNG</t>
  </si>
  <si>
    <t>ALT TAKIM CONTA Z12XEP/Z14XEP</t>
  </si>
  <si>
    <t>1606278ELRİNG</t>
  </si>
  <si>
    <t>PARTİKÜL (FAP) KATKI DEPOSU  308/3008/DS4/DS5/C4</t>
  </si>
  <si>
    <t>1606349ABA</t>
  </si>
  <si>
    <t>TRİGER SET ASTRA.F/COMBO.B X17D 136DİŞ</t>
  </si>
  <si>
    <t>YK300136</t>
  </si>
  <si>
    <t>1606349SNR</t>
  </si>
  <si>
    <t>KD453.05</t>
  </si>
  <si>
    <t>1606357DAYCO</t>
  </si>
  <si>
    <t>TRİGER SET 18SV/20NE 1.8/2.0 8V 88-92 111*200</t>
  </si>
  <si>
    <t>KTB478</t>
  </si>
  <si>
    <t>1606365BGA</t>
  </si>
  <si>
    <t>ÜST TAKIM CONTA X12XE</t>
  </si>
  <si>
    <t>HK6771</t>
  </si>
  <si>
    <t>1606367ELRİNG</t>
  </si>
  <si>
    <t>ÜST TAKIM CONTA C14NZ 1.4 8V</t>
  </si>
  <si>
    <t>1606369BGA</t>
  </si>
  <si>
    <t>TRİGER SETİ 1.2/1.4 8V</t>
  </si>
  <si>
    <t>TB9520K</t>
  </si>
  <si>
    <t>1606369CONTİ</t>
  </si>
  <si>
    <t>CT874K1</t>
  </si>
  <si>
    <t>1606369DAYCO</t>
  </si>
  <si>
    <t>KTB221</t>
  </si>
  <si>
    <t>1606369INA</t>
  </si>
  <si>
    <t>1606369LUCAS</t>
  </si>
  <si>
    <t>LDK0150L</t>
  </si>
  <si>
    <t>1606369MİCHELİN</t>
  </si>
  <si>
    <t>FM01 0310</t>
  </si>
  <si>
    <t>MİCHELİN</t>
  </si>
  <si>
    <t>1606369SKF</t>
  </si>
  <si>
    <t>VKMA05121</t>
  </si>
  <si>
    <t>1606369SNR</t>
  </si>
  <si>
    <t>KD453.02</t>
  </si>
  <si>
    <t>1606380ELRİNG</t>
  </si>
  <si>
    <t>ÜST TAKIM CONTA ASTRA.G/VECTRA.B X16XEL 99-01</t>
  </si>
  <si>
    <t>1606380VİCTOR</t>
  </si>
  <si>
    <t>1606382PAYEN</t>
  </si>
  <si>
    <t>ÜST TAKIM CONTA Z18XE</t>
  </si>
  <si>
    <t>CC5460</t>
  </si>
  <si>
    <t>1606385DAYCO</t>
  </si>
  <si>
    <t>TRİGER SETİ VECTRA.A/ASTRA.F 1.8/2.0 8V 93-95 146X20</t>
  </si>
  <si>
    <t xml:space="preserve">DAYCO </t>
  </si>
  <si>
    <t>KTB254</t>
  </si>
  <si>
    <t xml:space="preserve">1606385SKF </t>
  </si>
  <si>
    <t>VKMA05402</t>
  </si>
  <si>
    <t>1606385SNR</t>
  </si>
  <si>
    <t>KD453.15</t>
  </si>
  <si>
    <t>1606389ALLES</t>
  </si>
  <si>
    <t>TRİGER SETİ Y17DT 131X250</t>
  </si>
  <si>
    <t xml:space="preserve">ALLES </t>
  </si>
  <si>
    <t>KIT 414/1</t>
  </si>
  <si>
    <t>1606389BGA</t>
  </si>
  <si>
    <t>TB9540K</t>
  </si>
  <si>
    <t>1606389LUCAS</t>
  </si>
  <si>
    <t xml:space="preserve">LUCAS </t>
  </si>
  <si>
    <t>LDK0608</t>
  </si>
  <si>
    <t>1606389MICHELIN</t>
  </si>
  <si>
    <t>FM01 0563</t>
  </si>
  <si>
    <t>MICHELIN</t>
  </si>
  <si>
    <t>1606389SKF</t>
  </si>
  <si>
    <t>VKMA 05609</t>
  </si>
  <si>
    <t>1606398VİCTOR</t>
  </si>
  <si>
    <t>ÜST TAKIM CONTA X20DTH/Y20DTH/X22DTH</t>
  </si>
  <si>
    <t>1606434SKF</t>
  </si>
  <si>
    <t>TRİGER SET Z19DTH/A20DTH</t>
  </si>
  <si>
    <t>VKMA05193</t>
  </si>
  <si>
    <t>1606434SKF(D)</t>
  </si>
  <si>
    <t>TRİGER SETİ+DEVİRDAİM A20DTH/A20DTJ</t>
  </si>
  <si>
    <t>VKMC05193</t>
  </si>
  <si>
    <t>1606434SNR</t>
  </si>
  <si>
    <t>KD453.25</t>
  </si>
  <si>
    <t xml:space="preserve">1606464BGA </t>
  </si>
  <si>
    <t>ÜST TAKIM CONTA Z10XE/X10XE</t>
  </si>
  <si>
    <t>CK9385</t>
  </si>
  <si>
    <t>1606520MAPA</t>
  </si>
  <si>
    <t>DEBRİYAJ SETİ CORSA.B/COMBO.B 17D/X17D 44KW/60HP 94-01</t>
  </si>
  <si>
    <t>1606630980BYP</t>
  </si>
  <si>
    <t>AKS TAŞIYICI ÖN SOL 01-08 307//10&gt;308/3008/TEPEE/BERLİNGO</t>
  </si>
  <si>
    <t xml:space="preserve">BYP </t>
  </si>
  <si>
    <t>BI-15049L</t>
  </si>
  <si>
    <t>1606631180ABRASSE</t>
  </si>
  <si>
    <t>ARKA FREN BALATA PABUÇ 12&gt;208/301/C-ELYSEE/09&gt;C3 II/</t>
  </si>
  <si>
    <t>BRS-8455-PG</t>
  </si>
  <si>
    <t>1606631180BOSCH</t>
  </si>
  <si>
    <t>1606663ELRİNG</t>
  </si>
  <si>
    <t>ALT TAKIM CONTA 20NE/C20NE/18SV 1.8/2.0 8V</t>
  </si>
  <si>
    <t xml:space="preserve">1606664BGA </t>
  </si>
  <si>
    <t>ÜST TAKIM CONTA C20NE 2.0 8V</t>
  </si>
  <si>
    <t>HK2353</t>
  </si>
  <si>
    <t xml:space="preserve">1606664ELRİNG </t>
  </si>
  <si>
    <t xml:space="preserve">1606664VİCTOR </t>
  </si>
  <si>
    <t xml:space="preserve">1606666BGA </t>
  </si>
  <si>
    <t>ÜST TAKIM CONTA 1.8 8V 18SV</t>
  </si>
  <si>
    <t>HK7356</t>
  </si>
  <si>
    <t>1606697BGA</t>
  </si>
  <si>
    <t>ÜST TAKIM CONTA 1.4 8V X14SZ/C14NZ</t>
  </si>
  <si>
    <t>HK7355</t>
  </si>
  <si>
    <t xml:space="preserve">1606697VİCTOR </t>
  </si>
  <si>
    <t>1606701VİCTOR</t>
  </si>
  <si>
    <t>ÜST TAKIM CONTA C12NZ 1.2 8V</t>
  </si>
  <si>
    <t>1606730ELRİNG</t>
  </si>
  <si>
    <t>ÜST TAKIM CONTA C14SE 1.4 8V ENJEKSİYONLU</t>
  </si>
  <si>
    <t xml:space="preserve">1606770ELRİNG </t>
  </si>
  <si>
    <t xml:space="preserve">ÜST TAKIM CONTA X20XEV </t>
  </si>
  <si>
    <t>1606770PAYEN</t>
  </si>
  <si>
    <t>DY250</t>
  </si>
  <si>
    <t>1606770VİCTOR</t>
  </si>
  <si>
    <t>ÜST TAKIM CONTA X20XEV</t>
  </si>
  <si>
    <t>1606790ELRİNG</t>
  </si>
  <si>
    <t>ALT TAKIM CONTA X14XE/X16XEL</t>
  </si>
  <si>
    <t xml:space="preserve">1606790VİCTOR </t>
  </si>
  <si>
    <t xml:space="preserve">1606819ELRİNG </t>
  </si>
  <si>
    <t>ÜST TAKIM CONTA ASTRA.F/VECTRA.B X16XEL</t>
  </si>
  <si>
    <t>1606819VİCTOR</t>
  </si>
  <si>
    <t xml:space="preserve">1606924ELRİNG </t>
  </si>
  <si>
    <t>ALT TAKIM CONTA X20XEV ASTRA.G/VECTRA.B</t>
  </si>
  <si>
    <t>1606924VİCTOR</t>
  </si>
  <si>
    <t>1606957LUK</t>
  </si>
  <si>
    <t>DEBRİYAJ SETİ ASTRA.F/VECTRA.A C20XE/KADETT GSİ</t>
  </si>
  <si>
    <t>1606960SACHS</t>
  </si>
  <si>
    <t>1606EL3ELRİNG</t>
  </si>
  <si>
    <t>MOTOR TAKIM CONTA OPEL ASTRA.G/COMBO.C Y17DT (SKC.SİZ)</t>
  </si>
  <si>
    <t>1606EL3METTE</t>
  </si>
  <si>
    <t>TAKIM CONTA KOMPLE Y17DT/Y17DTL (-SKC)</t>
  </si>
  <si>
    <t>266C2221</t>
  </si>
  <si>
    <t>1606EL3PRESTİGE</t>
  </si>
  <si>
    <t>PRESTİGE</t>
  </si>
  <si>
    <t>3 7048 01</t>
  </si>
  <si>
    <t>1606EL3VİCTOR</t>
  </si>
  <si>
    <t>1606EL6VİCTOR</t>
  </si>
  <si>
    <t>ÜST TAKIM CONTA Y17DT (SKC SİZ)</t>
  </si>
  <si>
    <t>1607083180ART</t>
  </si>
  <si>
    <t xml:space="preserve">ÖN FREN BALATA 136mm 2008 13&gt;/C3/C4 CACTUS 10&gt;/CORSA.F/CROSSLAND.X/MOKKA.B </t>
  </si>
  <si>
    <t>A22.2164</t>
  </si>
  <si>
    <t>1607083180BOSCH</t>
  </si>
  <si>
    <t xml:space="preserve">ÖN FREN BALATA 136mm 13&gt;2008//09&gt;C3//11&gt;DS3/CORSA.F </t>
  </si>
  <si>
    <t>1607083180DELPHİ</t>
  </si>
  <si>
    <t>LP2164</t>
  </si>
  <si>
    <t>1607083180DJPARTS</t>
  </si>
  <si>
    <t>BP2403</t>
  </si>
  <si>
    <t>1607083180ERP</t>
  </si>
  <si>
    <t>1607083180FTE</t>
  </si>
  <si>
    <t>FTE</t>
  </si>
  <si>
    <t>1607083180VALEO</t>
  </si>
  <si>
    <t>ÖN FREN BALATA 136mm 13&gt;2008//09&gt;C3//11&gt;DS3/CORSA.F</t>
  </si>
  <si>
    <t>1607138880BRAXIS</t>
  </si>
  <si>
    <t xml:space="preserve">ARKA FREN SİLİNDİR 12&gt; 208/301/C-ELYSEE </t>
  </si>
  <si>
    <t>AJ2115</t>
  </si>
  <si>
    <t>1607138880CİFAM</t>
  </si>
  <si>
    <t>ARKA FREN SİLİNDİR 12&gt; 208/301/C-ELYSEE</t>
  </si>
  <si>
    <t>CİFAM</t>
  </si>
  <si>
    <t>101-1048</t>
  </si>
  <si>
    <t>1607204Y</t>
  </si>
  <si>
    <t>1607205Y</t>
  </si>
  <si>
    <t>ŞANZUMAN TAKIM CONTA F-13 (KÜÇÜK)</t>
  </si>
  <si>
    <t>1607373780GOETZE</t>
  </si>
  <si>
    <t>SEKMAN STD 75,00MM DV6C 1.6HDİ EURO5</t>
  </si>
  <si>
    <t>DEBRİYAJ SETİ 1.4/1.6 16V EP3C/EP6C</t>
  </si>
  <si>
    <t>1607498680DJ</t>
  </si>
  <si>
    <t>ARKA AMORTİSÖR C4 AİRCROSS 12&gt;&gt;</t>
  </si>
  <si>
    <t>AMORTİSÖR</t>
  </si>
  <si>
    <t>DS3810GT</t>
  </si>
  <si>
    <t>1607512680KAYA</t>
  </si>
  <si>
    <t>AYNA SİNYALİ SAĞ 208/C3</t>
  </si>
  <si>
    <t>KAYA PLASTİK</t>
  </si>
  <si>
    <t>KP-2013</t>
  </si>
  <si>
    <t>1607735080ÜÇEL</t>
  </si>
  <si>
    <t>AKS KÖRÜĞÜ İÇ 301/C-ELYSEE 1.6HDİ</t>
  </si>
  <si>
    <t>KÖRÜK</t>
  </si>
  <si>
    <t>1607870480ERP</t>
  </si>
  <si>
    <t>DEBİRYAJ SET CORSA.F 1.2/C2/C3/NEMO/206/ 1.4HDİ</t>
  </si>
  <si>
    <t>1607870480LUK</t>
  </si>
  <si>
    <t>1607870480MAPA</t>
  </si>
  <si>
    <t xml:space="preserve">DEBİRYAJ SET CORSA.F 1.2/C2/C3/NEMO/206/ 1.4HDİ </t>
  </si>
  <si>
    <t>1608025180AYD</t>
  </si>
  <si>
    <t xml:space="preserve">ROT BAŞI SOL 12&gt;208/2008/14&gt;C4.CACTUS </t>
  </si>
  <si>
    <t>91-11168</t>
  </si>
  <si>
    <t>1608025180FROW</t>
  </si>
  <si>
    <t>ROT BAŞI SOL 12&gt;208/2008/14&gt;C4.CACTUS</t>
  </si>
  <si>
    <t>1608025180SWAPP</t>
  </si>
  <si>
    <t>10-11168</t>
  </si>
  <si>
    <t>1608025280AYD</t>
  </si>
  <si>
    <t>ROT BAŞI SAĞ 12&gt;208/2008/14&gt;C4.CACTUS</t>
  </si>
  <si>
    <t>91-11169</t>
  </si>
  <si>
    <t>1608025280FROW</t>
  </si>
  <si>
    <t>1608025280OPTİMAL</t>
  </si>
  <si>
    <t>G1-2011</t>
  </si>
  <si>
    <t>1608025280SWAPP</t>
  </si>
  <si>
    <t>10-11169</t>
  </si>
  <si>
    <t xml:space="preserve">1608025380FROWAS </t>
  </si>
  <si>
    <t>ROT MİLİ 208/2008/C4 CACTUS</t>
  </si>
  <si>
    <t>1608025380SWAPP</t>
  </si>
  <si>
    <t xml:space="preserve">ROT MİLİ 208/2008/C4 CACTUS </t>
  </si>
  <si>
    <t>40-11170</t>
  </si>
  <si>
    <t>1608025380VOTTO</t>
  </si>
  <si>
    <t>VOT-12-24300</t>
  </si>
  <si>
    <t>STEPNE KİLİT MEKANİZMASI VE TELİ BİPPER/NEMO/FİORİNO</t>
  </si>
  <si>
    <t>16083620VD</t>
  </si>
  <si>
    <t>BPE309974</t>
  </si>
  <si>
    <t>TEPEE YAZI PARTNER TEPEE 08&gt;</t>
  </si>
  <si>
    <t>1608520480AYD</t>
  </si>
  <si>
    <t>ARKA BALATA 07&gt;308/PARTNER TEPEE/BERLİNGO</t>
  </si>
  <si>
    <t>11-60072B</t>
  </si>
  <si>
    <t>1608520480BRAXIS</t>
  </si>
  <si>
    <t>AA0088</t>
  </si>
  <si>
    <t>1608520480DELPHİ</t>
  </si>
  <si>
    <t>LP2147</t>
  </si>
  <si>
    <t xml:space="preserve">1608520480FTE </t>
  </si>
  <si>
    <t xml:space="preserve">FTE </t>
  </si>
  <si>
    <t>1608520480MARELLİ</t>
  </si>
  <si>
    <t>1608520480MGA</t>
  </si>
  <si>
    <t>1608520680AYD</t>
  </si>
  <si>
    <t>ARKA FREN BALATA 103,8mm 3008/5008/RCZ 09&gt;//C4 10&gt;/DS4 11&gt;/DS5 11&gt;</t>
  </si>
  <si>
    <t>11-60149BA</t>
  </si>
  <si>
    <t>1608520680DELPHİ</t>
  </si>
  <si>
    <t>LP2180</t>
  </si>
  <si>
    <t>1608652180AYD</t>
  </si>
  <si>
    <t>ROT MİLİ 301 12&gt;/C-ELYSEE 12&gt;</t>
  </si>
  <si>
    <t>95-11164</t>
  </si>
  <si>
    <t xml:space="preserve">1608652180FROW </t>
  </si>
  <si>
    <t>1608652180TEKNOROT</t>
  </si>
  <si>
    <t>CI-403</t>
  </si>
  <si>
    <t>1608652280AYD</t>
  </si>
  <si>
    <t>ROT BAŞI SOL 301/C-ELYSEE/05&gt;207/208/C3 PİCASSO</t>
  </si>
  <si>
    <t>91-11162</t>
  </si>
  <si>
    <t>1608652280FROW</t>
  </si>
  <si>
    <t>1608652280KAPİM</t>
  </si>
  <si>
    <t>19-09808</t>
  </si>
  <si>
    <t>1608652280ORJİN</t>
  </si>
  <si>
    <t xml:space="preserve">ROT BAŞI SOL 301/C-ELYSEE/05&gt;207/208/C3 PİCASSO </t>
  </si>
  <si>
    <t>1608652380ABRASSE</t>
  </si>
  <si>
    <t xml:space="preserve">ROT BAŞI SAĞ 301/C-ELYSEE/05&gt;207/208/C3 PİCASSO  </t>
  </si>
  <si>
    <t>BRS-06-60-PG</t>
  </si>
  <si>
    <t>1608652380AYD</t>
  </si>
  <si>
    <t>91-11163</t>
  </si>
  <si>
    <t>1608652380FROW</t>
  </si>
  <si>
    <t>ROT BAŞI SAĞ 301/C-ELYSEE/05&gt;207/208/C3 PİCASSO</t>
  </si>
  <si>
    <t>1608652380KAPİM</t>
  </si>
  <si>
    <t>19-09809</t>
  </si>
  <si>
    <t>1608652380ORJİN</t>
  </si>
  <si>
    <t>1608652380TEKNOROT</t>
  </si>
  <si>
    <t>P-271</t>
  </si>
  <si>
    <t>1608691380ERP</t>
  </si>
  <si>
    <t>ÖN BALATA 133mm 308 13&gt;/301/C-ELYSEE 1.2VTİ/C4 CACTUS 14&gt; 1.2VTİ</t>
  </si>
  <si>
    <t>1608691380FROW</t>
  </si>
  <si>
    <t>1608691380NETEX</t>
  </si>
  <si>
    <t>NETEX</t>
  </si>
  <si>
    <t>BB10 1992</t>
  </si>
  <si>
    <t>1608691680BOSCH</t>
  </si>
  <si>
    <t xml:space="preserve">ÖN FREN DİSKİ (HAVASIZ)4D 266mm PARTNER/C2/C3 1.4HDİ/301/C-ELYSEE </t>
  </si>
  <si>
    <t>1608691680KRAFTVOLL</t>
  </si>
  <si>
    <t>1608691680Y</t>
  </si>
  <si>
    <t>ÖN FREN DİSKİ (HAVASIZ)4D 266mm PARTNER/C2/C3 1.4HDİ/301/C-ELYSEE</t>
  </si>
  <si>
    <t>1608705680KRAW</t>
  </si>
  <si>
    <t>CAM AÇMA DÜĞME SOL BOXER/DUCATO/JUMPER</t>
  </si>
  <si>
    <t>AN-238B</t>
  </si>
  <si>
    <t>1608715680FROWAS</t>
  </si>
  <si>
    <t>ÖN TAMPON 301 BOŞ 09-17 (E.M)</t>
  </si>
  <si>
    <t>1608715680GRAMPA</t>
  </si>
  <si>
    <t>ÖN TAMPON 301 DOLU 09-17 (E.M)</t>
  </si>
  <si>
    <t>GRAMPA</t>
  </si>
  <si>
    <t>GRM-301-00</t>
  </si>
  <si>
    <t>1608715680İTHAL</t>
  </si>
  <si>
    <t xml:space="preserve">ÖN TAMPON ÇITA TAKIM 301 13&gt; (BOYALI TİP) </t>
  </si>
  <si>
    <t>1608747480ERP</t>
  </si>
  <si>
    <t>TRİGER SET DV6C EURO5 1.6HDİ 141DİŞ</t>
  </si>
  <si>
    <t>1608747680ERP</t>
  </si>
  <si>
    <t>TRİGER SET DV4C EURO5 139DİŞ 1.4HDİ</t>
  </si>
  <si>
    <t>PİSTON KOL VİDASI DV4/DV6/EP6</t>
  </si>
  <si>
    <t>16088723ZDBİTAPART</t>
  </si>
  <si>
    <t xml:space="preserve"> BPE436097</t>
  </si>
  <si>
    <t>VİTES KOL KÖRÜĞÜ 301/C-ELYSEE (ÇERÇEVELİ)</t>
  </si>
  <si>
    <t>1608940680SKT</t>
  </si>
  <si>
    <t>ÖN KRANK KEÇE 1.4-1.6 HDİ DV4/DV6</t>
  </si>
  <si>
    <t>1609000680ASPART</t>
  </si>
  <si>
    <t>3BPA1306</t>
  </si>
  <si>
    <t xml:space="preserve">ARKA BALATA 13&gt;308/3008/C4.PİCASSO/GRANDLAN.X/COMBO.E </t>
  </si>
  <si>
    <t>1609000680BEŞER</t>
  </si>
  <si>
    <t>ARKA BALATA 13&gt;308/3008/C4.PİCASSO/GRANDLAN.X/COMBO.E</t>
  </si>
  <si>
    <t>BEŞER</t>
  </si>
  <si>
    <t>1609000680BOSCH</t>
  </si>
  <si>
    <t>1609000680DELPHİ</t>
  </si>
  <si>
    <t>LP2505</t>
  </si>
  <si>
    <t>1609000680ERP</t>
  </si>
  <si>
    <t>1609000680GRAP</t>
  </si>
  <si>
    <t>1609000680KRAFTVOLL</t>
  </si>
  <si>
    <t>1609000680TRW</t>
  </si>
  <si>
    <t>GDB2036</t>
  </si>
  <si>
    <t>1609000980BOSCH</t>
  </si>
  <si>
    <t xml:space="preserve">ARKA BALATA 106mm 14&gt;308/C4.PİCASSO/GRANDLAND.X/COMBO.E/RİFTER </t>
  </si>
  <si>
    <t>1609000980BRAXIS</t>
  </si>
  <si>
    <t>AB0610</t>
  </si>
  <si>
    <t>1609000980DJPARTS</t>
  </si>
  <si>
    <t>BP2884</t>
  </si>
  <si>
    <t>1609000980OPTİMAL</t>
  </si>
  <si>
    <t>BP-12719SD</t>
  </si>
  <si>
    <t>DEBRİYAJ ALT MERKEZ BOXER III 06&gt; 2.2HDİ//DUCATO 2.3JTD</t>
  </si>
  <si>
    <t>ALT MERKEZ</t>
  </si>
  <si>
    <t xml:space="preserve">1609026AYD </t>
  </si>
  <si>
    <t>ROT BAŞI ASTRA.J/CRUZE (ELEK.DİREK.İÇİN)</t>
  </si>
  <si>
    <t>91-09940</t>
  </si>
  <si>
    <t xml:space="preserve">1609029AYD </t>
  </si>
  <si>
    <t>ROT MİLİ ASTRA.J/CRUZE (ELEK.DİREK.İÇİN)</t>
  </si>
  <si>
    <t>95-09934</t>
  </si>
  <si>
    <t>1609029RIW</t>
  </si>
  <si>
    <t>OP3021</t>
  </si>
  <si>
    <t>1609074YTT</t>
  </si>
  <si>
    <t>DİREKSİYON KÖRÜK ASTRA.F/VECTRA.A/LANOS KOMPLE</t>
  </si>
  <si>
    <t>Y2355</t>
  </si>
  <si>
    <t xml:space="preserve">1609087ASPART </t>
  </si>
  <si>
    <t>DİREKSİYON KÖRÜĞÜ CORSA.B/COMBO.B</t>
  </si>
  <si>
    <t>1609087YTT</t>
  </si>
  <si>
    <t>Y1410</t>
  </si>
  <si>
    <t>1609095ASPART</t>
  </si>
  <si>
    <t>1BST1003</t>
  </si>
  <si>
    <t>DİREKSİYON KÖRÜK VECTRA.B</t>
  </si>
  <si>
    <t>1609095DOGRU</t>
  </si>
  <si>
    <t>DK90-898</t>
  </si>
  <si>
    <t>1609095KRAFTVOLL</t>
  </si>
  <si>
    <t>1609095SWAPP</t>
  </si>
  <si>
    <t>1609095YTT</t>
  </si>
  <si>
    <t>Y1411</t>
  </si>
  <si>
    <t xml:space="preserve">1609109ASPART </t>
  </si>
  <si>
    <t>DİREKSİYON KÖRÜK ASTRA.G/H</t>
  </si>
  <si>
    <t>1609109DOGRU</t>
  </si>
  <si>
    <t>DK90-743</t>
  </si>
  <si>
    <t>1609109KRAFTVOLL</t>
  </si>
  <si>
    <t>1609109YTT</t>
  </si>
  <si>
    <t>Y1409</t>
  </si>
  <si>
    <t>1609121ASPART</t>
  </si>
  <si>
    <t>1BST1005</t>
  </si>
  <si>
    <t>DİREKSİYON KÖRÜK CORSA.C/COMBO.C</t>
  </si>
  <si>
    <t>1609121DOĞRU</t>
  </si>
  <si>
    <t>DK90-1001</t>
  </si>
  <si>
    <t>1609121KRAFTVOLL</t>
  </si>
  <si>
    <t>DİREKSİYON KÖRÜK CORSA.C</t>
  </si>
  <si>
    <t>1609121YTT</t>
  </si>
  <si>
    <t>Y1476</t>
  </si>
  <si>
    <t>1609132ASPART</t>
  </si>
  <si>
    <t>DİREKSİYON KÖRÜĞÜ VECTRA.C</t>
  </si>
  <si>
    <t>1BST1006</t>
  </si>
  <si>
    <t>1609132YTT</t>
  </si>
  <si>
    <t>Y1475</t>
  </si>
  <si>
    <t>1609181TEKNOROT</t>
  </si>
  <si>
    <t xml:space="preserve">ROT MİLİ İNSİGNİA.A </t>
  </si>
  <si>
    <t>CH-333</t>
  </si>
  <si>
    <t xml:space="preserve">1609182ASPART </t>
  </si>
  <si>
    <t>DİREKSİYON KÖRÜK İNSİGNİA.A/ASTRA.J/CASCADA</t>
  </si>
  <si>
    <t>1609182DOGRU</t>
  </si>
  <si>
    <t>DK90-1153</t>
  </si>
  <si>
    <t>1609182YTT</t>
  </si>
  <si>
    <t>Y2349</t>
  </si>
  <si>
    <t>1609185AYD</t>
  </si>
  <si>
    <t>ROT BAŞI SOL ASTRA.J GTC</t>
  </si>
  <si>
    <t>91-16249</t>
  </si>
  <si>
    <t>1609203AYD</t>
  </si>
  <si>
    <t>ROT BAŞI MOKKA/MOKKA.X</t>
  </si>
  <si>
    <t>91-12796</t>
  </si>
  <si>
    <t>1609203FROWAS</t>
  </si>
  <si>
    <t>1609205YTT</t>
  </si>
  <si>
    <t>ROT MİLİ MOKKA 13&gt;</t>
  </si>
  <si>
    <t>Y315007</t>
  </si>
  <si>
    <t>ARKA KOLTUK BAĞLANTI KLİPSİ 208/301/C-ELYSEE/C4 CACTUS/CORSA.F</t>
  </si>
  <si>
    <t xml:space="preserve">1609347ÜÇEL </t>
  </si>
  <si>
    <t>DİREKSİYON KÖRÜK CORSA.D/BİPPER/NEMO</t>
  </si>
  <si>
    <t>1609347YTT</t>
  </si>
  <si>
    <t>Y5241</t>
  </si>
  <si>
    <t>1609582880AYD</t>
  </si>
  <si>
    <t>FREN DISKI ARKA (5D268MM)3008 II/308 II/III/508 II/RIFTER/COMBO.E/GRANDLAND.X/DS4</t>
  </si>
  <si>
    <t>10-50483</t>
  </si>
  <si>
    <t>1609582880BOSCH</t>
  </si>
  <si>
    <t>1609583080AYD</t>
  </si>
  <si>
    <t>ARKA FREN DİSKİ 5D290mm 14&gt; 308/3008/C5 AIRCORSS/DS7/C4 PCS.</t>
  </si>
  <si>
    <t>10-50755</t>
  </si>
  <si>
    <t>1609583080BOSCH</t>
  </si>
  <si>
    <t>ARKA FREN DİSKİ 5D290mm 14&gt; 308/3008/C5 AIRCORSS/DS7/C4 PCS. (KAPLAMALI)</t>
  </si>
  <si>
    <t>1609618280DJ</t>
  </si>
  <si>
    <t>ARKA AMORTİSÖR BİPPER/NEMO</t>
  </si>
  <si>
    <t>DS3526GT</t>
  </si>
  <si>
    <t>1609618280KRAFTVOLL</t>
  </si>
  <si>
    <t xml:space="preserve">ARKA AMORTİSÖR BİPPER/NEMO </t>
  </si>
  <si>
    <t>1609618280MAYSAN</t>
  </si>
  <si>
    <t>MAYSAN MANDO</t>
  </si>
  <si>
    <t>PN7310216M</t>
  </si>
  <si>
    <t>1609848080BİT</t>
  </si>
  <si>
    <t>BPE260073</t>
  </si>
  <si>
    <t xml:space="preserve">ENJEKTÖR ALT BURC DV6TED4 1.6HDİ </t>
  </si>
  <si>
    <t>ENJEKTÖR KEÇE DV6TED4 1.6HDİ</t>
  </si>
  <si>
    <t>1609848280BİT</t>
  </si>
  <si>
    <t>BPE2HD002</t>
  </si>
  <si>
    <t>1609848280SKT</t>
  </si>
  <si>
    <t>1609898580APETECH</t>
  </si>
  <si>
    <t xml:space="preserve">ÖN BALATA 155mm 17&gt;508/3008/5008/GRANDLAND.X/COMBO.E </t>
  </si>
  <si>
    <t>AP2060</t>
  </si>
  <si>
    <t>1609898580ART</t>
  </si>
  <si>
    <t>A12.3384</t>
  </si>
  <si>
    <t>1609898580ASPART</t>
  </si>
  <si>
    <t>3BPA1174</t>
  </si>
  <si>
    <t>1609898580AYD</t>
  </si>
  <si>
    <t>ÖN BALATA 155mm 17&gt;508/3008/5008/GRANDLAND.X/COMBO.</t>
  </si>
  <si>
    <t>11-60276A</t>
  </si>
  <si>
    <t>1609898580BOSCH</t>
  </si>
  <si>
    <t>ÖN BALATA 155mm 17&gt;508/3008/5008/GRANDLAND.X/COMBO.E</t>
  </si>
  <si>
    <t>1609898580DELPHİ</t>
  </si>
  <si>
    <t>LP2690</t>
  </si>
  <si>
    <t>1609898580DJPARTS</t>
  </si>
  <si>
    <t>BP2962</t>
  </si>
  <si>
    <t>1609898580EUROBRAKE</t>
  </si>
  <si>
    <t>EUROBRAKE</t>
  </si>
  <si>
    <t>EDB2060</t>
  </si>
  <si>
    <t>1609948280FROW</t>
  </si>
  <si>
    <t>ROT BAŞI SOL 508 10&gt;/C5 X7</t>
  </si>
  <si>
    <t>1609948380FROW</t>
  </si>
  <si>
    <t>ROT BAŞI SAĞ 508 10&gt;/C5 X7</t>
  </si>
  <si>
    <t>1609987980FEBİ</t>
  </si>
  <si>
    <t>ÖN BALATA 155.2mm 208/2008/CORSA.F///307/308/3008(2.0HDİ)</t>
  </si>
  <si>
    <t>1610001YTT</t>
  </si>
  <si>
    <t>BİJON KİLİT SETŞ VECTRA.A/B/ASTRA.G</t>
  </si>
  <si>
    <t>Y1632</t>
  </si>
  <si>
    <t>1610278280DAYCO</t>
  </si>
  <si>
    <t>TRİGER SET+DEVİRDAİM 116X254 2.0HDİ/2.2HDİ DW10FD 308/508/5008/BOXER EURO6 2017&gt;</t>
  </si>
  <si>
    <t>KTBWP9950</t>
  </si>
  <si>
    <t>1610561580CİFAM</t>
  </si>
  <si>
    <t>DIŞ AKS KAFASI 14&gt; 308/3008/508/5008/COMBO.E/RİFTER/GRANDLAND.X 1.5HDİ/1.6 EURO6/1.6THP</t>
  </si>
  <si>
    <t xml:space="preserve">CİFAM </t>
  </si>
  <si>
    <t>607-929</t>
  </si>
  <si>
    <t>1610577780DAYCO</t>
  </si>
  <si>
    <t>TRİGER SETİ 13&gt; DV6C EURO6 1.6HDİ (İNCE KAYIŞ) 141*20</t>
  </si>
  <si>
    <t>KTB917</t>
  </si>
  <si>
    <t>1610577780ERP</t>
  </si>
  <si>
    <t xml:space="preserve">TRİGER SETİ+DEVİRDAİM 13&gt; DV6C EURO6 1.6HDİ (İNCE KAYIŞ) 141*20 </t>
  </si>
  <si>
    <t>YAĞ FİLTRE DV6FC 120BG EURO6</t>
  </si>
  <si>
    <t>1610693780FİLTRON</t>
  </si>
  <si>
    <t>OE667/4</t>
  </si>
  <si>
    <t>1610693780HENGST</t>
  </si>
  <si>
    <t xml:space="preserve">YAĞ FİLTRE DV6FC 120BG EURO6 </t>
  </si>
  <si>
    <t>E40HD105</t>
  </si>
  <si>
    <t>1610817680AYD</t>
  </si>
  <si>
    <t>ROT MİL GRANDLAND.X 14&gt;//308/3008/5008/C4PİCASSO 17&gt;&gt;</t>
  </si>
  <si>
    <t>95-14869</t>
  </si>
  <si>
    <t>1610817780AYD</t>
  </si>
  <si>
    <t>ROT BAŞI SOL 2014&gt;&gt;308/3008/5008/C4 PCS./GRANDLAND.X/COMBO.E</t>
  </si>
  <si>
    <t>91-14195</t>
  </si>
  <si>
    <t>1610817780KAPİM</t>
  </si>
  <si>
    <t>1610817780ORJİN</t>
  </si>
  <si>
    <t>1610817880AYD</t>
  </si>
  <si>
    <t>ROT BAŞI SAĞ 2014&gt;&gt;308/3008/5008/C4 PCS./GRANDLAND.X/COMBO.E</t>
  </si>
  <si>
    <t>91-14196</t>
  </si>
  <si>
    <t>1610817880KAPİM</t>
  </si>
  <si>
    <t>KAİPMSAN</t>
  </si>
  <si>
    <t>1610817880ORJİN</t>
  </si>
  <si>
    <t xml:space="preserve">ORJİN </t>
  </si>
  <si>
    <t>1611242380KAPİM</t>
  </si>
  <si>
    <t>ROT MİL 14&gt; 308/508/PARTNER/BERLİNGO</t>
  </si>
  <si>
    <t>19-12820</t>
  </si>
  <si>
    <t>DEBRİYAJ SETİ 206/BİPPER/NEMO DV4 1.4HDİ</t>
  </si>
  <si>
    <t>1611266580MAPA</t>
  </si>
  <si>
    <t>1611266580VALEO</t>
  </si>
  <si>
    <t>1611266780FROWAS</t>
  </si>
  <si>
    <t>DEBRİYAJ RULMAN YUVARLAK BE4R ŞANZUMAN</t>
  </si>
  <si>
    <t xml:space="preserve">FROWAS </t>
  </si>
  <si>
    <t>1611267380ERP</t>
  </si>
  <si>
    <t>DEBRİYAJ SETİ PARTNER/BERLİNGO XUD9/DW8 1.9D YUVARLAK RULMAN</t>
  </si>
  <si>
    <t>1611267380LUK</t>
  </si>
  <si>
    <t>1611267380MAPA</t>
  </si>
  <si>
    <t>1611267380VALEO</t>
  </si>
  <si>
    <t>DEBRİYAJ SETİ BOXER III/JUMPER III/DUCATO III/2.0BLUEHDİ/2.2 PUMA 120/150 BG EURO5</t>
  </si>
  <si>
    <t>DEBRİYAJ SET (BE4R) 301/C-ELYSEE 1.6HDİ EURO5//EXPER III/JUMPY III/C4 PCS./</t>
  </si>
  <si>
    <t>1611273080ERP</t>
  </si>
  <si>
    <t>DEBRİYAJ SETİ DV6C 90HP/110HP 301/TEPEE/207/208/308/C3/C4/C-ELYSEE</t>
  </si>
  <si>
    <t>1611273080SACHS</t>
  </si>
  <si>
    <t>DEBRİYAJ SETİ DV6C 90HP 301/C-ELYSEE/TEPEE/208/2008/308/C4/C4 CACTUS/C3</t>
  </si>
  <si>
    <t>1611277880ERP</t>
  </si>
  <si>
    <t>V KAYIŞ GERGİ KİT DV6DTED EURO4</t>
  </si>
  <si>
    <t>1611284980ERP</t>
  </si>
  <si>
    <t>DEBRİYAJ SETİ 1.2 12V 301/C-ELYSEE/208/2008/BİPPER/NEMO/C2/C3/206/207 1.4HDİ</t>
  </si>
  <si>
    <t>1611329180SEON</t>
  </si>
  <si>
    <t>SK1802</t>
  </si>
  <si>
    <t>İÇ AKS KÖRÜK RİFTER/COMBO.E/PROACE/208/2008/308/3008/5008</t>
  </si>
  <si>
    <t>1611331480BOSCH</t>
  </si>
  <si>
    <t>ARKA BALATA 14&gt; 308/GRANDLAND.X/COMBO.E</t>
  </si>
  <si>
    <t>1611331480VALEO</t>
  </si>
  <si>
    <t xml:space="preserve">ARKA BALATA 14&gt;308/GRANDLAND.X/COMBO.E </t>
  </si>
  <si>
    <t>1611335080FROW</t>
  </si>
  <si>
    <t>ÖN BALATA 130mm 93&gt; 306/&lt;02 PARTNER/BERLİNGO/97&gt;XSARA</t>
  </si>
  <si>
    <t>1611424880ABA</t>
  </si>
  <si>
    <t>V KAYIŞ GERGİ DV4/DV6 DV6ATED</t>
  </si>
  <si>
    <t>1611426280ABA</t>
  </si>
  <si>
    <t xml:space="preserve">V KAYIŞ GERGİ RULMAN 1.2THP/EB2 </t>
  </si>
  <si>
    <t>1611426280DAYCO</t>
  </si>
  <si>
    <t>V KAYIŞ GERGİ KİTİ KOMPLE EB2/EB2DTS</t>
  </si>
  <si>
    <t>KPV295</t>
  </si>
  <si>
    <t xml:space="preserve">1611426580GATES </t>
  </si>
  <si>
    <t>V KAYIŞ GERGİ MAKARA ALT DV6C 1.6HDİ EURO5</t>
  </si>
  <si>
    <t>T39189</t>
  </si>
  <si>
    <t>1611659080MAHLE</t>
  </si>
  <si>
    <t>MAZOT FİLTRESİ KOMPLE 4007/407/508/C5 X7 DW12C 2.2HDİ 16V//RANGE ROVER EVOQU/JAGUAR XF/</t>
  </si>
  <si>
    <t>KL581</t>
  </si>
  <si>
    <t>1611659180MANDO</t>
  </si>
  <si>
    <t>MAZOT FİLTRE 2.0HDİ DW10CTED 308/407/508/3008/5008/C4/C5/EXPERT</t>
  </si>
  <si>
    <t>MANDO</t>
  </si>
  <si>
    <t>MMF035047</t>
  </si>
  <si>
    <t>1611668280ABA</t>
  </si>
  <si>
    <t xml:space="preserve">V KAYIŞ 6PK1680 DW8 +KLİMA  PARTNER/BERLİNGO </t>
  </si>
  <si>
    <t>6PK1678</t>
  </si>
  <si>
    <t>1611668280BANDO</t>
  </si>
  <si>
    <t>V KAYIŞ 6PK1680 DW8 +KLİMA  PARTNER/BERLİNGO</t>
  </si>
  <si>
    <t>6PK1680</t>
  </si>
  <si>
    <t>1611668280GMB</t>
  </si>
  <si>
    <t>GPK 6PK1680</t>
  </si>
  <si>
    <t>1611818780Y</t>
  </si>
  <si>
    <t>BİJON KAPAĞI KROM PEUGEOT</t>
  </si>
  <si>
    <t>VİTES HALATI BİPPER/NEMO/FİORİNO</t>
  </si>
  <si>
    <t>1611917180CAVO</t>
  </si>
  <si>
    <t>VİTES HALATI KOMPLE BİPPER/NEMO/FİORİNO 06-16 1.3JTD</t>
  </si>
  <si>
    <t>1612401680MARS</t>
  </si>
  <si>
    <t>STOP LAMBA SAĞ BOXER III/JUMPER III/DUCATO III 14&gt;</t>
  </si>
  <si>
    <t>1612537AKD</t>
  </si>
  <si>
    <t>AKD 1034</t>
  </si>
  <si>
    <t>BUJİ KABLOSU VECTRA.A 1.8/2.0 8V 20NE/C20NE/18SV</t>
  </si>
  <si>
    <t>BUJİ KABLO</t>
  </si>
  <si>
    <t>1612537BREMİ</t>
  </si>
  <si>
    <t>300/391</t>
  </si>
  <si>
    <t>1612537CHAMPION</t>
  </si>
  <si>
    <t>OP-15</t>
  </si>
  <si>
    <t>1612537GLOBAL</t>
  </si>
  <si>
    <t xml:space="preserve">GLOBAL </t>
  </si>
  <si>
    <t>GLB-3034</t>
  </si>
  <si>
    <t xml:space="preserve">1612537TOPRAN </t>
  </si>
  <si>
    <t>1612537Y</t>
  </si>
  <si>
    <t xml:space="preserve">1612556GLOBAL </t>
  </si>
  <si>
    <t>BUJİ KABLO SET ASTRA.F/CORSA.B 1.4 8V C14N/C14NZ (METAL)</t>
  </si>
  <si>
    <t>GLOBAL</t>
  </si>
  <si>
    <t>GL-3039</t>
  </si>
  <si>
    <t>1612556KRAFTVOLL</t>
  </si>
  <si>
    <t xml:space="preserve">1612557ÜNÜVAR </t>
  </si>
  <si>
    <t>BUJİ KABLO TAKIM 1.4 8V ASTRA.F/CORSA.B</t>
  </si>
  <si>
    <t>1612561BOSCH</t>
  </si>
  <si>
    <t>BUJİ KABLO TAKIM X14XE/X16XE</t>
  </si>
  <si>
    <t>1612561GLOBAL</t>
  </si>
  <si>
    <t>GL-3050</t>
  </si>
  <si>
    <t>1612561HELLUX</t>
  </si>
  <si>
    <t>HBX.3254</t>
  </si>
  <si>
    <t>1612561JUST</t>
  </si>
  <si>
    <t>CK2001</t>
  </si>
  <si>
    <t>1612561KRAFTVOLL</t>
  </si>
  <si>
    <t>1612598BOSCH</t>
  </si>
  <si>
    <t>BUJİ KABLO TAKIM X20XEV</t>
  </si>
  <si>
    <t>1612598BREMI</t>
  </si>
  <si>
    <t>BUJİ KABLOSU TAKIM X20XEV</t>
  </si>
  <si>
    <t>BREMI</t>
  </si>
  <si>
    <t>300/675</t>
  </si>
  <si>
    <t>1612598DODUCO</t>
  </si>
  <si>
    <t>BUJİ KABLOSU X20XEV</t>
  </si>
  <si>
    <t>DODUCO</t>
  </si>
  <si>
    <t xml:space="preserve">1612598GLOBAL </t>
  </si>
  <si>
    <t>GLB-3051</t>
  </si>
  <si>
    <t xml:space="preserve">1612598JUST </t>
  </si>
  <si>
    <t>CK2000</t>
  </si>
  <si>
    <t>1612598KRAFTVOLL</t>
  </si>
  <si>
    <t>1612607GLOBAL</t>
  </si>
  <si>
    <t>BUJİ KABLO TAKIM 1.4 8V ASTRA.F/VECTRA.A</t>
  </si>
  <si>
    <t>GLB-3057</t>
  </si>
  <si>
    <t>1612608FAE</t>
  </si>
  <si>
    <t>BUJİ KABLO TAKIM ASTRA.F/CORSA.B 1.4/1.6 8V</t>
  </si>
  <si>
    <t>1612608GLOBAL</t>
  </si>
  <si>
    <t>BUJİ KABLO TAKIM ASTRA.F/CORSA.B 1.4/1.6 8V ENJEKSİYONLU</t>
  </si>
  <si>
    <t>GLB-3056</t>
  </si>
  <si>
    <t>1612608KRAFTVOLL</t>
  </si>
  <si>
    <t>1612681980ABRASSE</t>
  </si>
  <si>
    <t>VİTES KUMANDA MEKANİZMA BİPPER/NEMO/FİORİNO EURO4</t>
  </si>
  <si>
    <t>BRS-82080-PG</t>
  </si>
  <si>
    <t>1612681980ZENON</t>
  </si>
  <si>
    <t>VİTES KUMANDA MEKANİZMA (TOPUZ+KÖRÜK) BİPPER/NEMO/FİORİNO EURO4</t>
  </si>
  <si>
    <t>FI1396D</t>
  </si>
  <si>
    <t>1612694DELPHİ</t>
  </si>
  <si>
    <t>ABS SENSÖR ÖN VECTRA.B</t>
  </si>
  <si>
    <t>SS20313</t>
  </si>
  <si>
    <t>1613176980OTOCONTA</t>
  </si>
  <si>
    <t>MOTOR BLOK ARKA KAPAK CONTA EB2/1.2THP</t>
  </si>
  <si>
    <t>1613444680ERP</t>
  </si>
  <si>
    <t>V KAYIŞ GERGİ KİT DV6/DV4 1.4/1.6HDİ</t>
  </si>
  <si>
    <t>1613489880VALEO</t>
  </si>
  <si>
    <t>DEBRİYAJ ÜST MERKEZ CORSA.D/ADAM/BİPPER/NEMO</t>
  </si>
  <si>
    <t>ÜST MERKEZ</t>
  </si>
  <si>
    <t>1613564580LUVİ</t>
  </si>
  <si>
    <t>SİS FAR KAPAK TAKIM SİSSİZ PARTNER/BERLİNGO 15&gt;</t>
  </si>
  <si>
    <t>1613571980BİTAPART</t>
  </si>
  <si>
    <t>YAĞ SOĞUTUCU ORİNG SET EP6 TÜM.</t>
  </si>
  <si>
    <t>BPE259018</t>
  </si>
  <si>
    <t>1613840080DAYCO</t>
  </si>
  <si>
    <t>V KAYIŞ GERGİ KOMPLE DW8B/DW10TD 2.0HDİ/2.2HDİ</t>
  </si>
  <si>
    <t>APV1030</t>
  </si>
  <si>
    <t>1613840080ECO</t>
  </si>
  <si>
    <t>ECO KG0055</t>
  </si>
  <si>
    <t>1613844280ERP</t>
  </si>
  <si>
    <t>V KAYIŞ GERGİ KİTİ DV6ATED4/DV4TED</t>
  </si>
  <si>
    <t>1614085980CORTECO</t>
  </si>
  <si>
    <t>ÖN KRANK KEÇE EP3/EP6/EP6CDT/EB2D/1.2THP</t>
  </si>
  <si>
    <t>1614085980SKT</t>
  </si>
  <si>
    <t xml:space="preserve">ÖN KRANK KEÇE EP3/EP6/EP6CDT/EB2D/1.2THP </t>
  </si>
  <si>
    <t>1616394580TDF</t>
  </si>
  <si>
    <t>ARKA FREN DİSKİ 5D294mm EXPERT/JUMPY/VİVARO.C/SPACETOURER 21&gt;</t>
  </si>
  <si>
    <t>TDF</t>
  </si>
  <si>
    <t>TDF2147</t>
  </si>
  <si>
    <t>EL FREN TABANCASI BİPPER/NEMO/FİORİNO</t>
  </si>
  <si>
    <t>1617284580MGA</t>
  </si>
  <si>
    <t>ÖN BALATA BOXER III/JUMPER III/DUCATO III 06&gt; 2.2HDİ/2.3JTD</t>
  </si>
  <si>
    <t>1617293780BLUEPRİNT</t>
  </si>
  <si>
    <t>ADP154208</t>
  </si>
  <si>
    <t>1617293780BOSCH</t>
  </si>
  <si>
    <t xml:space="preserve">ÖN FREN BALATA 136mm 2008 13&gt;/C3/C4 CACTUS 10&gt;/CORSA.F/CROSSLAND.X </t>
  </si>
  <si>
    <t>1617293780BRAXIS</t>
  </si>
  <si>
    <t>AA0211</t>
  </si>
  <si>
    <t>1617293780VALEO</t>
  </si>
  <si>
    <t>ÖN FREN BALATA 136mm 2008 13&gt;/C3/C4 CACTUS 10&gt;/CORSA.F/CROSSLAND.X</t>
  </si>
  <si>
    <t>AKS KEÇESİ BOXER III/DUCATO III/MOVANO III</t>
  </si>
  <si>
    <t xml:space="preserve">DEBRİYAJ SET DV5RD 208/308/RİFTER/CROSSLAND </t>
  </si>
  <si>
    <t>1618.C9PIER</t>
  </si>
  <si>
    <t>ELEKTROVANA KAHVERENGİ DV6TED 1.6HDİ</t>
  </si>
  <si>
    <t>SELENOİD</t>
  </si>
  <si>
    <t>7.00968.04.0</t>
  </si>
  <si>
    <t>1618.KG</t>
  </si>
  <si>
    <t>EGR SELENOİD VALFİ 1.4HDİ/1.6HDİ EURO5</t>
  </si>
  <si>
    <t>1618KG</t>
  </si>
  <si>
    <t>1618.PEPIER</t>
  </si>
  <si>
    <t>TURBO SELENOİD VALF DV6C EURO5</t>
  </si>
  <si>
    <t>7.01633.06.0</t>
  </si>
  <si>
    <t>1618.QK</t>
  </si>
  <si>
    <t>TURBO SELENOİD VALF 307/308 1.6HDİ DV6 EURO4</t>
  </si>
  <si>
    <t>1618004KALE</t>
  </si>
  <si>
    <t>KALORİFER RADYATÖR VECTRA.A/ASTRA.F</t>
  </si>
  <si>
    <t>KALORİFER RADYATÖR</t>
  </si>
  <si>
    <t xml:space="preserve">1618020KALE </t>
  </si>
  <si>
    <t>KALORİFER RADYATÖR CORSA.B/COMBO.B</t>
  </si>
  <si>
    <t>1618020WİSCO</t>
  </si>
  <si>
    <t xml:space="preserve">KALORİFER RADYATÖR CORSA.B BRAZİNG </t>
  </si>
  <si>
    <t>2143005-00</t>
  </si>
  <si>
    <t>1618110KALE</t>
  </si>
  <si>
    <t>KALORİFER RADYATÖR VECTRA.B MEKANİK</t>
  </si>
  <si>
    <t>1618110KRAFTVOLL</t>
  </si>
  <si>
    <t xml:space="preserve">1618134KALE </t>
  </si>
  <si>
    <t>KALORİFER RADYATÖR ASTRA.H/G DELPHİ TİP BRAZİNG</t>
  </si>
  <si>
    <t>1618134KRAFTVOLL</t>
  </si>
  <si>
    <t>1618142ASPART</t>
  </si>
  <si>
    <t>6HMA1010</t>
  </si>
  <si>
    <t>KALORİFER RADYATÖR ASTRA.G (BEHR TİP)</t>
  </si>
  <si>
    <t>1618164AKD</t>
  </si>
  <si>
    <t>KALORİFER RADYATÖR VECTRA.B KLİMALI</t>
  </si>
  <si>
    <t>1618188İTHAL</t>
  </si>
  <si>
    <t>KALORİFER MUSLUĞU ASTRA.G</t>
  </si>
  <si>
    <t>KLİMA</t>
  </si>
  <si>
    <t>1618222MAHLE</t>
  </si>
  <si>
    <t>KALORİFER RADYATÖR CORSA.C/COMBO.C</t>
  </si>
  <si>
    <t>AH6000S</t>
  </si>
  <si>
    <t>1618222METTE</t>
  </si>
  <si>
    <t>234R2051</t>
  </si>
  <si>
    <t>1618422MAHLE</t>
  </si>
  <si>
    <t>KLİMA KOMPRESÖR ASTRA.J/MERİVA.B A13DTE/1.7CDTİ</t>
  </si>
  <si>
    <t>ACP156000S</t>
  </si>
  <si>
    <t xml:space="preserve">1618457METTE </t>
  </si>
  <si>
    <t>KALORİFER PETEK BORU BAĞLANTI KELEPÇE ASTRA.G/H</t>
  </si>
  <si>
    <t>754K4344</t>
  </si>
  <si>
    <t>V KAYIŞ GERGİ SETİ+V KAYIŞ EBM2/EB2F 208/301/C-ELYSEE/2008 6PK1070</t>
  </si>
  <si>
    <t>1623179580SKT</t>
  </si>
  <si>
    <t>AKS KEÇE SOL 307/C4/106/301/C-ELYSEE</t>
  </si>
  <si>
    <t>1623816280APETECH</t>
  </si>
  <si>
    <t>ÖN BALATA 155mm 08&gt; PRT.TEPEE/BERLİNGO/07&gt; C4 PİCASSO</t>
  </si>
  <si>
    <t>AP1715</t>
  </si>
  <si>
    <t>1623816280AYD</t>
  </si>
  <si>
    <t>11-60064AA</t>
  </si>
  <si>
    <t>1623816280BOSCH</t>
  </si>
  <si>
    <t>1623816280DELPHİ</t>
  </si>
  <si>
    <t>LP2101</t>
  </si>
  <si>
    <t>1623816280ERP</t>
  </si>
  <si>
    <t>1623816280LPR</t>
  </si>
  <si>
    <t>1623816280SWAPP</t>
  </si>
  <si>
    <t xml:space="preserve">ÖN BALATA 155mm 08&gt; PRT.TEPEE/BERLİNGO/07&gt; C4 PİCASSO </t>
  </si>
  <si>
    <t>1623835180FROWAS</t>
  </si>
  <si>
    <t>ARKA DİSK CROSSLAND/18&gt; C3/C3 AIRCORSS/C4 CACTUS/15&gt; 2008</t>
  </si>
  <si>
    <t>1626195680LUVİ</t>
  </si>
  <si>
    <t>ÖN TAMPON AYAĞI SAĞ (BÜYÜK) BOXER III/JUMPER III 06&gt;</t>
  </si>
  <si>
    <t>1627.A0</t>
  </si>
  <si>
    <t>EGR ÇIKIS CONTA DV4 1.4HDİ</t>
  </si>
  <si>
    <t>1628.ZTPIER</t>
  </si>
  <si>
    <t>TURBO SELONOİD VALF 1.4HDİ /(2.0HDİ 99&gt;DW10TD)</t>
  </si>
  <si>
    <t>7.00964.03.0</t>
  </si>
  <si>
    <t>1628.ZWKRAFTVOLL</t>
  </si>
  <si>
    <t>EGR SOĞUTUCU DEMİR BORU DV4 1.4HDİ</t>
  </si>
  <si>
    <t>1628933180VALEO</t>
  </si>
  <si>
    <t>VOLANT+DEBRİYAJ SET PARTNER TEPEE/C4/308/ 1.6HDİ EURO4</t>
  </si>
  <si>
    <t>DEBRİYAJ SETİ+VOLANT+H.D RULMAN DV6C/EB2DTS/EP6CDT</t>
  </si>
  <si>
    <t>1628941780DOLZ</t>
  </si>
  <si>
    <t>DEVİRDAİM 1.5BLUEHDİ DV5R 301/3008/5008/COR.F/RİFTER/COMBO.E</t>
  </si>
  <si>
    <t>N210</t>
  </si>
  <si>
    <t>1628941780GATES</t>
  </si>
  <si>
    <t>TRİGER SETİ DV5R/DV5DTL 131DİŞ</t>
  </si>
  <si>
    <t>K015705XS</t>
  </si>
  <si>
    <t>1629009ELRİNG</t>
  </si>
  <si>
    <t>ÜST TAKIM CONTA A12XER/A14XER</t>
  </si>
  <si>
    <t>1629009METTE</t>
  </si>
  <si>
    <t>266C2206</t>
  </si>
  <si>
    <t>1629027ELRİNG</t>
  </si>
  <si>
    <t>ÜST TAKIM CONTA A14NET/A4NEL/B14NET</t>
  </si>
  <si>
    <t xml:space="preserve">ELİRNG </t>
  </si>
  <si>
    <t>1629032180NÜRAL</t>
  </si>
  <si>
    <t>PİSTON SEKMAN 75.00MM STD 1.5BLUEHDİ DV5</t>
  </si>
  <si>
    <t>8772822STD</t>
  </si>
  <si>
    <t>1629061GATES</t>
  </si>
  <si>
    <t>TRİGER SETİ X14XE/X16XEL</t>
  </si>
  <si>
    <t>K015369XS</t>
  </si>
  <si>
    <t xml:space="preserve">1629061SKF </t>
  </si>
  <si>
    <t>VKMA05150</t>
  </si>
  <si>
    <t>1629061SNR</t>
  </si>
  <si>
    <t>KD453.11</t>
  </si>
  <si>
    <t>TRİGER SET Z14XE/Z16XE</t>
  </si>
  <si>
    <t>1629062BOSCH</t>
  </si>
  <si>
    <t>1629062GATES</t>
  </si>
  <si>
    <t>K015499XS</t>
  </si>
  <si>
    <t>1629062INA</t>
  </si>
  <si>
    <t>1629062SKF</t>
  </si>
  <si>
    <t>TRİGER SETİ Z14XE/Z16XE</t>
  </si>
  <si>
    <t>VKMA 05156</t>
  </si>
  <si>
    <t>1629065INA</t>
  </si>
  <si>
    <t>TRİGER SETİ X20XEV</t>
  </si>
  <si>
    <t>1629065LUCAS</t>
  </si>
  <si>
    <t>LDK0321L</t>
  </si>
  <si>
    <t>1629065SKF</t>
  </si>
  <si>
    <t>VKMA 05222</t>
  </si>
  <si>
    <t>1629065SNR</t>
  </si>
  <si>
    <t>KD453.06</t>
  </si>
  <si>
    <t>TRİGER SET Z16XEP/A16XER/A16LET</t>
  </si>
  <si>
    <t>1629067BOSCH</t>
  </si>
  <si>
    <t>1629067CONTİ</t>
  </si>
  <si>
    <t>CT1077K2</t>
  </si>
  <si>
    <t>1629067EUROREPAR</t>
  </si>
  <si>
    <t xml:space="preserve">1629067GATES </t>
  </si>
  <si>
    <t>K015603XS</t>
  </si>
  <si>
    <t>1629067SKF</t>
  </si>
  <si>
    <t>TRİGER SET Z16XEP/A16XER/A16LET/B16XER</t>
  </si>
  <si>
    <t>VKMA 05260</t>
  </si>
  <si>
    <t>1629083080SİLBAK</t>
  </si>
  <si>
    <t>ÖN SİLECEK TAKIM 16&gt; DS7/3008/5008 (28+16)</t>
  </si>
  <si>
    <t>SB2816C2</t>
  </si>
  <si>
    <t>1629103LUK</t>
  </si>
  <si>
    <t xml:space="preserve">DEBRİYAJ SET (OYNAR VOLANTA) A13DTE ASTRA.J </t>
  </si>
  <si>
    <t>1629103LUK RUL</t>
  </si>
  <si>
    <t>DEBRİYAJ SET A13DTE ASTRA.J OYNAR VOLANT+RULMANLI</t>
  </si>
  <si>
    <t>DEBRİYAJ SETİ A13DTE (SABİT VOLANTA)ASTRA.J/CORSA.D/T300</t>
  </si>
  <si>
    <t>1629104LUK</t>
  </si>
  <si>
    <t xml:space="preserve">1629105SACHS </t>
  </si>
  <si>
    <t xml:space="preserve">DEBRİYAJ SETİ İNSİGNİA.A/ASTRA.J A16LET </t>
  </si>
  <si>
    <t>DEBRİYAJ SETİ Z13DTH M32 ASTRA.H/CORSA.D</t>
  </si>
  <si>
    <t>1629114LUK</t>
  </si>
  <si>
    <t xml:space="preserve">1629114SACHS </t>
  </si>
  <si>
    <t>V KAYIŞ GERGİ KİTİ DV6FC 1.6HDİ EURO6 START/STOP</t>
  </si>
  <si>
    <t>1631481680ERP</t>
  </si>
  <si>
    <t xml:space="preserve">V KAYIŞ GERGİ KİTİ DV6FC 1.6HDİ EURO6 START/STOP </t>
  </si>
  <si>
    <t>1631627780ERP</t>
  </si>
  <si>
    <t>V KAYIŞ GERGİ KİTİ DV5R 1.5BLUEHDİ</t>
  </si>
  <si>
    <t>ŞANZUMAN ALT TAKOZ BOXER III/JUMPER III/DUCATO III 06&gt; 2.2HDİ</t>
  </si>
  <si>
    <t>VOLANTLI SET+RULMAN  508/5008/3008/C4/C5/DS5</t>
  </si>
  <si>
    <t>1631733780VALEO</t>
  </si>
  <si>
    <t>DEBRİYAJ SETİ+VOLANT+RULMAN DV6C EURO5  3008/5008/508/C4/DS4/DS5</t>
  </si>
  <si>
    <t>ATEŞLEME BUJİ TU3JP/TU5JP 1.4/1.6 16V</t>
  </si>
  <si>
    <t>1632745480ERP</t>
  </si>
  <si>
    <t>1633557780POLİPLAST</t>
  </si>
  <si>
    <t>ARKA TAMPON ORTA (4 SENSÖRLÜ ASTARLI) RİFTER/COMBO.E/PROACE</t>
  </si>
  <si>
    <t>POLİPLAST</t>
  </si>
  <si>
    <t>1633558780PHİRA</t>
  </si>
  <si>
    <t>ARKA TAMPON SOL (MAXI ŞASİ) COMBEO.E/RİFTER CARGO</t>
  </si>
  <si>
    <t>PHİRA</t>
  </si>
  <si>
    <t>BR-18366</t>
  </si>
  <si>
    <t>1633561880K&amp;B</t>
  </si>
  <si>
    <t>BAGAJ KİLİDİ BOXER III/JUMPER III/DUCATO III 06&gt;</t>
  </si>
  <si>
    <t>KB11124</t>
  </si>
  <si>
    <t>1633986380ROAD</t>
  </si>
  <si>
    <t>V KAYIŞ PARTNER/BERLİNGO DW8</t>
  </si>
  <si>
    <t>1438K6</t>
  </si>
  <si>
    <t>1635058180AYD</t>
  </si>
  <si>
    <t>ÖN BALATA 151mm 07&gt; 308//09&gt; 3008</t>
  </si>
  <si>
    <t>11-60747BA</t>
  </si>
  <si>
    <t>1635058180BOSCH</t>
  </si>
  <si>
    <t>1635058180ERP</t>
  </si>
  <si>
    <t>1635058180FROW</t>
  </si>
  <si>
    <t>KAPUT DESTEK DAYANAGI AGRAFI</t>
  </si>
  <si>
    <t>1635254980BRAXIS</t>
  </si>
  <si>
    <t xml:space="preserve">ARKA BALATA 19&gt; RİFTER/COMBO.E   </t>
  </si>
  <si>
    <t>AA0944</t>
  </si>
  <si>
    <t>1635254980DELPHİ</t>
  </si>
  <si>
    <t>ARKA BALATA 19&gt; RİFTER/COMBO.E/PROACE</t>
  </si>
  <si>
    <t>LP3580</t>
  </si>
  <si>
    <t>1635254980FROW</t>
  </si>
  <si>
    <t xml:space="preserve">BALATA </t>
  </si>
  <si>
    <t>1635254980ZEGEN</t>
  </si>
  <si>
    <t>ARKA BALATA 19&gt; RİFTER/COMBO.E</t>
  </si>
  <si>
    <t>ZEG1837-00</t>
  </si>
  <si>
    <t xml:space="preserve">ÜST KAPAK CONTA DV5R 1.5HDİ  </t>
  </si>
  <si>
    <t>1638159380BİTAPART</t>
  </si>
  <si>
    <t>BPE260169</t>
  </si>
  <si>
    <t xml:space="preserve">ÜST KAPAK CONTA DV5R 1.5HDİ </t>
  </si>
  <si>
    <t>TRİGER+DEVİRDAİM SET DV5R 1.5BLUEHDİ</t>
  </si>
  <si>
    <t xml:space="preserve">1638159680GATES </t>
  </si>
  <si>
    <t xml:space="preserve">TRİGER SETİ+DEVİRDAİM DV5R </t>
  </si>
  <si>
    <t>KP15705XS</t>
  </si>
  <si>
    <t>ENJEKTÖR FİBERİ DV6 EURO5/EURO6</t>
  </si>
  <si>
    <t>1640098880ELRİNG</t>
  </si>
  <si>
    <t>SUBAP LASTİK EP6CDT (TAKIM)</t>
  </si>
  <si>
    <t xml:space="preserve">1642334680SİLBAK </t>
  </si>
  <si>
    <t>ÖN SİLECEK TAKIM TEPEE/20812&gt;/2008 13&gt;/C3 III 16&gt;</t>
  </si>
  <si>
    <t>SB2616C</t>
  </si>
  <si>
    <t>1643574180WALBURG</t>
  </si>
  <si>
    <t>ARKA FREN DİSKİ 4D248MM CORSA.F/MOKKA.B/208 II/2008 II/DS3</t>
  </si>
  <si>
    <t>WALBURG</t>
  </si>
  <si>
    <t>WBD1593</t>
  </si>
  <si>
    <t>1643574280BRAXIS</t>
  </si>
  <si>
    <t>ARKA BALATA 92,3mm 19&gt;208/2008/C4/DS3/CORSA.F/MOKKA</t>
  </si>
  <si>
    <t>AB0684</t>
  </si>
  <si>
    <t>1643574280LPR</t>
  </si>
  <si>
    <t>TRİGER SETİ 1.6 16V 134DİŞ TU5JP4</t>
  </si>
  <si>
    <t>1647857380ABRASSE</t>
  </si>
  <si>
    <t>ÖN TEKER RULMAN 13&gt; 308/C4 PCS./GRANDLAND.X/COMBO.E</t>
  </si>
  <si>
    <t>37-1035</t>
  </si>
  <si>
    <t>1647857380OPTİMAL</t>
  </si>
  <si>
    <t>1647857380PFİ</t>
  </si>
  <si>
    <t>PW42800044CSMK</t>
  </si>
  <si>
    <t>1647857380SKF</t>
  </si>
  <si>
    <t>VKBC53279EX/VKBA7036</t>
  </si>
  <si>
    <t>1647857480METTE</t>
  </si>
  <si>
    <t>AKS TAŞIYICI (AKSON) SOL GRANDLAND.X 18&gt;/3008/508/RİFTER</t>
  </si>
  <si>
    <t>683R6476</t>
  </si>
  <si>
    <t>1647863180APETECH</t>
  </si>
  <si>
    <t>ÖN BALATA 155mm 508 11&gt;</t>
  </si>
  <si>
    <t>AP1954</t>
  </si>
  <si>
    <t>1647863780APETECH</t>
  </si>
  <si>
    <t>ÖN BALATA 301/C-ELYSEE/207/208/307/PRT/C2/C3/C4/COR.F/CROSSLAND.X</t>
  </si>
  <si>
    <t>AP1588</t>
  </si>
  <si>
    <t xml:space="preserve">1647863780ASPART </t>
  </si>
  <si>
    <t>3BPA1315</t>
  </si>
  <si>
    <t>1647863780AYD</t>
  </si>
  <si>
    <t xml:space="preserve">ÖN BALATA 301/C-ELYSEE/207/208/307/PRT/C2/C3/C4/COR.F/CROSSLAND.X </t>
  </si>
  <si>
    <t>11-60446A</t>
  </si>
  <si>
    <t xml:space="preserve">1647863780BOSCH </t>
  </si>
  <si>
    <t>1647863780DELPHİ</t>
  </si>
  <si>
    <t>LP1727</t>
  </si>
  <si>
    <t>1647863780ERP</t>
  </si>
  <si>
    <t>1647863780FERODO</t>
  </si>
  <si>
    <t>FDB1399W</t>
  </si>
  <si>
    <t>1647863780MARELLİ</t>
  </si>
  <si>
    <t>1647863780MGA</t>
  </si>
  <si>
    <t>1647863780TRW-BLUE</t>
  </si>
  <si>
    <t xml:space="preserve">ÖN BALATA ELEKTRİKLİ 301/C-ELYSEE/207/208/307/PRT/C2/C3/C4/COR.F/CROSSLAND.X </t>
  </si>
  <si>
    <t>GDB1463BTE</t>
  </si>
  <si>
    <t>1647880280ART</t>
  </si>
  <si>
    <t>ÖN BALATA 148,3mm 21&gt; 3008/5008/308/508/RIFTER/C5 AIRCROSS/GRANDLAND.X/COMBO.E</t>
  </si>
  <si>
    <t>A12.3875</t>
  </si>
  <si>
    <t>1647880280AYD</t>
  </si>
  <si>
    <t>11-60874A</t>
  </si>
  <si>
    <t>1647880280BEŞER</t>
  </si>
  <si>
    <t xml:space="preserve">BEŞER </t>
  </si>
  <si>
    <t>1647880280BRAXIS</t>
  </si>
  <si>
    <t>AB0675</t>
  </si>
  <si>
    <t>1647880280DELPHİ</t>
  </si>
  <si>
    <t>LP3875</t>
  </si>
  <si>
    <t>1647880280DJPARTS</t>
  </si>
  <si>
    <t>BP3111</t>
  </si>
  <si>
    <t>1647880280FERODO</t>
  </si>
  <si>
    <t>FDB5337</t>
  </si>
  <si>
    <t>1647880280FROW</t>
  </si>
  <si>
    <t>1647880280KRAFTVOLL</t>
  </si>
  <si>
    <t>1647880280MGA</t>
  </si>
  <si>
    <t>MGA56602</t>
  </si>
  <si>
    <t>1647880280SWAPP</t>
  </si>
  <si>
    <t>1648836780TEKNOROT</t>
  </si>
  <si>
    <t>ROT MİLİ RİFTER/COMBO.E/PROACE 18&gt;</t>
  </si>
  <si>
    <t>P-1053</t>
  </si>
  <si>
    <t>1649102980OPTİMAL</t>
  </si>
  <si>
    <t>ÖN TEKER RULMAN CORSA.F/2008/AMİ 19&gt;</t>
  </si>
  <si>
    <t>1649102980VEKA</t>
  </si>
  <si>
    <t>47-3209</t>
  </si>
  <si>
    <t>ATEŞLEME BUJİ EB2 1.2 12V İRİDYUM</t>
  </si>
  <si>
    <t>1654509380ERP</t>
  </si>
  <si>
    <t xml:space="preserve">ATEŞLEME BUJİ EB2 1.2 12V İRİDYUM </t>
  </si>
  <si>
    <t>TRİGER SET EB2 118DİŞ CORSA.F/301/C-ELYSEE</t>
  </si>
  <si>
    <t>1664737180BESER</t>
  </si>
  <si>
    <t>ARKA BALATA 92,35mm 208/2008/CORSA.F 20&gt;/(MANUEL EL FREN İÇİN)</t>
  </si>
  <si>
    <t>BSR-4415</t>
  </si>
  <si>
    <t>1664737180BSR</t>
  </si>
  <si>
    <t>BSR</t>
  </si>
  <si>
    <t>1664737180DJPARTS</t>
  </si>
  <si>
    <t>BP2695</t>
  </si>
  <si>
    <t>1664737180MGA</t>
  </si>
  <si>
    <t>1673597480BRAXIS</t>
  </si>
  <si>
    <t>ARKA BALATA EXPERT/JUMPY/VİVARO.C/SPACETOURER 21&gt;</t>
  </si>
  <si>
    <t>AB0674</t>
  </si>
  <si>
    <t>1673597480FERBE</t>
  </si>
  <si>
    <t xml:space="preserve">ARKA BALATA EXPERT/JUMPY/VİVARO.C/SPACETOURER 21&gt; </t>
  </si>
  <si>
    <t>FERBE</t>
  </si>
  <si>
    <t>1673601380BRAXIS</t>
  </si>
  <si>
    <t>ÖN BALATA EXPERT III/SCUDO III/JUMPY III 1.6HDİ/2.0HDİ</t>
  </si>
  <si>
    <t>AB0083</t>
  </si>
  <si>
    <t>1673601380FERBE</t>
  </si>
  <si>
    <t>1673603880ERP</t>
  </si>
  <si>
    <t>ARKA BALATA EXPERT 4/TRAVELLER/JUMPY</t>
  </si>
  <si>
    <t>EURORPEPAR</t>
  </si>
  <si>
    <t>1673603880MGA</t>
  </si>
  <si>
    <t xml:space="preserve">ARKA BALATA EXPERT 4/TRAVELLER/JUMPY </t>
  </si>
  <si>
    <t>1673802480FORWAS</t>
  </si>
  <si>
    <t>SOL ARKA SÜRGÜLÜ KAPI KİLİDİ BİPPER/NEMO 2FİŞLİ</t>
  </si>
  <si>
    <t>1674210980SİON</t>
  </si>
  <si>
    <t>MAZOT FİLTRESİ BOXER/JUMPER/DUCATO 15&gt; 2.0HDİ</t>
  </si>
  <si>
    <t>SM3576</t>
  </si>
  <si>
    <t>DEBRİYAJ VOLANTLI SET KOMPLE DV5RC 96KW//131HP 6İLERİ</t>
  </si>
  <si>
    <t>1674213480KRAFTVOLL</t>
  </si>
  <si>
    <t xml:space="preserve">MAZOT FİLTRESİ EXPERT IV/JUMPY IV/TRAVELLER 1.5/2.0 HDİ 18&gt; </t>
  </si>
  <si>
    <t>1674213480SİON</t>
  </si>
  <si>
    <t>MAZOT FİLTRESİ EXPERT IV/JUMPY IV/TRAVELLER 1.5/2.0 HDİ 18&gt;</t>
  </si>
  <si>
    <t>SM3585</t>
  </si>
  <si>
    <t>EKSANTRİK ZİNCİR GERGİSİ EP6CDT</t>
  </si>
  <si>
    <t>1678168180LPR</t>
  </si>
  <si>
    <t>ÖN FREN BALATA 147mm 14&gt; 308/RİFTER/COMBO.E</t>
  </si>
  <si>
    <t>1678168180VALEO</t>
  </si>
  <si>
    <t>ÖN FREN BALATA 147mm 14&gt; 308/RİFTER/COMBO.E GDB2044//LP2506//0986494714</t>
  </si>
  <si>
    <t>1678168280BOSCH</t>
  </si>
  <si>
    <t>ÖN BALATA 180mm VIVARO.C/ZAFIRA LIFE/TRAVELLER EXPERT III 10&gt;</t>
  </si>
  <si>
    <t>1678168280FERBE</t>
  </si>
  <si>
    <t>1678168280KALE</t>
  </si>
  <si>
    <t>B2259317305MSH</t>
  </si>
  <si>
    <t>1678168280LPR</t>
  </si>
  <si>
    <t>DEBRİYAJ VOLANTLI SET KOMPLE DV5RCE 100HP 301/2008/308/RİFTER/COMBO.E/PROACE</t>
  </si>
  <si>
    <t>1680024580KRAFTVOLL</t>
  </si>
  <si>
    <t>ÖN TAMPON BRAKETİ SAĞ/SOL TAKIM RİFTER/COMBO.E/PROACE</t>
  </si>
  <si>
    <t>1680355880ERP</t>
  </si>
  <si>
    <t>BALATA SPREY 500ML.</t>
  </si>
  <si>
    <t>MOTOR YAĞI 5W-30 5LT C3 PREMIUM DEXOS2</t>
  </si>
  <si>
    <t>1680359980ERP</t>
  </si>
  <si>
    <t>MOTOR YAĞI 5W-30 5LT C4 PREMIUM RN0720/ACEA C4</t>
  </si>
  <si>
    <t>MOTOR YAĞI 10W40 4LT API-SL/CF</t>
  </si>
  <si>
    <t xml:space="preserve">YAĞ FİLTRE 1.5BLUEHDİ DV5R </t>
  </si>
  <si>
    <t>1680682480BOSCH</t>
  </si>
  <si>
    <t>F026407395</t>
  </si>
  <si>
    <t>1680682480ERP</t>
  </si>
  <si>
    <t>1680682480HENGST</t>
  </si>
  <si>
    <t>E957H</t>
  </si>
  <si>
    <t>1680682480MANN</t>
  </si>
  <si>
    <t>HU7032Z</t>
  </si>
  <si>
    <t>1680682480SARDES</t>
  </si>
  <si>
    <t>SO1200</t>
  </si>
  <si>
    <t>1681371180DELPHİ</t>
  </si>
  <si>
    <t xml:space="preserve">ÖN BALATA 155mm 208/2008/DS3 CROSSBACK/C4 19&gt; </t>
  </si>
  <si>
    <t>LP3840</t>
  </si>
  <si>
    <t>1681371180FEBİ</t>
  </si>
  <si>
    <t xml:space="preserve">1681371180FROW </t>
  </si>
  <si>
    <t>ÖN BALATA 155mm 208/2008/DS3 CROSSBACK/C4 19&gt;</t>
  </si>
  <si>
    <t>1681991680SİLBAK</t>
  </si>
  <si>
    <t>ÖN SİLECEK TAKIM 24-16 CORSA.F/MOKKA.B/ASTRA.L/208/2008 19&gt;</t>
  </si>
  <si>
    <t>SB2416C</t>
  </si>
  <si>
    <t>1681991680SWF</t>
  </si>
  <si>
    <t>ÖN SİLECEK TAKIM 24-16CORSA.F/MOKKA.B/ASTRA.L/208/2008 19&gt;</t>
  </si>
  <si>
    <t>SWF</t>
  </si>
  <si>
    <t>KRANK KASNAGI CİVATASI 1.6HDİ/1.5BLUEHDİ DV6/DV5</t>
  </si>
  <si>
    <t>SİLİNDİR KAPAK SAPLAMA DV5 1.5BLUEHDİ/DV6 EURO5</t>
  </si>
  <si>
    <t>1682800880VİCTOR</t>
  </si>
  <si>
    <t xml:space="preserve">VİTOR REİNZ </t>
  </si>
  <si>
    <t>14-32336-01</t>
  </si>
  <si>
    <t>EKSANTRİK MİLİ KASNAK CİVATASI DV6 1.6HDİ</t>
  </si>
  <si>
    <t>EKSANTRİK DİŞLİ (VANOS) EMME EP6CDT</t>
  </si>
  <si>
    <t>1684448180BOSCH</t>
  </si>
  <si>
    <t>TRİGER+DEVİRDAİM SET DV6 1.6 HDİ EURO 6 İNCE KAYIŞ</t>
  </si>
  <si>
    <t>SİLİNDİR ÖN KAPAK TAPASI EB2 1.2THP</t>
  </si>
  <si>
    <t>ENJEKTÖR CONTA DV5R 1.5BLUEHDİ</t>
  </si>
  <si>
    <t>YAĞ FİLTRESİ BOXER III/JUMPER III 24&gt; EURO6</t>
  </si>
  <si>
    <t>MAZOT FİLTRESİ BOXER III/JUMPER III 24&gt;(X250 B22LUE) 2.2HDİ EURO6</t>
  </si>
  <si>
    <t>ÖN TAMPON DESTEK TAVİYESİ 408 TAKIM R+L</t>
  </si>
  <si>
    <t>ÖN TAMPON MESNET 408 TAKIM R+L</t>
  </si>
  <si>
    <t>DEBRİYAJ SETİ BOXER III/DUCATO III/MOVANO 23&gt; 2.2HDİ EURO6.4(X250 MCA)</t>
  </si>
  <si>
    <t>VOLANT OYNAR  BOXER III/DUCATO III/MOVANO 23&gt; 2.2HDİ EURO6.4(X250 MCA)</t>
  </si>
  <si>
    <t>VOLANT</t>
  </si>
  <si>
    <t>DEBRİYAJ RULMAN BOXER III/DUCATO III/MOVANO 23&gt; 2.2HDİ EURO6.4(X250 MCA)</t>
  </si>
  <si>
    <t>ÖN TAMPON AYAK 408 TAKIM R+L</t>
  </si>
  <si>
    <t>MOTOR YAĞI 5W-30 5LT (1.2 PRUTECH) PSA B71 2297 ONAYLI</t>
  </si>
  <si>
    <t>ÖN PANJUR GRANDLAND.X</t>
  </si>
  <si>
    <t>HOROZ DV5R 1.5BLUEHDİ</t>
  </si>
  <si>
    <t>BİJON ÇELİK JANT TÜM MODELLER</t>
  </si>
  <si>
    <t>1692647680BETTO</t>
  </si>
  <si>
    <t xml:space="preserve">BİJON ÇELİK JANT TÜM MODELLER </t>
  </si>
  <si>
    <t>BETTO</t>
  </si>
  <si>
    <t>B20297</t>
  </si>
  <si>
    <t>EKSOZ TURBO KELEPÇESİ DV6 1.6HDİ</t>
  </si>
  <si>
    <t>DEVİRDAİM KAYIŞI 3PK576 1.2THP</t>
  </si>
  <si>
    <t>HAVA FİLTRESİ BOXER III/JUMPER III/MOVANO 23&gt;(X250 B22LUE) 2.2HDİ EURO6.4 180BG</t>
  </si>
  <si>
    <t>1695012180ABRASSE</t>
  </si>
  <si>
    <t>BRS-14470-PG</t>
  </si>
  <si>
    <t>1695012180SİON</t>
  </si>
  <si>
    <t>SH1715</t>
  </si>
  <si>
    <t>EKSANTRİK KİTİ TAKIM DV5R 1.5HDİ 8mm KOMPLE (KURULU)</t>
  </si>
  <si>
    <t>1697054780BGA</t>
  </si>
  <si>
    <t>EKSANTRİK KİTİ TAKIM DV5R 1.5HDİ 8mm BGA KAPAKLI KOMPLE</t>
  </si>
  <si>
    <t>CS2335FK</t>
  </si>
  <si>
    <t>TRİGER SET DV5/DV5R 1.5BLUEHDİ</t>
  </si>
  <si>
    <t xml:space="preserve">PEUGOET </t>
  </si>
  <si>
    <t>1709.33</t>
  </si>
  <si>
    <t>EKSOZ MANİFOLT KATALİZÖR ARA CONTA 1.6 16V TU5JP4</t>
  </si>
  <si>
    <t>1709.45</t>
  </si>
  <si>
    <t>KATİLİZÖR CONTA EP6CDT</t>
  </si>
  <si>
    <t>1710209İTHAL</t>
  </si>
  <si>
    <t>SİS FARI SOL ASTRA.J 13&gt;&gt;</t>
  </si>
  <si>
    <t>1710209METTE</t>
  </si>
  <si>
    <t>SİS FARI ÖN SOL ASTRA.J 12&gt; CASCADA 13&gt;</t>
  </si>
  <si>
    <t>293L3340</t>
  </si>
  <si>
    <t>1710209TKN</t>
  </si>
  <si>
    <t xml:space="preserve">TKN </t>
  </si>
  <si>
    <t>OP-SF-001</t>
  </si>
  <si>
    <t xml:space="preserve">1710210METTE </t>
  </si>
  <si>
    <t>SİS FARI ÖN SAĞ ASTRA.J 12&gt; CASCADA 13&gt;</t>
  </si>
  <si>
    <t>293L3341</t>
  </si>
  <si>
    <t>1710220WİSCO</t>
  </si>
  <si>
    <t>SİS FARI SAĞ-SOL MOKKA 13&gt;</t>
  </si>
  <si>
    <t>2243287-00</t>
  </si>
  <si>
    <t>1710369METTE</t>
  </si>
  <si>
    <t>SİS FARI SAĞ ASTRA.H 07&gt;</t>
  </si>
  <si>
    <t>293L3339</t>
  </si>
  <si>
    <t>1710374DEPO</t>
  </si>
  <si>
    <t>SİS FARI SOL CORSA.C 04&gt;</t>
  </si>
  <si>
    <t>442-2016L-UE</t>
  </si>
  <si>
    <t>1710375DEPO</t>
  </si>
  <si>
    <t>SİS FARI SAĞ CORSA.C 04&gt;</t>
  </si>
  <si>
    <t>442-2016R-UE</t>
  </si>
  <si>
    <t>1710376METTE</t>
  </si>
  <si>
    <t>SİS FARI SAĞ CORSA.D 07-10</t>
  </si>
  <si>
    <t>293L3620</t>
  </si>
  <si>
    <t xml:space="preserve">1710377METTE </t>
  </si>
  <si>
    <t>SİS FARI SOL CORSA.D 07-10</t>
  </si>
  <si>
    <t>293L3621</t>
  </si>
  <si>
    <t>17128511623RPR</t>
  </si>
  <si>
    <t>RADYATÖR ÜST HORTUM 05&gt; E90/E91/E92/E93//X1</t>
  </si>
  <si>
    <t>R19422</t>
  </si>
  <si>
    <t>1713004ALPER</t>
  </si>
  <si>
    <t>ÇAMURLUK SİNYAL SOL ASTRA.J/K/İNS.BCROSSLAND.X/GRANDLAND.X/ZAFİRA.C</t>
  </si>
  <si>
    <t>ALPER</t>
  </si>
  <si>
    <t>1713004WAGENBURG</t>
  </si>
  <si>
    <t>OP.103</t>
  </si>
  <si>
    <t>1713004Y</t>
  </si>
  <si>
    <t>1713005WAGENBURG</t>
  </si>
  <si>
    <t>ÇAMURLUK SİNYAL SAĞ ASTRA.J/K/İNS.BCROSSLAND.X/GRANDLAND.X/ZAFİRA.C</t>
  </si>
  <si>
    <t>OP.102</t>
  </si>
  <si>
    <t>1713005Y</t>
  </si>
  <si>
    <t>1713011WİSCO</t>
  </si>
  <si>
    <t>ÇAMURLUK SİNYALİ ASTRA.G SARI</t>
  </si>
  <si>
    <t>1713011Y</t>
  </si>
  <si>
    <t xml:space="preserve">1713240AKD </t>
  </si>
  <si>
    <t>ÇAMURLUK SİNYAL CORSA.C/COMBO.C</t>
  </si>
  <si>
    <t>OP154102</t>
  </si>
  <si>
    <t xml:space="preserve">1713240METTE </t>
  </si>
  <si>
    <t>754K4087</t>
  </si>
  <si>
    <t>1713400METTE</t>
  </si>
  <si>
    <t>ÇAMURLUK SİNYALİ ASTRA.G (BEYAZ)/FRONTERA.B 01&gt;</t>
  </si>
  <si>
    <t>754K4099</t>
  </si>
  <si>
    <t>1713400TAP</t>
  </si>
  <si>
    <t>TAP.1713400</t>
  </si>
  <si>
    <t>1713411METTE</t>
  </si>
  <si>
    <t xml:space="preserve">ÇAMURLUK SİNYALİ SARI CORSA.B/ASTRA.F </t>
  </si>
  <si>
    <t>293L3329</t>
  </si>
  <si>
    <t>1713423ALPER</t>
  </si>
  <si>
    <t>ÇAMURLUK SİNYAL SOL ASTRA.H/CORSA.D/E/İNSİGNİA.A</t>
  </si>
  <si>
    <t xml:space="preserve">ALPER </t>
  </si>
  <si>
    <t xml:space="preserve">1713423METTE </t>
  </si>
  <si>
    <t>293L3125</t>
  </si>
  <si>
    <t>1713423WAGENBURG</t>
  </si>
  <si>
    <t>OP.101</t>
  </si>
  <si>
    <t>1713424ALPER</t>
  </si>
  <si>
    <t>ÇAMURLUK SİNYAL SAĞ ASTRA.H/CORSA.D/E/İNSİGNİA.A</t>
  </si>
  <si>
    <t>1713424METTE</t>
  </si>
  <si>
    <t>293L3126</t>
  </si>
  <si>
    <t>1719245AKD</t>
  </si>
  <si>
    <t>DAVLUMBAZ KLİPSİ KALIN</t>
  </si>
  <si>
    <t>OP200100</t>
  </si>
  <si>
    <t>1723.R0</t>
  </si>
  <si>
    <t>TURBO ISI KALKANI ARKA DV4 1.4HDİ</t>
  </si>
  <si>
    <t>1723.Y4</t>
  </si>
  <si>
    <t>TURBO ISI KALKAN ÖN ALT DV4 1.4HDİ</t>
  </si>
  <si>
    <t>172436EUROSTAMP</t>
  </si>
  <si>
    <t xml:space="preserve">ÇAMURLUK AĞIZ BAKALİTİ ÖN SOL CORSA.C </t>
  </si>
  <si>
    <t>101.08.4300</t>
  </si>
  <si>
    <t>172436ROOT</t>
  </si>
  <si>
    <t>172437EUROSTAMP</t>
  </si>
  <si>
    <t xml:space="preserve">ÇAMURLUK AGIZ BAKALİTİ ÖN SAĞ CORSA.C </t>
  </si>
  <si>
    <t>101.08.4200</t>
  </si>
  <si>
    <t>172437ROOT</t>
  </si>
  <si>
    <t>172438ROOT</t>
  </si>
  <si>
    <t>ÇAMURLUK AĞIZ BAKALİT SOL ÖN CORSA.C (KISA TİP)</t>
  </si>
  <si>
    <t>172525ROOT</t>
  </si>
  <si>
    <t>ARKA ÇAMURLUK BANDI SOL CORSA.C 3KAPI</t>
  </si>
  <si>
    <t xml:space="preserve">172637ROOT </t>
  </si>
  <si>
    <t xml:space="preserve">ARKA ÇAMURLUK BANDI SAĞ CORSA.C 3KAPI </t>
  </si>
  <si>
    <t>172638ROOT</t>
  </si>
  <si>
    <t>SÜRGÜLÜ KAPI BANDI SAĞ COMBO.C</t>
  </si>
  <si>
    <t>172890ROOT</t>
  </si>
  <si>
    <t>ARKA ÇAMURLUK AGIZ BAKALİTİ SOL CORSA.C</t>
  </si>
  <si>
    <t>172894METTE</t>
  </si>
  <si>
    <t>ÇAMURLUK AĞIZ BAKALİTİ ARKA SAĞ COMBO.C</t>
  </si>
  <si>
    <t>754K4705</t>
  </si>
  <si>
    <t>172895METTE</t>
  </si>
  <si>
    <t>ÇAMURLUK AĞIZ BAKALİTİ ARKA SOL COMBO.C</t>
  </si>
  <si>
    <t>754K4704</t>
  </si>
  <si>
    <t>172900ROOT</t>
  </si>
  <si>
    <t xml:space="preserve">ÇAMURLUK AĞIZ BAKALİTİ ARKA SAĞ CORSA.C </t>
  </si>
  <si>
    <t>172901ROOT</t>
  </si>
  <si>
    <t xml:space="preserve">ÇAMURLUK AĞIZ BAKALİTİ ARKA SOL CORSA.C </t>
  </si>
  <si>
    <t>172951ROOT</t>
  </si>
  <si>
    <t>ÖN KAPI BANDI SOL ASTRA.G (ARMALI)</t>
  </si>
  <si>
    <t xml:space="preserve">172953ROOT </t>
  </si>
  <si>
    <t>ARKA KAPI BANDI SOL ASTRA.G</t>
  </si>
  <si>
    <t xml:space="preserve">172954ROOT </t>
  </si>
  <si>
    <t>ÖN KAPI BANDI SAĞ ASTRA.G (ARMALI)</t>
  </si>
  <si>
    <t xml:space="preserve">172958ROOT </t>
  </si>
  <si>
    <t>ARKA KAPI BANDI SAĞ ASTRA.G</t>
  </si>
  <si>
    <t xml:space="preserve">176276ASPART </t>
  </si>
  <si>
    <t>7SRL1001</t>
  </si>
  <si>
    <t>BAGAJ MENTEŞE YAYI ASTRA.G</t>
  </si>
  <si>
    <t>176413ASPART</t>
  </si>
  <si>
    <t>7GSP1025</t>
  </si>
  <si>
    <t>BAGAJ AMORTİSÖR CORSA.D 5KAPI</t>
  </si>
  <si>
    <t>176607TURKAS</t>
  </si>
  <si>
    <t>BAGAJ AMORTİSÖR VECTRA.C 520N</t>
  </si>
  <si>
    <t>TURKAS</t>
  </si>
  <si>
    <t>S188-00867</t>
  </si>
  <si>
    <t>176729Y</t>
  </si>
  <si>
    <t xml:space="preserve">BAGAJ KAPAK TUTAMAGI CORSA.D </t>
  </si>
  <si>
    <t>177227Y</t>
  </si>
  <si>
    <t>YAZI ASTRA (00-2008)</t>
  </si>
  <si>
    <t>1784030MTJ</t>
  </si>
  <si>
    <t>ANTEN ÇUBUĞU İNSİGNİA.A/CRUZE/ASTRA.J/AVEO T300/MOKKA</t>
  </si>
  <si>
    <t>MTJ</t>
  </si>
  <si>
    <t>1785642METTE</t>
  </si>
  <si>
    <t>TWEETER KAPAK SAĞ VECTRA.A</t>
  </si>
  <si>
    <t>754K4580</t>
  </si>
  <si>
    <t>1785643METTE</t>
  </si>
  <si>
    <t>TWEETER KAPAK SOL VECTRA.A</t>
  </si>
  <si>
    <t>754K4581</t>
  </si>
  <si>
    <t>1806.28MEHA</t>
  </si>
  <si>
    <t>MH13115</t>
  </si>
  <si>
    <t>MOTOR TAKOZ ÜST DESTEK 406/407 2.0HDİ</t>
  </si>
  <si>
    <t>1806.49RPR</t>
  </si>
  <si>
    <t>MOTOR TAKOZ ALT 106 96-02/PARTNER/BERLİNGO M59</t>
  </si>
  <si>
    <t>R51963</t>
  </si>
  <si>
    <t>1806.59ABRASSE</t>
  </si>
  <si>
    <t>MOTOR TAKOZ ARKA 03-07 207/C2/C3</t>
  </si>
  <si>
    <t>BRS-5103-PG</t>
  </si>
  <si>
    <t>1806.59GB</t>
  </si>
  <si>
    <t>MOTOR TAKOZ ARKA 03-07 207/C2/C3/301/C-ELYSEE</t>
  </si>
  <si>
    <t>GB</t>
  </si>
  <si>
    <t>1806.59KRAFTVOLL</t>
  </si>
  <si>
    <t xml:space="preserve">MOTOR TAKOZ ARKA 03-07 207/C2/C3/301/C-ELYSEE </t>
  </si>
  <si>
    <t xml:space="preserve">1806.59ÜÇEL </t>
  </si>
  <si>
    <t>1806.59YTT</t>
  </si>
  <si>
    <t>Y5190</t>
  </si>
  <si>
    <t>1806.A6ERASTECH</t>
  </si>
  <si>
    <t>MOTOR TAKOZ ARKA 207 07&gt;//C3 10&gt; 1.6 16V/1.6HDİ</t>
  </si>
  <si>
    <t>ERASTECH</t>
  </si>
  <si>
    <t>1806.A6KENTPAR</t>
  </si>
  <si>
    <t>152 T002 01</t>
  </si>
  <si>
    <t>1806.A6KRAFTVOLL</t>
  </si>
  <si>
    <t>1806.A6MEHA</t>
  </si>
  <si>
    <t>MH13116</t>
  </si>
  <si>
    <t>MEHA</t>
  </si>
  <si>
    <t>1806.A6RPR</t>
  </si>
  <si>
    <t>R52027</t>
  </si>
  <si>
    <t>1806.A6SWAPP</t>
  </si>
  <si>
    <t>1806.A6Y</t>
  </si>
  <si>
    <t>1806.A6YTT</t>
  </si>
  <si>
    <t>Y5444</t>
  </si>
  <si>
    <t>1806.H1RPR</t>
  </si>
  <si>
    <t>MOTOR TAKOZ ALT  CATAL 307/C4 1.4/1.6 16V</t>
  </si>
  <si>
    <t>R51835</t>
  </si>
  <si>
    <t>1806.H4RAPRO</t>
  </si>
  <si>
    <t>MOTOR TAKOZ ARKA 407/508/C5/EXPERT/SCUDO</t>
  </si>
  <si>
    <t>R54330</t>
  </si>
  <si>
    <t>1806116KALE</t>
  </si>
  <si>
    <t>KALORİFER RADYATÖR ASTRA.F BORULU TİP</t>
  </si>
  <si>
    <t>1806116NISSENS</t>
  </si>
  <si>
    <t>KALORİFER RADYATÖR BRAZİNG ASTRA.F BORULU TİP</t>
  </si>
  <si>
    <t>1807.56ABRASSE</t>
  </si>
  <si>
    <t>MOTOR TAKOZ ARKA 65mm 306/PARTNER</t>
  </si>
  <si>
    <t>BRS-51224-PG</t>
  </si>
  <si>
    <t>1807.56ÜÇEL</t>
  </si>
  <si>
    <t>1807.57KRAFTVOLL</t>
  </si>
  <si>
    <t>MOTOR TAKOZ ARKA 65mm 306/PARTNER(DIŞ PLASTİK)</t>
  </si>
  <si>
    <t>1807.57MEHA</t>
  </si>
  <si>
    <t>MH13202</t>
  </si>
  <si>
    <t>1807.57RPR</t>
  </si>
  <si>
    <t>MOTOR TAKOZ ARKA 65mm 206/307/308/PART./BERL./C4</t>
  </si>
  <si>
    <t>R59761</t>
  </si>
  <si>
    <t>1807.57RPR-P</t>
  </si>
  <si>
    <t>R59760</t>
  </si>
  <si>
    <t>1807.EVMEHA</t>
  </si>
  <si>
    <t>MH13107</t>
  </si>
  <si>
    <t>MOTOR TAKOZ SAĞ ÜST DV6TED4 307/308/TEPEE</t>
  </si>
  <si>
    <t>1807.GPKRAFTVOLL</t>
  </si>
  <si>
    <t>MOTOR TAKOZ SAĞ BİPPER/NEMO DV4TD 1.HDİ</t>
  </si>
  <si>
    <t>1807.GPMEHA</t>
  </si>
  <si>
    <t>MH10027</t>
  </si>
  <si>
    <t>MOTOR TAKOZ SAĞ BİPPER/NEMO DV4TD 1.4HDİ</t>
  </si>
  <si>
    <t>1807.GRGMY</t>
  </si>
  <si>
    <t>MOTOR TAKOZ SOL BİPPER/NEMO DV4TD 1.4HDİ</t>
  </si>
  <si>
    <t>GMY</t>
  </si>
  <si>
    <t>G10182-E</t>
  </si>
  <si>
    <t>1807.GRKRAFTVOLL</t>
  </si>
  <si>
    <t>1807.GWGB</t>
  </si>
  <si>
    <t>MOTOR TAKOZ SAĞ 301/C-ELYSEE/207/208/2008/C3 PİCASSO/ 07&gt; 1.6HDİ 07&gt;</t>
  </si>
  <si>
    <t>1807.GWLDM</t>
  </si>
  <si>
    <t>LDM</t>
  </si>
  <si>
    <t>1807.GWMEHA</t>
  </si>
  <si>
    <t>MH13135</t>
  </si>
  <si>
    <t>1807.GWRPR</t>
  </si>
  <si>
    <t>R51953</t>
  </si>
  <si>
    <t>1807.Q4GB</t>
  </si>
  <si>
    <t>MOTOR TAKOZ SAĞ 1.4HDİ DV4 307</t>
  </si>
  <si>
    <t>GBK</t>
  </si>
  <si>
    <t>GB14216</t>
  </si>
  <si>
    <t>1807.W6RPR</t>
  </si>
  <si>
    <t>MOTOR TAKOZ SAĞ 1007/C2/C3 02&gt; 1.4HDİ DV4</t>
  </si>
  <si>
    <t>R59843</t>
  </si>
  <si>
    <t>1807.W6SWAG</t>
  </si>
  <si>
    <t>1807.X2KRAFTVOLL</t>
  </si>
  <si>
    <t>MOTOR TAKOZ SAĞ 307/308/3008/5008/C4/PARTNER 1.6HDİ EURO4</t>
  </si>
  <si>
    <t>1807.X2LDM</t>
  </si>
  <si>
    <t>1807.X2RPR</t>
  </si>
  <si>
    <t>R59868</t>
  </si>
  <si>
    <t>1808020ERP</t>
  </si>
  <si>
    <t>POLEN FİLTRESİ ASTRA.K/MOKKA/İNSİGNİA.B/MERİVA.B +CA</t>
  </si>
  <si>
    <t>1808020MANN</t>
  </si>
  <si>
    <t>MANN FILTER</t>
  </si>
  <si>
    <t>CUK24003</t>
  </si>
  <si>
    <t>1808020Y</t>
  </si>
  <si>
    <t>POLEN FİLTRESİ ASTRA.K/MOKKA/İNSİGNİA.B/MERİVA.B</t>
  </si>
  <si>
    <t>1808020Y+CA</t>
  </si>
  <si>
    <t>POLEN FİLTRESİ ASTRA.K/MOKKA/İNSİGNİA.B +CA</t>
  </si>
  <si>
    <t>1808080KALE</t>
  </si>
  <si>
    <t>KALORİFER MOTOR VECTRA.A (KENDİNDEN REZİSTANSLI)</t>
  </si>
  <si>
    <t>KALORİFER MOTOR</t>
  </si>
  <si>
    <t>1808524Y</t>
  </si>
  <si>
    <t>POLEN FİLTRESİ İNSİGNİA.A/ASTRA.J/CRUZE</t>
  </si>
  <si>
    <t>SMART</t>
  </si>
  <si>
    <t>SMP-1202</t>
  </si>
  <si>
    <t>1808524Y+ALJ</t>
  </si>
  <si>
    <t>POLEN FİLTRESİ İNSİGNİA.A/ASTRA.J/CRUZE +CA ALERJENİK</t>
  </si>
  <si>
    <t>PURFLUX</t>
  </si>
  <si>
    <t>AHA286</t>
  </si>
  <si>
    <t>1808524Y+CA</t>
  </si>
  <si>
    <t>POLEN FİLTRESİ İNSİGNİA.A/ASTRA.J/CRUZE +CA</t>
  </si>
  <si>
    <t>1808607Y</t>
  </si>
  <si>
    <t>POLEN FİLTRESİ VECTRA.B/ASTRA.F</t>
  </si>
  <si>
    <t>1808610Y</t>
  </si>
  <si>
    <t xml:space="preserve">POLEN FİLTRESİ ASTRA.G/H </t>
  </si>
  <si>
    <t>SMP-12101</t>
  </si>
  <si>
    <t>1808610Y+CA</t>
  </si>
  <si>
    <t>POLEN FİLTRESİ ASTRA.G/H +CA</t>
  </si>
  <si>
    <t>SMP-1201K</t>
  </si>
  <si>
    <t>1808619KRAFTVOLL</t>
  </si>
  <si>
    <t>POLEN FİLTRESİ CORSA.C/VECTRA.C</t>
  </si>
  <si>
    <t>1808619Y</t>
  </si>
  <si>
    <t>SMP-1206</t>
  </si>
  <si>
    <t>1809.04ÜÇEL</t>
  </si>
  <si>
    <t>MOTOR TAKOZ ALT BURCU 106 96-02/PARTNER/BERLİNGO M59</t>
  </si>
  <si>
    <t>1809.21MEHA</t>
  </si>
  <si>
    <t>MH13200</t>
  </si>
  <si>
    <t>MOTOR TAKOZ ARKA 70mm PARTNER/307/206/405/406/XSARA</t>
  </si>
  <si>
    <t xml:space="preserve">1809.21ORJİN </t>
  </si>
  <si>
    <t>1809.21RPR</t>
  </si>
  <si>
    <t>R55130</t>
  </si>
  <si>
    <t>1809.21ÜÇEL</t>
  </si>
  <si>
    <t>1809.21YTT</t>
  </si>
  <si>
    <t>Y5269</t>
  </si>
  <si>
    <t>1809.33RPR</t>
  </si>
  <si>
    <t xml:space="preserve">MOTOR TAKOZ ARKA 307/308/406/407/PARTNER </t>
  </si>
  <si>
    <t>Y52140</t>
  </si>
  <si>
    <t>1809.44GB</t>
  </si>
  <si>
    <t xml:space="preserve">MOTOR TAKOZ ARKA 70mm 05&gt;308/3008/5008/C4/PARTNER </t>
  </si>
  <si>
    <t>GB 14118</t>
  </si>
  <si>
    <t>1809.44RPR</t>
  </si>
  <si>
    <t xml:space="preserve">MOTOR TAKOZ ARKA 70mm 05&gt;308/3008/5008/C4/PARTNER  </t>
  </si>
  <si>
    <t>R51884</t>
  </si>
  <si>
    <t>1809.44YTT</t>
  </si>
  <si>
    <t>Y5678</t>
  </si>
  <si>
    <t>1813.92MEHA</t>
  </si>
  <si>
    <t>MH13126</t>
  </si>
  <si>
    <t>MOTOR TAKOZ SOL 207/C2/C3/DS3</t>
  </si>
  <si>
    <t xml:space="preserve">1813.L2SWAG </t>
  </si>
  <si>
    <t xml:space="preserve">MOTOR TAKOZ SOL 1.2 EB2 207/208/2008/308 II/C3 II/C4 CACTUS/DS3 </t>
  </si>
  <si>
    <t>1814008KRAFTVOLL</t>
  </si>
  <si>
    <t>KALORİFER MUZULU CORSA.C/COMBO.C</t>
  </si>
  <si>
    <t>1814008Y</t>
  </si>
  <si>
    <t>754K4091</t>
  </si>
  <si>
    <t xml:space="preserve">1814938METTE </t>
  </si>
  <si>
    <t>HAVALANDIRMA MUZUL KAPAK VECTRA.A</t>
  </si>
  <si>
    <t>754K4553</t>
  </si>
  <si>
    <t>1814985CABU</t>
  </si>
  <si>
    <t>KALORİFER MUZULU SOL VECTRA.B</t>
  </si>
  <si>
    <t>1814985METTE</t>
  </si>
  <si>
    <t>KALORİFER MUZUL VECTRA.B SOL</t>
  </si>
  <si>
    <t>MTK-754K4218</t>
  </si>
  <si>
    <t>1814986METTE</t>
  </si>
  <si>
    <t>KALORİFER MUZUL VECTRA.B SAĞ+ORTA</t>
  </si>
  <si>
    <t>MTK-754K4217</t>
  </si>
  <si>
    <t>1818074GROS</t>
  </si>
  <si>
    <t>KALORİFER ÇIKIŞ HORTUM VECTRA.A 88-95</t>
  </si>
  <si>
    <t>T10817</t>
  </si>
  <si>
    <t>1818085YTT</t>
  </si>
  <si>
    <t>KALORİFER ÇIKIŞ HORTUM VECTRA.A/ASTRA.F</t>
  </si>
  <si>
    <t>Y10812</t>
  </si>
  <si>
    <t>1818195İBRAS</t>
  </si>
  <si>
    <t>KALORİFER ÇIKIŞ HORTUM ASTRA.F 92-98 1.6 8V</t>
  </si>
  <si>
    <t>1818243İBRAS</t>
  </si>
  <si>
    <t>KALORİFER GİRİŞ HORTUM CORSA.B 1.2/1.4 8V</t>
  </si>
  <si>
    <t>1818254YTT</t>
  </si>
  <si>
    <t>KALORİFER GİRİŞ HORTUM CORSA.B 93-00</t>
  </si>
  <si>
    <t>Y10545</t>
  </si>
  <si>
    <t xml:space="preserve">1818255İBRAS </t>
  </si>
  <si>
    <t>KALORİFER ÇIKIŞ HORTUM CORSA.B/TİGRA.B X14XE/X16XE/C16XE</t>
  </si>
  <si>
    <t>1818479İBRAS</t>
  </si>
  <si>
    <t>KALORİFER GİRİŞ HORTUM CORSA.D A12XER/A14XER</t>
  </si>
  <si>
    <t>1818479KRAFTVOLL</t>
  </si>
  <si>
    <t>1818479NİFEA</t>
  </si>
  <si>
    <t xml:space="preserve">1818493ASPART </t>
  </si>
  <si>
    <t>6HOS1791</t>
  </si>
  <si>
    <t>KALORİFER GİRİŞ HORTUM ASTRA.J A14NET</t>
  </si>
  <si>
    <t>1818493RAPRO</t>
  </si>
  <si>
    <t>R18285</t>
  </si>
  <si>
    <t>KALORİFER ÇIKIS HORTUM ASTRA.J A14NET</t>
  </si>
  <si>
    <t>1818499RPR</t>
  </si>
  <si>
    <t>R18284</t>
  </si>
  <si>
    <t>1818503İBRAS</t>
  </si>
  <si>
    <t>KALORİFER GİRİŞ HORTUM ASTRA.G/ZAFİRA.A</t>
  </si>
  <si>
    <t>1818503RPR</t>
  </si>
  <si>
    <t>R18404</t>
  </si>
  <si>
    <t>1818555İBRAS</t>
  </si>
  <si>
    <t>KALORİFER ÇIKIŞ HORTUM CORSA.D A12XER/A14XER/A12XEL/A14XEL</t>
  </si>
  <si>
    <t>1818555KRAFTVOLL</t>
  </si>
  <si>
    <t>1818555NİFEA</t>
  </si>
  <si>
    <t>1818563İBRAS</t>
  </si>
  <si>
    <t xml:space="preserve">SU DAGITIM BORUSU ARKA AHTAPOT ASTRA.F/CORSA.B X14XE/X16XE </t>
  </si>
  <si>
    <t>1818563RPR</t>
  </si>
  <si>
    <t>R18254</t>
  </si>
  <si>
    <t>1818563YTT</t>
  </si>
  <si>
    <t>Y10597</t>
  </si>
  <si>
    <t>1818580RPR</t>
  </si>
  <si>
    <t xml:space="preserve">KALORİFER GİRİŞ HORTUM ASTRA.F/VECTRA.A 1.8/2.0 8V </t>
  </si>
  <si>
    <t>R18102</t>
  </si>
  <si>
    <t>1818580YTT</t>
  </si>
  <si>
    <t>Y10513</t>
  </si>
  <si>
    <t>KALORİFER GİRİŞ HORTUM İNSİGNİA.A A16XER/A16LET</t>
  </si>
  <si>
    <t>1818592UCPA</t>
  </si>
  <si>
    <t>KALORİFER GİRİŞ HORTUM İNSİGNİA.A A20DTH</t>
  </si>
  <si>
    <t>22H133318</t>
  </si>
  <si>
    <t>KALORİFER ÇIKIŞ HORTUM İNSİGNİA.A A16XER/A16LET</t>
  </si>
  <si>
    <t>KALORİFER GİRİŞ HORTUM ASTRA.J A16XER/A16LET</t>
  </si>
  <si>
    <t>1818600İBRAS</t>
  </si>
  <si>
    <t>1818600YTT</t>
  </si>
  <si>
    <t>Y11741</t>
  </si>
  <si>
    <t xml:space="preserve">1818601İBRAS </t>
  </si>
  <si>
    <t>KALORİFER ÇIKIS HORTUM ASTRA.J A16XER/A16LET</t>
  </si>
  <si>
    <t>1818601KRAFTVOLL</t>
  </si>
  <si>
    <t xml:space="preserve">KALORİFER ÇIKIS HORTUM ASTRA.J A16XER/A16LET </t>
  </si>
  <si>
    <t>1820013Y</t>
  </si>
  <si>
    <t>KALORİFER MUSLUĞU VECTRA.A/ASTRA.F/CORSA.B 2ÇIKIŞ</t>
  </si>
  <si>
    <t>1820014AKD</t>
  </si>
  <si>
    <t>KALORİFER MUSLUK VECTRA.B/CORSA.B 3ÇIKIŞ</t>
  </si>
  <si>
    <t>OP135100</t>
  </si>
  <si>
    <t>1820014TOPRAN</t>
  </si>
  <si>
    <t>1822881METTE</t>
  </si>
  <si>
    <t>HAVA SİRKÜLASYON DÜĞME CORSA.B/TİGRA.B</t>
  </si>
  <si>
    <t>754K4343</t>
  </si>
  <si>
    <t>1826357ERP</t>
  </si>
  <si>
    <t>KIZDIRMA BUJİ A13DTE EURO5</t>
  </si>
  <si>
    <t xml:space="preserve">1826357SVAC </t>
  </si>
  <si>
    <t>SV168</t>
  </si>
  <si>
    <t>182753ROOT</t>
  </si>
  <si>
    <t>YAKIT DEPO DIŞ KAPAK CORSA.C</t>
  </si>
  <si>
    <t>1830041568M</t>
  </si>
  <si>
    <t xml:space="preserve">EKSANTRİK SETİ OPEL </t>
  </si>
  <si>
    <t>1839.J1MEHA</t>
  </si>
  <si>
    <t>MH13112</t>
  </si>
  <si>
    <t>MOTOR TAKOZ SAĞ 307/308/C4 TU5JP4 BE4R 1.6 16V</t>
  </si>
  <si>
    <t>1843.95ÜÇEL</t>
  </si>
  <si>
    <t>MOTOR TAKOZ SOL 106/306</t>
  </si>
  <si>
    <t>1844.36SWAG</t>
  </si>
  <si>
    <t>MOTOR TAKOZ SOL 306/307/308/PARTNER DW8</t>
  </si>
  <si>
    <t>1844.36YTT</t>
  </si>
  <si>
    <t>Y5180</t>
  </si>
  <si>
    <t>1844.42RPR</t>
  </si>
  <si>
    <t>MOTOR TAKOZ SAĞ &lt;98 106/306/405</t>
  </si>
  <si>
    <t>R59637</t>
  </si>
  <si>
    <t>1844.51ERASTECH</t>
  </si>
  <si>
    <t>MOTOR TAKOZ SOL 106/206/306/307/308/C4/PARTNER/BERLİNGO</t>
  </si>
  <si>
    <t>1844.51YTT</t>
  </si>
  <si>
    <t>Y5309</t>
  </si>
  <si>
    <t>1844.54RPR</t>
  </si>
  <si>
    <t>R59624</t>
  </si>
  <si>
    <t>1844.58RPR</t>
  </si>
  <si>
    <t>MOTOR TAKOZ SAĞ 106/SAXO/PARTNER/BERLİNGO</t>
  </si>
  <si>
    <t>R59655</t>
  </si>
  <si>
    <t>1844.68ÜÇEL</t>
  </si>
  <si>
    <t>MOTOR TAKOZ SOL 308/3008/5008/EXPERT/406</t>
  </si>
  <si>
    <t>1844.77FKK</t>
  </si>
  <si>
    <t>MOTOR TAKOZ YAĞLI SAĞ PARTNER/106/206/306/406/XSARA/ &lt;98</t>
  </si>
  <si>
    <t>FKK</t>
  </si>
  <si>
    <t>1844.77GLOBAL</t>
  </si>
  <si>
    <t>KRB13725</t>
  </si>
  <si>
    <t>1844.77RPR</t>
  </si>
  <si>
    <t>R55157</t>
  </si>
  <si>
    <t>1844.A2FEBİ</t>
  </si>
  <si>
    <t>MOTOR TAKOZ SAĞ ÜST 99&gt; 206/206+ T3E</t>
  </si>
  <si>
    <t>1844.A7YTT</t>
  </si>
  <si>
    <t>MOTOR TAKOZ SOL PARTNER/BERLİNGO M49/M59</t>
  </si>
  <si>
    <t>Y5443</t>
  </si>
  <si>
    <t>1844.C6MAXİ</t>
  </si>
  <si>
    <t>ŞANZUMAN TAKOZ ARKA BİPPER/NEMO DV4 1.4HDİ</t>
  </si>
  <si>
    <t>MAXİ</t>
  </si>
  <si>
    <t>1844.C7</t>
  </si>
  <si>
    <t>MOTOR TAKOZ ARKA BİPPER/NEMO 1.4HDİ</t>
  </si>
  <si>
    <t>1844.C7YTT</t>
  </si>
  <si>
    <t>Y5632</t>
  </si>
  <si>
    <t>1845021KRAFTVOLL</t>
  </si>
  <si>
    <t>KALORİFER MOTOR ASTRA.F</t>
  </si>
  <si>
    <t>1845080ITHAL</t>
  </si>
  <si>
    <t>KALORİFER MOTOR VECTRA.C</t>
  </si>
  <si>
    <t>1845105CADİC</t>
  </si>
  <si>
    <t>KALORİFER MOTOR ASTRA.J/ZAFİRA.C/CASCADA</t>
  </si>
  <si>
    <t>CADİC</t>
  </si>
  <si>
    <t>1845112CADİC</t>
  </si>
  <si>
    <t>KALORİFER MOTOR CORSA.D/E/ADAM/BİPPER/NEMO</t>
  </si>
  <si>
    <t xml:space="preserve">CADİC </t>
  </si>
  <si>
    <t>1845133CADİC</t>
  </si>
  <si>
    <t>1845781MARELLİ</t>
  </si>
  <si>
    <t>KALORİFER REZİSTANS CORSA.C</t>
  </si>
  <si>
    <t xml:space="preserve">1845781METTE </t>
  </si>
  <si>
    <t>KALORİFER REZİSTANS CORSA.C/COMBO.C</t>
  </si>
  <si>
    <t>651D5168</t>
  </si>
  <si>
    <t>1845785MARELLİ</t>
  </si>
  <si>
    <t>KALORİFER REZİSTANS ASTRA.F/VECTRA.A 7PİN</t>
  </si>
  <si>
    <t>1845791AKD</t>
  </si>
  <si>
    <t>KALORİFER REZİSTANS ASTRA.F/VECTRA.A 5+2</t>
  </si>
  <si>
    <t>OP107100</t>
  </si>
  <si>
    <t>1845791HELLUX</t>
  </si>
  <si>
    <t>HLR.7150</t>
  </si>
  <si>
    <t>1845791SAGEM</t>
  </si>
  <si>
    <t>KALORİFER REZİSTANS ASTRA.F 95&gt;/VECTRA.A 5+2</t>
  </si>
  <si>
    <t>1845793METTE</t>
  </si>
  <si>
    <t>KALORİFER REZİSTANS VECTRA.B</t>
  </si>
  <si>
    <t>651D5136</t>
  </si>
  <si>
    <t>1846201FAE</t>
  </si>
  <si>
    <t>FAN MÜŞÜR CORSA.B (KABLOLU) 1.2/1.4 8V/16V</t>
  </si>
  <si>
    <t xml:space="preserve">1850074KALE </t>
  </si>
  <si>
    <t>KLİMA RADYATÖR ASTRA.G/ZAFİRA.A</t>
  </si>
  <si>
    <t>1850074ORİS</t>
  </si>
  <si>
    <t>KLİMA RADYATÖR ASTRA.G X14XE/Z14XE/X16XE/Z16XE</t>
  </si>
  <si>
    <t>COP897016</t>
  </si>
  <si>
    <t>1850089KALE</t>
  </si>
  <si>
    <t xml:space="preserve">KLİMA RADYATÖR CORSA.C Y17DT </t>
  </si>
  <si>
    <t>1850093ERP</t>
  </si>
  <si>
    <t>KLİMA RADYATÖR CORSA.C/COMBO.C Z13DT/Z17DTH/TİGRA.B Z13DT</t>
  </si>
  <si>
    <t xml:space="preserve">1850096ASPART </t>
  </si>
  <si>
    <t>6CAC1080</t>
  </si>
  <si>
    <t>KLİMA RADYATÖR ASTRA.H/ZAFİRA.B Z14XEP/Z16XEP/A16XER</t>
  </si>
  <si>
    <t>1850096ERP</t>
  </si>
  <si>
    <t xml:space="preserve">KLİMA RADYATÖR ASTRA.H/ZAFİRA.B Z14XEP/Z16XEP/A16XER </t>
  </si>
  <si>
    <t>1850099ASPART</t>
  </si>
  <si>
    <t>6CAC1078</t>
  </si>
  <si>
    <t>KLİMA RADYATÖR ASTRA.H 07&gt; Z13DTH/Z17DTJ</t>
  </si>
  <si>
    <t>1850134ERP</t>
  </si>
  <si>
    <t>KLİMA RADYATÖR İNSİGNİA.A A16XER/A16LET/B16DTH/A20DTH</t>
  </si>
  <si>
    <t>1850219ASPART</t>
  </si>
  <si>
    <t>6CAC1082</t>
  </si>
  <si>
    <t>KLİMA RADYATÖR ASTRA.J 10-12/CRUZE J300 09-</t>
  </si>
  <si>
    <t>1850219MOCA</t>
  </si>
  <si>
    <t>ACCN1271</t>
  </si>
  <si>
    <t>1850219NİSSENS</t>
  </si>
  <si>
    <t>1850220ERP</t>
  </si>
  <si>
    <t>KLİMA RADYATÖR ASTRA.J 10&gt; A14NET/A16XER//ZAFİRA.C 12&gt;A14NET/A20DTH//İNSİGNİA.A A14NET</t>
  </si>
  <si>
    <t>1850277ERP</t>
  </si>
  <si>
    <t>KLİMA RADYATÖR CORSA.D Z13DT/A13DTE</t>
  </si>
  <si>
    <t>1850277MGA</t>
  </si>
  <si>
    <t>1850742ERP</t>
  </si>
  <si>
    <t>KLİMA RADYATÖR CORSA.E/ADAM 1.0/1.4T/A13DTC</t>
  </si>
  <si>
    <t>1854172DELPHİ</t>
  </si>
  <si>
    <t>KLİMA KOMPRESÖR ASTRA.H/ZAFİRA.B Z16XEP</t>
  </si>
  <si>
    <t>TSP0155449</t>
  </si>
  <si>
    <t>1854421ASPART</t>
  </si>
  <si>
    <t>8DGP1124</t>
  </si>
  <si>
    <t>V KAYIŞ GERGİ RULMAN SABİT Y17DT</t>
  </si>
  <si>
    <t>1854421BESCHER</t>
  </si>
  <si>
    <t xml:space="preserve">V KAYIŞ GERGİ RULMAN SABİT Y17DT </t>
  </si>
  <si>
    <t>BESCHER</t>
  </si>
  <si>
    <t>BSC 854427</t>
  </si>
  <si>
    <t>1854421BMS</t>
  </si>
  <si>
    <t>BMS 462</t>
  </si>
  <si>
    <t xml:space="preserve">1854740ASPART </t>
  </si>
  <si>
    <t>8DG1125</t>
  </si>
  <si>
    <t xml:space="preserve">V KAYIŞ GERGİ RULMAN İNSİGNİA.A A20DTH SABİT OLAN     </t>
  </si>
  <si>
    <t xml:space="preserve">1854740BMS </t>
  </si>
  <si>
    <t xml:space="preserve">V KAYIŞ GERGİ RULMAN İNSİGNİA.A A20DTH SABİT OLAN </t>
  </si>
  <si>
    <t>1901.85UFİ</t>
  </si>
  <si>
    <t>MAZOT FİLTRESİ (ISITICI MÜŞÜRLÜ) DV4 1.4HDİ</t>
  </si>
  <si>
    <t>UFİ</t>
  </si>
  <si>
    <t>1901.95</t>
  </si>
  <si>
    <t>MAZOT FİLTRE DV6 1.6HDİ EURO4</t>
  </si>
  <si>
    <t>1901.95DELPHİ</t>
  </si>
  <si>
    <t>HDF939</t>
  </si>
  <si>
    <t>1901.95ERP</t>
  </si>
  <si>
    <t>E148068</t>
  </si>
  <si>
    <t>1901.95MANN</t>
  </si>
  <si>
    <t>WK939/2Z</t>
  </si>
  <si>
    <t>1901.95PURFLUX</t>
  </si>
  <si>
    <t>FCS710</t>
  </si>
  <si>
    <t>1901.95SARDES</t>
  </si>
  <si>
    <t>SF169</t>
  </si>
  <si>
    <t>1901.95WUNDER</t>
  </si>
  <si>
    <t>WB408</t>
  </si>
  <si>
    <t>1901.97</t>
  </si>
  <si>
    <t>MAZOT FİLTRESİ KOMPLE DV6 EURO5</t>
  </si>
  <si>
    <t>1901.97TEKABRASSE</t>
  </si>
  <si>
    <t xml:space="preserve">MAZOT FİLTRE MÜŞÜR DV6C EURO5 </t>
  </si>
  <si>
    <t>BRS-90197-PG</t>
  </si>
  <si>
    <t>1901.99</t>
  </si>
  <si>
    <t>MAZOT FİLTREİ 1.4HDİ DV4 EURO4</t>
  </si>
  <si>
    <t xml:space="preserve">1901.99ERP </t>
  </si>
  <si>
    <t>E148123</t>
  </si>
  <si>
    <t>1901.99FİLTRON</t>
  </si>
  <si>
    <t>MAZOT FİLTREİ 1.4HDİ DV4 EURO4 (ISITICI MÜŞÜR ÜSTÜNDE)</t>
  </si>
  <si>
    <t>PS974</t>
  </si>
  <si>
    <t>1901.99FROWAS</t>
  </si>
  <si>
    <t>1901.99LUCAS</t>
  </si>
  <si>
    <t>LFDF116</t>
  </si>
  <si>
    <t xml:space="preserve">1901.99SARDES </t>
  </si>
  <si>
    <t>SF196</t>
  </si>
  <si>
    <t>1901.99UFI</t>
  </si>
  <si>
    <t>UFI</t>
  </si>
  <si>
    <t>1904.26BİT</t>
  </si>
  <si>
    <t>BPE259012</t>
  </si>
  <si>
    <t>MAZOT FİLTRE KELEPÇESİ DW8 PARTNER/BERLİNGO</t>
  </si>
  <si>
    <t xml:space="preserve">1906.66SARDES </t>
  </si>
  <si>
    <t>SF143</t>
  </si>
  <si>
    <t>MAZOT FİLTRESİ DUCATO/BOXER/JUMPER 02&gt; 2.8HDİ</t>
  </si>
  <si>
    <t>1906.A6ERP</t>
  </si>
  <si>
    <t>MAZOT FİLTRE DW10 2.0HDİ PARTNER/BERLİNGO 96&gt;</t>
  </si>
  <si>
    <t>E148135</t>
  </si>
  <si>
    <t>1906.A6SARDES</t>
  </si>
  <si>
    <t>SF154</t>
  </si>
  <si>
    <t>1906.A9BOSCH</t>
  </si>
  <si>
    <t>MAZOT FİLTRE DW8 PARTNER/BERLİNGO</t>
  </si>
  <si>
    <t>1906.A9DELPHİ</t>
  </si>
  <si>
    <t>HDF514</t>
  </si>
  <si>
    <t>1906.A9MANDO</t>
  </si>
  <si>
    <t xml:space="preserve">MANDO </t>
  </si>
  <si>
    <t>MMF035040</t>
  </si>
  <si>
    <t>1906.C0</t>
  </si>
  <si>
    <t>MAZOT FİLTRE DW10TED4 PARTNER/C5</t>
  </si>
  <si>
    <t>1906C0</t>
  </si>
  <si>
    <t>1906.E6</t>
  </si>
  <si>
    <t>MAZOT FİLTRE 1.6HDİ EURO5</t>
  </si>
  <si>
    <t>1906.E6DELPHİ</t>
  </si>
  <si>
    <t>HDF625</t>
  </si>
  <si>
    <t>1906.E6ERP</t>
  </si>
  <si>
    <t>1906.E6EUROFİL</t>
  </si>
  <si>
    <t>EFF259480</t>
  </si>
  <si>
    <t>1906.E6LUCAS</t>
  </si>
  <si>
    <t>LFDF124</t>
  </si>
  <si>
    <t>1906.E6PHAFF</t>
  </si>
  <si>
    <t>DF745</t>
  </si>
  <si>
    <t>1906.E6PURFLUX</t>
  </si>
  <si>
    <t>CS762</t>
  </si>
  <si>
    <t>1906.E6SMF</t>
  </si>
  <si>
    <t>6680SM</t>
  </si>
  <si>
    <t>1911.44PURFLUX</t>
  </si>
  <si>
    <t>MAZOT FİLTRESİ KOMPLE PARTNER/BERLİNGO DW8 1.9D</t>
  </si>
  <si>
    <t>FC446</t>
  </si>
  <si>
    <t>1920.1HMARELLİ</t>
  </si>
  <si>
    <t>GAZ KELEBEK POTANSİYOMETRE 1.4/1.6 8V</t>
  </si>
  <si>
    <t>1920.3FFAE</t>
  </si>
  <si>
    <t>HARARET MÜŞÜR 106/206/306 TU1JP/TU3JP/TU5JP/TU3A</t>
  </si>
  <si>
    <t>1920.4GFAE</t>
  </si>
  <si>
    <t>EMME HAVA SICAKLIK SENSÖR C4/C5/206/307/306 2.0 16V EW10A/EW10J4</t>
  </si>
  <si>
    <t>1920.6WMGA</t>
  </si>
  <si>
    <t>ROLANTİ MOTOR TU3JP 106/206/306/XSARA 1.4 8V</t>
  </si>
  <si>
    <t>1920.6WSAGEM</t>
  </si>
  <si>
    <t>1920.7NBOSCH</t>
  </si>
  <si>
    <t>KRANK DEVİR SENSÖR DW10 2.0HDİ 99&gt;</t>
  </si>
  <si>
    <t>1920.AVDELPHİ</t>
  </si>
  <si>
    <t>KRANK DEVİR SENSÖR 206/306/307/C3/C4 1.4/1.6 16V</t>
  </si>
  <si>
    <t>SS10748-12B1</t>
  </si>
  <si>
    <t>1920.AVFAE</t>
  </si>
  <si>
    <t>1920.AWDELPHİ</t>
  </si>
  <si>
    <t>KRANK DEVİR SENSÖR EP3/EP6/ET3J4/TU3 1.4/1.6 16V</t>
  </si>
  <si>
    <t>SS10747-12B1</t>
  </si>
  <si>
    <t>1920.EHDELPHİ</t>
  </si>
  <si>
    <t>KRANK DEVİR SENSÖR 1.4/1.6 HDİ DV4/DV6</t>
  </si>
  <si>
    <t>SS10746-12B1</t>
  </si>
  <si>
    <t>1920.EHFACET</t>
  </si>
  <si>
    <t>1920.EHFAE</t>
  </si>
  <si>
    <t>1920.EJFACET</t>
  </si>
  <si>
    <t>EKSANTRİK DEVİR SENSÖR DV4 1.4HDİ</t>
  </si>
  <si>
    <t>1920.EJHERTH+BUSS</t>
  </si>
  <si>
    <t>1920.ENBOSCH</t>
  </si>
  <si>
    <t xml:space="preserve">KRANK DEVİR SENSÖR 406/407PARTNER/BERLİNGO DW10/EW10 2.0HDİ </t>
  </si>
  <si>
    <t>1920.GFFAE</t>
  </si>
  <si>
    <t>HAVA SICAKLIK SENSÖR(TURBO BORU ÜST) DV4 1.4HDİ</t>
  </si>
  <si>
    <t>1920.GGPIERBURG</t>
  </si>
  <si>
    <t>HAVA DEBİMETRE 207/BİPPER/NEMO/FİESTA 1.4HDİ EURO5</t>
  </si>
  <si>
    <t>7.22184.29.0</t>
  </si>
  <si>
    <t>1920.GHFACET</t>
  </si>
  <si>
    <t>EMME MANİFOLT MAP SENSÖR 1.4HDİ DV4 206/BİPPER/FİESTA/207</t>
  </si>
  <si>
    <t>1920.K9</t>
  </si>
  <si>
    <t>HARARET MÜŞÜR YEŞİL DW8/DW10/1.4/1.6/1.8/2.0 16V</t>
  </si>
  <si>
    <t>1920.LV</t>
  </si>
  <si>
    <t>KRANK DEVİR SENSÖR DUCATO II 06&gt;BOXER 06&gt;/JUMPER III/TRANSIT V184 2.2HDİ</t>
  </si>
  <si>
    <t xml:space="preserve">1920.PJFACET </t>
  </si>
  <si>
    <t>HAVA SICAKLIK SENSÖR DV4/DV6/DW10</t>
  </si>
  <si>
    <t>1920.PWBOSCH</t>
  </si>
  <si>
    <t>KRANK DEVİR SENSÖR DV6C/DV6TED4</t>
  </si>
  <si>
    <t>1920.PWFACET</t>
  </si>
  <si>
    <t>1920.W9DELPHİ</t>
  </si>
  <si>
    <t>KRANK DEVİR SENSÖR BOXER/DUCATO 2.0/306 1.8/</t>
  </si>
  <si>
    <t>SS10736-12B1</t>
  </si>
  <si>
    <t>1929100BLUEPRİNT</t>
  </si>
  <si>
    <t>DEBRİYAJ SETİ A14NET/B14NET</t>
  </si>
  <si>
    <t>ADW193088</t>
  </si>
  <si>
    <t>19370704ASPART</t>
  </si>
  <si>
    <t>9CLE1008</t>
  </si>
  <si>
    <t>BALATA SPREY 500ml.</t>
  </si>
  <si>
    <t>19370704Y</t>
  </si>
  <si>
    <t>1942058BOSCH</t>
  </si>
  <si>
    <t>FREN HİDROLİK DOT 4 SARI 500GR</t>
  </si>
  <si>
    <t>1982.60</t>
  </si>
  <si>
    <t>P198260</t>
  </si>
  <si>
    <t>ENJEKTÖR KÜTÜK CONTA DW10(2.0HDİ)</t>
  </si>
  <si>
    <t>1982.73</t>
  </si>
  <si>
    <t>ENJEKTÖR SAPLAMA VİDASI DV4 1.4HDİ</t>
  </si>
  <si>
    <t>1982.73BETTO</t>
  </si>
  <si>
    <t>B20239</t>
  </si>
  <si>
    <t>1982.83BİT</t>
  </si>
  <si>
    <t>BPE259036</t>
  </si>
  <si>
    <t xml:space="preserve">ENJEKTÖR KÜTÜK VİDASI DV6TED4 </t>
  </si>
  <si>
    <t>1982.83BİT(TK)</t>
  </si>
  <si>
    <t>BPE259025</t>
  </si>
  <si>
    <t>ENJEKTÖR CONTA TAKIM+SAPLAMA DV6TED4 1.6HDİ</t>
  </si>
  <si>
    <t>1982.99ERL</t>
  </si>
  <si>
    <t>ENJEKTÖR KEÇE PUL ORİNG SPLAMA TAKIM DV6 EURO4 110HP</t>
  </si>
  <si>
    <t>ERL</t>
  </si>
  <si>
    <t>1982.99</t>
  </si>
  <si>
    <t>1982.G5</t>
  </si>
  <si>
    <t>ENJEKTÖR BAĞLANTI VİDASI DV4C/DV6C EURO5</t>
  </si>
  <si>
    <t>1982.G6BİT</t>
  </si>
  <si>
    <t>BPE2590B6</t>
  </si>
  <si>
    <t>ENJEKTÖR KEÇE PUL ORİNG TAKIM DV6C EURO5</t>
  </si>
  <si>
    <t>1984.E0MARELLİ</t>
  </si>
  <si>
    <t xml:space="preserve">BENZİN ENJEKTÖRÜ TU3JP 1.4 106/206/306/307/C2/C3 </t>
  </si>
  <si>
    <t>1984.G0FROWAS</t>
  </si>
  <si>
    <t>ENJEKTÖR TU3A 1.4 8V</t>
  </si>
  <si>
    <t>199127METTE</t>
  </si>
  <si>
    <t>AIRBAG ZEMBEREĞİ CORSA.C</t>
  </si>
  <si>
    <t>683R6384</t>
  </si>
  <si>
    <t>199187K-METTE</t>
  </si>
  <si>
    <t>AIRBAG KAPAĞI ASTRA.G TIRNAKSIZ (YENİ MODEL)</t>
  </si>
  <si>
    <t>754K4029</t>
  </si>
  <si>
    <t>1K0199262CN-MGA</t>
  </si>
  <si>
    <t>MOTOR TAKOZ SAĞ GOLF VI/JETTA III/PASSAT/A3/LEON/OCTAVİA/SUPERB 1.6TDİ/2.0TDİ</t>
  </si>
  <si>
    <t>1K0199855L-KRAFTVOLL</t>
  </si>
  <si>
    <t>ŞANZUMAN ALT TAKOZ A3/GOLF V/LEON</t>
  </si>
  <si>
    <t>1K0199867A-KRAFTVOLL</t>
  </si>
  <si>
    <t>ŞANZUMAN TRAVES TAKOZ ALT GOLF V/CADDY III/JETTA III/OCTAVİA II 1.6/2.0 FSİ</t>
  </si>
  <si>
    <t>1K0199868A-KRAFTVOLL</t>
  </si>
  <si>
    <t>ŞANZUMAN TRAVES TAKOZ ÜST GOLF V/CADDY III/JETTA III/OCTAVİA II 1.6/2.0 FSİ</t>
  </si>
  <si>
    <t>1K0513029CE-VOTTO</t>
  </si>
  <si>
    <t>ARKA AMORTİSÖR GOLF V/JETTA/PASSAT/CADDY/LEON</t>
  </si>
  <si>
    <t>VOT-A-1501-G</t>
  </si>
  <si>
    <t>1K1614106AA-ADLER</t>
  </si>
  <si>
    <t>WESTİNGHOUSE+DEPO+MERKEZ+MÜŞÜR KOMPLE (1K1614019K) JETTA-</t>
  </si>
  <si>
    <t>ADL-AD-VW-10467</t>
  </si>
  <si>
    <t>1K1614106AA-ATE</t>
  </si>
  <si>
    <t>WESTİNGHOUSE (1K1614019K) JETTA-</t>
  </si>
  <si>
    <t>ATE</t>
  </si>
  <si>
    <t>2041.64SKF</t>
  </si>
  <si>
    <t>DEBRİYAJ RULMAN PARTNER/306/206 (KULAKLI)</t>
  </si>
  <si>
    <t>VKC2516</t>
  </si>
  <si>
    <t>2041.94SKF</t>
  </si>
  <si>
    <t>DEBRİYAJ RULMAN C4/C5/307/308/PARTNER/BERLİNGO 1.6HDİ/2.0HDİ</t>
  </si>
  <si>
    <t>VKBC2523</t>
  </si>
  <si>
    <t>2041.A3</t>
  </si>
  <si>
    <t>DEBRİYAJ HİDROLİK RULMAN +ELEKT. OTO 3008/2008/TEPEE/208/308/508/DS3/DS5</t>
  </si>
  <si>
    <t>2041.A9BLUEPRİNT</t>
  </si>
  <si>
    <t>DEBRİYAJ RULMAN BOXER III/JUMPER III 06&gt; 2.2HDİ EURO4/5/6</t>
  </si>
  <si>
    <t>ADL143309</t>
  </si>
  <si>
    <t>2050.88MAPA</t>
  </si>
  <si>
    <t>DEBRİYAJ SET 106/206/306/XSARA 1.6 TU5JP/TU3A</t>
  </si>
  <si>
    <t>2050.Q7LUK</t>
  </si>
  <si>
    <t>DEBRİYAJ SET 1.1/1.4 16V/ 1.6 16V 307/C2/C3/C4</t>
  </si>
  <si>
    <t>2050.R3VALEO</t>
  </si>
  <si>
    <t xml:space="preserve">DEBRİYAJ SET 1.1/1.4 16V/ 1.6 16V 307/C2/C3/C4 </t>
  </si>
  <si>
    <t>2050.R7OPAR</t>
  </si>
  <si>
    <t>DEBRİYAJ SETİ TU5JP4 1.6 16V MA ŞNZ 307/206/301</t>
  </si>
  <si>
    <t>2050.R7SACHS</t>
  </si>
  <si>
    <t xml:space="preserve">DEBRİYAJ SETİ TU5JP4 1.6 16V MA ŞNZ 307/206/301 </t>
  </si>
  <si>
    <t>SACHS</t>
  </si>
  <si>
    <t>2050.W7ERP</t>
  </si>
  <si>
    <t>DEBRİYAJ SETİ 1.6 8V/16V 106/206/306/ GTİ TU5JP</t>
  </si>
  <si>
    <t>2052.86ERP</t>
  </si>
  <si>
    <t>DEBRİYAJ SETİ 106/206/306 TU3JP 1.4 8V</t>
  </si>
  <si>
    <t>2052.86VALEO</t>
  </si>
  <si>
    <t>2052.E4VALEO</t>
  </si>
  <si>
    <t>DEBRİYAJ SET PARTNER/BERLİNGO XUD9 1.9D YUVARLAK RULMAN</t>
  </si>
  <si>
    <t>2052.F2ERP</t>
  </si>
  <si>
    <t xml:space="preserve">DEBRİYAJ SETİ (OYNAR VOLANT İÇİN)1.6HDİ DV6 </t>
  </si>
  <si>
    <t>2052.F2SACHS</t>
  </si>
  <si>
    <t>2052.T3ERP</t>
  </si>
  <si>
    <t>DEBRİYAJ SET DV4/DV4C 207/206+</t>
  </si>
  <si>
    <t>2052.T4ERP</t>
  </si>
  <si>
    <t>DEBRİYAJ SET C3/307 1.4HDİ/XSARA/306/PARTNER 2.0HDİ 99&gt;</t>
  </si>
  <si>
    <t>2052.T6SACHS</t>
  </si>
  <si>
    <t>DEBRİYAJ SET BE4L ŞNZ. DV6ATED4/DV6TED4 207/307/308</t>
  </si>
  <si>
    <t>2052.T6VALEO</t>
  </si>
  <si>
    <t>2052.T9ERP</t>
  </si>
  <si>
    <t>DEBRİYAJ SETİ 02&gt; PARTNER DW8 1.9D</t>
  </si>
  <si>
    <t>2060665FEBİ</t>
  </si>
  <si>
    <t>BLOK SU TAPASI 34mm</t>
  </si>
  <si>
    <t>2060675TOPRAN</t>
  </si>
  <si>
    <t>BLOK SU TAPASI 18mm Z16XE/Z14XE EGR ALTI</t>
  </si>
  <si>
    <t>2060946TOPRAN</t>
  </si>
  <si>
    <t>BLOK SU TAPASI 36MM</t>
  </si>
  <si>
    <t>ZİNCİR PALET CİVATA ALT Z14XEP/A14XER/A14NET</t>
  </si>
  <si>
    <t xml:space="preserve">AMORTİSÖR BAĞLANTI CİVATA SOMUN İNSİGNİA.A </t>
  </si>
  <si>
    <t>20777046MARGO</t>
  </si>
  <si>
    <t>SU RADYATÖR CAPTİVA C100 +AT+BRZ Z20DMH 2.0D</t>
  </si>
  <si>
    <t>20777046ORİS</t>
  </si>
  <si>
    <t>BCH267032</t>
  </si>
  <si>
    <t>SU RADYATÖR CAPTİVA C100 +AT+BRZ Z20DMH 2.0D 32mm</t>
  </si>
  <si>
    <t>20874703ASPART</t>
  </si>
  <si>
    <t>6CAC1105</t>
  </si>
  <si>
    <t>KLİMA RADYATÖR CAPTİVA C140</t>
  </si>
  <si>
    <t>GAZ PEDALI CAPTİVA C100/C140/ANTARA +SENSÖRLÜ</t>
  </si>
  <si>
    <t xml:space="preserve">2091180FACET </t>
  </si>
  <si>
    <t>TERMOSTAT CONTA ASTRA.F/VECTRA.A/PARTNER DW8/XUD9</t>
  </si>
  <si>
    <t>2098048FORZA</t>
  </si>
  <si>
    <t>AMPUL SİNYAL ASTRA.J PSY24W 12V SOKETLİ</t>
  </si>
  <si>
    <t>FORZA</t>
  </si>
  <si>
    <t>XPSY24W</t>
  </si>
  <si>
    <t>20982435KALE</t>
  </si>
  <si>
    <t>SU RADYATÖR BRAZİNG CAPTİVA C140 2.2D +AT 12-14 KALIN</t>
  </si>
  <si>
    <t xml:space="preserve">20982435ORİS </t>
  </si>
  <si>
    <t>BCH590032</t>
  </si>
  <si>
    <t>2105.35CORTECO</t>
  </si>
  <si>
    <t>PRİZDİREK KEÇE TEPEE/BERLİNGO/3008/308/508/5008</t>
  </si>
  <si>
    <t>2105.35SKT</t>
  </si>
  <si>
    <t xml:space="preserve">PRİZDİREK KEÇE TEPEE/BERLİNGO/3008/308/508/5008 </t>
  </si>
  <si>
    <t>2105.38</t>
  </si>
  <si>
    <t>PRİZDİREK KEÇE MA ŞANZUMAN 206/206+/307/BİPPER/C2/C3</t>
  </si>
  <si>
    <t>2105.38CORTECO</t>
  </si>
  <si>
    <t>20029154B</t>
  </si>
  <si>
    <t>2105.50</t>
  </si>
  <si>
    <t>PRİZDİREK DW10BTED ML6 ŞNZ</t>
  </si>
  <si>
    <t>2105.51</t>
  </si>
  <si>
    <t>PRİZDİREK KILAVUZU BOXER III/ MLGU ŞNZ</t>
  </si>
  <si>
    <t>2117.58ABRASSE</t>
  </si>
  <si>
    <t>DEBRİYAJ ÇATALI PARTNER/BERLİNGO DW9/DW10 1.9/2.0D</t>
  </si>
  <si>
    <t>BRS-5182-PG</t>
  </si>
  <si>
    <t>2117.58ALPER</t>
  </si>
  <si>
    <t>2117.61KRAFTVOLL</t>
  </si>
  <si>
    <t>DEBRİYAJ ÇATALI MA ŞNZ. 107/206/207/BİPPER DV4 1.4HDİ</t>
  </si>
  <si>
    <t xml:space="preserve">2117.61MEHA </t>
  </si>
  <si>
    <t>MH13161</t>
  </si>
  <si>
    <t>2117.63ALPER</t>
  </si>
  <si>
    <t>DEBRİYAJ ÇATALI 206/BİPPER/NEMO 1.4HDİ</t>
  </si>
  <si>
    <t>2117.63MEHA</t>
  </si>
  <si>
    <t>MH13162</t>
  </si>
  <si>
    <t>2117.63ORJİN</t>
  </si>
  <si>
    <t>2117.65ORJİN</t>
  </si>
  <si>
    <t>DEBRİYAJ ÇATALI BOXER III 06&gt; 2.2HDİ/SCUDO/EXPERT/3008 2.0HDİ DW10BTED4</t>
  </si>
  <si>
    <t>2117.66ABRASSE</t>
  </si>
  <si>
    <t>DEBRİYAJ ÇATAL 307/308/301/C-ELYSEE/C3/PARTNER/BERLİNGO/1.4-1.6 HDİ</t>
  </si>
  <si>
    <t>BRS-211766-PG</t>
  </si>
  <si>
    <t>2117.66BİTAPART</t>
  </si>
  <si>
    <t>BPE435001</t>
  </si>
  <si>
    <t>2117.66K&amp;B</t>
  </si>
  <si>
    <t>KB11650</t>
  </si>
  <si>
    <t>2117.66ORJİN</t>
  </si>
  <si>
    <t>2120.52</t>
  </si>
  <si>
    <t>DEBRİYAJ ÇATAL TOPUZU 106/206/307/308/PARTNER TEPEE/BOXER III</t>
  </si>
  <si>
    <t>212158TAP</t>
  </si>
  <si>
    <t xml:space="preserve">KARTER MUHAFAZA ASTRA.J/CRUZE </t>
  </si>
  <si>
    <t xml:space="preserve">212345ASPART </t>
  </si>
  <si>
    <t>8TBC1010</t>
  </si>
  <si>
    <t>V KAYIŞ KORUMA KAPAGI ASTRA.G/H</t>
  </si>
  <si>
    <t>212345METTE</t>
  </si>
  <si>
    <t>668M6328</t>
  </si>
  <si>
    <t>212511BİTAPART</t>
  </si>
  <si>
    <t>BOP301007</t>
  </si>
  <si>
    <t>KARTER MUHAFAZA SAÇI ASTRA.G/ASTRA.H</t>
  </si>
  <si>
    <t>212511DNK</t>
  </si>
  <si>
    <t>KARTER MUHAFAZA SACI ASTRA.G/H</t>
  </si>
  <si>
    <t>KMO0212511</t>
  </si>
  <si>
    <t>212511PRİZMA</t>
  </si>
  <si>
    <t>PRİZMA</t>
  </si>
  <si>
    <t>212520Y</t>
  </si>
  <si>
    <t>KARTER MUHAFAZA (PLASTİK) CORSA.C/COMBO.C/MERİVA.A</t>
  </si>
  <si>
    <t>212571DNK</t>
  </si>
  <si>
    <t xml:space="preserve">KARTER MUHAFAZA ASTRA.J/İNSİGNİA.A/ZAFİRA.C/CRUZE </t>
  </si>
  <si>
    <t>KMO0212571</t>
  </si>
  <si>
    <t>212571PRİZMA</t>
  </si>
  <si>
    <t>2128.22</t>
  </si>
  <si>
    <t>DEBRİYAJ TELİ FİBERİ 306/PARTNER M59/BERLİNGO</t>
  </si>
  <si>
    <t xml:space="preserve">2128.22MEHA </t>
  </si>
  <si>
    <t>MH14015</t>
  </si>
  <si>
    <t>2141199DEPO</t>
  </si>
  <si>
    <t>FAR SOL ASX 10&gt;</t>
  </si>
  <si>
    <t>214-1199L-LD-EM</t>
  </si>
  <si>
    <t xml:space="preserve">2148.49DEKAR </t>
  </si>
  <si>
    <t>DEBRİYAJ PEDAL YAY SET 1007/207/307/C2/C3/C4</t>
  </si>
  <si>
    <t xml:space="preserve">DEKAR </t>
  </si>
  <si>
    <t>DK5201</t>
  </si>
  <si>
    <t>2148.55DEKAR</t>
  </si>
  <si>
    <t>DEBRİYAJ PEDAL YAY SET 206/206+/406/607/C5</t>
  </si>
  <si>
    <t>DK5203</t>
  </si>
  <si>
    <t>2148.78KRAFTVOLL</t>
  </si>
  <si>
    <t>DEBRİYAJ PEDAL YAYI TEK 3008/5008/PARTNER</t>
  </si>
  <si>
    <t>2148.J6DEKAR</t>
  </si>
  <si>
    <t>DEBRİYAJ PEDAL YAY SET 301/C-ELYSEE</t>
  </si>
  <si>
    <t>DK5204</t>
  </si>
  <si>
    <t>2148.K7DEKAR</t>
  </si>
  <si>
    <t>DEBRİYAJ PEDAL YAY TAKIM 3008/5008/PARTNER</t>
  </si>
  <si>
    <t>DEKAR</t>
  </si>
  <si>
    <t>DK5205</t>
  </si>
  <si>
    <t>2148.K7KRAFTVOLL</t>
  </si>
  <si>
    <t>2150.AZCAVO</t>
  </si>
  <si>
    <t>DEBRİYAJ TELİ 206 1.4HDİ DV4 BOY:833</t>
  </si>
  <si>
    <t>DEBRİYAJ TEL</t>
  </si>
  <si>
    <t>IT6001608</t>
  </si>
  <si>
    <t>2150.CKCAVO</t>
  </si>
  <si>
    <t>DEBRİYAJ TELİ 206/206+ TU3A/TU3JP/TU5JP4/ET3J4</t>
  </si>
  <si>
    <t>2150.CX</t>
  </si>
  <si>
    <t>DEBRİYAJ TELİ PARTNER/BERLİNGO 03-07 DW8/DW10 BE4R ŞNZ.</t>
  </si>
  <si>
    <t>2150.CXBRUCKE</t>
  </si>
  <si>
    <t>BRUCKE</t>
  </si>
  <si>
    <t>2150.CXCAVO</t>
  </si>
  <si>
    <t>2150.CXKRAFTVOLL</t>
  </si>
  <si>
    <t>2150.EACAVO</t>
  </si>
  <si>
    <t>6001 140</t>
  </si>
  <si>
    <t>DEBRİYAJ TELİ BİPER/NEMO</t>
  </si>
  <si>
    <t>2150.EAKRAFTVOLL</t>
  </si>
  <si>
    <t>2150.R1CAVO</t>
  </si>
  <si>
    <t>4501 6410</t>
  </si>
  <si>
    <t>DEBRİYAJ TELİ PARTNER/BERLİNGO M49 1.4/1.6 (BOY:597mm)</t>
  </si>
  <si>
    <t>2150.R2CAVO</t>
  </si>
  <si>
    <t>DEBRİYAJ TELİ PARTNER/BERLİNGO 97-01 1.9D/DW8/DW10/XUD9 OTOMATİK AYARLI</t>
  </si>
  <si>
    <t>2150.V9CAVO</t>
  </si>
  <si>
    <t>DEBRİYAJ TELİ PARTNER/BERLİNGO 1.9D/DW8/XUD9/DW10(ESKİ TİP)</t>
  </si>
  <si>
    <t>2150.X3CAVO</t>
  </si>
  <si>
    <t>DEBRİYAJ TELİ 206 1.4/1.6</t>
  </si>
  <si>
    <t>2150.Z5CAVO</t>
  </si>
  <si>
    <t>DEBRİYAJ TELİ XSARA/XSARA PCS. MA ŞANZUMAN</t>
  </si>
  <si>
    <t>2156.15BİTAPART</t>
  </si>
  <si>
    <t>BPE436037</t>
  </si>
  <si>
    <t>DEBRİYAJ BORU UÇ LASTİK 206/406/607/806/807</t>
  </si>
  <si>
    <t>21810-1G000GROS</t>
  </si>
  <si>
    <t>MOTORA TAKOZ SAĞ YAĞLI ACCENT ERA 1.4/1.6 BENZİNLİ//RİO 06&gt;</t>
  </si>
  <si>
    <t>GROS</t>
  </si>
  <si>
    <t>2182.95</t>
  </si>
  <si>
    <t>DEBRİYAJ ALT MERKEZ 307/308/406/407C2/C3/C4/C5/DV6TED4/DW10BTED</t>
  </si>
  <si>
    <t>2182.95FTE</t>
  </si>
  <si>
    <t>KN19020B1</t>
  </si>
  <si>
    <t>2182.99</t>
  </si>
  <si>
    <t>DEBRİYAJ ALT MERKEZ 08&gt;TEPEE/308/3008/5008/RCZ/C4 1.6HDİ/2.0HDİ</t>
  </si>
  <si>
    <t>2182.E2LUK</t>
  </si>
  <si>
    <t>DEBRİYAJ ALT MERKEZ 207/208/2008/C3 III/DS3/301/C-ELYSEE (MA ŞNZ)</t>
  </si>
  <si>
    <t>512 0050 10</t>
  </si>
  <si>
    <t>2182.H3VALEO</t>
  </si>
  <si>
    <t>DEBRİYAJ ÜST MERKEZ 207/208/2008/C3/DS3 (MA ŞNZ.)</t>
  </si>
  <si>
    <t>2182.J4</t>
  </si>
  <si>
    <t>DEBRİYAJ ALT MERKEZ ML6C+MEKANİK ŞNZ. 301/C-ELYSEE/508/2008</t>
  </si>
  <si>
    <t>2182.J5</t>
  </si>
  <si>
    <t>DEBRİYAJ ALT MERKEZ 301/C-ELYSEE/207/2008/C3 PCS/508/C4 II/DS4 10&gt;/ BER4 ŞNZ  2182.E1/9683750580</t>
  </si>
  <si>
    <t>2182.J5LUK</t>
  </si>
  <si>
    <t>DEBRİYAJ ALT MERKEZ 301/C-ELYSEE/207/2008/C3 PCS/508/C4 II/DS4 10&gt;/ BER4 ŞNZ</t>
  </si>
  <si>
    <t>2182.Z4LUK</t>
  </si>
  <si>
    <t>DEBRİYAJ ALT MERKEZ 207/208/2008/301/C-ELYSEE/C4/DS3 1.6HDİ DV6DTED</t>
  </si>
  <si>
    <t>2182.Z4SAMKO</t>
  </si>
  <si>
    <t>SAMKO</t>
  </si>
  <si>
    <t>M30087</t>
  </si>
  <si>
    <t>2189.20FAE</t>
  </si>
  <si>
    <t>DEBRİYAJ PEDAL MÜŞÜR 2007/208/301/308/407/508/PRT GRİ</t>
  </si>
  <si>
    <t>2189.25ERA</t>
  </si>
  <si>
    <t>FREN PEDAL MÜŞÜRÜ BİPPER/NEMO</t>
  </si>
  <si>
    <t xml:space="preserve">ERA </t>
  </si>
  <si>
    <t>2201099CABU</t>
  </si>
  <si>
    <t>KALORİFER MUZULU CORSA.D ORTASI SİYAH</t>
  </si>
  <si>
    <t>2209396METTE</t>
  </si>
  <si>
    <t>ORTA PANEL ÇERÇEVESİ KOMPLE ASTRA.G</t>
  </si>
  <si>
    <t>754K4175</t>
  </si>
  <si>
    <t>2209414METTE</t>
  </si>
  <si>
    <t>ÖN CAM HAVALANDIRMA IZGARA VECTRA.A</t>
  </si>
  <si>
    <t>754K4226</t>
  </si>
  <si>
    <t>2209478Y</t>
  </si>
  <si>
    <t>CAM ÖN HAVALANDIRMA IZGARASI VECTRA.B</t>
  </si>
  <si>
    <t>2211 6 768 800CORTECO</t>
  </si>
  <si>
    <t>MOTOR TAKOZ SAĞ BMW E87/E90/E91 M47/N47</t>
  </si>
  <si>
    <t>222037KRAFTVOLL</t>
  </si>
  <si>
    <t xml:space="preserve">ÇEKİ DEMİR KAPAĞI ARKA İNSİGNİA.A 09-13 </t>
  </si>
  <si>
    <t>222728YTT</t>
  </si>
  <si>
    <t xml:space="preserve">ÇEKİ DEMİR KAPAĞI ARKA ASTRA.H </t>
  </si>
  <si>
    <t>Y2066</t>
  </si>
  <si>
    <t>2237279-280-283-284CABU</t>
  </si>
  <si>
    <t xml:space="preserve">HOPARLÖR KAPAK TAKIM VECTRA.B </t>
  </si>
  <si>
    <t>2240270EXPORT</t>
  </si>
  <si>
    <t>KAPI TUTMA KOLU SAĞ+TWETTER KAPAĞI VECTRA.B</t>
  </si>
  <si>
    <t>EXPORT</t>
  </si>
  <si>
    <t>2240270+2237287</t>
  </si>
  <si>
    <t>2240271EXPORT</t>
  </si>
  <si>
    <t>KAPI TUTMA KOLU SOL+TWETTER KAPAĞI VECTRA.B</t>
  </si>
  <si>
    <t>2240271+2237287</t>
  </si>
  <si>
    <t>2257.53BİTRON</t>
  </si>
  <si>
    <t>GERİ VİTES MÜŞÜR 206/307/406/407/607/C2/C3/C4/C5/DUCATO</t>
  </si>
  <si>
    <t>BİTRON</t>
  </si>
  <si>
    <t>2257.53BRUCKE</t>
  </si>
  <si>
    <t xml:space="preserve">BRUCKE </t>
  </si>
  <si>
    <t>2257.53B</t>
  </si>
  <si>
    <t>2257.53FROW</t>
  </si>
  <si>
    <t>2257.53KRAFTVOLL</t>
  </si>
  <si>
    <t>2257.59FAE</t>
  </si>
  <si>
    <t>GERİ VİTES MÜŞÜR 206/307/308/PARTNER</t>
  </si>
  <si>
    <t>2257.59FROW</t>
  </si>
  <si>
    <t>22745824FİLTRON</t>
  </si>
  <si>
    <t xml:space="preserve">HAVA FİLTRESİ CAPTİVA C140 2.2 A22DMH   </t>
  </si>
  <si>
    <t>AP109/5</t>
  </si>
  <si>
    <t>22745824SARDES</t>
  </si>
  <si>
    <t>SA2619</t>
  </si>
  <si>
    <t>HAVA FİLTRESİ CAPTİVA C140 2.2 A22DMH</t>
  </si>
  <si>
    <t>22798555METTE</t>
  </si>
  <si>
    <t xml:space="preserve">ÖN TAMPON AYAGI SOL İNSİGNİA.A </t>
  </si>
  <si>
    <t>754K5098</t>
  </si>
  <si>
    <t xml:space="preserve">22798556METTE </t>
  </si>
  <si>
    <t>ÖN TAMPON AYAGI SAĞ İNSİGNİA.A</t>
  </si>
  <si>
    <t>754K5099</t>
  </si>
  <si>
    <t>ÖN HELEZON YAY DESTEĞİ ÜST İNSİGNİA.A</t>
  </si>
  <si>
    <t>22927294TEKNOROT</t>
  </si>
  <si>
    <t>ARKA DİNGİL KOL FİŞEGİ İNSİGNİA.A</t>
  </si>
  <si>
    <t>OP-BS143</t>
  </si>
  <si>
    <t>P23117496</t>
  </si>
  <si>
    <t>AMORTİSÖR TAKOZ ÖN İNSİGNİA.A(KÖTÜ YOL PAKETİ)</t>
  </si>
  <si>
    <t>23128506DNK</t>
  </si>
  <si>
    <t>KARTER MUHAFAZA SACI İNSİGNİA.B</t>
  </si>
  <si>
    <t>KMO23128506</t>
  </si>
  <si>
    <t>2316.AP</t>
  </si>
  <si>
    <t>MAHRUTİ MİLİ (KAMALI MİL) 13X68 BOXER III/DUCATO III &gt; 2.2HDİ/2.3JTD</t>
  </si>
  <si>
    <t>TURBO HORTUM SAĞ ASTRA.J A16XHT</t>
  </si>
  <si>
    <t>23262343DELPHİ</t>
  </si>
  <si>
    <t>HAVA DEBİMETRE A16XHT/A20NHT/A14NET</t>
  </si>
  <si>
    <t>AF10682-12B1</t>
  </si>
  <si>
    <t>23264176MONROE</t>
  </si>
  <si>
    <t xml:space="preserve">ARKA AMORTİSÖR İNSİGNİA.B </t>
  </si>
  <si>
    <t>MONROE</t>
  </si>
  <si>
    <t>G1467</t>
  </si>
  <si>
    <t>23264176SACHS</t>
  </si>
  <si>
    <t>ARKA AMORTİSÖR İNSİGNİA.B</t>
  </si>
  <si>
    <t>23304096SARDES</t>
  </si>
  <si>
    <t>SF6114</t>
  </si>
  <si>
    <t>MAZOT FİLTRE ASTRA.K</t>
  </si>
  <si>
    <t>23328164-TEK-AYD</t>
  </si>
  <si>
    <t>ARKA DENGE KOL BURCU İNSİGNİA.B</t>
  </si>
  <si>
    <t>87-18475</t>
  </si>
  <si>
    <t xml:space="preserve">AMORTİSÖR ÜST TAKOZ RULMANLI İNSİGNİA.B   </t>
  </si>
  <si>
    <t>YR00070280</t>
  </si>
  <si>
    <t>23335486ASPART</t>
  </si>
  <si>
    <t>1SBE1114</t>
  </si>
  <si>
    <t>AMORTİSÖR ÜST TAKOZ RULMANLI İNSİGNİA.B</t>
  </si>
  <si>
    <t>23356092DOGRU</t>
  </si>
  <si>
    <t>MOTOR ALT TAKOZ İNSİGNİA.B +AT</t>
  </si>
  <si>
    <t>DK90-1207</t>
  </si>
  <si>
    <t>23384634AYD</t>
  </si>
  <si>
    <t>Z ROT ARKA İNSİGNİA.B</t>
  </si>
  <si>
    <t>96-18330</t>
  </si>
  <si>
    <t>23384634FORMPART</t>
  </si>
  <si>
    <t>ARKA Z ROT İNSİGNİA.B</t>
  </si>
  <si>
    <t>YEDEK SU DEPOSU İNSİGNİA.B</t>
  </si>
  <si>
    <t>23386455KRAFTVOLL</t>
  </si>
  <si>
    <t xml:space="preserve">YEDEK SU DEPOSU İNSİGNİA.B </t>
  </si>
  <si>
    <t xml:space="preserve">HAVA FİLTRE İNSİGNİA.B 1.5D/1.6D/2.0D/2.0T </t>
  </si>
  <si>
    <t>23430313EUROFİL</t>
  </si>
  <si>
    <t>HAVA FİLTRE İNSİGNİA.B 1.5D/1.6D/2.0D/2.0T</t>
  </si>
  <si>
    <t>EF230313</t>
  </si>
  <si>
    <t xml:space="preserve">23430313GRAT </t>
  </si>
  <si>
    <t xml:space="preserve">HAVA FİLTRESİ İNSİGNİA.B 1.6D B16DTH </t>
  </si>
  <si>
    <t>14106/TK</t>
  </si>
  <si>
    <t>23430313MANN</t>
  </si>
  <si>
    <t>C35015</t>
  </si>
  <si>
    <t>23430313SMF</t>
  </si>
  <si>
    <t>SMF</t>
  </si>
  <si>
    <t>SMF2174HF</t>
  </si>
  <si>
    <t>23430313VOLLER</t>
  </si>
  <si>
    <t>HAVA FİLTRESİ İNSİGNİA.B 1.6D B16DTH</t>
  </si>
  <si>
    <t>VOL-66129/1</t>
  </si>
  <si>
    <t>23449526FEBİ</t>
  </si>
  <si>
    <t>ROT MİLİ İNSİGNİA.B 18&gt;</t>
  </si>
  <si>
    <t xml:space="preserve">BAGAJ PANDİZOT İP KLİPSİ ÜST </t>
  </si>
  <si>
    <t>23456595PHAFF</t>
  </si>
  <si>
    <t>MAZOT FİLTRESİ ASTRA.K</t>
  </si>
  <si>
    <t>DF782</t>
  </si>
  <si>
    <t>23456595WUNDER</t>
  </si>
  <si>
    <t>WB356</t>
  </si>
  <si>
    <t>2345957Y</t>
  </si>
  <si>
    <t>KAPI DÖŞEME KLİPSİ OPEL</t>
  </si>
  <si>
    <t>2403.C2BİT</t>
  </si>
  <si>
    <t>BPE436067</t>
  </si>
  <si>
    <t>VİTES TOPUZ PARTNER/TEPEE/206/307</t>
  </si>
  <si>
    <t>2403.CNPLASTECH</t>
  </si>
  <si>
    <t>P12581</t>
  </si>
  <si>
    <t>VİTES TOPUZU 5İLERİ 207/301/C3/C4</t>
  </si>
  <si>
    <t>2403.CNY</t>
  </si>
  <si>
    <t>2403.V2Y</t>
  </si>
  <si>
    <t>VİTES TOPUZU 6İLERİ 301/C-ELYSEE</t>
  </si>
  <si>
    <t>2403.X9ABRASSE</t>
  </si>
  <si>
    <t>VİTES TOPUZ PARTNER M49/BERLİNGO 03-08 KÖRÜKLÜ</t>
  </si>
  <si>
    <t>BRS-7585-PG</t>
  </si>
  <si>
    <t>2403.X9WPİ</t>
  </si>
  <si>
    <t>VİTES TOPUZ PARTNER M49/BERLİNGO 03-08//206/JUMPY</t>
  </si>
  <si>
    <t>24253434METTE</t>
  </si>
  <si>
    <t>ŞANZUMAN KAPAGI CONTALI CAPTİVA C140/CRUZE</t>
  </si>
  <si>
    <t>668M6264</t>
  </si>
  <si>
    <t>ANA YATAK CİVATASI Z16XEP/A16XER/A16LET/Z18XE</t>
  </si>
  <si>
    <t>2444.ANCAVO</t>
  </si>
  <si>
    <t>VİTES HALATI KOMPLE 307/C4 1.4 16V/1.6 16V/2.0 16V</t>
  </si>
  <si>
    <t>2444.AXCAVO</t>
  </si>
  <si>
    <t>VİTES HALATI ÇİFTLİ C1 1.4HDİ 05-14</t>
  </si>
  <si>
    <t>2444.HTCAVO</t>
  </si>
  <si>
    <t>VİTES HALATI BİPPER/NEMO DV4 1.4HDİ</t>
  </si>
  <si>
    <t xml:space="preserve">2452.75DEKAR </t>
  </si>
  <si>
    <t>VİTES ÇUBUGU UZUN PARTNER/BERLİNGO 1.9D</t>
  </si>
  <si>
    <t>DK1602</t>
  </si>
  <si>
    <t xml:space="preserve">2452.79DEKAR </t>
  </si>
  <si>
    <t>VİTES ÇUBUGU PARTNER/BERLİNGO UZUN</t>
  </si>
  <si>
    <t>DK1605</t>
  </si>
  <si>
    <t>2452.81ABRASSE</t>
  </si>
  <si>
    <t>VİTES ÇUBUGU 99&gt;206 1.4/1.6 16V/PARTNER/BERLİNGO</t>
  </si>
  <si>
    <t>BRS-245281-PG</t>
  </si>
  <si>
    <t>2452.81DEKAR</t>
  </si>
  <si>
    <t>DK1037</t>
  </si>
  <si>
    <t>2452.81WPİ</t>
  </si>
  <si>
    <t>2452.91BESCHER</t>
  </si>
  <si>
    <t>BSC245291</t>
  </si>
  <si>
    <t>VİTES ÇUBUGU UZUN 206</t>
  </si>
  <si>
    <t>2452.91DEKAR</t>
  </si>
  <si>
    <t>DK1603</t>
  </si>
  <si>
    <t>2452.91TOPRAN</t>
  </si>
  <si>
    <t xml:space="preserve">VİTES ÇUBUGU UZUN 206 </t>
  </si>
  <si>
    <t>2454.E6DEKAR</t>
  </si>
  <si>
    <t>VİTES ÇUBUĞU KISA 307/PARTNER/BERLİNGO</t>
  </si>
  <si>
    <t>DK1609</t>
  </si>
  <si>
    <t>2454.E9MEHA</t>
  </si>
  <si>
    <t>MH13604</t>
  </si>
  <si>
    <t>VİTES ÇUBUĞU PARTNER/BERLİNGO/306/XSARA KISA MA ŞNZ</t>
  </si>
  <si>
    <t>2454.F5ABRASSE</t>
  </si>
  <si>
    <t>VİTES ÇUBUGU PARTNER/BERLİNGO 03-11 KISA</t>
  </si>
  <si>
    <t>BRS-2454F5-PG</t>
  </si>
  <si>
    <t xml:space="preserve">2454.F5DEKAR </t>
  </si>
  <si>
    <t>DK1037-A</t>
  </si>
  <si>
    <t>2454.G5ABRASSE</t>
  </si>
  <si>
    <t>VİTES ÇUBUĞU KISA 206/306/PARTNER/BERLİNGO</t>
  </si>
  <si>
    <t>BRS-2454G5-PG</t>
  </si>
  <si>
    <t>2454.G5BSC</t>
  </si>
  <si>
    <t>BSC</t>
  </si>
  <si>
    <t>2454G5</t>
  </si>
  <si>
    <t>2454.G5DEKAR</t>
  </si>
  <si>
    <t>DK1049</t>
  </si>
  <si>
    <t>2463200689VOTTO</t>
  </si>
  <si>
    <t>Z ROT ÖN W176 12-18/W246 13-18/C117 13-19</t>
  </si>
  <si>
    <t>VOT-22-29401</t>
  </si>
  <si>
    <t>YAĞ POMPASI LACETTİ/KALOS/AVEO/REZZO 1.4/1.6 16V</t>
  </si>
  <si>
    <t>MOPD1002</t>
  </si>
  <si>
    <t xml:space="preserve">25182606OEM </t>
  </si>
  <si>
    <t>25182776ROAD</t>
  </si>
  <si>
    <t xml:space="preserve">V KAYIŞ 1.2 16V SPARK </t>
  </si>
  <si>
    <t>840K4</t>
  </si>
  <si>
    <t>25183429DOLZ</t>
  </si>
  <si>
    <t>DEVİRDAİM CAPTİVA C100/ANTARA 2.0D</t>
  </si>
  <si>
    <t>O266</t>
  </si>
  <si>
    <t>25183429FİXON</t>
  </si>
  <si>
    <t>25183429GRS</t>
  </si>
  <si>
    <t>GRS</t>
  </si>
  <si>
    <t>WP107</t>
  </si>
  <si>
    <t xml:space="preserve">25184786ASPART </t>
  </si>
  <si>
    <t xml:space="preserve">V KAYIŞ GERGİ KOMPLE LACETTİ 1.4/1.6 16V </t>
  </si>
  <si>
    <t>8TLV1095</t>
  </si>
  <si>
    <t>25184786ECO</t>
  </si>
  <si>
    <t>V KAYIŞ GERGİ KOMPLE LACETTİ 1.4/1.6 16V</t>
  </si>
  <si>
    <t>ECO KG0037</t>
  </si>
  <si>
    <t>25184786KAPARS</t>
  </si>
  <si>
    <t xml:space="preserve">KAPARS </t>
  </si>
  <si>
    <t>KA-16-20123200</t>
  </si>
  <si>
    <t>25185542BOSCH</t>
  </si>
  <si>
    <t>V KAYIŞ 6PK2063 CAPTİVA C100/ANTARA 2.0D</t>
  </si>
  <si>
    <t>SU SICAKLIK MÜŞÜRÜ B16DTH/B16DTL(BLOKTA)</t>
  </si>
  <si>
    <t xml:space="preserve">25186240METTE </t>
  </si>
  <si>
    <t>651D5261</t>
  </si>
  <si>
    <t>25186594Y</t>
  </si>
  <si>
    <t>ÜST KAPAK CONTA C140 2.2D</t>
  </si>
  <si>
    <t>25191471KORE</t>
  </si>
  <si>
    <t>YAĞ SOĞUTUCU BORU TERMOSTAT ARASI A16XER/B16XER</t>
  </si>
  <si>
    <t xml:space="preserve">KORE </t>
  </si>
  <si>
    <t>25191471TAKIM-KORE</t>
  </si>
  <si>
    <t>YAĞ SOĞUTUCU BORU TAKIM A16XER/B16XER</t>
  </si>
  <si>
    <t>25191776AKD</t>
  </si>
  <si>
    <t>VİTES HALATI KOMPLE CRUZE</t>
  </si>
  <si>
    <t>OP181105</t>
  </si>
  <si>
    <t>25192084AKD</t>
  </si>
  <si>
    <t>V KAYIŞ GERGİ KOMPLE CAPTİVA C140 2.2D</t>
  </si>
  <si>
    <t>OP115116</t>
  </si>
  <si>
    <t>TERMOSTAT A16XER KOMPLE GÖVDELİ</t>
  </si>
  <si>
    <t>25192230BGA</t>
  </si>
  <si>
    <t>TERMOSTAT KOMPLE A16XER/B16XER</t>
  </si>
  <si>
    <t>CT9510</t>
  </si>
  <si>
    <t>25192905AKD</t>
  </si>
  <si>
    <t xml:space="preserve">GAZ KELEN DÖNÜŞ BORU UC REKOR A16XER/A16LET </t>
  </si>
  <si>
    <t>OP164201</t>
  </si>
  <si>
    <t>25193343RAPRO</t>
  </si>
  <si>
    <t>KRANK HAVALANDIRMA HORTUM A14NET/B14NET/A14NEL</t>
  </si>
  <si>
    <t>R18534</t>
  </si>
  <si>
    <t>25194016İTHAL</t>
  </si>
  <si>
    <t>VİTES TOPUZU CRUZE 5İLERİ</t>
  </si>
  <si>
    <t>KİLOMETRE SONSUZ DİŞLİ 26DİŞ F16/F18ŞNZ//CRUZE/REZZO</t>
  </si>
  <si>
    <t>25195113AKD</t>
  </si>
  <si>
    <t>HAVA ALMA REKOR L TİPİ SAĞ DÖNÜŞ</t>
  </si>
  <si>
    <t>OP164202</t>
  </si>
  <si>
    <t>YAĞ POMPASI Z16XER CRUZE/AVEO</t>
  </si>
  <si>
    <t>25195555DELPHİ</t>
  </si>
  <si>
    <t xml:space="preserve">EKSANTRİK DEVİR SENSÖR EMME A16XER </t>
  </si>
  <si>
    <t>SS10953</t>
  </si>
  <si>
    <t>25195785BLUEPRİNT</t>
  </si>
  <si>
    <t>YAĞ FİLTRESİ A14XER/A12XER MOKKA/T300</t>
  </si>
  <si>
    <t>ADG02170</t>
  </si>
  <si>
    <t>25199425FEBİ</t>
  </si>
  <si>
    <t>YAĞ POMPASI KOMPLE A12XER/A14XER/ (DEVİRDAİM+TERMOSTAT)</t>
  </si>
  <si>
    <t>25199425FENİX</t>
  </si>
  <si>
    <t>YAĞ POMPASI KOMPLE A12XER/A14XER/A14NET</t>
  </si>
  <si>
    <t>FENİX</t>
  </si>
  <si>
    <t>FN3749</t>
  </si>
  <si>
    <t>25199828FİXON</t>
  </si>
  <si>
    <t>TERMOSTAT CRUZE/KALOS/AVEO A16XER</t>
  </si>
  <si>
    <t>FXS-39600010</t>
  </si>
  <si>
    <t>25199828KRAFTVOLL</t>
  </si>
  <si>
    <t>TERMOSTAT 95C CRUZE/AVEO 1.4/1.6 16V</t>
  </si>
  <si>
    <t>25199828WERHAFT</t>
  </si>
  <si>
    <t>25199828WR</t>
  </si>
  <si>
    <t>25199828WUPPEN</t>
  </si>
  <si>
    <t>WP360201</t>
  </si>
  <si>
    <t>25200947ASPART</t>
  </si>
  <si>
    <t>5PIP1208</t>
  </si>
  <si>
    <t>TURBO YAĞ BESLEME BORU A14NET/B14NET/A14NEL</t>
  </si>
  <si>
    <t>25200947FEBİ</t>
  </si>
  <si>
    <t>25200947Y</t>
  </si>
  <si>
    <t>25775833ADLER</t>
  </si>
  <si>
    <t>DIŞ HAVA SICAKLIK SENSÖR CORSA.E/MOKKA.X 13&gt;/CRUZE/AVEO T300</t>
  </si>
  <si>
    <t>TS05036</t>
  </si>
  <si>
    <t>DIŞ AÇMA KOLU UC KISMI NİKELAJLI İNSİGNİA.A 13&gt;</t>
  </si>
  <si>
    <t>25959117Y</t>
  </si>
  <si>
    <t xml:space="preserve">MOTOR TAKOZ SOL CAPTİVA C100/ANTARA </t>
  </si>
  <si>
    <t>2643.04</t>
  </si>
  <si>
    <t>KİLOMETRE SONSUZ DİŞLİ 19DİŞ BE4R ŞANZUMAN</t>
  </si>
  <si>
    <t>2HH807489BRYP-WİSCO</t>
  </si>
  <si>
    <t>TAMPON IZGARASI SOL NİKELAJLI AMAROK 13--</t>
  </si>
  <si>
    <t>2K0945087E-BETTO</t>
  </si>
  <si>
    <t>EK FREN LAMBASI ORTA STOP CADDY 04&gt;</t>
  </si>
  <si>
    <t>B20145</t>
  </si>
  <si>
    <t>2Q0819644KRAFTVOLL</t>
  </si>
  <si>
    <t>POLEN FİLTRESİ POLO 18&gt;/A1 19&gt;/ARONA 18&gt;</t>
  </si>
  <si>
    <t>302273ZYK</t>
  </si>
  <si>
    <t>MOTOR BEŞİĞİ MOKKA/MOKKA.X</t>
  </si>
  <si>
    <t>OP888007</t>
  </si>
  <si>
    <t>302275DOGRU</t>
  </si>
  <si>
    <t>MOTOR BEŞİK BURCU ASTRA.G/ASTRA.H/ZAFİRA.B</t>
  </si>
  <si>
    <t>DK90-818</t>
  </si>
  <si>
    <t>302275KRAFTVOLL</t>
  </si>
  <si>
    <t>302275YTT</t>
  </si>
  <si>
    <t>Y1586</t>
  </si>
  <si>
    <t>302280DOGRU</t>
  </si>
  <si>
    <t>MOTOR BEŞİK BURCU VECTRA.B</t>
  </si>
  <si>
    <t>DK90-703</t>
  </si>
  <si>
    <t>30671574BOSCH</t>
  </si>
  <si>
    <t>ARKA BALATA 10&gt; S60/S80/V70/FREELANDER</t>
  </si>
  <si>
    <t>31-04282-060YENMAK</t>
  </si>
  <si>
    <t>PİSTON SEKMAN 69,60mm +0.60 Z13DT 75HP (70,20mm)</t>
  </si>
  <si>
    <t>31-04282-060</t>
  </si>
  <si>
    <t>3111.27</t>
  </si>
  <si>
    <t>EKSANTRİK MİLİ KAPAK DV5R 1.5BLUEHDİ</t>
  </si>
  <si>
    <t>3121.27SASIC</t>
  </si>
  <si>
    <t>AKS KEÇESİ SOL 206/307 1.6///106/306/PARTNER/BERLİNGO</t>
  </si>
  <si>
    <t>SASIC</t>
  </si>
  <si>
    <t>3121.27SKT</t>
  </si>
  <si>
    <t>3121.42SKT</t>
  </si>
  <si>
    <t>AKS KEÇE SAĞ 307/C4</t>
  </si>
  <si>
    <t>3121.44CDF</t>
  </si>
  <si>
    <t>AKS KEÇE SOL 307/C4/106/206/207/406/407/PARTNER/C2/C3/C4/C5/NEMO/BİPPER</t>
  </si>
  <si>
    <t>88229-PF</t>
  </si>
  <si>
    <t>3121.44CORTECO</t>
  </si>
  <si>
    <t>AKS KEÇE SOL 307/C4</t>
  </si>
  <si>
    <t>3121.44SKT</t>
  </si>
  <si>
    <t>3121.46SKT</t>
  </si>
  <si>
    <t>AKS KEÇE SAĞ 206/307/207/NEMO(ÇİFT YANAK)</t>
  </si>
  <si>
    <t>3121.46SKT-1</t>
  </si>
  <si>
    <t>AKS KEÇE SAĞ 206/307/207/NEMO</t>
  </si>
  <si>
    <t>3121.46TOPRAN</t>
  </si>
  <si>
    <t>3121.48SKT</t>
  </si>
  <si>
    <t>AKS KEÇESİ SOL BOXER III 06&gt;/DUCATO</t>
  </si>
  <si>
    <t>45994-V</t>
  </si>
  <si>
    <t>3121.64SKT</t>
  </si>
  <si>
    <t>312106KRAFTVOLL</t>
  </si>
  <si>
    <t xml:space="preserve">ÖN HELEZON TAKIM CORSA.C </t>
  </si>
  <si>
    <t xml:space="preserve">312106MAHER </t>
  </si>
  <si>
    <t>MHR-04587</t>
  </si>
  <si>
    <t>312162ASPART</t>
  </si>
  <si>
    <t>ÖN HELEZON YAYI TAKIM VECTRA.C</t>
  </si>
  <si>
    <t>1CSP1035</t>
  </si>
  <si>
    <t>312263KRAFTVOLL</t>
  </si>
  <si>
    <t>ÖN HELEZON ASTRA.H</t>
  </si>
  <si>
    <t xml:space="preserve">312312ASPART </t>
  </si>
  <si>
    <t>1CSP1038</t>
  </si>
  <si>
    <t>ÖN HELEZON YAYI TAKIM CORSA.D</t>
  </si>
  <si>
    <t xml:space="preserve">312411FROW </t>
  </si>
  <si>
    <t xml:space="preserve">ÖN HELEZON YAYI İNSİGNİA.A </t>
  </si>
  <si>
    <t>FROW</t>
  </si>
  <si>
    <t xml:space="preserve">312466ASPART </t>
  </si>
  <si>
    <t>HELEZON YAYI ÖN ASTRA.J</t>
  </si>
  <si>
    <t>1CSP1039</t>
  </si>
  <si>
    <t>31250286SİLBAK</t>
  </si>
  <si>
    <t>ÖN SİLECEK TAKIM 26+20 06-12 S40/S60/S80/V5</t>
  </si>
  <si>
    <t>SB2620C</t>
  </si>
  <si>
    <t>312503DOGRU</t>
  </si>
  <si>
    <t>AMORTİSÖR RULMAN CORSA.B</t>
  </si>
  <si>
    <t>DK90-717</t>
  </si>
  <si>
    <t>312509DOGRU</t>
  </si>
  <si>
    <t>AMORTİSÖR TAKOZ ALT TABLA ASTRA.F</t>
  </si>
  <si>
    <t>DK90-1107</t>
  </si>
  <si>
    <t>312510BGA</t>
  </si>
  <si>
    <t>AMORTİSÖR RULMAN ASTRA.G/VECTRA.B/CORSA.C</t>
  </si>
  <si>
    <t>SM9507</t>
  </si>
  <si>
    <t>312510FAG</t>
  </si>
  <si>
    <t xml:space="preserve">FAG </t>
  </si>
  <si>
    <t>312510FEBİ</t>
  </si>
  <si>
    <t>312510KRAFTVOLL</t>
  </si>
  <si>
    <t>312510RPR</t>
  </si>
  <si>
    <t>R53146</t>
  </si>
  <si>
    <t>312510SNR</t>
  </si>
  <si>
    <t>M253.08</t>
  </si>
  <si>
    <t>312510SWAG</t>
  </si>
  <si>
    <t xml:space="preserve">AMORTİSÖR RULMAN DARBE TAKOZ ÜST İNSİGNİA.A </t>
  </si>
  <si>
    <t>312625EIBACH</t>
  </si>
  <si>
    <t>HELEZON YAYI ÖN İNSİGNİA.A 13-17 SPOR YAY (PROKİT)</t>
  </si>
  <si>
    <t>EIBACH</t>
  </si>
  <si>
    <t>E10-65-019-15-22</t>
  </si>
  <si>
    <t xml:space="preserve">312625SACHS </t>
  </si>
  <si>
    <t>HELEZON YAYI ÖN İNSİGNİA.A (SPOR ŞASİ İÇİN) 338mm</t>
  </si>
  <si>
    <t>312779KRAFTVOLL</t>
  </si>
  <si>
    <t>ÖN HELEZON YAY VECTRA.A</t>
  </si>
  <si>
    <t xml:space="preserve">312805ASPART </t>
  </si>
  <si>
    <t>1CSP1040</t>
  </si>
  <si>
    <t xml:space="preserve">ÖN HELEZON YAYI TAKIM ASTRA.F </t>
  </si>
  <si>
    <t xml:space="preserve">312836ASPART </t>
  </si>
  <si>
    <t>1CSP1041</t>
  </si>
  <si>
    <t>ÖN HELEZON YAYI TAKIM VECTRA.B</t>
  </si>
  <si>
    <t>312853ASPART</t>
  </si>
  <si>
    <t>1CSP1042</t>
  </si>
  <si>
    <t>ÖN HELEZON YAYI TAKIM ASTRA.G</t>
  </si>
  <si>
    <t>31306862863TEKNOROT</t>
  </si>
  <si>
    <t>Z ROT ÖN MİNİ F55/F56 13&gt;&gt;</t>
  </si>
  <si>
    <t>MN-166</t>
  </si>
  <si>
    <t>31471414BLUEPRİNT</t>
  </si>
  <si>
    <t>ÖN FREN DİSK VOLVO XC40 18&gt;</t>
  </si>
  <si>
    <t>ADF124372</t>
  </si>
  <si>
    <t>31471476BLUEPRİNT</t>
  </si>
  <si>
    <t>ARKA FREN DİSK VOLVO XC40 18&gt; 280mm</t>
  </si>
  <si>
    <t xml:space="preserve">BLUEPRİNT </t>
  </si>
  <si>
    <t>ADF124373</t>
  </si>
  <si>
    <t>322146DOGRU</t>
  </si>
  <si>
    <t>ROT KOL BURCU ASTRA.F/VECTRA.A</t>
  </si>
  <si>
    <t>DK90-752</t>
  </si>
  <si>
    <t>322155AYD</t>
  </si>
  <si>
    <t>ROT MİLİ 96&gt; CORSA.B (MEKANİK DİRK.)</t>
  </si>
  <si>
    <t>95-00141</t>
  </si>
  <si>
    <t>322158AYD</t>
  </si>
  <si>
    <t>ROT MİLİ 96&gt; CORSA.B (HİDROLİK DİRK.)</t>
  </si>
  <si>
    <t>95-00212</t>
  </si>
  <si>
    <t>322577TOPRAN</t>
  </si>
  <si>
    <t>ROT AYAR VİDASI ASTRA.F/VECTRA.A</t>
  </si>
  <si>
    <t>324038ORJİN</t>
  </si>
  <si>
    <t>ROT BAŞI SAĞ LANOS/ESPERO/NEXİA</t>
  </si>
  <si>
    <t>324039ORJİN</t>
  </si>
  <si>
    <t>ROT BAŞI SOL LANOS/ESPERO/NEXİA</t>
  </si>
  <si>
    <t>324055AYD</t>
  </si>
  <si>
    <t>ROT BAŞI SOL ASTRA.F/VECTRA.A</t>
  </si>
  <si>
    <t>91-00126</t>
  </si>
  <si>
    <t>324055DELPHİ</t>
  </si>
  <si>
    <t>TA1209</t>
  </si>
  <si>
    <t>324055KRAFTVOLL</t>
  </si>
  <si>
    <t>324055SWAPP</t>
  </si>
  <si>
    <t>10-00126</t>
  </si>
  <si>
    <t xml:space="preserve">324056AYD </t>
  </si>
  <si>
    <t>ROT BAŞI SAĞ ASTRA.F/VECTRA.A</t>
  </si>
  <si>
    <t>91-00125</t>
  </si>
  <si>
    <t>324056DELPHİ</t>
  </si>
  <si>
    <t>TA1210</t>
  </si>
  <si>
    <t>324056SWAPP</t>
  </si>
  <si>
    <t>10-00125</t>
  </si>
  <si>
    <t>324063ASPART</t>
  </si>
  <si>
    <t>1TRE1075</t>
  </si>
  <si>
    <t>ROT BAŞI VECTRA.B</t>
  </si>
  <si>
    <t>324063AYD</t>
  </si>
  <si>
    <t>91-00860</t>
  </si>
  <si>
    <t>324066AYD</t>
  </si>
  <si>
    <t>ROT BAŞI CORSA.B 00-02</t>
  </si>
  <si>
    <t>91-01633</t>
  </si>
  <si>
    <t>3247.03FEBİ</t>
  </si>
  <si>
    <t>AKS ORTA RULMAN PARTNER/206/207/306/406/407 BE4R</t>
  </si>
  <si>
    <t>3247.03OPTİMAL</t>
  </si>
  <si>
    <t>3247.03OSSCA</t>
  </si>
  <si>
    <t>OSSCA</t>
  </si>
  <si>
    <t>3247.03SNR</t>
  </si>
  <si>
    <t>6006EEC3</t>
  </si>
  <si>
    <t xml:space="preserve">326001ASPART </t>
  </si>
  <si>
    <t>1WHU1048</t>
  </si>
  <si>
    <t xml:space="preserve">ÖN PORYA CORSA.C/COMBO.C </t>
  </si>
  <si>
    <t>326001BROM</t>
  </si>
  <si>
    <t>OP61008</t>
  </si>
  <si>
    <t xml:space="preserve">326166ASPART </t>
  </si>
  <si>
    <t>1WHU1052</t>
  </si>
  <si>
    <t>ÖN TEKER PORYA CORSA.D Z13DT/A13DT</t>
  </si>
  <si>
    <t>326195ASPART</t>
  </si>
  <si>
    <t>1WHU1054</t>
  </si>
  <si>
    <t>ÖN PORYA VECTRA.B 5BİJON</t>
  </si>
  <si>
    <t xml:space="preserve">326196ASPART </t>
  </si>
  <si>
    <t>ÖN TEKER PORYA ASTRA.F/VECTRA.B X16XEL</t>
  </si>
  <si>
    <t>326196JUST</t>
  </si>
  <si>
    <t>WH2023</t>
  </si>
  <si>
    <t>326196TOPRAN</t>
  </si>
  <si>
    <t xml:space="preserve">326197ASPART </t>
  </si>
  <si>
    <t>1WHU1056</t>
  </si>
  <si>
    <t>ÖN PORYA CORSA.B/ASTRA.F</t>
  </si>
  <si>
    <t>326197TOPRAN</t>
  </si>
  <si>
    <t>3272.4FVEKA</t>
  </si>
  <si>
    <t>PE-8035A</t>
  </si>
  <si>
    <t>AKS KOMPLE SOL 206 OTOMATİK AL4 1.4 8V TU3JP +ABS UZUNLUK:588</t>
  </si>
  <si>
    <t>3272.5XKRAFTVOLL</t>
  </si>
  <si>
    <t>AKS SOL KOMPLE 307/C4 1.4/1.6 16V ET3J4/TU5JP4 UZUNLUK:633</t>
  </si>
  <si>
    <t>3272.8EABRASSE</t>
  </si>
  <si>
    <t>AKS KOMPLE SOL 206 98-06 1.4HDİ DV4/1.4 8V TU3JP/1.6 8V TU5JP 604mm</t>
  </si>
  <si>
    <t>PG-1136</t>
  </si>
  <si>
    <t>3272.8EKRAFTVOLL</t>
  </si>
  <si>
    <t>KRATVOLL</t>
  </si>
  <si>
    <t>3272.8WKRAFTVOLL</t>
  </si>
  <si>
    <t>DIŞ AKS KAFASI 307/C4/TEPEE 1.4HDİ/1.6HDİ DV4/DV6</t>
  </si>
  <si>
    <t>3272.9PKRAFTVOLL</t>
  </si>
  <si>
    <t>AKS KOMPLE SOL 106/SAXO TU3JP/TUD5 1.4/1.5D BOY:624mm</t>
  </si>
  <si>
    <t>3272.FPABRASSE</t>
  </si>
  <si>
    <t>AKS KOMPLE SOL PARTNER/BERLİNGO/XSARA PCS.XUD7/XUD9/DW8 BOY:593mm</t>
  </si>
  <si>
    <t>PG-1500</t>
  </si>
  <si>
    <t>3272.KWKRAFTVOLL</t>
  </si>
  <si>
    <t>AKS SOL KOMPLE 207 BOY:655 EP3/EP3C/DV4C/DV4TD</t>
  </si>
  <si>
    <t>3272.LAABRASSE</t>
  </si>
  <si>
    <t xml:space="preserve">AKS KOMPLE SOL 207 1.4HDİ/1.6 16V İÇ KAFA:24mm BOY:635mm </t>
  </si>
  <si>
    <t>PG-1245</t>
  </si>
  <si>
    <t>3272.LAGSP</t>
  </si>
  <si>
    <t>AKS KOMPLE SOL 207 1.4HDİ/1.6 16V İÇ KAFA:24mm BOY:635mm</t>
  </si>
  <si>
    <t>3272.LPVEKA</t>
  </si>
  <si>
    <t>AKS KAFASI DIŞ PARTNER DV6 ABSLİ 48DİŞ</t>
  </si>
  <si>
    <t>PE-1005A</t>
  </si>
  <si>
    <t>3272.LWABRASSE</t>
  </si>
  <si>
    <t>AKS KOMPLE SOL PARTNER TEPEE 1.6HDİ/307/C4 1.4/1.6 HDİ UZUNLUK:625</t>
  </si>
  <si>
    <t>PG-1122</t>
  </si>
  <si>
    <t>3272.LWKRAFTVOLL</t>
  </si>
  <si>
    <t>3272.NKKRAFTVOLL</t>
  </si>
  <si>
    <t>AKS KOMPLE SOL 669mm 407/C5 X7/508/EXPERT III/JUMPY III BE4R</t>
  </si>
  <si>
    <t>3272.PGABRASSE</t>
  </si>
  <si>
    <t>AKS KOMPLE SOL BOXER III/JUMPER III/DUCATO III 06&gt; 2.2HDİ/2.3JTD</t>
  </si>
  <si>
    <t>PG-1201</t>
  </si>
  <si>
    <t>3272.SLMGA</t>
  </si>
  <si>
    <t>AKS KOMPLE SOL BİPPER/NEMO DV4 1.4HDİ UZUNLUK:652mm</t>
  </si>
  <si>
    <t>3272.TZGSP</t>
  </si>
  <si>
    <t>AKS KOMPLE SOL BE4 ŞNZ. DV6/EP6 207/208/308/3008/5008 İÇ KAFA:24mm BOY:634mm</t>
  </si>
  <si>
    <t>3273.3YKRAFTVOLL</t>
  </si>
  <si>
    <t>AKS KOMPLE SAĞ 206 -ABS BOY:886</t>
  </si>
  <si>
    <t>3273.4EVEKA</t>
  </si>
  <si>
    <t>PE-8036A</t>
  </si>
  <si>
    <t>AKS KOMPLE SAĞ 206 OTOMATİK AL4 1.4 8V TU3JP +ABS UZUNLUK:808</t>
  </si>
  <si>
    <t>3273.7GKRAFTVOLL</t>
  </si>
  <si>
    <t>AKS KOMPLE SAĞ 106/SAXO TU3JP/TUD5 1.4/1.5D BOY:807mm</t>
  </si>
  <si>
    <t>3273.9ZDJ</t>
  </si>
  <si>
    <t>DIŞ AKS KAFASI 96-08 PARTNER/BERLİNGO/97&gt; XSARA</t>
  </si>
  <si>
    <t>VJ1029</t>
  </si>
  <si>
    <t>3273.9ZGSP</t>
  </si>
  <si>
    <t>AKS KOMPLE SAĞ PARTNER/BERLİNGO/XSARA PCS.XUD7/XUD9/DW8 BOY:871mm</t>
  </si>
  <si>
    <t>3273.9ZVEKA</t>
  </si>
  <si>
    <t>CT-8015</t>
  </si>
  <si>
    <t>3273.AEKRAFTVOLL</t>
  </si>
  <si>
    <t>AKS KOMPLE SAĞ PARTNER TEPEE DV6 1.6HDİ//307/C4 1.4HDİ UZUNLUK:925MM</t>
  </si>
  <si>
    <t>3273.CSKRAFTVOLL</t>
  </si>
  <si>
    <t>AKS KOMPLE SAĞ 206 ABS Lİ 1.4HDİ/TU5JP 1.6 8V UZUNLUK 884</t>
  </si>
  <si>
    <t>3273.KJKRAFTVOLL</t>
  </si>
  <si>
    <t>AKS SAĞ KOMPLE 207 BOY:858 EP3/EP3C/DV4C/DV4TD</t>
  </si>
  <si>
    <t>3273.NKKRAFTVOLL</t>
  </si>
  <si>
    <t>AKS KOMPLE SAĞ 958mm 407/C5 X7/508/EXPERT III/JUMPY III BE4R</t>
  </si>
  <si>
    <t>3273.PPABRASSE</t>
  </si>
  <si>
    <t>AKS KOMPLE SAĞ BOXER III/JUMPER III/DUCATO III 06&gt; 2.2HDİ/2.3JTD</t>
  </si>
  <si>
    <t>PG-1200</t>
  </si>
  <si>
    <t>3273.TCKRAFTVOLL</t>
  </si>
  <si>
    <t xml:space="preserve">AKS KOMPLE SAĞ BİPPER/NEMO DV4 1.4HDİ UZUNLUK:879mm </t>
  </si>
  <si>
    <t>328000ASPART</t>
  </si>
  <si>
    <t>1WHU1011</t>
  </si>
  <si>
    <t xml:space="preserve">ÖN TEKER PORYA ASTRA.J/CRUZE 15inç  </t>
  </si>
  <si>
    <t>328000PFİ</t>
  </si>
  <si>
    <t>ÖN TEKER PORYA ASTRA.J/CRUZE 15inç</t>
  </si>
  <si>
    <t>PHU56714K</t>
  </si>
  <si>
    <t>328001ASPART</t>
  </si>
  <si>
    <t>1WHU1012</t>
  </si>
  <si>
    <t>ÖN TEKER PORYA ASTRA.J/CRUZE 16İNÇ (300mm DİSK)</t>
  </si>
  <si>
    <t>328002ASPART</t>
  </si>
  <si>
    <t>1WHU1006</t>
  </si>
  <si>
    <t>ARKA PORYA ASTRA.J/CRUZE  15İNÇ</t>
  </si>
  <si>
    <t>328004Y</t>
  </si>
  <si>
    <t>BİJON SAPLAMASI ASTRA.J/MOKKA/ZAFİRA.C/CASCADA/AMPERA</t>
  </si>
  <si>
    <t>328006ASPART</t>
  </si>
  <si>
    <t>1WHU1003</t>
  </si>
  <si>
    <t>ÖN-ARKA PORYA İNSİGNİA.A</t>
  </si>
  <si>
    <t>3287.81BİT</t>
  </si>
  <si>
    <t>BPE335014</t>
  </si>
  <si>
    <t>AKS KÖRÜĞÜ İÇ 106/206/306/PARTNER/BERLİNGO M49</t>
  </si>
  <si>
    <t>3287.81ÜÇEL</t>
  </si>
  <si>
    <t>3287.81YTT</t>
  </si>
  <si>
    <t xml:space="preserve">AKS KÖRÜĞÜ İÇ 106/206/306/PARTNER/BERLİNGO M49 </t>
  </si>
  <si>
    <t>Y5272</t>
  </si>
  <si>
    <t>3287.88ABRASSE</t>
  </si>
  <si>
    <t>AKS KÖRÜĞÜ İÇ PARTNER/206/307/C3</t>
  </si>
  <si>
    <t>BRS-13108-PG</t>
  </si>
  <si>
    <t>3287.93ÜÇEL</t>
  </si>
  <si>
    <t>AKS KÖRÜĞÜ İÇ 206/207/208/301/306/307/1007/PARTNER</t>
  </si>
  <si>
    <t>3287.94ÜÇEL</t>
  </si>
  <si>
    <t>AKS KÖRÜĞÜ İÇ 206/208/301/C-ELYSEE 1.2</t>
  </si>
  <si>
    <t>3287.95ÜÇEL</t>
  </si>
  <si>
    <t>AKS KÖRÜĞÜ İÇ BİPPER/NEMO 1.4HDİ 206/207/208/1007/C3/DS3/ 1.4/1.6</t>
  </si>
  <si>
    <t>3287.95YTT</t>
  </si>
  <si>
    <t>Y5503</t>
  </si>
  <si>
    <t>3287.A9GB</t>
  </si>
  <si>
    <t xml:space="preserve">AKS KÖRÜĞÜ İÇ 206/306/307/308/PARTNER/BERLİNGO </t>
  </si>
  <si>
    <t>GB 15306</t>
  </si>
  <si>
    <t>3287.A9MEHA</t>
  </si>
  <si>
    <t>MH13713</t>
  </si>
  <si>
    <t>AKS KÖRÜĞÜ İÇ 206/306/307/308/PARTNER/BERLİNGO</t>
  </si>
  <si>
    <t>3287.A9ÜÇEL</t>
  </si>
  <si>
    <t>3287.A9YTT</t>
  </si>
  <si>
    <t>Y5271</t>
  </si>
  <si>
    <t>3287.C0ANKA</t>
  </si>
  <si>
    <t>AKS KÖRÜĞÜ İÇ 1.6HDİ PARTNER/BERLİNGO</t>
  </si>
  <si>
    <t xml:space="preserve">ANKA </t>
  </si>
  <si>
    <t>4012-4003</t>
  </si>
  <si>
    <t>328980FAG</t>
  </si>
  <si>
    <t xml:space="preserve">ÖN TEKER RULMAN CORSA.C/COMBO.C  </t>
  </si>
  <si>
    <t>328980KRAFVOLL</t>
  </si>
  <si>
    <t>ÖN TEKER RULMAN CORSA.C/COMBO.C</t>
  </si>
  <si>
    <t>328980PFİ</t>
  </si>
  <si>
    <t>PW34670037CS</t>
  </si>
  <si>
    <t>328980SKF</t>
  </si>
  <si>
    <t xml:space="preserve">ÖN TEKER RULMAN CORSA.C/COMBO.C </t>
  </si>
  <si>
    <t>VKBC53277 EX</t>
  </si>
  <si>
    <t>328980VEKA</t>
  </si>
  <si>
    <t>47-3202</t>
  </si>
  <si>
    <t>3293.03BİT</t>
  </si>
  <si>
    <t>BPE335010</t>
  </si>
  <si>
    <t>DIŞ KÖRÜĞÜ DIŞ 106/206/306/PARTNER</t>
  </si>
  <si>
    <t>3293.03GB</t>
  </si>
  <si>
    <t>AKS KÖRÜĞÜ DIŞ 106/206/306/PARTNER</t>
  </si>
  <si>
    <t>GB 13702</t>
  </si>
  <si>
    <t>3293.03YTT</t>
  </si>
  <si>
    <t>Y5270</t>
  </si>
  <si>
    <t>3293.20ANKA</t>
  </si>
  <si>
    <t>DIŞ AKS KÖRÜĞÜ SAĞ 206/207/307/1007/C3/C4 1.4/1.6HDİ</t>
  </si>
  <si>
    <t>4012-5004</t>
  </si>
  <si>
    <t>3293.20ÜÇEL</t>
  </si>
  <si>
    <t>3293.20YTT</t>
  </si>
  <si>
    <t>Y5518</t>
  </si>
  <si>
    <t>3293.31FKK</t>
  </si>
  <si>
    <t>AKS KÖRÜĞÜ DIŞ 207/306/301/PARTNER/C3/C4</t>
  </si>
  <si>
    <t>3293.31GBK</t>
  </si>
  <si>
    <t>GB 301102</t>
  </si>
  <si>
    <t>3293.31MEHA</t>
  </si>
  <si>
    <t>MH13740</t>
  </si>
  <si>
    <t>3293.35GB</t>
  </si>
  <si>
    <t xml:space="preserve">AKS KÖRÜĞÜ DIŞ 206/208/301/C-ELYSEE 1.2 </t>
  </si>
  <si>
    <t>3293.F2GB</t>
  </si>
  <si>
    <t>AKS KÖRÜĞÜ DIŞ BİPPER/NEMO/FİORİNO</t>
  </si>
  <si>
    <t xml:space="preserve">3307.76ANKA </t>
  </si>
  <si>
    <t>ÖN TEKER PORYA 12&gt;301/C-ELYSEE/207/208/2008/206/306/307</t>
  </si>
  <si>
    <t>6012-0002</t>
  </si>
  <si>
    <t>3307.76FORMPART</t>
  </si>
  <si>
    <t>21498008/S</t>
  </si>
  <si>
    <t>3307.80ABRASSE</t>
  </si>
  <si>
    <t>ÖN PORYA 407/508/C5 X7/EXPERT IV/RCZ</t>
  </si>
  <si>
    <t>BRS-3700-38-PG</t>
  </si>
  <si>
    <t>3307.85ABRASSE</t>
  </si>
  <si>
    <t xml:space="preserve">ÖN TEKER PORYA PARTNER/BERLİNGO 96&gt;//PARTNER TEPEE/206/207/208/308/508/CROSSLAND.X </t>
  </si>
  <si>
    <t>BRS-3700-19-PG</t>
  </si>
  <si>
    <t>3307.85ANKA</t>
  </si>
  <si>
    <t>ÖN TEKER PORYA PARTNER/BERLİNGO 96&gt;</t>
  </si>
  <si>
    <t>6012-0001</t>
  </si>
  <si>
    <t xml:space="preserve">3307.85MGA </t>
  </si>
  <si>
    <t>ÖN TEKER PORYA PARTNER/BERLİNGO 96&gt;//PARTNER TEPEE/206/207/208/308/508/CROSSLAND.X</t>
  </si>
  <si>
    <t>3349.09SAGEM</t>
  </si>
  <si>
    <t>ABS OKUYUCU HALKA 206/208/301/1007/C-ELYSEE/C2/C3</t>
  </si>
  <si>
    <t>3350.16OPTİMAL</t>
  </si>
  <si>
    <t>ÖN TEKER RULMAN -ABS PARTNER M49-M59/206/307/XSARA</t>
  </si>
  <si>
    <t>600308XS</t>
  </si>
  <si>
    <t>3350.16PFİ</t>
  </si>
  <si>
    <t>PW42820036CS</t>
  </si>
  <si>
    <t>3350.16SNR</t>
  </si>
  <si>
    <t xml:space="preserve">ÖN TEKER RULMAN -ABS PARTNER M49-M59/206/307/XSARA </t>
  </si>
  <si>
    <t>GB40574S01</t>
  </si>
  <si>
    <t>3350.32OPTİMAL</t>
  </si>
  <si>
    <t>ÖN TEKER RULMAN -ABS 106/206/306/C2/C3/SAXO</t>
  </si>
  <si>
    <t>601916XS</t>
  </si>
  <si>
    <t>3350.32PFİ</t>
  </si>
  <si>
    <t>PW37720033CSR1</t>
  </si>
  <si>
    <t>3350.82ABRASSE</t>
  </si>
  <si>
    <t>ÖN TEKER RULMAN 308/407/508/3008/C5/RCZ/DS4/DS5 09&gt;</t>
  </si>
  <si>
    <t>37-1029</t>
  </si>
  <si>
    <t>3350.84PFİ</t>
  </si>
  <si>
    <t>ÖN TEKER RULMAN +ABS PARTNER/207/208/301/307/308/3008/5008/CORSSLAND.X</t>
  </si>
  <si>
    <t>PW42820336CSM</t>
  </si>
  <si>
    <t>3350.84SKF</t>
  </si>
  <si>
    <t>VKBC20011</t>
  </si>
  <si>
    <t>3350.84SNR</t>
  </si>
  <si>
    <t>XGB.40574.P</t>
  </si>
  <si>
    <t>3350.92FAG</t>
  </si>
  <si>
    <t>ÖN TEKER RULMAN +ABS 206/207/208/301/C2/C3</t>
  </si>
  <si>
    <t>3350.92KRAFTVOLL</t>
  </si>
  <si>
    <t>3350.92OPTİMAL</t>
  </si>
  <si>
    <t xml:space="preserve">ÖN TEKER RULMAN +ABS 206/207/208/301/C2/C3 </t>
  </si>
  <si>
    <t>601253XS</t>
  </si>
  <si>
    <t>3350.92PFİ</t>
  </si>
  <si>
    <t>PW37720033CSM</t>
  </si>
  <si>
    <t>3350.92SKF</t>
  </si>
  <si>
    <t xml:space="preserve">ÖN TEKER RULMAN +ABS 206/207/208/301/C2/C3  </t>
  </si>
  <si>
    <t>VKBC20031</t>
  </si>
  <si>
    <t>34106860019BREMBO</t>
  </si>
  <si>
    <t>ÖN BALATA F40/F45/F46/F48/G20/G22/G26/G30</t>
  </si>
  <si>
    <t>P06093</t>
  </si>
  <si>
    <t>34116864060DELPHİ</t>
  </si>
  <si>
    <t xml:space="preserve">ÖN FREN DİSKİ 5D286mm BMW E36/E46 </t>
  </si>
  <si>
    <t>BG2623C</t>
  </si>
  <si>
    <t>34208844393FEBİ</t>
  </si>
  <si>
    <t>ARKA FREN BALATA BMW G20 18&gt; 3.20</t>
  </si>
  <si>
    <t>34351543830TOPRAN</t>
  </si>
  <si>
    <t>BALATA FİŞİ ÖN F-39/40/44/45/46</t>
  </si>
  <si>
    <t>34356865612BRAXIS</t>
  </si>
  <si>
    <t>BALATA FİŞİ ARKA F-45/46/48 ARKA MINI F-54/55/56/57</t>
  </si>
  <si>
    <t>AF1024</t>
  </si>
  <si>
    <t>34356870354TOPRAN</t>
  </si>
  <si>
    <t>ARKA FREN BALATA FİŞİ BMW G20 320</t>
  </si>
  <si>
    <t>344004DJPARTS</t>
  </si>
  <si>
    <t>ÖN AMORTİSÖR SOL VECTRA.B</t>
  </si>
  <si>
    <t>DS1404GS</t>
  </si>
  <si>
    <t>344004MARELLİ</t>
  </si>
  <si>
    <t>344004MONROE</t>
  </si>
  <si>
    <t>G16758</t>
  </si>
  <si>
    <t>344004OPTİMAL</t>
  </si>
  <si>
    <t>A-3200GL</t>
  </si>
  <si>
    <t>344005DJPARTS</t>
  </si>
  <si>
    <t>ÖN AMORTİSÖR SAĞ VECTRA.B</t>
  </si>
  <si>
    <t>DS1403GS</t>
  </si>
  <si>
    <t>344005MARELLİ</t>
  </si>
  <si>
    <t>344005MONROE</t>
  </si>
  <si>
    <t>G16757</t>
  </si>
  <si>
    <t>344005OPTİMAL</t>
  </si>
  <si>
    <t>A-3200GR</t>
  </si>
  <si>
    <t xml:space="preserve">344076ASPART </t>
  </si>
  <si>
    <t>1SAB1149</t>
  </si>
  <si>
    <t>ÖN AMORTİSÖR SAĞ ASTRA.G</t>
  </si>
  <si>
    <t>344076OPTİMAL</t>
  </si>
  <si>
    <t>A-3065GR</t>
  </si>
  <si>
    <t>344076SACHS</t>
  </si>
  <si>
    <t xml:space="preserve">344077ASPART </t>
  </si>
  <si>
    <t>1SAB1150</t>
  </si>
  <si>
    <t>ÖN AMORTİSÖR SOL ASTRA.G</t>
  </si>
  <si>
    <t xml:space="preserve">344077OPTİMAL </t>
  </si>
  <si>
    <t>A-3065GL</t>
  </si>
  <si>
    <t>344077SACHS</t>
  </si>
  <si>
    <t>344182YTT</t>
  </si>
  <si>
    <t xml:space="preserve">AMORTİSÖR DARBE TAKOZ ÖN CORSA.B </t>
  </si>
  <si>
    <t>Y1596</t>
  </si>
  <si>
    <t xml:space="preserve">344216ASPART </t>
  </si>
  <si>
    <t>ÖN AMORTİSÖR ASTRA.F GAZLI</t>
  </si>
  <si>
    <t>344216KRAFTVOLL</t>
  </si>
  <si>
    <t xml:space="preserve">344216MONROE </t>
  </si>
  <si>
    <t>MG259</t>
  </si>
  <si>
    <t>344216OPTİMAL</t>
  </si>
  <si>
    <t>ÖN AMORTİSÖR ASTRA.F YAĞLI</t>
  </si>
  <si>
    <t>A8102H</t>
  </si>
  <si>
    <t>344216VOTTO</t>
  </si>
  <si>
    <t>VOT-A-1404H</t>
  </si>
  <si>
    <t>344271ASPART</t>
  </si>
  <si>
    <t>1SAB1159</t>
  </si>
  <si>
    <t>ÖN AMORTİSÖR VECTRA.A</t>
  </si>
  <si>
    <t xml:space="preserve">344315ASPART </t>
  </si>
  <si>
    <t>ÖN AMORTİSÖR CORSA.B/TİGRA.A(GAZLI)</t>
  </si>
  <si>
    <t>344315MAYSAN</t>
  </si>
  <si>
    <t>ÖN AMORTİSÖR CORSA.B/TİGRA.A(YAĞLI)</t>
  </si>
  <si>
    <t xml:space="preserve">MAYSAN MANDO </t>
  </si>
  <si>
    <t>S9412533WM</t>
  </si>
  <si>
    <t xml:space="preserve">344315MONROE </t>
  </si>
  <si>
    <t>ÖN AMORTİSÖR CORSA.B/TİGRA.A</t>
  </si>
  <si>
    <t>G16203</t>
  </si>
  <si>
    <t xml:space="preserve">344315OPTİMAL </t>
  </si>
  <si>
    <t>A3602H</t>
  </si>
  <si>
    <t xml:space="preserve">344343ASPART </t>
  </si>
  <si>
    <t>1SAB1154</t>
  </si>
  <si>
    <t>ÖN AMORTİSÖR SOL CORSA.C</t>
  </si>
  <si>
    <t>344343KRAFTVOLL</t>
  </si>
  <si>
    <t>344343MAYSAN</t>
  </si>
  <si>
    <t>MAYSAN</t>
  </si>
  <si>
    <t>PS9412535</t>
  </si>
  <si>
    <t>344343OPTİMAL</t>
  </si>
  <si>
    <t>A-3119GL</t>
  </si>
  <si>
    <t>344343SACHS</t>
  </si>
  <si>
    <t>344343TECHNO</t>
  </si>
  <si>
    <t>42F009L</t>
  </si>
  <si>
    <t xml:space="preserve">ÖN AMORTİSÖR SOL CORSA.C </t>
  </si>
  <si>
    <t>TECHNOSHOCK</t>
  </si>
  <si>
    <t>344343TRW</t>
  </si>
  <si>
    <t>JGM3823SL</t>
  </si>
  <si>
    <t xml:space="preserve">344344ASPART </t>
  </si>
  <si>
    <t>1SAB1153</t>
  </si>
  <si>
    <t>ÖN AMORTİSÖR SAĞ CORSA.C</t>
  </si>
  <si>
    <t>344344KRAFTVOLL</t>
  </si>
  <si>
    <t>344344MAYSAN</t>
  </si>
  <si>
    <t>PS9412533</t>
  </si>
  <si>
    <t>344344OPTİMAL</t>
  </si>
  <si>
    <t>A-3119GR</t>
  </si>
  <si>
    <t>344344SACHS</t>
  </si>
  <si>
    <t>344344TECHNO</t>
  </si>
  <si>
    <t>42F010R</t>
  </si>
  <si>
    <t>344344TRW</t>
  </si>
  <si>
    <t>JGM3823SR</t>
  </si>
  <si>
    <t>344344VOTTO</t>
  </si>
  <si>
    <t>VOT-A-1406G</t>
  </si>
  <si>
    <t>344349RPR</t>
  </si>
  <si>
    <t>SÜSPANSİYON TAKOZ ASTRA.G/HVECTRA.C/ZAFİRA.C</t>
  </si>
  <si>
    <t>R59450</t>
  </si>
  <si>
    <t>344356DJPARTS</t>
  </si>
  <si>
    <t>ÖN AMORTİSÖR SOL ASTRA.H</t>
  </si>
  <si>
    <t>DS1923GS</t>
  </si>
  <si>
    <t>344356MAYSAN</t>
  </si>
  <si>
    <t>PS9712515M</t>
  </si>
  <si>
    <t>344356OPTİMAL</t>
  </si>
  <si>
    <t>A-3246GL</t>
  </si>
  <si>
    <t>344356SACHS</t>
  </si>
  <si>
    <t>344357DJPARTS</t>
  </si>
  <si>
    <t>ÖN AMORTİSÖR SAĞ ASTRA.H</t>
  </si>
  <si>
    <t>DS1922GS</t>
  </si>
  <si>
    <t>344357MAYSAN</t>
  </si>
  <si>
    <t>PS9712513M</t>
  </si>
  <si>
    <t>344357OPTİMAL</t>
  </si>
  <si>
    <t>A-3264GR</t>
  </si>
  <si>
    <t xml:space="preserve">344357SACHS </t>
  </si>
  <si>
    <t>344360ASPART</t>
  </si>
  <si>
    <t>1SAB1152</t>
  </si>
  <si>
    <t>ÖN AMORTİSÖR SOL VECTRA.C</t>
  </si>
  <si>
    <t>344360SACHS</t>
  </si>
  <si>
    <t>344361ASPART</t>
  </si>
  <si>
    <t>1SAB1151</t>
  </si>
  <si>
    <t>ÖN AMORTİSÖR SAĞ VECTRA.C</t>
  </si>
  <si>
    <t>344361OPTİMAL</t>
  </si>
  <si>
    <t xml:space="preserve">ÖN AMORTİSÖR SAĞ VECTRA.C </t>
  </si>
  <si>
    <t>A3609GR</t>
  </si>
  <si>
    <t>344361SACHS</t>
  </si>
  <si>
    <t>344401ASPART</t>
  </si>
  <si>
    <t>1RSS1002</t>
  </si>
  <si>
    <t>AMORTİSÖR DARBE TAKOZ ÖN ASTRA.F/VECTRA.A</t>
  </si>
  <si>
    <t>344417ASPART</t>
  </si>
  <si>
    <t>1RSS1004</t>
  </si>
  <si>
    <t>AMORTİSÖR DARBE TAKOZ ASTRA.G/VECTRA.B/ZAFİRA.A</t>
  </si>
  <si>
    <t>344417KRAFTVOLL</t>
  </si>
  <si>
    <t>344418ASPART</t>
  </si>
  <si>
    <t>1RSS1005</t>
  </si>
  <si>
    <t>AMORTİSÖR TARBE DAKOZ ÖN VECTRA.B</t>
  </si>
  <si>
    <t xml:space="preserve">344424ASPART </t>
  </si>
  <si>
    <t>1SBE1170</t>
  </si>
  <si>
    <t>AMORTİSÖR DARBE TAKOZ ÖN CORSA.C/COMBO.C/MERİVA.A</t>
  </si>
  <si>
    <t>344469DOGRU</t>
  </si>
  <si>
    <t>AMORTİSÖR ÜST TAKOZ İNSİGNİA.A</t>
  </si>
  <si>
    <t>DK90-1085</t>
  </si>
  <si>
    <t>344469FORMPART</t>
  </si>
  <si>
    <t>20407400/K</t>
  </si>
  <si>
    <t>344469SWAG</t>
  </si>
  <si>
    <t>344469YTT</t>
  </si>
  <si>
    <t>Y2322</t>
  </si>
  <si>
    <t>344514ASPART</t>
  </si>
  <si>
    <t>AMORTİSÖR TAKOZ VECTRA.A</t>
  </si>
  <si>
    <t>344514DOGRU</t>
  </si>
  <si>
    <t>DK90-653</t>
  </si>
  <si>
    <t>344514YTT</t>
  </si>
  <si>
    <t>Y1415</t>
  </si>
  <si>
    <t>344516FAG</t>
  </si>
  <si>
    <t>AMORTİSÖR RULMAN VECTRA.A/ASTRA.F</t>
  </si>
  <si>
    <t>344516MEYLE</t>
  </si>
  <si>
    <t>344516SNR</t>
  </si>
  <si>
    <t>M253.01</t>
  </si>
  <si>
    <t>344517ASPART</t>
  </si>
  <si>
    <t>1SBE1024</t>
  </si>
  <si>
    <t>AMORTİSÖR ÜST TAKOZ ASTRA.F</t>
  </si>
  <si>
    <t>344517DOGRU</t>
  </si>
  <si>
    <t>DK90-655</t>
  </si>
  <si>
    <t>344517KRAFTVOLL</t>
  </si>
  <si>
    <t>344517RPR</t>
  </si>
  <si>
    <t>R59062</t>
  </si>
  <si>
    <t xml:space="preserve">344517SACHS </t>
  </si>
  <si>
    <t>344517TOPRAN</t>
  </si>
  <si>
    <t>200 444</t>
  </si>
  <si>
    <t>344517YTT</t>
  </si>
  <si>
    <t>Y1414</t>
  </si>
  <si>
    <t>344519DOĞRU</t>
  </si>
  <si>
    <t>AMORTİSÖR ÜST TAKOZ CORSA.B</t>
  </si>
  <si>
    <t>DK90-680</t>
  </si>
  <si>
    <t xml:space="preserve">344519MEYLE </t>
  </si>
  <si>
    <t>344519YTT</t>
  </si>
  <si>
    <t>Y1460</t>
  </si>
  <si>
    <t>344524RPR</t>
  </si>
  <si>
    <t>AMORTİSÖR RULMAN ÇANAKLI ASTRA.F</t>
  </si>
  <si>
    <t>R59121</t>
  </si>
  <si>
    <t>344524YTT</t>
  </si>
  <si>
    <t>Y2390</t>
  </si>
  <si>
    <t xml:space="preserve">344525ASPART </t>
  </si>
  <si>
    <t>AMORTİSÖR ÜST TAKOZ ASTRA.G/CORSA.C/VECTRA.B</t>
  </si>
  <si>
    <t>344525 ASP</t>
  </si>
  <si>
    <t>344525DOGRU</t>
  </si>
  <si>
    <t>DK90-0674</t>
  </si>
  <si>
    <t>344525FEBİ</t>
  </si>
  <si>
    <t>344525FORMPART</t>
  </si>
  <si>
    <t>20421003/S</t>
  </si>
  <si>
    <t>344525KAUTEK</t>
  </si>
  <si>
    <t>OP-SM017</t>
  </si>
  <si>
    <t>344525KRAFTVOLL</t>
  </si>
  <si>
    <t>344525RPR</t>
  </si>
  <si>
    <t>R59084</t>
  </si>
  <si>
    <t xml:space="preserve">344525SACHS </t>
  </si>
  <si>
    <t>344525SWAG</t>
  </si>
  <si>
    <t>344525YTT</t>
  </si>
  <si>
    <t>Y1449</t>
  </si>
  <si>
    <t>344537DOGRU</t>
  </si>
  <si>
    <t>AMORTİSÖR ÜST TAKOZ VECTRA.C</t>
  </si>
  <si>
    <t>DK90-871</t>
  </si>
  <si>
    <t>344537LEMFÖRDER</t>
  </si>
  <si>
    <t xml:space="preserve">344537SACHS </t>
  </si>
  <si>
    <t>344537YTT</t>
  </si>
  <si>
    <t>Y1527</t>
  </si>
  <si>
    <t>344543-S1-SWAG</t>
  </si>
  <si>
    <t>AMORTİSÖR ÜST TAKOZ RULMANLI SET ASTRA.H</t>
  </si>
  <si>
    <t>344543DOĞRU</t>
  </si>
  <si>
    <t>AMORTİSÖR ÜST TAKOZ ASTRA.H</t>
  </si>
  <si>
    <t>DK90-807</t>
  </si>
  <si>
    <t>344543LEMFÖRDER</t>
  </si>
  <si>
    <t xml:space="preserve">344543SACHS </t>
  </si>
  <si>
    <t>344543YTT</t>
  </si>
  <si>
    <t>Y1528</t>
  </si>
  <si>
    <t>344573KORE</t>
  </si>
  <si>
    <t>AMORTİSÖR ÜST TAKOZ ASTRA.J/CRUZE</t>
  </si>
  <si>
    <t>344573LEMFÖRDER</t>
  </si>
  <si>
    <t>344573PRAKSSIS</t>
  </si>
  <si>
    <t>PRA-360707</t>
  </si>
  <si>
    <t xml:space="preserve">344573SACHS </t>
  </si>
  <si>
    <t>344573YTT</t>
  </si>
  <si>
    <t>Y3124</t>
  </si>
  <si>
    <t>344588KRAFTVOLL</t>
  </si>
  <si>
    <t>AMORTİSÖR TEPE ÇANAK VECTRA.A/OMEGA.A/B</t>
  </si>
  <si>
    <t>344591YTT</t>
  </si>
  <si>
    <t>AMORTİSÖR TEPE ÇANAK ASTRA.G/VECTRA.B</t>
  </si>
  <si>
    <t>Y1471</t>
  </si>
  <si>
    <t>344595DJPARTS</t>
  </si>
  <si>
    <t>ÖN AMORTİSÖR SOL ASTRA.J/CRUZE</t>
  </si>
  <si>
    <t>DS3092GS</t>
  </si>
  <si>
    <t>344595KRAFTVOLL</t>
  </si>
  <si>
    <t xml:space="preserve">344595MONROE </t>
  </si>
  <si>
    <t xml:space="preserve">MONROE </t>
  </si>
  <si>
    <t>G8196</t>
  </si>
  <si>
    <t>344595OPTİMAL</t>
  </si>
  <si>
    <t>A-3205GL</t>
  </si>
  <si>
    <t xml:space="preserve">344595SACHS </t>
  </si>
  <si>
    <t>344596DJPARTS</t>
  </si>
  <si>
    <t>ÖN AMORTİSÖR SAĞ ASTRA.J/CRUZE</t>
  </si>
  <si>
    <t>DS3091GS</t>
  </si>
  <si>
    <t>344596KRAFTVOLL</t>
  </si>
  <si>
    <t xml:space="preserve">344596MONROE </t>
  </si>
  <si>
    <t>G8195</t>
  </si>
  <si>
    <t>344596OPTİMAL</t>
  </si>
  <si>
    <t>A-3205GR</t>
  </si>
  <si>
    <t>344596SACHS</t>
  </si>
  <si>
    <t>344596VOTTO</t>
  </si>
  <si>
    <t>VOT-A-1436G</t>
  </si>
  <si>
    <t>344651ÜÇEL</t>
  </si>
  <si>
    <t>AMORTİSÖR DARBE TAKOZ CORSA.D/BİPPER/NENO</t>
  </si>
  <si>
    <t>344653ADM</t>
  </si>
  <si>
    <t>AMORTİSÖR ÜST TAKOZ CORSA.D/E</t>
  </si>
  <si>
    <t>ADM</t>
  </si>
  <si>
    <t>FI-226</t>
  </si>
  <si>
    <t xml:space="preserve">344653ASPART </t>
  </si>
  <si>
    <t>1SBE1032</t>
  </si>
  <si>
    <t>344653ERASTECH</t>
  </si>
  <si>
    <t>344653FAG</t>
  </si>
  <si>
    <t xml:space="preserve">344653KAUTEK </t>
  </si>
  <si>
    <t xml:space="preserve">KAUTEK </t>
  </si>
  <si>
    <t>OP-SM011</t>
  </si>
  <si>
    <t>344653KRAFTVOLL</t>
  </si>
  <si>
    <t>344653LEMFÖRDER</t>
  </si>
  <si>
    <t>344653SACHS</t>
  </si>
  <si>
    <t>344653SNR</t>
  </si>
  <si>
    <t>KB658.20</t>
  </si>
  <si>
    <t>344659ASPART</t>
  </si>
  <si>
    <t>1SAB1166</t>
  </si>
  <si>
    <t>ÖN AMORTİSÖR SOL CORSA.D</t>
  </si>
  <si>
    <t>344659DJPARTS</t>
  </si>
  <si>
    <t>DS3261GS</t>
  </si>
  <si>
    <t>344659MAYSAN</t>
  </si>
  <si>
    <t>PS9712503M</t>
  </si>
  <si>
    <t>344659OPTİMAL</t>
  </si>
  <si>
    <t>A-3451GL</t>
  </si>
  <si>
    <t>344659SACHS</t>
  </si>
  <si>
    <t xml:space="preserve">ÖN AMORTİSÖR SOL CORSA.D </t>
  </si>
  <si>
    <t>344659TRW</t>
  </si>
  <si>
    <t>JGM6456SL</t>
  </si>
  <si>
    <t>344659VOTTO</t>
  </si>
  <si>
    <t>A1000G</t>
  </si>
  <si>
    <t>344660ASPART</t>
  </si>
  <si>
    <t>1SAB1167</t>
  </si>
  <si>
    <t>ÖN AMORTİSÖR SAĞ CORSA.D</t>
  </si>
  <si>
    <t>344660DJPARTS</t>
  </si>
  <si>
    <t>DS3260GS</t>
  </si>
  <si>
    <t>344660MAYSAN</t>
  </si>
  <si>
    <t>PS9712501M</t>
  </si>
  <si>
    <t>344660OPTİMAL</t>
  </si>
  <si>
    <t>A-3451GR</t>
  </si>
  <si>
    <t>344660SACHS</t>
  </si>
  <si>
    <t>344660TRW</t>
  </si>
  <si>
    <t>JGM6456SR</t>
  </si>
  <si>
    <t>344660VOTTO</t>
  </si>
  <si>
    <t>A1002G</t>
  </si>
  <si>
    <t>344665FAG</t>
  </si>
  <si>
    <t>AMORTİSÖR RULMAN VECTRA.C/ASTRA.H</t>
  </si>
  <si>
    <t>344665FEBİ</t>
  </si>
  <si>
    <t>344665INA</t>
  </si>
  <si>
    <t>344665TAP</t>
  </si>
  <si>
    <t>344727IMPOL</t>
  </si>
  <si>
    <t>AMORTİSÖR DARBE TAKOZ ÖN ASTRA.J/CRUZE/CASCADA/ZAFİRA.C</t>
  </si>
  <si>
    <t xml:space="preserve">IMPOL </t>
  </si>
  <si>
    <t xml:space="preserve">344782ASPART </t>
  </si>
  <si>
    <t xml:space="preserve">ÖN AMORTİSÖR SOL İNSİGNİA.A </t>
  </si>
  <si>
    <t>344782MONROE</t>
  </si>
  <si>
    <t>ÖN AMORTİSÖR SOL İNSİGNİA.A(OESPECTRUM)</t>
  </si>
  <si>
    <t>742167SP</t>
  </si>
  <si>
    <t>344782OPTİMAL</t>
  </si>
  <si>
    <t>A3732GL</t>
  </si>
  <si>
    <t xml:space="preserve">344782SACHS </t>
  </si>
  <si>
    <t>ÖN AMORTİSÖR SOL İNSİGNİA.A</t>
  </si>
  <si>
    <t>344783ASPART</t>
  </si>
  <si>
    <t xml:space="preserve">ÖN AMORTİSÖR SAĞ İNSİGNİA.A </t>
  </si>
  <si>
    <t xml:space="preserve">344783MONROE </t>
  </si>
  <si>
    <t>ÖN AMORTİSÖR SAĞ İNSİGNİA.A(OESPECTRUM)</t>
  </si>
  <si>
    <t>742166SP</t>
  </si>
  <si>
    <t>344783OPTİMAL</t>
  </si>
  <si>
    <t>A3732GR</t>
  </si>
  <si>
    <t>344783SACHS</t>
  </si>
  <si>
    <t>344905DJPARTS</t>
  </si>
  <si>
    <t>ÖN AMORTİSÖR SOL MOKKA/MOKKA.X/TRAX</t>
  </si>
  <si>
    <t>DS3263GS</t>
  </si>
  <si>
    <t>344906DJPARTS</t>
  </si>
  <si>
    <t>ÖN AMORTİSÖR SAĞ MOKKA/MOKKA.X/TRAX</t>
  </si>
  <si>
    <t>DS3262GS</t>
  </si>
  <si>
    <t>344956ASPART</t>
  </si>
  <si>
    <t>1DPS1034</t>
  </si>
  <si>
    <t xml:space="preserve">AMORTİSÖR DARBE TAKOZ ÖN CORSA.D </t>
  </si>
  <si>
    <t>344956UCPA</t>
  </si>
  <si>
    <t xml:space="preserve">UCPA </t>
  </si>
  <si>
    <t>344967METTE</t>
  </si>
  <si>
    <t>BİJON SAPLAMASI İNSİGNİA.A</t>
  </si>
  <si>
    <t>409P1294</t>
  </si>
  <si>
    <t>344969RPR</t>
  </si>
  <si>
    <t>AMORTİSÖR TOZ KÖRÜĞÜ İNSİGNİA.A</t>
  </si>
  <si>
    <t>R54128</t>
  </si>
  <si>
    <t>345089SACHS</t>
  </si>
  <si>
    <t>ÖN AMORTİSÖR SOL CORSA.E</t>
  </si>
  <si>
    <t>345090SACHS</t>
  </si>
  <si>
    <t>ÖN AMORTİSÖR SAĞ CORSA.E</t>
  </si>
  <si>
    <t>350104RPR</t>
  </si>
  <si>
    <t>VİRAK DEMİR LASTİĞİ CORSA.C 15mm</t>
  </si>
  <si>
    <t>R59014</t>
  </si>
  <si>
    <t>350127FEBİ</t>
  </si>
  <si>
    <t>VİRAJ DEMİR LASTİK CORSA.B 21,5mm</t>
  </si>
  <si>
    <t>350130ASPART</t>
  </si>
  <si>
    <t>1SRU1029</t>
  </si>
  <si>
    <t>VİRAJ DEMİR LASTİK ÖN VECTRA.B/ASTRA.G/CORSA.C 16mm</t>
  </si>
  <si>
    <t>350130DOGRU</t>
  </si>
  <si>
    <t>DK90-678</t>
  </si>
  <si>
    <t>350138ASPART</t>
  </si>
  <si>
    <t>1SRU1030</t>
  </si>
  <si>
    <t>VİRAJ DEMİR LASTİK ÖN ASTRA.G 20mm</t>
  </si>
  <si>
    <t>350138YTT</t>
  </si>
  <si>
    <t>Y1484</t>
  </si>
  <si>
    <t>350143RPR</t>
  </si>
  <si>
    <t>VİRAJ DEMİR LASTİĞİ COMBO.C</t>
  </si>
  <si>
    <t>R59147</t>
  </si>
  <si>
    <t xml:space="preserve">350148ASPART </t>
  </si>
  <si>
    <t xml:space="preserve">VİRAJ DEMİR LASTİK ÖN 25,2mm VECTRA.C </t>
  </si>
  <si>
    <t>350161ASPART</t>
  </si>
  <si>
    <t>1SRU1035</t>
  </si>
  <si>
    <t>VİRAJ DEMİR LASTİK COMBO.C/MERİVA.A/ASTRA.H 21mm</t>
  </si>
  <si>
    <t>350192AYD</t>
  </si>
  <si>
    <t>Z ROT SOL ASTRA.J GTC</t>
  </si>
  <si>
    <t>96-16336</t>
  </si>
  <si>
    <t>350207RPR</t>
  </si>
  <si>
    <t>VİRAJ DEMİR LASTİK CORSA.D 19mm</t>
  </si>
  <si>
    <t>R59983</t>
  </si>
  <si>
    <t>350231AYD</t>
  </si>
  <si>
    <t>Z ROT SOL MOKKA/MOKKA.X</t>
  </si>
  <si>
    <t>96-12797</t>
  </si>
  <si>
    <t>350231DELPHİ</t>
  </si>
  <si>
    <t>TC2701</t>
  </si>
  <si>
    <t>350231KAPİMSAN</t>
  </si>
  <si>
    <t>18-02721</t>
  </si>
  <si>
    <t>350231KRAFTVOLL</t>
  </si>
  <si>
    <t>350231SWAPP</t>
  </si>
  <si>
    <t>50-12797</t>
  </si>
  <si>
    <t xml:space="preserve">350232AYD </t>
  </si>
  <si>
    <t>Z ROT SAĞ MOKKA/MOKKA.X</t>
  </si>
  <si>
    <t>96-12798</t>
  </si>
  <si>
    <t>350232DELPHİ</t>
  </si>
  <si>
    <t>TC2702</t>
  </si>
  <si>
    <t>350232KAPİM</t>
  </si>
  <si>
    <t>18-02722</t>
  </si>
  <si>
    <t>350232KRAFTVOLL</t>
  </si>
  <si>
    <t>350232RIW</t>
  </si>
  <si>
    <t>OP4022A</t>
  </si>
  <si>
    <t>350233RIW</t>
  </si>
  <si>
    <t>Z ROT CORSA.E/ADAM</t>
  </si>
  <si>
    <t>OP4021</t>
  </si>
  <si>
    <t>350260ASPART</t>
  </si>
  <si>
    <t>1ISA1009</t>
  </si>
  <si>
    <t>Z ROT VECTRA.A/ASTRA.F 22mm</t>
  </si>
  <si>
    <t>350260DOGRU</t>
  </si>
  <si>
    <t>DK90-637</t>
  </si>
  <si>
    <t>350261AYD</t>
  </si>
  <si>
    <t>Z ROT ASTRA.F/VECTRA.A 18mm</t>
  </si>
  <si>
    <t>96-01100</t>
  </si>
  <si>
    <t>350261KAPİM</t>
  </si>
  <si>
    <t>VİRAJ ROTU 18mm VECTRA.A/ASTRA.F</t>
  </si>
  <si>
    <t>18-02714</t>
  </si>
  <si>
    <t>350263AYD</t>
  </si>
  <si>
    <t>VİRAJ DEMİR UÇ ROTU ASTRA.F/VECTRA.A(DİRSEK)</t>
  </si>
  <si>
    <t>96-01573</t>
  </si>
  <si>
    <t>350263DELPHİ</t>
  </si>
  <si>
    <t>TD286W</t>
  </si>
  <si>
    <t>350263KAPİM</t>
  </si>
  <si>
    <t>18-02705</t>
  </si>
  <si>
    <t>350263KRAFTVOLL</t>
  </si>
  <si>
    <t xml:space="preserve">350263ORJİN </t>
  </si>
  <si>
    <t>350263RIW</t>
  </si>
  <si>
    <t>OP4003</t>
  </si>
  <si>
    <t>350391ASPART</t>
  </si>
  <si>
    <t>1SRU1042</t>
  </si>
  <si>
    <t>VİRAJ DEMİR LASTİĞİ ALT VECTRA.C/ZAFİRA.B/MERİVA.B 24mm</t>
  </si>
  <si>
    <t>350603AYD</t>
  </si>
  <si>
    <t>Z ROT ÖN VECTRA.C/SIGNUM</t>
  </si>
  <si>
    <t>96-01974</t>
  </si>
  <si>
    <t>350603KAPİM</t>
  </si>
  <si>
    <t>18-02706</t>
  </si>
  <si>
    <t>350603KRAFTVOLL</t>
  </si>
  <si>
    <t>350603RIW</t>
  </si>
  <si>
    <t>OP4007</t>
  </si>
  <si>
    <t>350610ASPART</t>
  </si>
  <si>
    <t>1ISA1053</t>
  </si>
  <si>
    <t>Z ROT VECTRA.B/CORSA.C</t>
  </si>
  <si>
    <t>350610AYD</t>
  </si>
  <si>
    <t>96-01004</t>
  </si>
  <si>
    <t>350610DELPHİ</t>
  </si>
  <si>
    <t>TC686</t>
  </si>
  <si>
    <t>350610DJPARTS</t>
  </si>
  <si>
    <t>DL1364</t>
  </si>
  <si>
    <t>350610KAPİMSAN</t>
  </si>
  <si>
    <t>18-02704</t>
  </si>
  <si>
    <t>350610KRAFTVOLL</t>
  </si>
  <si>
    <t>350610TEKNOROT</t>
  </si>
  <si>
    <t>O-411</t>
  </si>
  <si>
    <t>350610VOTTO</t>
  </si>
  <si>
    <t>VOT-14-05400</t>
  </si>
  <si>
    <t>350612AYD</t>
  </si>
  <si>
    <t>Z ROT VECTRA.C (İDS+ İÇİN)</t>
  </si>
  <si>
    <t>96-09912</t>
  </si>
  <si>
    <t>350614ASPART</t>
  </si>
  <si>
    <t>1ISA1049</t>
  </si>
  <si>
    <t>Z ROT ASTRA.G/H</t>
  </si>
  <si>
    <t xml:space="preserve">350614AYD </t>
  </si>
  <si>
    <t>96-01351</t>
  </si>
  <si>
    <t>350614IISI</t>
  </si>
  <si>
    <t>Z ROT ASTRA.G/ASTRA.H</t>
  </si>
  <si>
    <t>IISI</t>
  </si>
  <si>
    <t>251D005</t>
  </si>
  <si>
    <t>350614KAPİMSAN</t>
  </si>
  <si>
    <t>18-02712</t>
  </si>
  <si>
    <t>350614PRAKSSIS</t>
  </si>
  <si>
    <t>OP-411</t>
  </si>
  <si>
    <t>350614SWAPP</t>
  </si>
  <si>
    <t>50-01351</t>
  </si>
  <si>
    <t>350614YTT</t>
  </si>
  <si>
    <t>Y644005</t>
  </si>
  <si>
    <t>350616ABRASSE</t>
  </si>
  <si>
    <t xml:space="preserve">Z ROT CORSA.D/BİPPER/NEMO/FİORİNO/LİNEA </t>
  </si>
  <si>
    <t>BRS-02-42-FI</t>
  </si>
  <si>
    <t>350616AYD</t>
  </si>
  <si>
    <t>Z ROT CORSA.D/BİPPER/NEMO/FİORİNO/LİNEA</t>
  </si>
  <si>
    <t>96-05542</t>
  </si>
  <si>
    <t>350616DELPHİ</t>
  </si>
  <si>
    <t>Z ROT CORSA.D/BİPPER/NEMO</t>
  </si>
  <si>
    <t>TC1806</t>
  </si>
  <si>
    <t>350616FROWAS</t>
  </si>
  <si>
    <t>350616KAPİM</t>
  </si>
  <si>
    <t>18-02717K</t>
  </si>
  <si>
    <t>350616KRAFTVOLL</t>
  </si>
  <si>
    <t>350616PRAKSSIS</t>
  </si>
  <si>
    <t>OP-401</t>
  </si>
  <si>
    <t>350616RIW</t>
  </si>
  <si>
    <t>FI4004</t>
  </si>
  <si>
    <t>350616SWAPP</t>
  </si>
  <si>
    <t>50-05542</t>
  </si>
  <si>
    <t>350616TEKNOROT</t>
  </si>
  <si>
    <t>F-480</t>
  </si>
  <si>
    <t>350616TRW</t>
  </si>
  <si>
    <t>JTS547</t>
  </si>
  <si>
    <t>350616VOTTO</t>
  </si>
  <si>
    <t>VOT-10-18400</t>
  </si>
  <si>
    <t>350617ASPART</t>
  </si>
  <si>
    <t>1ISA1051</t>
  </si>
  <si>
    <t>Z ROT ASTRA.J/CRUZE/İNSİGNİA.A</t>
  </si>
  <si>
    <t>350617AYD</t>
  </si>
  <si>
    <t>96-09486</t>
  </si>
  <si>
    <t>350617KAPİM</t>
  </si>
  <si>
    <t>18-02724</t>
  </si>
  <si>
    <t>350617KRAFTVOLL</t>
  </si>
  <si>
    <t>350617PRAKSSIS</t>
  </si>
  <si>
    <t>CH-410</t>
  </si>
  <si>
    <t>350617RIW</t>
  </si>
  <si>
    <t>OP4015</t>
  </si>
  <si>
    <t>350617SWAPP</t>
  </si>
  <si>
    <t>50-09486</t>
  </si>
  <si>
    <t xml:space="preserve">350621ASPART </t>
  </si>
  <si>
    <t>1SRU1043</t>
  </si>
  <si>
    <t>ÖN VİRAJ DEMİR LASTİK 25mm ASTRA.J/İNSİGNİA.A</t>
  </si>
  <si>
    <t>350621FEBİ</t>
  </si>
  <si>
    <t>3520.83FROW</t>
  </si>
  <si>
    <t xml:space="preserve">SALINCAK SOL 16mm 306/PARTNER/BERLİNGO </t>
  </si>
  <si>
    <t>3520.88FROW</t>
  </si>
  <si>
    <t>SALINCAK SOL 18mm 306 93-01</t>
  </si>
  <si>
    <t>3520.98FROW</t>
  </si>
  <si>
    <t>SALINCAK SOL 93-01 306//96&gt; PARTNER/BERLİNGO 18mm</t>
  </si>
  <si>
    <t>3520.F8AYD</t>
  </si>
  <si>
    <t xml:space="preserve">SALINCAK SOL 93-01 306//96&gt; PARTNER/BERLİNGO 18mm </t>
  </si>
  <si>
    <t>97-01901</t>
  </si>
  <si>
    <t>3520.F8FROW</t>
  </si>
  <si>
    <t>3520.F8KAPİM</t>
  </si>
  <si>
    <t>19-70520</t>
  </si>
  <si>
    <t>3520.F8ORJİN</t>
  </si>
  <si>
    <t xml:space="preserve">SALINCAK SOL 93-01 306//96&gt; PARTNER/BERLİNGO 18mm  </t>
  </si>
  <si>
    <t>3520.F8SWAPP</t>
  </si>
  <si>
    <t>60-01901</t>
  </si>
  <si>
    <t>3520.F8TEKNOROT</t>
  </si>
  <si>
    <t>P636</t>
  </si>
  <si>
    <t>3520.G8AYD</t>
  </si>
  <si>
    <t>SALINCAK SOL 206 98&gt;ROTİLLİ</t>
  </si>
  <si>
    <t>97-01837</t>
  </si>
  <si>
    <t>3520.G8DELPHİ</t>
  </si>
  <si>
    <t>TC874</t>
  </si>
  <si>
    <t>3520.G8FROW</t>
  </si>
  <si>
    <t>SALINCAK SOL 206 98&gt;</t>
  </si>
  <si>
    <t>3520.G8KRAFTVOLL</t>
  </si>
  <si>
    <t>3520.G8ORJİN</t>
  </si>
  <si>
    <t>3520.G8TEKNOROT</t>
  </si>
  <si>
    <t>P-236</t>
  </si>
  <si>
    <t>3520.G8VOTTO</t>
  </si>
  <si>
    <t>VOT-12-04501</t>
  </si>
  <si>
    <t>3520.H1VOTTO</t>
  </si>
  <si>
    <t xml:space="preserve">SALINCAK SOL DÖKÜM 406 </t>
  </si>
  <si>
    <t>VOT-12-11502</t>
  </si>
  <si>
    <t>3520.K8AYD</t>
  </si>
  <si>
    <t>SALINCAK SOL 00&gt; 307/08&gt;C4 /08&gt; PRT.TEPEE ROTİLSİZ</t>
  </si>
  <si>
    <t>97-01839</t>
  </si>
  <si>
    <t>3520.K8DELPHİ</t>
  </si>
  <si>
    <t>TC1156</t>
  </si>
  <si>
    <t>3520.K8FROW</t>
  </si>
  <si>
    <t xml:space="preserve">3520.K8TEKNOROT </t>
  </si>
  <si>
    <t>P-658</t>
  </si>
  <si>
    <t>3520.L4AYD</t>
  </si>
  <si>
    <t xml:space="preserve">SALINCAK SOL C3 02&gt;//C2 02&gt; </t>
  </si>
  <si>
    <t>97-02292</t>
  </si>
  <si>
    <t>3520.L4KAPİM</t>
  </si>
  <si>
    <t>3520.Q3AYD</t>
  </si>
  <si>
    <t>SALINCAK SOL KOMPLE PARTNER/BERLİNGO 00&gt;XSARA PİCS.</t>
  </si>
  <si>
    <t>97-02102</t>
  </si>
  <si>
    <t>3520.Q3KAPİM</t>
  </si>
  <si>
    <t>19-70550</t>
  </si>
  <si>
    <t>3520.R7AYD</t>
  </si>
  <si>
    <t>SALINCAK SOL 207 06&gt;/C3 II</t>
  </si>
  <si>
    <t>97-05695</t>
  </si>
  <si>
    <t>3520.R7FROWAS</t>
  </si>
  <si>
    <t>3520.R7KAPİM</t>
  </si>
  <si>
    <t>19-70540</t>
  </si>
  <si>
    <t>3520.R7ORJİN</t>
  </si>
  <si>
    <t>3520.R8FROWAS</t>
  </si>
  <si>
    <t>SALINCAK SOL JUMPY III/SCUDO III</t>
  </si>
  <si>
    <t>3520.V2AYD</t>
  </si>
  <si>
    <t>SALINCAK SOL 308 08&gt;//3008/5008/C4/DS4</t>
  </si>
  <si>
    <t>97-08687</t>
  </si>
  <si>
    <t>3520.V2FROW</t>
  </si>
  <si>
    <t xml:space="preserve">SALINCAK SOL 00&gt; 307/ 07&gt; 308 /08&gt; PRT.TEPEE ROTİLSİZ </t>
  </si>
  <si>
    <t>3520.W7AYD</t>
  </si>
  <si>
    <t xml:space="preserve">SALINCAK SOL 2008 //C3 09&gt; DS3 09&gt;  </t>
  </si>
  <si>
    <t>97-09079</t>
  </si>
  <si>
    <t>3520.W7BGA</t>
  </si>
  <si>
    <t>TRC1415</t>
  </si>
  <si>
    <t>3520.W7FROWAS</t>
  </si>
  <si>
    <t xml:space="preserve">SALINCAK SAĞ 2008 //C3 09&gt; DS3 09&gt;   </t>
  </si>
  <si>
    <t>3520.W7KAPİM</t>
  </si>
  <si>
    <t xml:space="preserve">SALINCAK SAĞ 2008 //C3 09&gt; DS3 09&gt;  </t>
  </si>
  <si>
    <t>3520.W7VOTTO</t>
  </si>
  <si>
    <t>13-04503</t>
  </si>
  <si>
    <t>3520.Y4AYD</t>
  </si>
  <si>
    <t xml:space="preserve">SALINCAK SOL BİPPER/NEMO </t>
  </si>
  <si>
    <t>97-05147</t>
  </si>
  <si>
    <t>3520.Y4KAPİM</t>
  </si>
  <si>
    <t>3520.Y4KRAFTVOLL</t>
  </si>
  <si>
    <t>3520.Y4ORJİN</t>
  </si>
  <si>
    <t xml:space="preserve">352041ASPART </t>
  </si>
  <si>
    <t>1CAR1351</t>
  </si>
  <si>
    <t>SALINCAK SOL CORSA.C/COMBO.C</t>
  </si>
  <si>
    <t xml:space="preserve">352041AYD </t>
  </si>
  <si>
    <t>97-01715</t>
  </si>
  <si>
    <t>352041DELPHİ</t>
  </si>
  <si>
    <t>TC1004</t>
  </si>
  <si>
    <t>352041DJPARTS</t>
  </si>
  <si>
    <t>DA1768</t>
  </si>
  <si>
    <t>352041FROWAS</t>
  </si>
  <si>
    <t>352041KAPİM</t>
  </si>
  <si>
    <t>18-70114</t>
  </si>
  <si>
    <t>352041ORJİN</t>
  </si>
  <si>
    <t>352041SWAPP</t>
  </si>
  <si>
    <t>60-01715</t>
  </si>
  <si>
    <t>352041VOTTO</t>
  </si>
  <si>
    <t>14-05501</t>
  </si>
  <si>
    <t>352041YTT</t>
  </si>
  <si>
    <t>Y444001</t>
  </si>
  <si>
    <t xml:space="preserve">352042ASPART </t>
  </si>
  <si>
    <t>1CAR1350</t>
  </si>
  <si>
    <t>SALINCAK SAĞ CORSA.C/COMBO.C</t>
  </si>
  <si>
    <t>352042AYD</t>
  </si>
  <si>
    <t>97-01714</t>
  </si>
  <si>
    <t>352042DELPHİ</t>
  </si>
  <si>
    <t>TC1005</t>
  </si>
  <si>
    <t>352042DJPARTS</t>
  </si>
  <si>
    <t>DA1767</t>
  </si>
  <si>
    <t>352042KAPİM</t>
  </si>
  <si>
    <t xml:space="preserve">KAPİMSAN </t>
  </si>
  <si>
    <t>18-70115</t>
  </si>
  <si>
    <t>352042KRAFTVOLL</t>
  </si>
  <si>
    <t>352042ORJİN</t>
  </si>
  <si>
    <t>352042SWAPP</t>
  </si>
  <si>
    <t>60-01714</t>
  </si>
  <si>
    <t>352042TEKNOROT</t>
  </si>
  <si>
    <t>O-155</t>
  </si>
  <si>
    <t>352042VOTTO</t>
  </si>
  <si>
    <t>14-05500</t>
  </si>
  <si>
    <t>352042YTT</t>
  </si>
  <si>
    <t>Y444002</t>
  </si>
  <si>
    <t>352050ASPART</t>
  </si>
  <si>
    <t>1CAR1357</t>
  </si>
  <si>
    <t xml:space="preserve">SALINCAK SOL İNSİGNİA.A </t>
  </si>
  <si>
    <t>352050AYD</t>
  </si>
  <si>
    <t>97-07034</t>
  </si>
  <si>
    <t>352050ORJİN</t>
  </si>
  <si>
    <t xml:space="preserve">352051ASPART </t>
  </si>
  <si>
    <t>1CAR1374</t>
  </si>
  <si>
    <t>SALINCAK SOL VECTRA.C</t>
  </si>
  <si>
    <t>352051AYD</t>
  </si>
  <si>
    <t>97-03440</t>
  </si>
  <si>
    <t>352051ORJİN</t>
  </si>
  <si>
    <t xml:space="preserve">352051TEKNOROT </t>
  </si>
  <si>
    <t>O-477</t>
  </si>
  <si>
    <t>352052ASPART</t>
  </si>
  <si>
    <t>1CAR1373</t>
  </si>
  <si>
    <t>SALINCAK SAĞ VECTRA.C</t>
  </si>
  <si>
    <t>352052ORJİN</t>
  </si>
  <si>
    <t>352071ASPART</t>
  </si>
  <si>
    <t>1CAR1356</t>
  </si>
  <si>
    <t xml:space="preserve">SALINCAK SAĞ İNSİGNİA.A </t>
  </si>
  <si>
    <t xml:space="preserve">352071AYD </t>
  </si>
  <si>
    <t>97-07035</t>
  </si>
  <si>
    <t>352071KRAFTVOLL</t>
  </si>
  <si>
    <t>352071ORJİN</t>
  </si>
  <si>
    <t>3521.78FROW</t>
  </si>
  <si>
    <t>SALINCAK SAĞ 16mm306/PARTNER/BERLİNGO</t>
  </si>
  <si>
    <t>3521.A6FROW</t>
  </si>
  <si>
    <t>SALINCAK SAĞ 93-01 306//96&gt; PARTNER/BERLİNGO 16mm</t>
  </si>
  <si>
    <t>3521.C8AYD</t>
  </si>
  <si>
    <t>SALINCAK SAĞ 206 98&gt;ROTİLLİ</t>
  </si>
  <si>
    <t>97-01836</t>
  </si>
  <si>
    <t>3521.C8FROW</t>
  </si>
  <si>
    <t>SALINCAK SAĞ 206 98&gt;</t>
  </si>
  <si>
    <t>3521.C8KRAFTVOLL</t>
  </si>
  <si>
    <t>3521.C8TEKNOROT</t>
  </si>
  <si>
    <t>P-235</t>
  </si>
  <si>
    <t>3521.C8VOTTO</t>
  </si>
  <si>
    <t>3521.E1VOTTO</t>
  </si>
  <si>
    <t>SALINCAK SAĞ DÖKÜM 406</t>
  </si>
  <si>
    <t>VOT-12-11501</t>
  </si>
  <si>
    <t>3521.E2FROW</t>
  </si>
  <si>
    <t>SALINCAK SAĞ 93-01 306//96&gt; PARTNER/BERLİNGO 18mm</t>
  </si>
  <si>
    <t>3521.E5AYD</t>
  </si>
  <si>
    <t xml:space="preserve">SALINCAK SAĞ 93-01 306//96&gt; PARTNER/BERLİNGO 18mm    </t>
  </si>
  <si>
    <t>97-01900</t>
  </si>
  <si>
    <t>3521.E5DELPHİ</t>
  </si>
  <si>
    <t xml:space="preserve">SALINCAK SAĞ 93-01 306//96&gt; PARTNER/BERLİNGO 18mm   </t>
  </si>
  <si>
    <t>TC954</t>
  </si>
  <si>
    <t>3521.E5FROW</t>
  </si>
  <si>
    <t>3521.E5KAPİM</t>
  </si>
  <si>
    <t>19-70521</t>
  </si>
  <si>
    <t>3521.E5ORJİN</t>
  </si>
  <si>
    <t>3521.E5SWAPP</t>
  </si>
  <si>
    <t>60-01900</t>
  </si>
  <si>
    <t>3521.E5TEKNOROT</t>
  </si>
  <si>
    <t>P635A</t>
  </si>
  <si>
    <t>3521.G8AYD</t>
  </si>
  <si>
    <t>SALINCAK SAĞ 00&gt; 307/08&gt;C4 /08&gt; PRT.TEPEE ROTİLSİZ</t>
  </si>
  <si>
    <t>97-01838</t>
  </si>
  <si>
    <t>3521.G8DELPHİ</t>
  </si>
  <si>
    <t>TC1157</t>
  </si>
  <si>
    <t>3521.G8FROW</t>
  </si>
  <si>
    <t>3521.G8SWAPP</t>
  </si>
  <si>
    <t xml:space="preserve">SALINCAK SAĞ 00&gt; 307/08&gt;C4 /08&gt; PRT.TEPEE ROTİLSİZ  </t>
  </si>
  <si>
    <t>60-01838</t>
  </si>
  <si>
    <t>3521.G8TEKNOROT</t>
  </si>
  <si>
    <t>P-657</t>
  </si>
  <si>
    <t>3521.H6AYD</t>
  </si>
  <si>
    <t>SALINCAK SAĞ C3 02&gt;//C2 02&gt;</t>
  </si>
  <si>
    <t>97-02293</t>
  </si>
  <si>
    <t>3521.H6KAPİM</t>
  </si>
  <si>
    <t>3521.L2AYD</t>
  </si>
  <si>
    <t>SALINCAK ÖN SAĞ 407 // 05&gt; C6</t>
  </si>
  <si>
    <t>97-04671</t>
  </si>
  <si>
    <t>3521.L4AYD</t>
  </si>
  <si>
    <t>SALINCAK SAĞ KOMPLE PARTNER/BERLİNGO 00&gt;XSARA PİCS.</t>
  </si>
  <si>
    <t>97-02101</t>
  </si>
  <si>
    <t>3521.L4KAPİM</t>
  </si>
  <si>
    <t>19-70551</t>
  </si>
  <si>
    <t>3521.L4ORJİN</t>
  </si>
  <si>
    <t>3521.N8AYD</t>
  </si>
  <si>
    <t>SALINCAK SAĞ 207 06&gt;/C3 II</t>
  </si>
  <si>
    <t>97-05696</t>
  </si>
  <si>
    <t>3521.N8FROWAS</t>
  </si>
  <si>
    <t>3521.N8KAPİM</t>
  </si>
  <si>
    <t>19-70541</t>
  </si>
  <si>
    <t>3521.N9FROWAS</t>
  </si>
  <si>
    <t>SALINCAK SAĞ JUMPY III/SCUDO III</t>
  </si>
  <si>
    <t>3521.R3AYD</t>
  </si>
  <si>
    <t>SALINCAK SAĞ 308 08&gt;//3008/5008/C4/DS4</t>
  </si>
  <si>
    <t>97-08688</t>
  </si>
  <si>
    <t>3521.R3FROW</t>
  </si>
  <si>
    <t>SALINCAK SAĞ 00&gt; 307/ 07&gt; 308 /08&gt; PRT.TEPEE ROTİLSİZ</t>
  </si>
  <si>
    <t>3521.S6AYD</t>
  </si>
  <si>
    <t>SALINCAK SAĞ BİPPER/NEMO</t>
  </si>
  <si>
    <t>97-05148</t>
  </si>
  <si>
    <t>3521.S6KAPİM</t>
  </si>
  <si>
    <t>3521.S6KRAFTVOLL</t>
  </si>
  <si>
    <t xml:space="preserve">SALINCAK SAĞ BİPPER/NEMO </t>
  </si>
  <si>
    <t>3521.S6ORJİN</t>
  </si>
  <si>
    <t xml:space="preserve">3521.S6TEKNOROT </t>
  </si>
  <si>
    <t>F-486</t>
  </si>
  <si>
    <t>3521.S9AYD</t>
  </si>
  <si>
    <t>97-09080</t>
  </si>
  <si>
    <t>3521.S9BGA</t>
  </si>
  <si>
    <t>TRC1416</t>
  </si>
  <si>
    <t>3521.S9KAPİM</t>
  </si>
  <si>
    <t>3521.S9ORJİN</t>
  </si>
  <si>
    <t>3521.S9TEKNOROT</t>
  </si>
  <si>
    <t xml:space="preserve">SALINCAK SAĞ 2008 //C3 09&gt; DS3 09&gt;    </t>
  </si>
  <si>
    <t>CI-566</t>
  </si>
  <si>
    <t>3521.S9VOTTO</t>
  </si>
  <si>
    <t>13-04502</t>
  </si>
  <si>
    <t>352115FROW</t>
  </si>
  <si>
    <t xml:space="preserve">352192ASPART </t>
  </si>
  <si>
    <t>1CAR1332</t>
  </si>
  <si>
    <t xml:space="preserve">SALINCAK SAĞ VECTRA.A/ASTRA.F </t>
  </si>
  <si>
    <t xml:space="preserve">352192AYD </t>
  </si>
  <si>
    <t>97-01754</t>
  </si>
  <si>
    <t>352192DELPHİ</t>
  </si>
  <si>
    <t>TC649</t>
  </si>
  <si>
    <t>352192ORJİN</t>
  </si>
  <si>
    <t>352192TEKNOROT</t>
  </si>
  <si>
    <t>O-425</t>
  </si>
  <si>
    <t>352193ASPART</t>
  </si>
  <si>
    <t>1CAR1333</t>
  </si>
  <si>
    <t xml:space="preserve">SALINCAK SOL VECTRA.A/ASTRA.F </t>
  </si>
  <si>
    <t xml:space="preserve">352193AYD </t>
  </si>
  <si>
    <t>97-01755</t>
  </si>
  <si>
    <t>352193DELPHİ</t>
  </si>
  <si>
    <t>TC648</t>
  </si>
  <si>
    <t>352193ORJİN</t>
  </si>
  <si>
    <t>352301DOGRU</t>
  </si>
  <si>
    <t>SALINCAK BURCU CORSA.B 93-02</t>
  </si>
  <si>
    <t>DK90-666</t>
  </si>
  <si>
    <t>352494ASPART</t>
  </si>
  <si>
    <t>SALINCAK BURCU ASTRA.J/CRUZE/İNSİGNİA.A (BÜYÜK)</t>
  </si>
  <si>
    <t>1BUS1049</t>
  </si>
  <si>
    <t>352522ASPART</t>
  </si>
  <si>
    <t>1CAR1366</t>
  </si>
  <si>
    <t>SALINCAK SAĞ MOKKA/MOKKA.X (XENON ARAÇLAR İÇİN)</t>
  </si>
  <si>
    <t>352522AYD</t>
  </si>
  <si>
    <t>97-13914</t>
  </si>
  <si>
    <t xml:space="preserve">352523ASPART </t>
  </si>
  <si>
    <t>1CAR1364</t>
  </si>
  <si>
    <t>SALINCAK SAĞ MOKKA/MOKKA.X</t>
  </si>
  <si>
    <t xml:space="preserve">352524ASPART </t>
  </si>
  <si>
    <t>1CAR1365</t>
  </si>
  <si>
    <t xml:space="preserve">SALINCAK SOL MOKKA/MOKKA.X </t>
  </si>
  <si>
    <t>352524AYD</t>
  </si>
  <si>
    <t>97-13913</t>
  </si>
  <si>
    <t>352800AYD</t>
  </si>
  <si>
    <t>ROTİL ASTRA.G/H/VECTRA.B</t>
  </si>
  <si>
    <t>92-00348</t>
  </si>
  <si>
    <t>352800DELPHİ</t>
  </si>
  <si>
    <t>TC687</t>
  </si>
  <si>
    <t>352800KAPİM</t>
  </si>
  <si>
    <t>18-05701</t>
  </si>
  <si>
    <t>352800KRAFTVOLL</t>
  </si>
  <si>
    <t>352947YTT</t>
  </si>
  <si>
    <t>SALINCAK BURCU ÖN CORSA.D/E</t>
  </si>
  <si>
    <t>Y1506</t>
  </si>
  <si>
    <t>353280DOGRU</t>
  </si>
  <si>
    <t>VİRAJ DEMİR KOL ÖN SAĞ CORSA.B</t>
  </si>
  <si>
    <t>DK90-727</t>
  </si>
  <si>
    <t>353280YTT</t>
  </si>
  <si>
    <t>Y*OP*1468</t>
  </si>
  <si>
    <t>353281YTT</t>
  </si>
  <si>
    <t xml:space="preserve">VİRAJ DEMİR BRAKETİ SOL CORSA.B </t>
  </si>
  <si>
    <t>Y1469</t>
  </si>
  <si>
    <t>353561YTT</t>
  </si>
  <si>
    <t>KASTER KOL BURCU CORSA.B/COMBO.B</t>
  </si>
  <si>
    <t>Y1445</t>
  </si>
  <si>
    <t>3640.44VOTTO</t>
  </si>
  <si>
    <t>ROTİL 306 16mm</t>
  </si>
  <si>
    <t>VOT-12-07100</t>
  </si>
  <si>
    <t>3640.48FORMPART</t>
  </si>
  <si>
    <t xml:space="preserve">ROTİL 306 18mm HİDROLİK </t>
  </si>
  <si>
    <t xml:space="preserve">FORMPART </t>
  </si>
  <si>
    <t>3640.48TEKNOROT</t>
  </si>
  <si>
    <t>ROTİL 306 18mm HİDROLİK 306</t>
  </si>
  <si>
    <t>P-616K</t>
  </si>
  <si>
    <t>3640.51AYD</t>
  </si>
  <si>
    <t>ROTİL 18mm 96&gt;PARTNER/BERLİNGO/XSARA</t>
  </si>
  <si>
    <t>92-00349</t>
  </si>
  <si>
    <t xml:space="preserve">3640.51FROW </t>
  </si>
  <si>
    <t>3640.53AYD</t>
  </si>
  <si>
    <t>ROTİL 307/308 08&gt;  3008/5008/TEPEE/RCZ/DS4/DS5</t>
  </si>
  <si>
    <t>92-01840</t>
  </si>
  <si>
    <t>3640.53FROW</t>
  </si>
  <si>
    <t>3640.53IISI</t>
  </si>
  <si>
    <t>261B004</t>
  </si>
  <si>
    <t>3640.53KAPİM</t>
  </si>
  <si>
    <t>19-05803</t>
  </si>
  <si>
    <t>3640.53KRAFTVOLL</t>
  </si>
  <si>
    <t>3640.53RIW</t>
  </si>
  <si>
    <t>PE1012</t>
  </si>
  <si>
    <t>3640.53VOTTO</t>
  </si>
  <si>
    <t>12-08100</t>
  </si>
  <si>
    <t>3640.56AYD</t>
  </si>
  <si>
    <t>ROTİL 02&gt; C2/C3/207</t>
  </si>
  <si>
    <t>92-03366</t>
  </si>
  <si>
    <t>3640.67AYD</t>
  </si>
  <si>
    <t>ROTİL BOXER III/JUMPER III/DUCATO III 06&gt;//KARSAN JEST</t>
  </si>
  <si>
    <t>92-06993</t>
  </si>
  <si>
    <t>3640.71DELPHİ</t>
  </si>
  <si>
    <t>ROTİL 405/406/C5 II</t>
  </si>
  <si>
    <t>TC368</t>
  </si>
  <si>
    <t>3640.73KAPİM</t>
  </si>
  <si>
    <t>ROTİL 3008 09-16/DS4 11&gt;/C4 II 09&gt;/308 08&gt;307/C4/PRT. TEPEE</t>
  </si>
  <si>
    <t>19-05814</t>
  </si>
  <si>
    <t>3640.73TEKNOROT</t>
  </si>
  <si>
    <t>P-655</t>
  </si>
  <si>
    <t>3640.76TEKNOROT</t>
  </si>
  <si>
    <t>ROTİL BOXER III/JUMPER III/DUCATO 06&gt;//KARSAN JEST 24mm</t>
  </si>
  <si>
    <t>F-814</t>
  </si>
  <si>
    <t>3640.78AYD</t>
  </si>
  <si>
    <t>ROTİL 207/208/C2/C3/C3 PCS./DS3</t>
  </si>
  <si>
    <t>92-11167</t>
  </si>
  <si>
    <t>3646.75ABRASSE</t>
  </si>
  <si>
    <t>AKS TASIYICI SOL 206 72mm</t>
  </si>
  <si>
    <t>BRS-36-1106-PG</t>
  </si>
  <si>
    <t>3646.75KRAFTVOLL</t>
  </si>
  <si>
    <t>3646.96ABRSSE</t>
  </si>
  <si>
    <t>AKS TAŞIYICI (AKSON) SOL PARTNER TEPEE/307/308/3008 82mm</t>
  </si>
  <si>
    <t>BRS-36-1111-PG</t>
  </si>
  <si>
    <t>3647.54ABRASSE</t>
  </si>
  <si>
    <t>AKS TAŞIYICI (AKSON) SAĞ PARTNER/BERLİNGO 18mm</t>
  </si>
  <si>
    <t>BRS-36-1100-PG</t>
  </si>
  <si>
    <t>3647.75ABRASSE</t>
  </si>
  <si>
    <t>AKS TASIYICI SAĞ 206 72mm</t>
  </si>
  <si>
    <t xml:space="preserve">BRS-36-1105-PG </t>
  </si>
  <si>
    <t>3657.04RPR</t>
  </si>
  <si>
    <t>ÖN AKS TAYICI BURCU ALT 407/C5</t>
  </si>
  <si>
    <t>R58048</t>
  </si>
  <si>
    <t>374002ASPART</t>
  </si>
  <si>
    <t>1JKD1033</t>
  </si>
  <si>
    <t>DIŞ AKS KAFASI ASTRA.G Z4XE/Z16XE/Z14XEP -ABS</t>
  </si>
  <si>
    <t>374002GSP</t>
  </si>
  <si>
    <t>374002MARELLİ</t>
  </si>
  <si>
    <t>374002SWAPP</t>
  </si>
  <si>
    <t>374003CİFAM</t>
  </si>
  <si>
    <t>DIŞ AKS KAFASI VECTRA.B/ASTRA.G X20XEV/ZAFİRA.A Z16XE</t>
  </si>
  <si>
    <t>607-289</t>
  </si>
  <si>
    <t>374027ASPART</t>
  </si>
  <si>
    <t>1JKD1035</t>
  </si>
  <si>
    <t>İÇ AKS KAFASI ASTRA.F/G/CORSA.B/C/VECTRA.B X16XE/X14XE/Z14XE/Z16XE</t>
  </si>
  <si>
    <t xml:space="preserve">374027MGA </t>
  </si>
  <si>
    <t>374066ASPART</t>
  </si>
  <si>
    <t>1JKD1037</t>
  </si>
  <si>
    <t>AKS KAFASI DIŞ ASTRA.F/VECTRA.A 1.4/1.6 8V</t>
  </si>
  <si>
    <t xml:space="preserve">374126ASPART </t>
  </si>
  <si>
    <t>1JKD1036</t>
  </si>
  <si>
    <t>DIŞ AKS KAFASI VECTRA.A 1.8/2.0 8V -ABS</t>
  </si>
  <si>
    <t>374151CORTECO</t>
  </si>
  <si>
    <t>AKS KEÇE ASTRA.F/G/VECTRA.B/ASTRA.H Z13DTH</t>
  </si>
  <si>
    <t>374151İTHAL</t>
  </si>
  <si>
    <t xml:space="preserve">AKS KEÇE ASTRA.F/G/VECTRA.B/ASTRA.H Z13DTH </t>
  </si>
  <si>
    <t>374151SKT</t>
  </si>
  <si>
    <t xml:space="preserve">374195ASPART </t>
  </si>
  <si>
    <t>1JKD1038</t>
  </si>
  <si>
    <t>AKS KAFASI İÇ X20XEV/C20NE VECTRA//ASTRA.H Y17DTH//VECTRA.C Z22SE/Y20DTH/Z22YH/</t>
  </si>
  <si>
    <t>374195MARELLİ</t>
  </si>
  <si>
    <t>374197CORTECO</t>
  </si>
  <si>
    <t xml:space="preserve">AKS KEÇESİ F17ŞNZ AST/VEC/COR </t>
  </si>
  <si>
    <t>12017376B</t>
  </si>
  <si>
    <t>374197OEM</t>
  </si>
  <si>
    <t>374197SKT</t>
  </si>
  <si>
    <t>374197TOPRAN</t>
  </si>
  <si>
    <t>AKS KEÇESİ F17ŞNZ AST/VEC/COR</t>
  </si>
  <si>
    <t>374210KRAFTVOLL</t>
  </si>
  <si>
    <t>AKS KOMPLE SAĞ ASTRA.F ABSLİ 1.4 8V/16V X16XEL</t>
  </si>
  <si>
    <t>374210MGA</t>
  </si>
  <si>
    <t>374211KRAFTVOLL</t>
  </si>
  <si>
    <t>AKS KOMPLE SOL ASTRA.F ABSLİ 1.4 8V/16V X16XEL</t>
  </si>
  <si>
    <t>374218MARELLİ</t>
  </si>
  <si>
    <t>DIŞ AKS KAFASI CORSA.B/CORSA.C Z13DT +ABS</t>
  </si>
  <si>
    <t>374249ASPART</t>
  </si>
  <si>
    <t>1DSH1072</t>
  </si>
  <si>
    <t xml:space="preserve">AKS KOMPLE SAĞ VECTRA.B X20XEV </t>
  </si>
  <si>
    <t>374249KRAFTVOLL</t>
  </si>
  <si>
    <t>AKS KOMPLE SAĞ VECTRA.B X20XEV</t>
  </si>
  <si>
    <t>374261ASPART</t>
  </si>
  <si>
    <t>1DSH1073</t>
  </si>
  <si>
    <t>AKS MİLİ KOMPLE SOL VECTRA.B X20XEV/X16XEL</t>
  </si>
  <si>
    <t>374261KRAFTVOLL</t>
  </si>
  <si>
    <t>AKS KOMPLE SOL VECTRA.B X20XEV</t>
  </si>
  <si>
    <t xml:space="preserve">374262ASPART </t>
  </si>
  <si>
    <t>1JKD1039</t>
  </si>
  <si>
    <t>DIŞ KAFASI ABSLİ VECTRA.B X20XEV/VECTRA.A 1.8/2.0 8V</t>
  </si>
  <si>
    <t>374262MARELLİ</t>
  </si>
  <si>
    <t>DIŞ AKS KAFASI ABSLİ VECTRA.B X20XEV/VECTR.A 1.8/2.0 8V</t>
  </si>
  <si>
    <t>374263ASPART</t>
  </si>
  <si>
    <t>1JKD1040</t>
  </si>
  <si>
    <t>DIŞ AKS KAFASI ASTRA.F/VECTRA.B X16XEL</t>
  </si>
  <si>
    <t>374321GSP</t>
  </si>
  <si>
    <t>AKS KOMPLE SOL ASTRA.G/ZAFİRA.A</t>
  </si>
  <si>
    <t>374321KRAFTVOLL</t>
  </si>
  <si>
    <t>374322KRAFTVOLL</t>
  </si>
  <si>
    <t>AKS KOMPLE SAĞ ASTRA.G/ZAFİRA.A</t>
  </si>
  <si>
    <t>374349ASPART</t>
  </si>
  <si>
    <t>1DSH1076</t>
  </si>
  <si>
    <t>AKS KOMPLE SOL VECTRA.B Z16XE</t>
  </si>
  <si>
    <t>374350ASPART</t>
  </si>
  <si>
    <t>1DSH1077</t>
  </si>
  <si>
    <t>AKS KOMPLE SAĞ VECTRA.B Z16XE</t>
  </si>
  <si>
    <t xml:space="preserve">374351ASPART </t>
  </si>
  <si>
    <t>1JKD1041</t>
  </si>
  <si>
    <t>DIŞ AKS KAFASI VECTRA.B Z16XE +ABS/ASTRA.G Z16XE/Z14XE</t>
  </si>
  <si>
    <t>374351SWAPP</t>
  </si>
  <si>
    <t>374377ASPART</t>
  </si>
  <si>
    <t>1JKD1043</t>
  </si>
  <si>
    <t>374377KRAFTVOLL</t>
  </si>
  <si>
    <t xml:space="preserve">374466ASPART </t>
  </si>
  <si>
    <t>1DSH1080</t>
  </si>
  <si>
    <t>AKS KOMPLE SOL CORSA.C Z13DT/Z12XE/Z14XE</t>
  </si>
  <si>
    <t>374466KRAFTVOLL</t>
  </si>
  <si>
    <t>374468ASPART</t>
  </si>
  <si>
    <t>1DSH1081</t>
  </si>
  <si>
    <t>AKS KOMPLE SAĞ CORSA.C Z13DT/Z12XE/Z14XE</t>
  </si>
  <si>
    <t>374468KRAFTVOLL</t>
  </si>
  <si>
    <t>374545GSP</t>
  </si>
  <si>
    <t>AKS SOL KOMPLE ASTRA.H Z14XEP/Z16XEP/Z16XER</t>
  </si>
  <si>
    <t>374548GSP</t>
  </si>
  <si>
    <t>AKS SAĞ KOMPLE ASTRA.H Z14XEP/Z16XEP/Z16XER</t>
  </si>
  <si>
    <t>374549KRAFTVOLL</t>
  </si>
  <si>
    <t>AKS MİLİ KOMPLE ASTRA.H Z13DTH</t>
  </si>
  <si>
    <t>374549ODM</t>
  </si>
  <si>
    <t>ODM</t>
  </si>
  <si>
    <t>OP-8-8528</t>
  </si>
  <si>
    <t>374594CORTECO</t>
  </si>
  <si>
    <t xml:space="preserve">AKS KEÇESİ SOL İNSİGNİA.A/İNSİGNİA.B/ASTRA.J +AT </t>
  </si>
  <si>
    <t>19033952B</t>
  </si>
  <si>
    <t>374594TOPRAN</t>
  </si>
  <si>
    <t>AKS KEÇESİ SOL İNSİGNİA.A/İNSİGNİA.B/ASTRA.J +AT</t>
  </si>
  <si>
    <t>374595CORTECO</t>
  </si>
  <si>
    <t>AKS KEÇESİ SAĞ AF40-6 +AT ŞANZUMAN</t>
  </si>
  <si>
    <t>374600GSP</t>
  </si>
  <si>
    <t>AKS KOMPLE SAĞ ASTRA.H Z13DTH/ZAFİRA.B Z22YH</t>
  </si>
  <si>
    <t>374600KRAFTVOLL</t>
  </si>
  <si>
    <t>AKS KOMPLE SAĞ ASTRA.H Z13DTH</t>
  </si>
  <si>
    <t>374600MGA</t>
  </si>
  <si>
    <t>374611METTE</t>
  </si>
  <si>
    <t>AKS KOMPLE SOL ZAFİRA.A X16XEL/Z18XE/ASTRA.G Z18XE/X18XE/Y17DT</t>
  </si>
  <si>
    <t>683R6109</t>
  </si>
  <si>
    <t>374612METTE</t>
  </si>
  <si>
    <t>AKS KOMPLE SAĞ ZAFİRA.A X16XEL/Z18XE/ASTRA.G Z18XE/X18XE/Y17DT</t>
  </si>
  <si>
    <t>683R6110</t>
  </si>
  <si>
    <t>374687IISI</t>
  </si>
  <si>
    <t>AKS KOMPLE ASTRA.J A13DTE/A14XER/A16XER F17ŞNZ.</t>
  </si>
  <si>
    <t>AKS1225145</t>
  </si>
  <si>
    <t>374792KRAFTVOLL</t>
  </si>
  <si>
    <t>AKS KOMPLE SOL CORSA.D A13DTE/Z13DTJ 75HP</t>
  </si>
  <si>
    <t>374792MARELLİ</t>
  </si>
  <si>
    <t>AKS KOMPLE SOL CORSA.D (Z13DTJ/A13DTE)</t>
  </si>
  <si>
    <t>374792MGA</t>
  </si>
  <si>
    <t>374793MARELLİ</t>
  </si>
  <si>
    <t>AKS KOMPLE SAĞ CORSA.D 70HP (Z13DTJ/A13DTE)</t>
  </si>
  <si>
    <t>3748.28ECO</t>
  </si>
  <si>
    <t>ARKA TEKER PORYA PARTNER/BERLİNGO/406/XSARA -ABS</t>
  </si>
  <si>
    <t>ECO0126</t>
  </si>
  <si>
    <t>3748.28VEKA</t>
  </si>
  <si>
    <t>44-3300</t>
  </si>
  <si>
    <t>3748.44MGA</t>
  </si>
  <si>
    <t>ARKA TEKER PORYA PARTNER/BERLİNGO/406/XSARA +ABS</t>
  </si>
  <si>
    <t>3748.77JFA</t>
  </si>
  <si>
    <t>ARKA TEKER RULMAN 106/205/206/206+/306/SAXO/XSARA</t>
  </si>
  <si>
    <t>3748.77OPTİMAL</t>
  </si>
  <si>
    <t>602320XS</t>
  </si>
  <si>
    <t>3748.77SETJFA</t>
  </si>
  <si>
    <t>818079K</t>
  </si>
  <si>
    <t>3748.77VEKA</t>
  </si>
  <si>
    <t>47-3513</t>
  </si>
  <si>
    <t>3748.77WBF</t>
  </si>
  <si>
    <t>WBF</t>
  </si>
  <si>
    <t>SW2552204</t>
  </si>
  <si>
    <t>3748.83OPTİMAL</t>
  </si>
  <si>
    <t xml:space="preserve">ARKA TEKER RULMAN 307/C4 04&gt; </t>
  </si>
  <si>
    <t>602893XS</t>
  </si>
  <si>
    <t>3748.83PFİ</t>
  </si>
  <si>
    <t>ARKA TEKER RULMAN 307/C4 04&gt;</t>
  </si>
  <si>
    <t>PW25600045CSHD</t>
  </si>
  <si>
    <t>3748.90KAPARS</t>
  </si>
  <si>
    <t>ARKA TEKER RULMAN 207/307/C3-C4/CROSSLAND -ABS</t>
  </si>
  <si>
    <t>KA-08-B2062-2</t>
  </si>
  <si>
    <t>3748.90KRAFTVOLL</t>
  </si>
  <si>
    <t xml:space="preserve">ARKA TEKER RULMAN 207/307/C3-C4/CROSSLAND -ABS </t>
  </si>
  <si>
    <t xml:space="preserve">3748.90SKF </t>
  </si>
  <si>
    <t>VKBC 20038</t>
  </si>
  <si>
    <t>3748.94OPTİMAL</t>
  </si>
  <si>
    <t>RULMAN 308/3008/5008/TEPEE/C4/DS4/DS5</t>
  </si>
  <si>
    <t>602745XS</t>
  </si>
  <si>
    <t>3748.94PFİ</t>
  </si>
  <si>
    <t>ARKA TEKER RULMAN 308/3008/5008/TEPEE/C4/DS4/DS5</t>
  </si>
  <si>
    <t>PW30620051CSHD</t>
  </si>
  <si>
    <t>3748.98PFİ</t>
  </si>
  <si>
    <t>ARKA PORYA +ABS BİPPER/NEMO</t>
  </si>
  <si>
    <t>PHU53540</t>
  </si>
  <si>
    <t>3748.A1ABRASSE</t>
  </si>
  <si>
    <t>ARKA TEKER RULMAN (KAMPANA) 301/208/C3/C4CACTUS/DS3</t>
  </si>
  <si>
    <t>37-1025</t>
  </si>
  <si>
    <t>3748.A1GRS</t>
  </si>
  <si>
    <t xml:space="preserve">ARKA TEKER RULMAN (KAMPANA) 301/208/C3/C4CACTUS/DS3 </t>
  </si>
  <si>
    <t>GRS-WBK11</t>
  </si>
  <si>
    <t>3748.A1KAPARS</t>
  </si>
  <si>
    <t>KA-08-B2552-2</t>
  </si>
  <si>
    <t>3748.A1PFİ</t>
  </si>
  <si>
    <t>PW25520042CSHD</t>
  </si>
  <si>
    <t>374840ASPART</t>
  </si>
  <si>
    <t>1DSH1102</t>
  </si>
  <si>
    <t>AKS KOMPLE SAĞ İNSİGNİA.A A14NET/A16LET</t>
  </si>
  <si>
    <t>374843ASPART</t>
  </si>
  <si>
    <t>1JKD1049</t>
  </si>
  <si>
    <t>DIŞ AKS KAFASI İNSİGNİA.A A14NET/A16LET//ASTRA.J A16LET//VECTRA.C Z19DTH</t>
  </si>
  <si>
    <t>374885ASPART</t>
  </si>
  <si>
    <t>1DSH1104</t>
  </si>
  <si>
    <t>AKS KOMPLE SOL ASTRA.J A16LET/B16DTH/A16XHT</t>
  </si>
  <si>
    <t>374893ASPART</t>
  </si>
  <si>
    <t>1DSH1105</t>
  </si>
  <si>
    <t>AKS KOMPLE SAĞ ASTRA.J A16LET/B16DTH/A16XHT</t>
  </si>
  <si>
    <t xml:space="preserve">374930ASPART </t>
  </si>
  <si>
    <t>1DSH1108</t>
  </si>
  <si>
    <t>AKS KOMPLE İNSİGNİA.A SAĞ+SOL +AT A20DTC// SAĞ A16XHT +AT</t>
  </si>
  <si>
    <t>375017FAG</t>
  </si>
  <si>
    <t>AKS ORTA RULMAN ASTRA.H Z13DTH/ASTRA.J 1.4T</t>
  </si>
  <si>
    <t>539860.R20.28</t>
  </si>
  <si>
    <t xml:space="preserve">375018NSK </t>
  </si>
  <si>
    <t>ÖN SAĞ AKS ORTA RULMAN İNSİGNİA.A A16XHT</t>
  </si>
  <si>
    <t xml:space="preserve">NSK </t>
  </si>
  <si>
    <t>6008DDUC3E</t>
  </si>
  <si>
    <t>3812.92ORJİN</t>
  </si>
  <si>
    <t>ROT MİLİ 306 93-01</t>
  </si>
  <si>
    <t>3812.A9ORJİN</t>
  </si>
  <si>
    <t>ROT MİLİ 406 95-99</t>
  </si>
  <si>
    <t>3812.C0ABRASSE</t>
  </si>
  <si>
    <t>ROT MİLİ 306 E.M/Y.M/PARTNER 93-08</t>
  </si>
  <si>
    <t>BRS-04-10-PG</t>
  </si>
  <si>
    <t>3812.C0AYD</t>
  </si>
  <si>
    <t>95-00827</t>
  </si>
  <si>
    <t>3812.C0FROW</t>
  </si>
  <si>
    <t>3812.C0KAPİM</t>
  </si>
  <si>
    <t>19-12801</t>
  </si>
  <si>
    <t>3812.C0TEKNOROT</t>
  </si>
  <si>
    <t>CI-423</t>
  </si>
  <si>
    <t>3812.C5AYD</t>
  </si>
  <si>
    <t>ROT MİLİ 206 98&gt;</t>
  </si>
  <si>
    <t>95-01701</t>
  </si>
  <si>
    <t>3812.C5FROW</t>
  </si>
  <si>
    <t>3812.C5TEKNOROT</t>
  </si>
  <si>
    <t>P-233</t>
  </si>
  <si>
    <t>3812.C6AYD</t>
  </si>
  <si>
    <t>ROT MİLİ PARTNER/BERLİNGO M59//XSARA</t>
  </si>
  <si>
    <t>95-01026</t>
  </si>
  <si>
    <t>3812.C6DELPHİ</t>
  </si>
  <si>
    <t>TA1898</t>
  </si>
  <si>
    <t xml:space="preserve">3812.C6FROW </t>
  </si>
  <si>
    <t>3812.C6SWAPP</t>
  </si>
  <si>
    <t>40-01026</t>
  </si>
  <si>
    <t>3812.E0AYD</t>
  </si>
  <si>
    <t>ROT MİLİ 307 E.M 01-06/C4</t>
  </si>
  <si>
    <t>95-01821</t>
  </si>
  <si>
    <t>3812.E0FROW</t>
  </si>
  <si>
    <t>3812.E5FROW</t>
  </si>
  <si>
    <t>ROT MİLİ 307 Y.M 06&gt;/C4 04&gt; (UZUN)</t>
  </si>
  <si>
    <t>3812.E5KAPİM</t>
  </si>
  <si>
    <t>19-12810</t>
  </si>
  <si>
    <t>3812.E5ORJİN</t>
  </si>
  <si>
    <t xml:space="preserve">3812.E8FROW </t>
  </si>
  <si>
    <t>ROT MİLİ 207/1007/C2/C3</t>
  </si>
  <si>
    <t>3812.E9KAPİM</t>
  </si>
  <si>
    <t>ROT MİLİ C4 PİCASSO 06&gt;</t>
  </si>
  <si>
    <t xml:space="preserve">3812.F2FROW </t>
  </si>
  <si>
    <t>ROT MİL 308 08&gt;/3008/5008/DS4/C4</t>
  </si>
  <si>
    <t>3812.F4AYD</t>
  </si>
  <si>
    <t>ROT MİLİ 308 08&gt;/PARTNER TEPEE/BERLİNGO 08&gt;</t>
  </si>
  <si>
    <t>95-09630</t>
  </si>
  <si>
    <t xml:space="preserve">3812.F4FROW </t>
  </si>
  <si>
    <t>3812.F4ORJİN</t>
  </si>
  <si>
    <t>3812.F4TEKNOROT</t>
  </si>
  <si>
    <t>P-433</t>
  </si>
  <si>
    <t>3812.F6ORJİN</t>
  </si>
  <si>
    <t>ROT MİLİ C3 III/DS3 09&gt;&gt;</t>
  </si>
  <si>
    <t>3817.39ABRASSE</t>
  </si>
  <si>
    <t>ROT BAŞI SAĞ 406 95-04</t>
  </si>
  <si>
    <t>BRS-06-67-PG</t>
  </si>
  <si>
    <t>3817.40ABRASSE</t>
  </si>
  <si>
    <t xml:space="preserve">ROT BAŞI SOL 406 95-04 </t>
  </si>
  <si>
    <t>BRS-06-68-PG</t>
  </si>
  <si>
    <t>3817.41ABRASSE</t>
  </si>
  <si>
    <t>ROT BAŞI SOL 106/305/SAXO/AX/XM/XANTIA//206/307 E.M/C4 İÇİN SAĞ</t>
  </si>
  <si>
    <t>BRS-06-30-PG</t>
  </si>
  <si>
    <t>3817.41AYD</t>
  </si>
  <si>
    <t>91-00649</t>
  </si>
  <si>
    <t>3817.41DELPHİ</t>
  </si>
  <si>
    <t>TA1154</t>
  </si>
  <si>
    <t>3817.41FROW</t>
  </si>
  <si>
    <t>3817.41TRW</t>
  </si>
  <si>
    <t>JTE162</t>
  </si>
  <si>
    <t>3817.42ABRASSE</t>
  </si>
  <si>
    <t>ROT BAŞI SAĞ 106/305/SAXO/AX/XM/XANTIA//206/307 E.M/C4 İÇİN SOL</t>
  </si>
  <si>
    <t>BRS-06-31-PG</t>
  </si>
  <si>
    <t>3817.42AYD</t>
  </si>
  <si>
    <t>91-00650</t>
  </si>
  <si>
    <t>3817.42DELPHİ</t>
  </si>
  <si>
    <t>TA1155</t>
  </si>
  <si>
    <t>3817.42FROW</t>
  </si>
  <si>
    <t>3817.42TRW</t>
  </si>
  <si>
    <t>JTE163</t>
  </si>
  <si>
    <t>3817.50ABRASSE</t>
  </si>
  <si>
    <t>ROT BAŞI 307/C4/306/205/PARTNER/C15</t>
  </si>
  <si>
    <t>BRS-06-50-PG</t>
  </si>
  <si>
    <t>3817.50AYD</t>
  </si>
  <si>
    <t>91-00180</t>
  </si>
  <si>
    <t>3817.50DELPHİ</t>
  </si>
  <si>
    <t>TA977</t>
  </si>
  <si>
    <t xml:space="preserve">3817.50FROW </t>
  </si>
  <si>
    <t>3817.50IISI</t>
  </si>
  <si>
    <t xml:space="preserve">IISI </t>
  </si>
  <si>
    <t>261A005</t>
  </si>
  <si>
    <t>3817.50KRAFTVOLL</t>
  </si>
  <si>
    <t xml:space="preserve">3817.55AYD </t>
  </si>
  <si>
    <t>ROT BAŞI SOL 03&gt;C2//02&gt;C3</t>
  </si>
  <si>
    <t>91-01827</t>
  </si>
  <si>
    <t>3817.55FROW</t>
  </si>
  <si>
    <t>3817.55KRAFTVOLL</t>
  </si>
  <si>
    <t>3817.55ORJİN</t>
  </si>
  <si>
    <t>3817.56AYD</t>
  </si>
  <si>
    <t>ROT BAŞI SAĞ  03&gt;C2//02&gt;C3</t>
  </si>
  <si>
    <t>91-01828</t>
  </si>
  <si>
    <t>3817.56FROW</t>
  </si>
  <si>
    <t>3817.56TEKNOROT</t>
  </si>
  <si>
    <t>CI-551</t>
  </si>
  <si>
    <t>3817.57KAPİM</t>
  </si>
  <si>
    <t>ROT BAŞI SAĞ 04&gt; 407 // 05&gt; C6</t>
  </si>
  <si>
    <t>19-09803</t>
  </si>
  <si>
    <t>3817.57ORJİN</t>
  </si>
  <si>
    <t>3817.58AYD</t>
  </si>
  <si>
    <t>ROT BAŞI SOL 04&gt; 407 // 05&gt; C6</t>
  </si>
  <si>
    <t>97-04107</t>
  </si>
  <si>
    <t>3817.58KAPİM</t>
  </si>
  <si>
    <t>19-09802</t>
  </si>
  <si>
    <t>3817.59FROW</t>
  </si>
  <si>
    <t>ROT BAŞI SOL C5 01&gt;</t>
  </si>
  <si>
    <t>3817.60FROW</t>
  </si>
  <si>
    <t>ROT BAŞI SAĞ C5 01&gt;</t>
  </si>
  <si>
    <t>3817.70AYD</t>
  </si>
  <si>
    <t>ROT BAŞI SAĞ BOXER III/JUMPER III/DUCATO III 06&gt;</t>
  </si>
  <si>
    <t>91-06951</t>
  </si>
  <si>
    <t>3817.70TEKNOROT</t>
  </si>
  <si>
    <t>ROT BAŞI SAĞ BOXER III/JUMPER III/DUCATO 06&gt;//KARSAN JEST</t>
  </si>
  <si>
    <t>F-811</t>
  </si>
  <si>
    <t>3817.71FROW</t>
  </si>
  <si>
    <t>ROT BAŞI SOL 07&gt; C4 PİCASSO</t>
  </si>
  <si>
    <t>3817.71ORJİN</t>
  </si>
  <si>
    <t xml:space="preserve">3817.72FROW </t>
  </si>
  <si>
    <t>ROT BAŞI SAĞ 07&gt; C4 PİCASSO</t>
  </si>
  <si>
    <t>3817.77AYD</t>
  </si>
  <si>
    <t>ROT BAŞI SOL BOXER III/JUMPER III/DUCATO III 06&gt;</t>
  </si>
  <si>
    <t>91-06950</t>
  </si>
  <si>
    <t>3817.77TEKNOROT</t>
  </si>
  <si>
    <t>ROT BAŞI SOL BOXER III/JUMPER III/DUCATO 06&gt;//KARSAN JEST</t>
  </si>
  <si>
    <t>F-812</t>
  </si>
  <si>
    <t>3817.88ABRASSE</t>
  </si>
  <si>
    <t>ROT BAŞI SAĞ PRT.TEPEE 08&gt;&gt;//308/3008/5008/C4 09&gt;&gt;</t>
  </si>
  <si>
    <t>BRS-06-77-PG</t>
  </si>
  <si>
    <t>3817.88AYD</t>
  </si>
  <si>
    <t>91-07194</t>
  </si>
  <si>
    <t>3817.88FROWAS</t>
  </si>
  <si>
    <t>3817.88IISI</t>
  </si>
  <si>
    <t>261A008</t>
  </si>
  <si>
    <t>3817.88KAPİM</t>
  </si>
  <si>
    <t>19-09813</t>
  </si>
  <si>
    <t>3817.88TEKNOROT</t>
  </si>
  <si>
    <t>P-661</t>
  </si>
  <si>
    <t>3817.88VOTTO</t>
  </si>
  <si>
    <t>12-23200</t>
  </si>
  <si>
    <t>3817.89ABRASSE</t>
  </si>
  <si>
    <t>ROT BAŞI SOL PRT.TEPEE 08&gt;&gt;//308/3008/5008/C4 09&gt;&gt;</t>
  </si>
  <si>
    <t>BRS-06-78-PG</t>
  </si>
  <si>
    <t>3817.89AYD</t>
  </si>
  <si>
    <t>91-07195</t>
  </si>
  <si>
    <t>3817.89FROWAS</t>
  </si>
  <si>
    <t>3817.89IISI</t>
  </si>
  <si>
    <t>261A007</t>
  </si>
  <si>
    <t>3817.89KAPİM</t>
  </si>
  <si>
    <t>19-09812</t>
  </si>
  <si>
    <t>3817.89SWAPP</t>
  </si>
  <si>
    <t>10-07195</t>
  </si>
  <si>
    <t>3817.89TEKNOROT</t>
  </si>
  <si>
    <t>P-662</t>
  </si>
  <si>
    <t>3817.89VOTTO</t>
  </si>
  <si>
    <t>12-23201</t>
  </si>
  <si>
    <t>3817.91FROW</t>
  </si>
  <si>
    <t>ROT BAŞI SAĞ C3 III 10&gt;/DS3 10&gt;</t>
  </si>
  <si>
    <t>3817.91SWAPP</t>
  </si>
  <si>
    <t>10-09085</t>
  </si>
  <si>
    <t>3817.92FROW</t>
  </si>
  <si>
    <t>ROT BAŞI SOL C3 III 10&gt;DS3 10&gt;</t>
  </si>
  <si>
    <t>3817.92SWAPP</t>
  </si>
  <si>
    <t>10-09084</t>
  </si>
  <si>
    <t>3817.A1KAPİM</t>
  </si>
  <si>
    <t>ROT BAŞI SOL 10&gt; 508</t>
  </si>
  <si>
    <t>19-09819</t>
  </si>
  <si>
    <t>3817.A2KAPİM</t>
  </si>
  <si>
    <t>ROT BAŞI SAĞ 10&gt; 508</t>
  </si>
  <si>
    <t>19-09820</t>
  </si>
  <si>
    <t>39-04234-000STD-YENMAK</t>
  </si>
  <si>
    <t>PİSTON SEKMAN 86mm STD A20NHT/A20NFT 09-17</t>
  </si>
  <si>
    <t>39-04234-000</t>
  </si>
  <si>
    <t>39001003AYD</t>
  </si>
  <si>
    <t>Z ROT SOL ASTRA.K</t>
  </si>
  <si>
    <t>96-16073</t>
  </si>
  <si>
    <t>39001003PRAKSSIS</t>
  </si>
  <si>
    <t xml:space="preserve">Z ROT SOL ASTRA.K </t>
  </si>
  <si>
    <t>OP-431</t>
  </si>
  <si>
    <t>39001004AYD</t>
  </si>
  <si>
    <t>Z ROT SAĞ ASTRA.K</t>
  </si>
  <si>
    <t>96-16074</t>
  </si>
  <si>
    <t>39001004PRAKSSIS</t>
  </si>
  <si>
    <t xml:space="preserve">Z ROT SAĞ ASTRA.K </t>
  </si>
  <si>
    <t>OP-432</t>
  </si>
  <si>
    <t>39002173MEYLE</t>
  </si>
  <si>
    <t>ABS SENSÖR ARKA ASTRA.K</t>
  </si>
  <si>
    <t>39008083AYD</t>
  </si>
  <si>
    <t>ROT BAŞI SAĞ ASTRA.K</t>
  </si>
  <si>
    <t>91-16077</t>
  </si>
  <si>
    <t>39008084ORJİN</t>
  </si>
  <si>
    <t>ROT BAŞI SOL ASTRA.K</t>
  </si>
  <si>
    <t>39011385ERP</t>
  </si>
  <si>
    <t>KLİMA RADYATÖR ASTRA.K 16&gt;</t>
  </si>
  <si>
    <t>39014321ASPART</t>
  </si>
  <si>
    <t>TURBO GİRİŞ HORTUMU ASTRA.K 1.6CDTI/B16DTH</t>
  </si>
  <si>
    <t>5HOS1191</t>
  </si>
  <si>
    <t>39014321YTT</t>
  </si>
  <si>
    <t>Y11749</t>
  </si>
  <si>
    <t>39020290METTE</t>
  </si>
  <si>
    <t>SİS FAR YAN ÇITASI SAĞ İNSİGNİA.B</t>
  </si>
  <si>
    <t>754K4522</t>
  </si>
  <si>
    <t>ARKA STOP SOL İÇ İNSİGNİA.A 13&gt;(LEDLİ)</t>
  </si>
  <si>
    <t>ARKA STOP SAĞ İÇ İNSİGNİA.A 13&gt;(LEDLİ)</t>
  </si>
  <si>
    <t>39028988YTT</t>
  </si>
  <si>
    <t>AMORTİSÖR ÜST TAKOZ RULMANLI ASTRA.K</t>
  </si>
  <si>
    <t>Y2377</t>
  </si>
  <si>
    <t>39030321ERP</t>
  </si>
  <si>
    <t>P1682257380</t>
  </si>
  <si>
    <t xml:space="preserve">HAVA FİLTRESİ ASTRA.K </t>
  </si>
  <si>
    <t>39030321EUROFIL</t>
  </si>
  <si>
    <t>HAVA FİLTRESİ ASTRA.K</t>
  </si>
  <si>
    <t>EF230321</t>
  </si>
  <si>
    <t>39030321IISI</t>
  </si>
  <si>
    <t>FLH7004</t>
  </si>
  <si>
    <t>39030321PHAFF</t>
  </si>
  <si>
    <t>DH669</t>
  </si>
  <si>
    <t>39030321SARDES</t>
  </si>
  <si>
    <t>SA2705</t>
  </si>
  <si>
    <t>39030321SİON</t>
  </si>
  <si>
    <t>SH1750</t>
  </si>
  <si>
    <t>39030321SMF</t>
  </si>
  <si>
    <t>SMF1060HF</t>
  </si>
  <si>
    <t>39030321VOLLER</t>
  </si>
  <si>
    <t>VOL-66123</t>
  </si>
  <si>
    <t>39030321WUNDER</t>
  </si>
  <si>
    <t>WH370/1</t>
  </si>
  <si>
    <t>ARKA BALATA ASTRA.K/İNSİGNİA.B</t>
  </si>
  <si>
    <t>39037199APETECH</t>
  </si>
  <si>
    <t>AP2205</t>
  </si>
  <si>
    <t>39037199ASPART</t>
  </si>
  <si>
    <t>3BPA1218</t>
  </si>
  <si>
    <t>39037199BOSCH</t>
  </si>
  <si>
    <t>39037199DELPHİ</t>
  </si>
  <si>
    <t>LP3218</t>
  </si>
  <si>
    <t>39037199FERODO</t>
  </si>
  <si>
    <t xml:space="preserve">FERODO  </t>
  </si>
  <si>
    <t>FDB4938</t>
  </si>
  <si>
    <t>39039573MAHER</t>
  </si>
  <si>
    <t>ÖN AMORTİSÖR SOL ASTRA.K</t>
  </si>
  <si>
    <t>MHR-23183</t>
  </si>
  <si>
    <t>39039583DJPARTS</t>
  </si>
  <si>
    <t>ARKA AMORTİSÖR ASTRA.K 16-20</t>
  </si>
  <si>
    <t>DS9387GT</t>
  </si>
  <si>
    <t>39040823HILEKS</t>
  </si>
  <si>
    <t>ÇAMURLUK DAVLUMBAZ ARKA SAĞ ASTRA.K</t>
  </si>
  <si>
    <t>OA34R</t>
  </si>
  <si>
    <t>BAGAJ KAPAĞI ASTRA.K 16&gt;</t>
  </si>
  <si>
    <t>39057860İBRAS</t>
  </si>
  <si>
    <t>RADYATÖR ALT HORTUM ASTRA.K B14XE/B14XFT 16--</t>
  </si>
  <si>
    <t>39059634ZYK</t>
  </si>
  <si>
    <t>ÖN TAMPON CORSA.E 15&gt; SENSÖRSÜZ</t>
  </si>
  <si>
    <t>OP555088</t>
  </si>
  <si>
    <t xml:space="preserve">ÖN TAMPON AYAĞI SAĞ CORSA.E </t>
  </si>
  <si>
    <t xml:space="preserve">ARKA TAMPON AYAGI SOL CORSA.E </t>
  </si>
  <si>
    <t xml:space="preserve">ARKA TAMPON AYAGI SAĞ CORSA.E </t>
  </si>
  <si>
    <t>39069824EUROSTAMP</t>
  </si>
  <si>
    <t>ÖN TAMPON ASTRA.K SENSÖRLÜ (ASTARLI)</t>
  </si>
  <si>
    <t>101.45.9160</t>
  </si>
  <si>
    <t>39071731-2YTT</t>
  </si>
  <si>
    <t>TURBO HORTUM SAĞ MOKKA B16DTH</t>
  </si>
  <si>
    <t>Y20086</t>
  </si>
  <si>
    <t xml:space="preserve">39073574MAHER </t>
  </si>
  <si>
    <t>ÖN AMORTİSÖR SAĞ ASTRA.K</t>
  </si>
  <si>
    <t>MHR-23182</t>
  </si>
  <si>
    <t>MOTOR KAPUT KİLİT YAYI CORSA.D/VECTRA.B</t>
  </si>
  <si>
    <t>39082860METTE</t>
  </si>
  <si>
    <t>754K4849</t>
  </si>
  <si>
    <t>39086944ASPART</t>
  </si>
  <si>
    <t>7CPH1018</t>
  </si>
  <si>
    <t>ÇEKİ DEMİR KAPAĞI ARKA ASTRA.K 16-19</t>
  </si>
  <si>
    <t>39089229İTHAL</t>
  </si>
  <si>
    <t>ÖN PANJUR ASTRA.K 16--(NİKELAJLI ARMASIZ)</t>
  </si>
  <si>
    <t>39089344ASPART</t>
  </si>
  <si>
    <t>1CAR1341</t>
  </si>
  <si>
    <t>SALINCAK SOL ASTRA.K</t>
  </si>
  <si>
    <t>39089345ASPART</t>
  </si>
  <si>
    <t>1CAR1340</t>
  </si>
  <si>
    <t>SALINCAK SAĞ ASTRA.K</t>
  </si>
  <si>
    <t>STOP LAMBASI SOL CORSA.E 3KAPI</t>
  </si>
  <si>
    <t>ARKA ÇAMURLUK SOL ASTRA.K HB. 16&gt;</t>
  </si>
  <si>
    <t>39122790SİLBAK</t>
  </si>
  <si>
    <t>ÖN SİLECEK TAKIM HYBRID İNSİGNİA.B</t>
  </si>
  <si>
    <t>SH2420</t>
  </si>
  <si>
    <t>39123538SİLBAK</t>
  </si>
  <si>
    <t>ÖN SİLECEK TAKIM CROSSLAND.X/BMW X1 15&gt;/LEON 12&gt;</t>
  </si>
  <si>
    <t>SB2616C2</t>
  </si>
  <si>
    <t>STOP SAĞ DIŞ İNSİGNİA.B LEDLİ</t>
  </si>
  <si>
    <t>39125836MARELLİ</t>
  </si>
  <si>
    <t>STOP SAĞ DIŞ İNSİGNİA.B 18&gt; LEDLİ</t>
  </si>
  <si>
    <t>ARKA KAPI SAĞ CORSA.E</t>
  </si>
  <si>
    <t>39138752ZYD</t>
  </si>
  <si>
    <t>SİS KAPAĞI SAĞ İNSİGNİA.B SİSLİ +NİKELAJLI</t>
  </si>
  <si>
    <t>OP999526</t>
  </si>
  <si>
    <t>39146837METTE</t>
  </si>
  <si>
    <t>HAVA FİLTRESİ ASTRA.K 1.5D(D15DVH) 20&gt;</t>
  </si>
  <si>
    <t>741F7343</t>
  </si>
  <si>
    <t xml:space="preserve">39146837SARDES </t>
  </si>
  <si>
    <t>SA2849</t>
  </si>
  <si>
    <t>39146837WUNDER</t>
  </si>
  <si>
    <t>WH328</t>
  </si>
  <si>
    <t>39146897KALE</t>
  </si>
  <si>
    <t>SU RADYATÖR BRAZİNG ASTRA.K F12SHL/F14SHT/F15DVH/B16DTH</t>
  </si>
  <si>
    <t xml:space="preserve">TURBO HORTUM SOL İNSİGNİA.B B16DTH </t>
  </si>
  <si>
    <t>39155302UCPA</t>
  </si>
  <si>
    <t>22H133598</t>
  </si>
  <si>
    <t xml:space="preserve">TURBO HORTUM SOL İNSİGNİA.B B16DTH  </t>
  </si>
  <si>
    <t>39165891WİSCO</t>
  </si>
  <si>
    <t>ÖN TAMPON ÇEKİ DEMİR KAPAĞI RİFTER/COMBO.E/PROACE</t>
  </si>
  <si>
    <t>2233994-00</t>
  </si>
  <si>
    <t xml:space="preserve">RADYATÖR PANJUR İÇ MOTORLU IZGARA ASTRA.K </t>
  </si>
  <si>
    <t>TURBO HORTUM SOL KOMPLE ASTRA.J B16DTH +MT</t>
  </si>
  <si>
    <t>39202874FROWAS</t>
  </si>
  <si>
    <t>3LT 75W80 3LT ABRASSE</t>
  </si>
  <si>
    <t xml:space="preserve">ŞANZUMAN+DİŞLİ YAĞI 75W80 </t>
  </si>
  <si>
    <t>BRS-0875W803</t>
  </si>
  <si>
    <t>3M5Q6008SKT</t>
  </si>
  <si>
    <t xml:space="preserve">MOTOR TAKIM CONTA FULL DV6/DV6TED4 EURO4 SKT KEÇELİ </t>
  </si>
  <si>
    <t>3M5Q6008Y</t>
  </si>
  <si>
    <t xml:space="preserve">MOTOR TAKIM CONTA FULL DV6/DV6TED4 EURO4 </t>
  </si>
  <si>
    <t>4001.77AYD</t>
  </si>
  <si>
    <t xml:space="preserve">ROT MİLİ BİPPER/NEMO </t>
  </si>
  <si>
    <t>95-08929</t>
  </si>
  <si>
    <t>4001.77KAPİM</t>
  </si>
  <si>
    <t>4001.77ORJİN</t>
  </si>
  <si>
    <t xml:space="preserve">ROT MİLİ BİPPER/NEMO  </t>
  </si>
  <si>
    <t>4001.E5TEKNOROT</t>
  </si>
  <si>
    <t>ROT MİLİ BOXER III/JUMPER III/DUCATO 06&gt;</t>
  </si>
  <si>
    <t>4007.EFKRAFTVOLL</t>
  </si>
  <si>
    <t>DİREKSİYON POMPASI PARTNER/BERLİNGO M59 DW8/XSARA 1.4HDİ</t>
  </si>
  <si>
    <t>4007.V5HELLA</t>
  </si>
  <si>
    <t>DİREKSİYON POMPASI 206 1.4HDİ 1.4/1.6 16V/8V 2.0 16V</t>
  </si>
  <si>
    <t>8TL359.000-811</t>
  </si>
  <si>
    <t>4007.WPABRASSE</t>
  </si>
  <si>
    <t>DİREKSİYON POMPA DEPOSU PARTNER/BERLİNGO/206</t>
  </si>
  <si>
    <t>BRS-0200-PG</t>
  </si>
  <si>
    <t>40204100G-KING</t>
  </si>
  <si>
    <t xml:space="preserve">GÖMLEK 86,00mm STD X20XEV </t>
  </si>
  <si>
    <t>G89001350K-1M</t>
  </si>
  <si>
    <t>40220600G-GOETZE</t>
  </si>
  <si>
    <t>GÖMLEK 69,60 STD Z13DT/A13DTE</t>
  </si>
  <si>
    <t>14-022060-00</t>
  </si>
  <si>
    <t>40222600G-NÜRAL</t>
  </si>
  <si>
    <t>GÖMLEK TAKIM STD 79.00MM X16XEL</t>
  </si>
  <si>
    <t>14-022260-00</t>
  </si>
  <si>
    <t>402538YTT</t>
  </si>
  <si>
    <t>ARKA DİNGİL BURCU CORSA.D/E</t>
  </si>
  <si>
    <t>Y1560</t>
  </si>
  <si>
    <t>402645YTT</t>
  </si>
  <si>
    <t>ARKA DİNGİL BURCU VECTRA.A/ASTRA.F</t>
  </si>
  <si>
    <t>Y1444</t>
  </si>
  <si>
    <t>4066.20ABRASSE</t>
  </si>
  <si>
    <t>DİREKSİYON KÖRÜK SOL PARTNER/BERLİNGO/306</t>
  </si>
  <si>
    <t>BRS-13102-PG</t>
  </si>
  <si>
    <t>4066.20YTT</t>
  </si>
  <si>
    <t>Y5273</t>
  </si>
  <si>
    <t>4066.21SASIC</t>
  </si>
  <si>
    <t>ROT MİL KÖRÜĞÜ PARTNER/BERLİNGO M59</t>
  </si>
  <si>
    <t>4066.22ABRASSE</t>
  </si>
  <si>
    <t>DİREKSİYON KÖRÜK SAĞ PARTNER/BERLİNGO/306</t>
  </si>
  <si>
    <t>BRS-13101-PG</t>
  </si>
  <si>
    <t>4066.22KRAFTVOLL</t>
  </si>
  <si>
    <t>4066.22LDM</t>
  </si>
  <si>
    <t>4066.22YTT</t>
  </si>
  <si>
    <t>Y5274</t>
  </si>
  <si>
    <t>4066.73ERASTECH</t>
  </si>
  <si>
    <t>DİREKSİYON KÖRÜK TEPEE/206/307/C4/C4 PCS.</t>
  </si>
  <si>
    <t>4066.73KRAFTVOLL</t>
  </si>
  <si>
    <t>4066.73LDM</t>
  </si>
  <si>
    <t>4066.73MKS</t>
  </si>
  <si>
    <t xml:space="preserve">MKS </t>
  </si>
  <si>
    <t>MKS 4009</t>
  </si>
  <si>
    <t xml:space="preserve">4066.73ÜÇEL </t>
  </si>
  <si>
    <t>4066.73YTT</t>
  </si>
  <si>
    <t>Y5519</t>
  </si>
  <si>
    <t xml:space="preserve">4066.80ÜÇEL </t>
  </si>
  <si>
    <t>DİREKSİYON KÖRÜK 301/C-ELYSEE/207/208/C3 PİCASSO</t>
  </si>
  <si>
    <t>4066.80YTT</t>
  </si>
  <si>
    <t>DİREKSİYON KÖRÜĞÜ 301/C-ELYSEE</t>
  </si>
  <si>
    <t>Y5468</t>
  </si>
  <si>
    <t>415032910-SET-LUK</t>
  </si>
  <si>
    <t>VOLANT+DEBRİYAJ+RULMAN SET Z13DT 90HP</t>
  </si>
  <si>
    <t>415032910-SET</t>
  </si>
  <si>
    <t>415032910LUK</t>
  </si>
  <si>
    <t xml:space="preserve">VOLANT OYNAR Z13DTH ASTRA.H/CORSA.D </t>
  </si>
  <si>
    <t>418001DELPHİ</t>
  </si>
  <si>
    <t>ARKA FREN KAMPANA CORSA.C +ABSLİ</t>
  </si>
  <si>
    <t>BF472</t>
  </si>
  <si>
    <t>418122TOPRAN</t>
  </si>
  <si>
    <t>ARKA PORYA CORSA.B/TİGRA.A</t>
  </si>
  <si>
    <t xml:space="preserve">422303METTE </t>
  </si>
  <si>
    <t>PORYA KAPAĞI CORSA.C/TİGRA.B</t>
  </si>
  <si>
    <t>197T2021</t>
  </si>
  <si>
    <t>423008FROW</t>
  </si>
  <si>
    <t xml:space="preserve">ARKA SALINCAK VECTRA.C KOMPLE </t>
  </si>
  <si>
    <t>423008YTT</t>
  </si>
  <si>
    <t>ARKA DİNGİL OYNAR BURC VECTRA.C</t>
  </si>
  <si>
    <t>Y1553</t>
  </si>
  <si>
    <t>423032DOGRU</t>
  </si>
  <si>
    <t>ARKA DENGE KOL ÇUBUGU VECTRA.C</t>
  </si>
  <si>
    <t>DK90-1086</t>
  </si>
  <si>
    <t>423035-T-ORJİN</t>
  </si>
  <si>
    <t>ARKA SALINCAK BURCU VECTRA.C</t>
  </si>
  <si>
    <t>423071DOGRU</t>
  </si>
  <si>
    <t xml:space="preserve">ARKA SALINCAK BURCU İNSİGNİA.A DAR </t>
  </si>
  <si>
    <t>DK90-1113</t>
  </si>
  <si>
    <t xml:space="preserve">423121ASPART </t>
  </si>
  <si>
    <t>1BUS1057</t>
  </si>
  <si>
    <t>ARKA DİNGİL TAŞIYICI YAĞLI BURC VECTRA.B</t>
  </si>
  <si>
    <t>423121DOGRU</t>
  </si>
  <si>
    <t>DK90-793</t>
  </si>
  <si>
    <t>423121RPR</t>
  </si>
  <si>
    <t>R59982</t>
  </si>
  <si>
    <t>423121TEKNOROT</t>
  </si>
  <si>
    <t>O-444</t>
  </si>
  <si>
    <t>423121YTT</t>
  </si>
  <si>
    <t>Y1418</t>
  </si>
  <si>
    <t>423149DELPHİ</t>
  </si>
  <si>
    <t xml:space="preserve">ARKA DENGE KOLU ÜST SOL İNSİGNİA.A 13-17 </t>
  </si>
  <si>
    <t>TC7023</t>
  </si>
  <si>
    <t>423149TEKNOROT</t>
  </si>
  <si>
    <t>ARKA DENGE KOLU ÜST SOL İNSİGNİA.A 13-17</t>
  </si>
  <si>
    <t>O-1019</t>
  </si>
  <si>
    <t>423150DELPHİ</t>
  </si>
  <si>
    <t xml:space="preserve">ARKA DENGE KOLU ÜST SAĞ İNSİGNİA.A 13-17 </t>
  </si>
  <si>
    <t>TC7024</t>
  </si>
  <si>
    <t>423150TEKNOROT</t>
  </si>
  <si>
    <t>ARKA DENGE KOLU ÜST SAĞ İNSİGNİA.A 13-17</t>
  </si>
  <si>
    <t>O-1018</t>
  </si>
  <si>
    <t>423302ASPART</t>
  </si>
  <si>
    <t>8MAB1002</t>
  </si>
  <si>
    <t>ARKA DİNGİL AKSON UC BURCU VECTRA.B</t>
  </si>
  <si>
    <t xml:space="preserve">423302DOGRU </t>
  </si>
  <si>
    <t xml:space="preserve">DOGRU </t>
  </si>
  <si>
    <t>DK90-716</t>
  </si>
  <si>
    <t>423302YTT</t>
  </si>
  <si>
    <t>Y1438</t>
  </si>
  <si>
    <t>423316FEBİ</t>
  </si>
  <si>
    <t>ARKA DİNGİL BURCU VECTRA.B</t>
  </si>
  <si>
    <t>423316RPR</t>
  </si>
  <si>
    <t>R59122</t>
  </si>
  <si>
    <t xml:space="preserve">423551AYD </t>
  </si>
  <si>
    <t>ARKA DENGE KOL BURCU İNSİGNİA.A</t>
  </si>
  <si>
    <t>87-12158</t>
  </si>
  <si>
    <t>424016ASPART</t>
  </si>
  <si>
    <t>1CSP1074</t>
  </si>
  <si>
    <t>ARKA HELEZON YAYI TAKIM VECTRA.B</t>
  </si>
  <si>
    <t>424029KRAFTVOLL</t>
  </si>
  <si>
    <t>HELEZON ARKA ASTRA.G 10,50mm SEDAN/HB</t>
  </si>
  <si>
    <t>424029SWAPP</t>
  </si>
  <si>
    <t>424047VOTTO</t>
  </si>
  <si>
    <t>ARKA HELEZON YAYI ZAFİRA.A</t>
  </si>
  <si>
    <t>VOT-H-1421</t>
  </si>
  <si>
    <t>424057KRAFTVOLL</t>
  </si>
  <si>
    <t>ARKA HELEZON YAYI CORSA.C</t>
  </si>
  <si>
    <t>424057SWAPP</t>
  </si>
  <si>
    <t xml:space="preserve">ARKA HELEZON YAYI CORSA.C </t>
  </si>
  <si>
    <t>424071KRAFTVOLL</t>
  </si>
  <si>
    <t>ARKA HELEZON YAYI VECTRA.C</t>
  </si>
  <si>
    <t>4241.E5VALEO</t>
  </si>
  <si>
    <t>ARKA KAMPANA BALATA 306 +ABS 93-03//XSARA 97-05</t>
  </si>
  <si>
    <t>4241.L0BRAXIS</t>
  </si>
  <si>
    <t xml:space="preserve">ARKA KAMPANA BALATA 05&gt;1007/04&gt;&gt; C2/C3 </t>
  </si>
  <si>
    <t>AC0121</t>
  </si>
  <si>
    <t>4241.L0FERODO</t>
  </si>
  <si>
    <t>ARKA KAMPANA BALATA 05&gt;1007/04&gt;&gt; C2/C3</t>
  </si>
  <si>
    <t>FSB626</t>
  </si>
  <si>
    <t>4241.L4HATTAT</t>
  </si>
  <si>
    <t>ARKA KAMPANA BALATA 306 94-01/ZX 91-97/XSARA 97-05</t>
  </si>
  <si>
    <t>4241.L6DELPHİ</t>
  </si>
  <si>
    <t>ARKA KAMPANA BALATA PARTNER/BERLİNGO</t>
  </si>
  <si>
    <t>LS1716</t>
  </si>
  <si>
    <t>4241.L6PBS</t>
  </si>
  <si>
    <t>PBS-4038</t>
  </si>
  <si>
    <t>4241.N1BRAXIS</t>
  </si>
  <si>
    <t>ARKA KAMPANA BALATA 206/206+ ABSLİ</t>
  </si>
  <si>
    <t>AC0052</t>
  </si>
  <si>
    <t>4241.N3LPR</t>
  </si>
  <si>
    <t>ARKA KAMPANA BALATA 207/208/301/C-ELYSEE/C2/C3/DS3</t>
  </si>
  <si>
    <t>4241.N3MGA</t>
  </si>
  <si>
    <t>424112ASPART</t>
  </si>
  <si>
    <t>1CSP1080</t>
  </si>
  <si>
    <t>ARKA HELEZON CORSA.D</t>
  </si>
  <si>
    <t xml:space="preserve">424127FROW </t>
  </si>
  <si>
    <t xml:space="preserve">ARKA HELEZON YAYI İNSİGNİA.A </t>
  </si>
  <si>
    <t xml:space="preserve">FROW </t>
  </si>
  <si>
    <t xml:space="preserve">424130SACHS </t>
  </si>
  <si>
    <t>HELEZON YAYI ARKA İNSİGNİA.A (SPOR ŞASİ İÇİN) 294mm</t>
  </si>
  <si>
    <t xml:space="preserve">424293ASPART </t>
  </si>
  <si>
    <t>1CSP1083</t>
  </si>
  <si>
    <t>HELEZON YAYI ARKA ASTRA.F</t>
  </si>
  <si>
    <t>424394ASPART</t>
  </si>
  <si>
    <t>ARKA HELEZON YAYI CORSA.B</t>
  </si>
  <si>
    <t>1CSP1086</t>
  </si>
  <si>
    <t>4245.J9BRAXIS</t>
  </si>
  <si>
    <t>ABS SENSÖR ÖN 207/208/2008/301/C-ELYSEE/C3 III/C4 CACTUS/DS3</t>
  </si>
  <si>
    <t>AK0088</t>
  </si>
  <si>
    <t>4246.A7AYD</t>
  </si>
  <si>
    <t>ÖN FREN DİSK 106/205/SAXO/206/XSARA HAVALI</t>
  </si>
  <si>
    <t>10-50220</t>
  </si>
  <si>
    <t>4246.A7BOSCH</t>
  </si>
  <si>
    <t>4246.R8BOSCH</t>
  </si>
  <si>
    <t>ÖN FREN DİSK 4D 247mm 206/206+/XSARA 97&gt;/306 93&gt;</t>
  </si>
  <si>
    <t>4246.R8ELİTCAR</t>
  </si>
  <si>
    <t>ELT-FD28501</t>
  </si>
  <si>
    <t>4246.W5AYD</t>
  </si>
  <si>
    <t>ÖN FREN DİSK PARTNER/BERLİNGO E.M/306/405</t>
  </si>
  <si>
    <t>10-50230</t>
  </si>
  <si>
    <t>4246.W6BRAXIS</t>
  </si>
  <si>
    <t>ÖN FREN DİSKİ 4D266mm PARTNER/BERLİNGO/306/XSARA</t>
  </si>
  <si>
    <t>AE0019</t>
  </si>
  <si>
    <t>4246.W7AYD</t>
  </si>
  <si>
    <t>ÖN FREN DİSK 4D266mm 301/PARTNER/CROSSLAND.X/C4/C5/DS4/DS5/</t>
  </si>
  <si>
    <t>10-50151</t>
  </si>
  <si>
    <t>4246.W7BOSCH</t>
  </si>
  <si>
    <t>ÖN FREN DİSK 4D266mm 301/PARTNER/CROSSLAND.X/C4/C5/DS4/DS5</t>
  </si>
  <si>
    <t>4246.W7BRAXIS</t>
  </si>
  <si>
    <t>AE0003</t>
  </si>
  <si>
    <t>4246.W7DELPHİ</t>
  </si>
  <si>
    <t>BG3620</t>
  </si>
  <si>
    <t>4246.W7DELPHİ-KPLM</t>
  </si>
  <si>
    <t>ÖN FREN DİSK 4D266mm 301/C-ELYSEE/PARTNER/CROSSLAND.X/C4/C5/DS4/DS5/</t>
  </si>
  <si>
    <t>BG3620T</t>
  </si>
  <si>
    <t>4246.W8AYD</t>
  </si>
  <si>
    <t>ÖN FREN DİSK 4D283mm 207 06&gt;/307/308 08&gt;/2008 13&gt;/3008 09&gt;/CORSA.F</t>
  </si>
  <si>
    <t>10-50157</t>
  </si>
  <si>
    <t>4246.W8BOSCH</t>
  </si>
  <si>
    <t>4246.W8DELPHİ</t>
  </si>
  <si>
    <t>BG3622T</t>
  </si>
  <si>
    <t>4246.W8ERP</t>
  </si>
  <si>
    <t>4246.W8FERODO</t>
  </si>
  <si>
    <t xml:space="preserve">ÖN FREN DİSK 4D283mm 207 06&gt;/307/308 08&gt;/2008 13&gt;/3008 09&gt;/CORSA.F </t>
  </si>
  <si>
    <t>DDF1152</t>
  </si>
  <si>
    <t>4246.W8KRAFTVOLL</t>
  </si>
  <si>
    <t>4246.W9AYD</t>
  </si>
  <si>
    <t>ARKA FREN DİSKİ 4D247mm 307/PARTNER/1007/C2/C3/C4/XSARA PİCASSO</t>
  </si>
  <si>
    <t>10-50211</t>
  </si>
  <si>
    <t>4246.W9BOSCH</t>
  </si>
  <si>
    <t xml:space="preserve">ARKA FREN DİSKİ 4D247mm 307/PARTNER/1007/C2/C3/C4/XSARA PİCASSO </t>
  </si>
  <si>
    <t>4246.W9DELPHİ</t>
  </si>
  <si>
    <t>BG3653</t>
  </si>
  <si>
    <t>4246.Z9AYD</t>
  </si>
  <si>
    <t>ARKA FREN DİSKİ 4D249mm 08&gt; 307/C4 RULMANLI+OKUYUCULU</t>
  </si>
  <si>
    <t>10-50382B</t>
  </si>
  <si>
    <t>4247.49BOSCH</t>
  </si>
  <si>
    <t>ARKA KAMPANA RULMANSIZ 02&gt; C2/C3/1007/206// 12&gt;208/301/C-ELYSEE</t>
  </si>
  <si>
    <t>4247.59</t>
  </si>
  <si>
    <t>ARKA KAMPANA 301/C-ELYSEE DV6C/1.2 THP RULMANLI</t>
  </si>
  <si>
    <t>ARKA HELEZON YAY LASTİĞİ ASTRA.J/CRUZE/İNSİGNİA.A/ASTRA.H/G/MOKKA/ZAF.A-B/MER.</t>
  </si>
  <si>
    <t>424761YTT</t>
  </si>
  <si>
    <t>Y20271</t>
  </si>
  <si>
    <t>424764ASPART</t>
  </si>
  <si>
    <t>1RSS1006</t>
  </si>
  <si>
    <t>ARKA HELEZON DARBE TAKOZ ASTRA.G/H</t>
  </si>
  <si>
    <t>424764DOĞRU</t>
  </si>
  <si>
    <t>DK90-1069</t>
  </si>
  <si>
    <t>424764YTT</t>
  </si>
  <si>
    <t>Y2324</t>
  </si>
  <si>
    <t>4249.32MGA</t>
  </si>
  <si>
    <t>ARKA FREN DİSKİ RULMANLI 4D249MM 207/307/208/2008/C3 III/DS3/C4</t>
  </si>
  <si>
    <t>4249.34AYD</t>
  </si>
  <si>
    <t>ARKA FREN DİSKİ 4D249mm 08&gt; 307/C4 (RULMANSIZ)</t>
  </si>
  <si>
    <t>10-50382</t>
  </si>
  <si>
    <t>4249.46AYD</t>
  </si>
  <si>
    <t>ARKA FREN DİSKİ 08&gt; 4D268MM 3008/5008/PARTNER/BERLİNGO/C4.PİCASSO</t>
  </si>
  <si>
    <t>10-50386</t>
  </si>
  <si>
    <t>4249.46BRAXIS</t>
  </si>
  <si>
    <t xml:space="preserve">ARKA FREN DİSKİ RULMANLI 08&gt; 4D268MM 3008/5008/PARTNER/BERLİNGO/C4.PİCASSO </t>
  </si>
  <si>
    <t>AD0056</t>
  </si>
  <si>
    <t>4249.46SAGEM</t>
  </si>
  <si>
    <t>ABS OKUYUCU HALKA ARKA  PRT.TEPEE/BERLİNGO</t>
  </si>
  <si>
    <t>4249.64BOSCH</t>
  </si>
  <si>
    <t>ÖN FREN DİSK 4D302mm 12&gt; 208/308/3008/5008/C4/DS4/DS5</t>
  </si>
  <si>
    <t>4249.64ERP</t>
  </si>
  <si>
    <t>4249.66AYD</t>
  </si>
  <si>
    <t xml:space="preserve">ARKA FREN DİSKİ 08&gt; 308/C4 BİLYASIZ </t>
  </si>
  <si>
    <t>10-50306</t>
  </si>
  <si>
    <t>4249.73BOSCH</t>
  </si>
  <si>
    <t>ÖN FREN DİSKİ 4D257mm BİPPER/NEMO</t>
  </si>
  <si>
    <t>4249.K1ASPART</t>
  </si>
  <si>
    <t>3BDI1088</t>
  </si>
  <si>
    <t xml:space="preserve">ÖN FREN DİSKİ 5D304mm 11&gt;3008/308/407/508/C4.PCS/C5//18&gt;RİFTER/COMBO.E/GRANDLAND.X </t>
  </si>
  <si>
    <t xml:space="preserve">4249.K1BOSCH </t>
  </si>
  <si>
    <t>ÖN FREN DİSKİ 5D304mm 11&gt;3008/308/407/508/C4.PCS/C5//18&gt;RİFTER/COMBO.E/GRANDLAND.X</t>
  </si>
  <si>
    <t>4249.K1FERODO</t>
  </si>
  <si>
    <t xml:space="preserve">FERODO </t>
  </si>
  <si>
    <t>DDF2156C</t>
  </si>
  <si>
    <t>4251.54VALEO</t>
  </si>
  <si>
    <t>ÖN BALATA PARTNER/BERLİNGO 03&lt;</t>
  </si>
  <si>
    <t>4252.35AYD</t>
  </si>
  <si>
    <t xml:space="preserve">ÖN BALATA 137mm 307/207/C4 1.6/2.0 16V </t>
  </si>
  <si>
    <t>11-60041A</t>
  </si>
  <si>
    <t>4252.35BOSCH</t>
  </si>
  <si>
    <t>ÖN BALATA 137mm 307/207/C4 1.6/2.0 16V</t>
  </si>
  <si>
    <t>4252.35BRAXIS</t>
  </si>
  <si>
    <t>AA0013</t>
  </si>
  <si>
    <t>4252.35MANDO</t>
  </si>
  <si>
    <t>MBF015159</t>
  </si>
  <si>
    <t xml:space="preserve">4252.37MGA </t>
  </si>
  <si>
    <t>ÖN FREN BALATA 02&gt; C2/C3 1.4/1.6</t>
  </si>
  <si>
    <t>4252.58APATECH</t>
  </si>
  <si>
    <t>ÖN FREN BALATA 122.7mm 02&gt; C2/C3 1.4HDİ 75HP</t>
  </si>
  <si>
    <t>AP1520</t>
  </si>
  <si>
    <t>4252.58BRAXIS</t>
  </si>
  <si>
    <t>AA0011</t>
  </si>
  <si>
    <t>4253.20BOSCH</t>
  </si>
  <si>
    <t>ÖN BALATA SEKMANLI 206/206+/306/XSARA</t>
  </si>
  <si>
    <t>4253.20BRAXIS</t>
  </si>
  <si>
    <t>AB0005</t>
  </si>
  <si>
    <t xml:space="preserve">4253.20FROW </t>
  </si>
  <si>
    <t>4253.20Y</t>
  </si>
  <si>
    <t>ÖN BALATA SEKMANLI 206/206+</t>
  </si>
  <si>
    <t>4253.26FERBE</t>
  </si>
  <si>
    <t>ARKA BALATA 407 04&gt;//C5 01&gt;</t>
  </si>
  <si>
    <t>4253.26MGA</t>
  </si>
  <si>
    <t>4253.31VALEO</t>
  </si>
  <si>
    <t>ÖN FREN BALATA 307/C4/207 1.6 16V</t>
  </si>
  <si>
    <t>4253.40VALEO</t>
  </si>
  <si>
    <t>ARKA FREN BALATA 207 06&gt;/307 00&gt;/C4 04&gt;</t>
  </si>
  <si>
    <t>4253.67SWAG</t>
  </si>
  <si>
    <t>ARKA BALATA EXPERT III/SCUDO III/JUMPY III 06&gt;</t>
  </si>
  <si>
    <t>4253.97ASPART</t>
  </si>
  <si>
    <t>3BPA1406</t>
  </si>
  <si>
    <t xml:space="preserve">ÖN BALATA 155,2mm 307/308/C4 2.0HDİ/2008/3008/5008/C4.PCS. </t>
  </si>
  <si>
    <t>4253.97BOSCH</t>
  </si>
  <si>
    <t>ÖN BALATA 155,2mm 307/308/C4 2.0HDİ/2008/3008/5008/C4.PCS. GDB1691/LP2100 1617284780/1613192680/1610103580</t>
  </si>
  <si>
    <t>4253.97ERP</t>
  </si>
  <si>
    <t>ÖN BALATA 155,2mm 307/308/C4 2.0HDİ/2008/3008/5008/C4.PCS.</t>
  </si>
  <si>
    <t>42539412DELPHİ</t>
  </si>
  <si>
    <t>ARKA FREN BALATA MOKKA.X 13&gt;</t>
  </si>
  <si>
    <t>LP3611</t>
  </si>
  <si>
    <t>4254.22BRAXIS</t>
  </si>
  <si>
    <t>ÖN BALATA 407 FİŞLİ</t>
  </si>
  <si>
    <t>AB0089</t>
  </si>
  <si>
    <t>4254.24AYD</t>
  </si>
  <si>
    <t>ÖN FREN BALATA 155mm 407/508/C5 X7</t>
  </si>
  <si>
    <t>11-60280BA</t>
  </si>
  <si>
    <t>4254.42BOSCH</t>
  </si>
  <si>
    <t>ARKA BALATA 106/206/306/SAXO/XSARA</t>
  </si>
  <si>
    <t>4254.67APETECH</t>
  </si>
  <si>
    <t>ARKA BALATA 308 08&gt;TEPEE/307 00&gt;C2/C3 02&gt;/C4 04&gt;/DS4 11&gt;</t>
  </si>
  <si>
    <t>AP1355</t>
  </si>
  <si>
    <t xml:space="preserve">4254.67ASPART </t>
  </si>
  <si>
    <t>3BPA1225</t>
  </si>
  <si>
    <t xml:space="preserve">ARKA BALATA 308 08&gt;TEPEE/307 00&gt;C2/C3 02&gt;/C4 04&gt;/DS4 11&gt; </t>
  </si>
  <si>
    <t>4254.67DELPHİ</t>
  </si>
  <si>
    <t>LP571</t>
  </si>
  <si>
    <t>4254.67TRW</t>
  </si>
  <si>
    <t>GDB823</t>
  </si>
  <si>
    <t>4254.85BOSCH</t>
  </si>
  <si>
    <t>ÖN FREN BALATA PARTNER/BERLİNGO/306 129.9MM</t>
  </si>
  <si>
    <t>4254.91AYD</t>
  </si>
  <si>
    <t>ARKA FREN BALATA 86mm 407/607/C5 X7</t>
  </si>
  <si>
    <t>11-60137AA</t>
  </si>
  <si>
    <t>4254.94APETECH</t>
  </si>
  <si>
    <t xml:space="preserve">ÖN BALATA YAYLI 206/306/XSARA    </t>
  </si>
  <si>
    <t>AP1346</t>
  </si>
  <si>
    <t>4254.94BOSCH</t>
  </si>
  <si>
    <t>ÖN BALATA YAYLI 206/306/XSARA</t>
  </si>
  <si>
    <t>4254.94BOSCH.E</t>
  </si>
  <si>
    <t>ÖN BALATA YAYLI 206/306/XSARA(Y.NO:0986424455)</t>
  </si>
  <si>
    <t>4254.96BOSCH</t>
  </si>
  <si>
    <t xml:space="preserve">ÖN FREN BALATA BİPPER/NEMO (FİŞLİ) </t>
  </si>
  <si>
    <t>4254.96MGA</t>
  </si>
  <si>
    <t>ÖN FREN BALATA BİPPER/NEMO (FİŞLİ)</t>
  </si>
  <si>
    <t>4254.A9MARELLİ</t>
  </si>
  <si>
    <t>ÖN FREN BALATA 10&gt; C4 II /DS4</t>
  </si>
  <si>
    <t>42566753LPR</t>
  </si>
  <si>
    <t>ÖN FREN BALATA 140.65mm MOKKA.X 17&gt; (300mm CAP)</t>
  </si>
  <si>
    <t>42703444FEBİ</t>
  </si>
  <si>
    <t>ABS SENSÖR ÖN ASTRA.K</t>
  </si>
  <si>
    <t>42703444MEYLE</t>
  </si>
  <si>
    <t xml:space="preserve">ABS SENSÖR ÖN ASTRA.K  </t>
  </si>
  <si>
    <t>4310.88ABRASSE</t>
  </si>
  <si>
    <t>ARKA FREN KALİPER CIRCIR TAKIMI 301/208/C-ELYSEE</t>
  </si>
  <si>
    <t>BRS-431088-PG</t>
  </si>
  <si>
    <t xml:space="preserve">436071OPTİMAL </t>
  </si>
  <si>
    <t>ARKA AMORTİSÖR ASTRA.F/VECTRA.A (YAĞLI)</t>
  </si>
  <si>
    <t>A-1829H</t>
  </si>
  <si>
    <t>436087DJPARTS-1</t>
  </si>
  <si>
    <t>ARKA AMORTİSÖR ASTRA.F/VECTRA.A</t>
  </si>
  <si>
    <t>DS3672HT</t>
  </si>
  <si>
    <t>436160TRW</t>
  </si>
  <si>
    <t>ARKA AMORTİSÖR VECTRA.B</t>
  </si>
  <si>
    <t>JGS132T</t>
  </si>
  <si>
    <t>436185DJPARTS</t>
  </si>
  <si>
    <t>ARKA AMORTİSÖR COMBO.C/ASTRA.H/ZAFİRA.A/MERİVA.A</t>
  </si>
  <si>
    <t>DS1925GT</t>
  </si>
  <si>
    <t>436185KRAFTVOLL</t>
  </si>
  <si>
    <t xml:space="preserve">436185MONROE </t>
  </si>
  <si>
    <t>436185SACHS</t>
  </si>
  <si>
    <t xml:space="preserve">436216ASPART </t>
  </si>
  <si>
    <t>1SAB1198</t>
  </si>
  <si>
    <t>ARKA AMORTİSÖR CORSA.B (YAĞLI)</t>
  </si>
  <si>
    <t>436216SACHS</t>
  </si>
  <si>
    <t>436218ASPART</t>
  </si>
  <si>
    <t>1SAB1199</t>
  </si>
  <si>
    <t xml:space="preserve">ARKA AMORTİSÖR ASTRA.F/VECTRA.A GAZLI </t>
  </si>
  <si>
    <t>436218DJPARTS</t>
  </si>
  <si>
    <t>DS3672GT</t>
  </si>
  <si>
    <t>436280ASPART</t>
  </si>
  <si>
    <t>1SAB1201</t>
  </si>
  <si>
    <t>ARKA AMORTİSÖR ASTRA.G</t>
  </si>
  <si>
    <t>436280DJPARTS</t>
  </si>
  <si>
    <t>ARKA AMORTİSÖR ASTRA.G/COMBO.C</t>
  </si>
  <si>
    <t>DS1392GT</t>
  </si>
  <si>
    <t>436280KRAFTVOLL</t>
  </si>
  <si>
    <t xml:space="preserve">436280MONROE </t>
  </si>
  <si>
    <t>436280OPTİMAL</t>
  </si>
  <si>
    <t>A-1158G</t>
  </si>
  <si>
    <t>436280SACHS</t>
  </si>
  <si>
    <t>436280VOTTO</t>
  </si>
  <si>
    <t>VOT-A1401G</t>
  </si>
  <si>
    <t>436305ASPART</t>
  </si>
  <si>
    <t>1SAB1203</t>
  </si>
  <si>
    <t>ARKA AMORTİSÖR CORSA.C (DAR DELİK)</t>
  </si>
  <si>
    <t>436305DJPARTS</t>
  </si>
  <si>
    <t>DS1672GT</t>
  </si>
  <si>
    <t>436305MARELLİ</t>
  </si>
  <si>
    <t xml:space="preserve">436305SACHS </t>
  </si>
  <si>
    <t xml:space="preserve">436306DJPARTS </t>
  </si>
  <si>
    <t>ARKA AMORTİSÖR CORSA.C (GENİŞ DELİK)</t>
  </si>
  <si>
    <t>DS1398GT</t>
  </si>
  <si>
    <t>436306SACHS</t>
  </si>
  <si>
    <t>436315DJPARTS</t>
  </si>
  <si>
    <t>ARKA AMORTİSÖR ASTRA.H 04-10</t>
  </si>
  <si>
    <t>DS1924GT</t>
  </si>
  <si>
    <t>436355VOTTO</t>
  </si>
  <si>
    <t>ARKA AMORTİSÖR ZAFİRA.A/ASTRA.H/ASTRA.G/COMBO.C</t>
  </si>
  <si>
    <t>VOT-A-1449G</t>
  </si>
  <si>
    <t xml:space="preserve">436388ASPART </t>
  </si>
  <si>
    <t>1SAB1206</t>
  </si>
  <si>
    <t>ARKA AMORTİSÖR CORSA.D/E/AVEO T300</t>
  </si>
  <si>
    <t>436388DJPARTS</t>
  </si>
  <si>
    <t>DS2040GT</t>
  </si>
  <si>
    <t>436388GSP</t>
  </si>
  <si>
    <t>436388KRAFTVOLL</t>
  </si>
  <si>
    <t>436388KRAFTVOLL-A</t>
  </si>
  <si>
    <t>436388MAYSAN</t>
  </si>
  <si>
    <t>PN7212502M</t>
  </si>
  <si>
    <t>436388MONROE</t>
  </si>
  <si>
    <t>G1037</t>
  </si>
  <si>
    <t>436388VOTTO</t>
  </si>
  <si>
    <t>VOT-A-1001G</t>
  </si>
  <si>
    <t>436399DJPARTS</t>
  </si>
  <si>
    <t>ARKA AMORTİSÖR VECTRA.C</t>
  </si>
  <si>
    <t>DS1921GT</t>
  </si>
  <si>
    <t>436399MAYSAN</t>
  </si>
  <si>
    <t xml:space="preserve">ARKA AMORTİSÖR VECTRA.C </t>
  </si>
  <si>
    <t>PN7212505M</t>
  </si>
  <si>
    <t>436399VOTTO</t>
  </si>
  <si>
    <t>VOT-A-1421G</t>
  </si>
  <si>
    <t>436504ASPART</t>
  </si>
  <si>
    <t>ARKA AMORTİSÖR DARBE TAKOZ KÖRÜKLÜ İNSİGNİA.A</t>
  </si>
  <si>
    <t>436504FEBİ</t>
  </si>
  <si>
    <t xml:space="preserve">ARKA AMORTİSÖR DARBE TAKOZ KÖRÜKLÜ İNSİGNİA.A  </t>
  </si>
  <si>
    <t>436663DOGRU</t>
  </si>
  <si>
    <t xml:space="preserve">ARKA AMORTİSÖR TAKOZ ASTRA.J/ZAFİRA.C/CASCADA </t>
  </si>
  <si>
    <t>DK90-1188</t>
  </si>
  <si>
    <t>436772CM</t>
  </si>
  <si>
    <t>CM 85516</t>
  </si>
  <si>
    <t>ARKA AMORTİSÖR DARBE TAKOZ (KÖRÜKLÜ) CORSA.D/T300</t>
  </si>
  <si>
    <t>CM</t>
  </si>
  <si>
    <t>436772FKK</t>
  </si>
  <si>
    <t>436772KRAFTVOLL</t>
  </si>
  <si>
    <t>436772RPR</t>
  </si>
  <si>
    <t>R59437</t>
  </si>
  <si>
    <t>436772ÜÇEL</t>
  </si>
  <si>
    <t>436772YTT</t>
  </si>
  <si>
    <t>Y2307</t>
  </si>
  <si>
    <t xml:space="preserve">436773ASPART </t>
  </si>
  <si>
    <t>1SBE1039</t>
  </si>
  <si>
    <t>ARKA AMORTİSÖR TAKOZ SOL CORSA.D</t>
  </si>
  <si>
    <t>436773FORMPART</t>
  </si>
  <si>
    <t>14407013/S</t>
  </si>
  <si>
    <t>436773GB</t>
  </si>
  <si>
    <t>GB 5514</t>
  </si>
  <si>
    <t>436773KRAFTVOLL</t>
  </si>
  <si>
    <t>436773LEMFÖRDER</t>
  </si>
  <si>
    <t>436774ASPART</t>
  </si>
  <si>
    <t>1SBE1040</t>
  </si>
  <si>
    <t>ARKA AMORTİSÖR TAKOZ SAĞ CORSA.D</t>
  </si>
  <si>
    <t>436774LEMFÖRDER</t>
  </si>
  <si>
    <t xml:space="preserve">436774MEHA </t>
  </si>
  <si>
    <t>MH12014</t>
  </si>
  <si>
    <t>436774YTT</t>
  </si>
  <si>
    <t>Y1591</t>
  </si>
  <si>
    <t>436788ASPART</t>
  </si>
  <si>
    <t>1SBE1002</t>
  </si>
  <si>
    <t xml:space="preserve">ARKA AMORTİSÖR TAKOZ SOL İNSİGNİA.A </t>
  </si>
  <si>
    <t>436788FEBİ</t>
  </si>
  <si>
    <t>ARKA AMORTİSÖR TAKOZ SOL İNSİGNİA.A</t>
  </si>
  <si>
    <t xml:space="preserve">436788SACHS </t>
  </si>
  <si>
    <t>436788SWAG</t>
  </si>
  <si>
    <t>436789ASPART</t>
  </si>
  <si>
    <t>1SBE1003</t>
  </si>
  <si>
    <t xml:space="preserve">ARKA AMORTİSÖR TAKOZ SAĞ İNSİGNİA.A </t>
  </si>
  <si>
    <t xml:space="preserve">436789FEBİ </t>
  </si>
  <si>
    <t>ARKA AMORTİSÖR TAKOZ SAĞ İNSİGNİA.A</t>
  </si>
  <si>
    <t>436789SAHCS</t>
  </si>
  <si>
    <t>436789SWAG</t>
  </si>
  <si>
    <t>436793ASPART</t>
  </si>
  <si>
    <t>1SAB1209</t>
  </si>
  <si>
    <t xml:space="preserve">ARKA AMORTİSÖR ASTRA.J/CRUZE  </t>
  </si>
  <si>
    <t>436793DJPARTS</t>
  </si>
  <si>
    <t>DS3673GT</t>
  </si>
  <si>
    <t>436793KRAFTVOLL</t>
  </si>
  <si>
    <t>436793SACHS</t>
  </si>
  <si>
    <t xml:space="preserve">ARKA AMORTİSÖR ASTRA.J/CRUZE </t>
  </si>
  <si>
    <t>436888SACHS</t>
  </si>
  <si>
    <t>ARKA AMORTİSÖR İNSİGNİA.A (ALÇALTILMIŞ SPOR SAŞE İÇİN)</t>
  </si>
  <si>
    <t>436893ASPART</t>
  </si>
  <si>
    <t>ARKA AMORTİSÖR İNSİGNİA.A</t>
  </si>
  <si>
    <t xml:space="preserve">436893SACHS </t>
  </si>
  <si>
    <t xml:space="preserve">ARKA AMORTİSÖR İNSİGNİA.A </t>
  </si>
  <si>
    <t>436933FAG</t>
  </si>
  <si>
    <t>ARKA AMORTİSÖR DARBE TAKOZ VECTRA.B</t>
  </si>
  <si>
    <t>810 0017 10</t>
  </si>
  <si>
    <t>436933RPR</t>
  </si>
  <si>
    <t>R59446</t>
  </si>
  <si>
    <t>436943RPR</t>
  </si>
  <si>
    <t>AMORTİSÖR LASTİĞİ ARKA ASTRA.F/VECTRA.A/CORSA.B</t>
  </si>
  <si>
    <t>R59221</t>
  </si>
  <si>
    <t>436955YTT</t>
  </si>
  <si>
    <t>AMORTİSÖR DARBE TAKOZ ARKA VECTRA.B</t>
  </si>
  <si>
    <t>Y2306</t>
  </si>
  <si>
    <t>44-3562-16-50AKD</t>
  </si>
  <si>
    <t>PİSTON SEKMAN TAKIM Z22XE 86.00mm +0,50 2.2 16V</t>
  </si>
  <si>
    <t>44-3562-16-50</t>
  </si>
  <si>
    <t>440.N5ABRASSE</t>
  </si>
  <si>
    <t>FREN KALİPERİ ARKA SAĞ 307/C4/DS4 DV6 1.6HDİ  04&gt;</t>
  </si>
  <si>
    <t>4400.N4BROM</t>
  </si>
  <si>
    <t>ARKA FREN KALİPERİ SOL 307/C4/DS4 TRW TİP 38mm</t>
  </si>
  <si>
    <t>P35021</t>
  </si>
  <si>
    <t>4400.N4MGA</t>
  </si>
  <si>
    <t>4400469POLİPLAST</t>
  </si>
  <si>
    <t>ÖN TAMPON VİVARO 2001&gt;</t>
  </si>
  <si>
    <t>4402.97BOSCH</t>
  </si>
  <si>
    <t>ARKA FREN MERKEZ SOL 206/206+/306/301/XSARA/C-ELYSEE</t>
  </si>
  <si>
    <t>F026009234</t>
  </si>
  <si>
    <t>4402.98BOSCH</t>
  </si>
  <si>
    <t>ARKA FREN MERKEZ SAĞ 206/206+/306/301/XSARA/C-ELYSEE</t>
  </si>
  <si>
    <t>F026009235</t>
  </si>
  <si>
    <t>4402.98LPR</t>
  </si>
  <si>
    <t>4402.A0CİFAM</t>
  </si>
  <si>
    <t>ARKA FREN MERKEZ SOL 306/ZX/XSARA</t>
  </si>
  <si>
    <t>101-438</t>
  </si>
  <si>
    <t>4402.A0LPR</t>
  </si>
  <si>
    <t xml:space="preserve">ARKA FREN MERKEZ SOL 306/ZX/XSARA </t>
  </si>
  <si>
    <t>4402.A1CİFAM</t>
  </si>
  <si>
    <t>ARKA FREN MERKEZ SAĞ 306/ZX/XSARA</t>
  </si>
  <si>
    <t>101-437</t>
  </si>
  <si>
    <t>4402.A1LPR</t>
  </si>
  <si>
    <t xml:space="preserve">ARKA FREN MERKEZ SAĞ 306/ZX/XSARA </t>
  </si>
  <si>
    <t>4402.A8BRAXIS</t>
  </si>
  <si>
    <t>ARKA FREN SİLİNDİR 20.64mm 106/306/XSARA</t>
  </si>
  <si>
    <t>AJ2062</t>
  </si>
  <si>
    <t>4402.C6BOSCH</t>
  </si>
  <si>
    <t>ARKA FREN SİLİNDİRİ PARTNER/BERLİNGO 96&gt;//XSARA PİCASSO 99&gt;</t>
  </si>
  <si>
    <t>4402.C6CİFAM</t>
  </si>
  <si>
    <t>101-650</t>
  </si>
  <si>
    <t xml:space="preserve">4402.C6SAMKO </t>
  </si>
  <si>
    <t>C06847</t>
  </si>
  <si>
    <t>4402.C6TRW</t>
  </si>
  <si>
    <t>BWH373</t>
  </si>
  <si>
    <t>4402.C6Y</t>
  </si>
  <si>
    <t>ARKA FREN SİLİNDİRİ PARTNER/BERLİNGO 97-08 DW8/DV6//XSARA PCS.</t>
  </si>
  <si>
    <t>4402.C8BOSCH</t>
  </si>
  <si>
    <t>ARKA FREN SİLİNDİRİ 106/206/306/1007/SAXO/C2/C3 ABSLİ 20,64mm</t>
  </si>
  <si>
    <t>4402.E6BOSCH</t>
  </si>
  <si>
    <t>ARKA FREN SİLİNDİR 05&gt; 1007/C2/C3</t>
  </si>
  <si>
    <t>F026002463</t>
  </si>
  <si>
    <t>4402.F1LPR</t>
  </si>
  <si>
    <t>ARKA FREN MERKEZ 207 ABSLİ 20,64mm 1.4 16V/1.4HDİ</t>
  </si>
  <si>
    <t>4402.F3CİFAM</t>
  </si>
  <si>
    <t>ARKA FREN SİLİNDİR BİPPER/NEMO</t>
  </si>
  <si>
    <t>101-933</t>
  </si>
  <si>
    <t>4402.F5TRW</t>
  </si>
  <si>
    <t>FREN KALİPER ARKA SOL PARTNER TEPEE/BERGLİNGO 08&gt;</t>
  </si>
  <si>
    <t>BHN936</t>
  </si>
  <si>
    <t>4408510KRAFTVOLL</t>
  </si>
  <si>
    <t>ROT BAŞI SOL VİVARO 02&gt;/TRAFIC II/LAGUNA II 01-07</t>
  </si>
  <si>
    <t>4408510RIW</t>
  </si>
  <si>
    <t xml:space="preserve">ROT BAŞI SOL VİVARO 02&gt;/TRAFIC II/LAGUNA II 01-07 </t>
  </si>
  <si>
    <t>RN2025</t>
  </si>
  <si>
    <t>4408510VOTTO</t>
  </si>
  <si>
    <t>ROT BAŞI SOL VİVARO 02&gt;/TRAFIC II/LAGUNA II 01-07/VİVARO.B 15-21</t>
  </si>
  <si>
    <t>VOT-11-18201</t>
  </si>
  <si>
    <t>4408511KRAFTVOLL</t>
  </si>
  <si>
    <t>ROT BAŞI SAĞ VİVARO 02&gt;/TRAFIC II/LAGUNA II 01-07</t>
  </si>
  <si>
    <t>4408511VOTTO</t>
  </si>
  <si>
    <t>ROT BAŞI SAĞ VİVARO 02&gt;/TRAFIC II/LAGUNA II 01-07/VİVARO.B 15-21</t>
  </si>
  <si>
    <t>VOT-11-18200</t>
  </si>
  <si>
    <t>4420403BOSCH</t>
  </si>
  <si>
    <t>YAĞ FİLTRESİ TRAFIC II/III // VİVARO.B 14-21 2.0DCİ/2.5DCİ/2.5TD</t>
  </si>
  <si>
    <t>F026407014</t>
  </si>
  <si>
    <t>4423888BOSCH</t>
  </si>
  <si>
    <t>MAZOT FİLTRESİ TRAFIC III 14&gt;/VİVARO.B 15-21/MOVANO.B 10&gt;/MASTER III 10&gt; 1.6DCİ</t>
  </si>
  <si>
    <t>F026402857</t>
  </si>
  <si>
    <t xml:space="preserve">4439.25DEKAR </t>
  </si>
  <si>
    <t>ÖN FREN KALİPER TAMİRİ TAKIM 301/C-ELYSEE/206/207/307/PARTNER/C2/C3/C4</t>
  </si>
  <si>
    <t>DK5052</t>
  </si>
  <si>
    <t xml:space="preserve">4439.36DEKAR </t>
  </si>
  <si>
    <t>ARKA FREN KALİPER TAMİR TAKIM 307/TEPEE/DS5</t>
  </si>
  <si>
    <t>DK5057</t>
  </si>
  <si>
    <t>4439.43DEKAR</t>
  </si>
  <si>
    <t>KALİPER TAMİR TAKIM PEUGEOT/CİTRÖEN</t>
  </si>
  <si>
    <t>DK5053</t>
  </si>
  <si>
    <t xml:space="preserve">444081DOGRU </t>
  </si>
  <si>
    <t>ARKA Z ROT İNSİGNİA.A</t>
  </si>
  <si>
    <t>DK90-1007</t>
  </si>
  <si>
    <t xml:space="preserve">444081LEMFÖRDER </t>
  </si>
  <si>
    <t xml:space="preserve">ARKA Z ROT İNSİGNİA.A </t>
  </si>
  <si>
    <t>444081TEKNOROT</t>
  </si>
  <si>
    <t>O-514</t>
  </si>
  <si>
    <t>444083YTT</t>
  </si>
  <si>
    <t>VİRAJ DEMİR LASTİĞİ ARKA İNSİGNİA.A</t>
  </si>
  <si>
    <t>Y2357</t>
  </si>
  <si>
    <t>444087DOGRU</t>
  </si>
  <si>
    <t>ARKA VİRAJ UÇ ROTU İNSİGNİA.A</t>
  </si>
  <si>
    <t>DK90-1006</t>
  </si>
  <si>
    <t>444275YTT</t>
  </si>
  <si>
    <t>ARKA Z ROT VECTRA.C/SIGNUM</t>
  </si>
  <si>
    <t>Y20041</t>
  </si>
  <si>
    <t>4500255KRAFTVOLL</t>
  </si>
  <si>
    <t>ROTİL MASTER II/MOVANO 97&gt;</t>
  </si>
  <si>
    <t>4504.12ÜÇEL</t>
  </si>
  <si>
    <t>FREN PEDAL LASTİĞİ E.M. PARTNER/BERLİNGO/XSARA/JUMPY/306/406</t>
  </si>
  <si>
    <t>4534.28FAE</t>
  </si>
  <si>
    <t>DEBRİYAJ KONDAKTÖRÜ 206/406/JUMPY/EXPERT 1.6/2.0HDİ</t>
  </si>
  <si>
    <t>4534.40FROW</t>
  </si>
  <si>
    <t xml:space="preserve">FREN PEDAL MÜŞÜR 206/307/PARTNER </t>
  </si>
  <si>
    <t>4534.52FAE</t>
  </si>
  <si>
    <t>FREN PEDAL MÜŞÜR PARTNER/BERLİNGO</t>
  </si>
  <si>
    <t>4534.65</t>
  </si>
  <si>
    <t>FREN PEDAL MÜŞÜR 207/307/308/407/C2/C3/C4/C5/3008/5008/PARTNER/BERLİNGO</t>
  </si>
  <si>
    <t>4545.88DELPHİ</t>
  </si>
  <si>
    <t>ABS SENSÖR ÖN 307/C4 00-05 E.M</t>
  </si>
  <si>
    <t>SS20082</t>
  </si>
  <si>
    <t>4545.97MGA</t>
  </si>
  <si>
    <t xml:space="preserve">ABS SENSÖR ÖN 1007/C2/C3 </t>
  </si>
  <si>
    <t>4545.97SWAPP</t>
  </si>
  <si>
    <t>4545.C1BRAXIS</t>
  </si>
  <si>
    <t>ABS SENSÖR ÖN 307/C4 05&gt; Y.M</t>
  </si>
  <si>
    <t>AK0006</t>
  </si>
  <si>
    <t>4545.C1DELPHİ</t>
  </si>
  <si>
    <t>SS20132</t>
  </si>
  <si>
    <t xml:space="preserve">4545.E8MGA </t>
  </si>
  <si>
    <t>ABS SENSÖR ARKA 06&gt; PARTNER/BERLİNGO/C4/5008</t>
  </si>
  <si>
    <t>4545.J8BRAXIS</t>
  </si>
  <si>
    <t>ABS KABLOSU ARKA SAĞ/SOL 301/C-ELYSE/207/208</t>
  </si>
  <si>
    <t>AK0123</t>
  </si>
  <si>
    <t>4545.J9MGA</t>
  </si>
  <si>
    <t>ABS SENSÖR ÖN 207/301/208/2008/C3 III/C-ELYSEE/C4 CACTUS</t>
  </si>
  <si>
    <t>4545.L0MGA</t>
  </si>
  <si>
    <t>ABS SENSÖR ARKA R+L 307/C4/308</t>
  </si>
  <si>
    <t>4556.16/18 KAYLAS</t>
  </si>
  <si>
    <t>KYS349</t>
  </si>
  <si>
    <t>VAKUM POMPA CONTA TAKIM DV4 1.4HDİ</t>
  </si>
  <si>
    <t>4556.16ABRASSE</t>
  </si>
  <si>
    <t>VAKUM POMPA CONTA DV4 TAKIM</t>
  </si>
  <si>
    <t>4556.16MGA</t>
  </si>
  <si>
    <t>VAKUM POMPA CONTA DV4 BÜYÜK</t>
  </si>
  <si>
    <t>4556.16Y</t>
  </si>
  <si>
    <t>4556.18Y</t>
  </si>
  <si>
    <t>VAKUM POMPCA CONTA DV4 1.4HDİ KÜÇÜK</t>
  </si>
  <si>
    <t>4556.24İBRAS</t>
  </si>
  <si>
    <t xml:space="preserve">VAKUM POMPA ORİNG TAKIM 1.6HDİ EURO5/1.5BLUEHDİ </t>
  </si>
  <si>
    <t>4556.24KAYLAS</t>
  </si>
  <si>
    <t>KYS382</t>
  </si>
  <si>
    <t>VAKUM POMPA ORİNG TAKIM 1.6HDİ EURO5/1.5BLUEHDİ</t>
  </si>
  <si>
    <t>4565.42BİTAPART</t>
  </si>
  <si>
    <t>BPE249013</t>
  </si>
  <si>
    <t>VAKUM POMPASI DW8/DW8B PARTNER/BERLİNGO/EXPERT/SCUDO</t>
  </si>
  <si>
    <t>4565.53BİT</t>
  </si>
  <si>
    <t>BPE117004</t>
  </si>
  <si>
    <t>VAKUM POMPA TIRNAGI XUD9/DW8</t>
  </si>
  <si>
    <t>4565.53K&amp;B</t>
  </si>
  <si>
    <t>4565.65BİTAPART</t>
  </si>
  <si>
    <t>BPE379107</t>
  </si>
  <si>
    <t>VAKUM POMPA REKORU EURO4 DV4 1.4HDİ</t>
  </si>
  <si>
    <t>456504.01</t>
  </si>
  <si>
    <t>MUHAFAZA VAKUM POMPA PARÇASI</t>
  </si>
  <si>
    <t>4570.18</t>
  </si>
  <si>
    <t>VAKUM POMPA CONTASI 2.2PUMA BOXER III/DUCATO III</t>
  </si>
  <si>
    <t>4599.41KAYLAS</t>
  </si>
  <si>
    <t>KYS348</t>
  </si>
  <si>
    <t xml:space="preserve">VAKUM POMPA ORİNG TAKIM 1.6HDİ DV6 </t>
  </si>
  <si>
    <t>4601.F6CİFAM</t>
  </si>
  <si>
    <t>FREN ANA MERKEZ 306 93&gt;//PARTNER-BERLİNGO 96&gt;//XSARA 97&gt; DW8/DW10 ABSLİ 23.08mm</t>
  </si>
  <si>
    <t>202-358</t>
  </si>
  <si>
    <t>4601.F6METELLİ</t>
  </si>
  <si>
    <t>4601.F8LPR</t>
  </si>
  <si>
    <t>FREN ANA MERKEZ 206 1.4 16V/DV4 1.4HDİ//306 1.4/1.6/1.9D  20,64mm</t>
  </si>
  <si>
    <t>4601.H9LPR</t>
  </si>
  <si>
    <t>FREN ANA MERKEZ PARTNER/BERLİNGO/XSARA 1.9D DW8</t>
  </si>
  <si>
    <t>4601.T2TRW</t>
  </si>
  <si>
    <t xml:space="preserve">FREN ANA MERKEZ C4 05-08/DS4/307 Y.M +ESP 23,80mm </t>
  </si>
  <si>
    <t>PMK557</t>
  </si>
  <si>
    <t>YAĞ FİLTRESİ BOXER III/JUMPER III 24&gt;(X250 B22LUE) 2.2HDİ EURO6</t>
  </si>
  <si>
    <t>4745.N4CAVO</t>
  </si>
  <si>
    <t>EL FREN TELİ SAĞ/SOL 206/206+</t>
  </si>
  <si>
    <t>EL FREN TELİ</t>
  </si>
  <si>
    <t>4745.T3KRAFTVOLL</t>
  </si>
  <si>
    <t>EL FREN TELİ UZUN 307/C4 SAĞ/SOL BOY:2030mm</t>
  </si>
  <si>
    <t xml:space="preserve">4762114BRAXIS </t>
  </si>
  <si>
    <t>EL FREN BALATASI JEEP CHEROKEE (KJ)</t>
  </si>
  <si>
    <t>AC0181</t>
  </si>
  <si>
    <t>4803134KRAFTVOLL</t>
  </si>
  <si>
    <t>KRANK DEVİR SENSÖR A20NHT/A20NFT</t>
  </si>
  <si>
    <t>4806.93SVAC</t>
  </si>
  <si>
    <t>ARKA FREN HORTUM 230mm 206 98&gt;&gt;</t>
  </si>
  <si>
    <t>FREN HORTUM</t>
  </si>
  <si>
    <t>SVAC</t>
  </si>
  <si>
    <t>60-0140</t>
  </si>
  <si>
    <t>4806037DEPO</t>
  </si>
  <si>
    <t>SİS FARI SOL ANTARA 06-12</t>
  </si>
  <si>
    <t>442-2021L-AQ</t>
  </si>
  <si>
    <t>4806038DEPO</t>
  </si>
  <si>
    <t>SİS FARI SAĞ ANTARA 06-12</t>
  </si>
  <si>
    <t>442-2021R-AQ</t>
  </si>
  <si>
    <t>48527JD01AKRAFTVOLL</t>
  </si>
  <si>
    <t>ROT BAŞI SAĞ QASHQAI 07&gt;//X-TRAİL 07-13</t>
  </si>
  <si>
    <t>48527JDA01KRAFTVOLL</t>
  </si>
  <si>
    <t>ROT BAŞI SOL QASHQAI 07&gt;//X-TRAİL 07-13</t>
  </si>
  <si>
    <t>4M5113099TYC</t>
  </si>
  <si>
    <t>FAR SAĞ FOCUS 05&gt;</t>
  </si>
  <si>
    <t>20-A963-05-2Q</t>
  </si>
  <si>
    <t>4M5113101TYC</t>
  </si>
  <si>
    <t>FAR SOL FOCUS 05&gt;</t>
  </si>
  <si>
    <t>20-A964-05-2Q</t>
  </si>
  <si>
    <t>4PK993ABA</t>
  </si>
  <si>
    <t>V KAYIŞ 4PK993</t>
  </si>
  <si>
    <t>4PK993</t>
  </si>
  <si>
    <t>5002.P5KRAFTVOLL</t>
  </si>
  <si>
    <t>ÖN HELEZON TAKIM 206/206+ DV4 1.4HDİ/1.4 16V</t>
  </si>
  <si>
    <t>5031.51RPR</t>
  </si>
  <si>
    <t>HELEZON YAY YATAGI 307/308/5008/3008/PARTNER TEPEE/C4/DS4</t>
  </si>
  <si>
    <t>R51882</t>
  </si>
  <si>
    <t>5031.77</t>
  </si>
  <si>
    <t>AMORTİSÖR TAKOZ SETİ 307/C4/PARTNER/BERLİNGO</t>
  </si>
  <si>
    <t>5031.77SNR</t>
  </si>
  <si>
    <t>KB659.23</t>
  </si>
  <si>
    <t>5031.A3SNR</t>
  </si>
  <si>
    <t>AMORTİSÖR TAKOZ SETİ 207</t>
  </si>
  <si>
    <t>KB65932</t>
  </si>
  <si>
    <t>5031.F2</t>
  </si>
  <si>
    <t>AMORTİSÖR TAKOZ 12&gt; 301/208 12&gt;C-ELYSEE 12&gt;/C3 12&gt;/DS3 12&gt;</t>
  </si>
  <si>
    <t>5031.F2BESCHER</t>
  </si>
  <si>
    <t>BSC738980RP</t>
  </si>
  <si>
    <t>AMORTİSÖR TAKOZ SET 12&gt; 301/208 12&gt;C-ELYSEE 12&gt;/C3 12&gt;/DS3 12&gt;</t>
  </si>
  <si>
    <t>5031.F2SNR</t>
  </si>
  <si>
    <t xml:space="preserve">AMORTİSÖR TAKOZ+RULMAN SET 208/301/C-ELYSEE/C3/DS3 </t>
  </si>
  <si>
    <t>KB659.36</t>
  </si>
  <si>
    <t>5033.39MGA</t>
  </si>
  <si>
    <t>ÖN AMORTİSÖR DARBE TAKOZ JUMPY/SCUDO</t>
  </si>
  <si>
    <t>5033.65MEHA</t>
  </si>
  <si>
    <t>MH13410</t>
  </si>
  <si>
    <t>AMORTİSÖR DARBE TAKOZ ÖN PARTNER/BERLİNGO</t>
  </si>
  <si>
    <t>5033.65RPR</t>
  </si>
  <si>
    <t>R59426</t>
  </si>
  <si>
    <t>5033.65YTT</t>
  </si>
  <si>
    <t>Y23173</t>
  </si>
  <si>
    <t xml:space="preserve">5033.70MEHA </t>
  </si>
  <si>
    <t>MH13411</t>
  </si>
  <si>
    <t>AMORTİSÖR DARBE TAKOZ PARTNER TEPEE/307/308/3008/5008</t>
  </si>
  <si>
    <t>5033.70RPR</t>
  </si>
  <si>
    <t>R59434</t>
  </si>
  <si>
    <t>5033.70ÜÇEL</t>
  </si>
  <si>
    <t>5033.71</t>
  </si>
  <si>
    <t>AMORTİSÖR TABLA PULU 307/308/3008/5008/PARTNER/RCZ/C4</t>
  </si>
  <si>
    <t>5033.75FKK</t>
  </si>
  <si>
    <t>AMORTİSÖR TEPE ÇANAK PEUGEOT/CİTRÖEN</t>
  </si>
  <si>
    <t>5033.75FORMPART</t>
  </si>
  <si>
    <t>21407009/S</t>
  </si>
  <si>
    <t>5033.75KRAFTVOLL</t>
  </si>
  <si>
    <t>5033.75RPR</t>
  </si>
  <si>
    <t>R52062</t>
  </si>
  <si>
    <t>5033.82ÜCEL</t>
  </si>
  <si>
    <t>AMORTİSÖR DARBE TAKOZ C2/C3</t>
  </si>
  <si>
    <t>5033.C3FORMPART</t>
  </si>
  <si>
    <t>AMORTİSÖR TABLA TAKOZ (HELEZON) 301/207/208/2008/C3/DS3</t>
  </si>
  <si>
    <t>21421022/S</t>
  </si>
  <si>
    <t>5033.C3MEHA</t>
  </si>
  <si>
    <t>MH13022</t>
  </si>
  <si>
    <t>5033.C3RPR</t>
  </si>
  <si>
    <t>R51883</t>
  </si>
  <si>
    <t>5033.F2KRAFTVOLL</t>
  </si>
  <si>
    <t xml:space="preserve">AMORTİSÖR DARBE TAKOZ BİPPER/NEMO/CORSA.D </t>
  </si>
  <si>
    <t>5033.F2MEHA</t>
  </si>
  <si>
    <t>MH10200</t>
  </si>
  <si>
    <t>AMORTİSÖR DARBE TAKOZ BİPPER/NEMO/CORSA.D</t>
  </si>
  <si>
    <t>5033.F2RPR</t>
  </si>
  <si>
    <t>R59862</t>
  </si>
  <si>
    <t>5033.F2ÜÇEL</t>
  </si>
  <si>
    <t>5035.27MEHA</t>
  </si>
  <si>
    <t>MH31081</t>
  </si>
  <si>
    <t xml:space="preserve">AMORTİSÖR RULMAN 307/308/C4/301/C-ELYSEE  </t>
  </si>
  <si>
    <t>5035.27RPR</t>
  </si>
  <si>
    <t>AMORTİSÖR RULMAN 307/308/C4/301/C-ELYSEE</t>
  </si>
  <si>
    <t>R52157</t>
  </si>
  <si>
    <t>5035.27SKF</t>
  </si>
  <si>
    <t>VKD35002</t>
  </si>
  <si>
    <t>5035.27SNR</t>
  </si>
  <si>
    <t>M259.01</t>
  </si>
  <si>
    <t xml:space="preserve">5035.27ÜÇEL </t>
  </si>
  <si>
    <t>5035.55RPR</t>
  </si>
  <si>
    <t>AMORTİSÖR RULMAN JUMPY III/SCUDO III/EXPERT III</t>
  </si>
  <si>
    <t>R59853</t>
  </si>
  <si>
    <t>5036.23</t>
  </si>
  <si>
    <t xml:space="preserve">AMORTİSÖR BAGLANTI ARA SOMUN </t>
  </si>
  <si>
    <t>5038.50ÜÇEL</t>
  </si>
  <si>
    <t>AMORTİSÖR TAKOZ 106/SAXO</t>
  </si>
  <si>
    <t>5038.54FORMPART</t>
  </si>
  <si>
    <t>AMORTİSÖR ÜST TAKOZ SOL 206 99&gt;/206+</t>
  </si>
  <si>
    <t>21407005/S</t>
  </si>
  <si>
    <t>5038.54KRAFTVOLL</t>
  </si>
  <si>
    <t>5038.54MEHA</t>
  </si>
  <si>
    <t>MH13018</t>
  </si>
  <si>
    <t>5038.54ÜCEL</t>
  </si>
  <si>
    <t>5038.58FORMPART</t>
  </si>
  <si>
    <t xml:space="preserve">AMORTİSÖR ÜST TAKOZ SAĞ 206 99&gt;/206+ </t>
  </si>
  <si>
    <t>21407006/S</t>
  </si>
  <si>
    <t>5038.58KRAFTVOLL</t>
  </si>
  <si>
    <t>5038.58MEHA</t>
  </si>
  <si>
    <t>MH13019</t>
  </si>
  <si>
    <t>AMORTİSÖR ÜST TAKOZ SAĞ 206 99&gt;/206+</t>
  </si>
  <si>
    <t>5038.64ÜÇEL</t>
  </si>
  <si>
    <t>AMORTİSÖR ÜST TAKOZ UZUN 206/306/3008/PARTNER/XSARA</t>
  </si>
  <si>
    <t>41512A</t>
  </si>
  <si>
    <t>5038.78KRAFTVOLL</t>
  </si>
  <si>
    <t>AMORTİSÖR ÜST TAKOZ PARTNER/BERLİNGO/206/306/XSARA</t>
  </si>
  <si>
    <t>5038.78MEHA</t>
  </si>
  <si>
    <t>MH13001</t>
  </si>
  <si>
    <t>AMORTİSÖR ÜST TAKOZ KISA PARTNER/BERLİNGO/206/306/XSARA</t>
  </si>
  <si>
    <t>5038.78SNR</t>
  </si>
  <si>
    <t xml:space="preserve">AMORTİSÖR ÜST TAKOZ KISA PARTNER/BERLİNGO/206/306/XSARA </t>
  </si>
  <si>
    <t>KBLF41097</t>
  </si>
  <si>
    <t>5038.91MEHA</t>
  </si>
  <si>
    <t>AMORTİSÖR TAKOZ  C2/C3 02&gt;&gt;/1007</t>
  </si>
  <si>
    <t>MH13006</t>
  </si>
  <si>
    <t>5038.91MGA</t>
  </si>
  <si>
    <t>5038.91RPR</t>
  </si>
  <si>
    <t>R59841</t>
  </si>
  <si>
    <t>5038.E5ÜÇEL</t>
  </si>
  <si>
    <t xml:space="preserve">AMORTİSÖR ÜST TAKOZ 407/508/C5 (16JANT İÇİN) </t>
  </si>
  <si>
    <t>5038.E7MEHA</t>
  </si>
  <si>
    <t>MH13007</t>
  </si>
  <si>
    <t>AMORTİSÖR TAKOZ 207/208/301/C-ELYSEE</t>
  </si>
  <si>
    <t>5038.E7SNR</t>
  </si>
  <si>
    <t>KBLF41809</t>
  </si>
  <si>
    <t>5038.F1RPR</t>
  </si>
  <si>
    <t>AMORTİSÖR ÜST TAKOZ SOL JUMPY/SCUDO/</t>
  </si>
  <si>
    <t>R52061</t>
  </si>
  <si>
    <t>5038.F2RPR</t>
  </si>
  <si>
    <t>AMORTİSÖR ÜST TAKOZ SAĞ JUMPY/SCUDO/</t>
  </si>
  <si>
    <t>R52060</t>
  </si>
  <si>
    <t>5038.F3</t>
  </si>
  <si>
    <t>AMORTİSÖR ÜST TAKOZ SOL RULMANLI BOXER III/JUMPER III/DUCATO III 06&gt;/KARSAN 14&gt;</t>
  </si>
  <si>
    <t>5038.F3ERASTECH</t>
  </si>
  <si>
    <t>5038.F4</t>
  </si>
  <si>
    <t>AMORTİSÖR ÜST TAKOZ SAĞ RULMANLI BOXER III/JUMPER III/DUCATO III 06&gt;/KARSAN 14&gt;</t>
  </si>
  <si>
    <t>5038.F4ERASTECH</t>
  </si>
  <si>
    <t>5038.F5KRAFTVOLL</t>
  </si>
  <si>
    <t>AMORTİSÖR TAKOZ  C2/C3 02&gt;&gt;/1007 (PİMİ YANDA)</t>
  </si>
  <si>
    <t>5038.G0BSC</t>
  </si>
  <si>
    <t>AMORTİSÖR ÜST TAKOZ 307/C4/PARTNER TEPPE/BERLİNGO</t>
  </si>
  <si>
    <t>330980 T</t>
  </si>
  <si>
    <t>5038.G0ERASTECH</t>
  </si>
  <si>
    <t>5038.G0FORMPART</t>
  </si>
  <si>
    <t>13407048/S</t>
  </si>
  <si>
    <t>5038.G0KRAFTVOLL</t>
  </si>
  <si>
    <t>5038.G0RPR</t>
  </si>
  <si>
    <t>R59631</t>
  </si>
  <si>
    <t>5038.G4SNR</t>
  </si>
  <si>
    <t>AMORTİSÖR ÜST TAKOZ+RULMAN 308 08&gt;/C4/DS4/TEPEE</t>
  </si>
  <si>
    <t>KB659.33</t>
  </si>
  <si>
    <t>5038.G6ERASTECH</t>
  </si>
  <si>
    <t>AMORTİSÖR ÜST TAKOZ 301/208/C3PİCASSO/C-ELYSEE</t>
  </si>
  <si>
    <t>5038.G6KRAFTVOLL</t>
  </si>
  <si>
    <t>5038.G6LDM</t>
  </si>
  <si>
    <t>5038.G6RPR</t>
  </si>
  <si>
    <t>R59877/A</t>
  </si>
  <si>
    <t>5038.G6YTT</t>
  </si>
  <si>
    <t xml:space="preserve">AMORTİSÖR ÜST TAKOZ 301/208/C3PİCASSO/C-ELYSEE </t>
  </si>
  <si>
    <t>Y5447</t>
  </si>
  <si>
    <t>5038.G7BESCHER</t>
  </si>
  <si>
    <t>AMORTİSÖR ÜST TAKOZ RULMANLI SAĞ BİPPER/NEMO</t>
  </si>
  <si>
    <t>BSC 890881S</t>
  </si>
  <si>
    <t>5038.G7MAXİ</t>
  </si>
  <si>
    <t>AMORTİSÖR ÜST TAKOZ RULMANLI (TİMKEN-B RULMAN)SAĞ BİPPER/NEMO</t>
  </si>
  <si>
    <t>5038.G7MKS</t>
  </si>
  <si>
    <t>MKS</t>
  </si>
  <si>
    <t>5038.G7RPR</t>
  </si>
  <si>
    <t>R59835</t>
  </si>
  <si>
    <t>5038.G7SNR</t>
  </si>
  <si>
    <t>KB658.23</t>
  </si>
  <si>
    <t>5038.G7YTT</t>
  </si>
  <si>
    <t>Y5115</t>
  </si>
  <si>
    <t>5038.G8ADM</t>
  </si>
  <si>
    <t>AMORTİSÖR ÜST TAKOZ RULMANLI SOL BİPPER/NEMO</t>
  </si>
  <si>
    <t>FI-290</t>
  </si>
  <si>
    <t>5038.G8BESCHER</t>
  </si>
  <si>
    <t>BSC 890880S</t>
  </si>
  <si>
    <t>5038.G8MAXİ</t>
  </si>
  <si>
    <t>AMORTİSÖR ÜST TAKOZ RULMANLI (TİMKEN-B RULMAN) SOL BİPPER/NEMO</t>
  </si>
  <si>
    <t>5038.G8RPR</t>
  </si>
  <si>
    <t>R59836</t>
  </si>
  <si>
    <t>5038.G8SNR</t>
  </si>
  <si>
    <t>KB658.24</t>
  </si>
  <si>
    <t>5038.G8YTT</t>
  </si>
  <si>
    <t>Y5116</t>
  </si>
  <si>
    <t>5038.H3ERASTECH</t>
  </si>
  <si>
    <t xml:space="preserve">AMORTİSÖR TAKOZ+RULMAN 3008/5008 10&gt;&gt;  </t>
  </si>
  <si>
    <t>14018/T</t>
  </si>
  <si>
    <t>5038.H3RPR</t>
  </si>
  <si>
    <t>AMORTİSÖR TAKOZ 3008/5008 10&gt;&gt;</t>
  </si>
  <si>
    <t>R51206</t>
  </si>
  <si>
    <t>5038.H3ÜÇEL</t>
  </si>
  <si>
    <t>AMORTİSÖR TAKOZ+RULMAN 3008/5008 10&gt;&gt;</t>
  </si>
  <si>
    <t>41825B</t>
  </si>
  <si>
    <t>5087.33ABRASSE</t>
  </si>
  <si>
    <t>Z ROT 106/SAXO/C5</t>
  </si>
  <si>
    <t>BRS-02-02-PG</t>
  </si>
  <si>
    <t>5087.34ABRASSE</t>
  </si>
  <si>
    <t>Z ROT PARTNER/BERLİNGO M49/M59/306/XSARA</t>
  </si>
  <si>
    <t>BRS-02-10-PG</t>
  </si>
  <si>
    <t xml:space="preserve">5087.34AYD </t>
  </si>
  <si>
    <t>96-01426</t>
  </si>
  <si>
    <t>5087.34BGA</t>
  </si>
  <si>
    <t>LS6707</t>
  </si>
  <si>
    <t>5087.34FROW</t>
  </si>
  <si>
    <t>5087.34KAPİM</t>
  </si>
  <si>
    <t>5087.34KAPİMSAN</t>
  </si>
  <si>
    <t>Z ROT PARTNER/BERLİNGO M49/M59/306/XSARA PLASTİK</t>
  </si>
  <si>
    <t>19-02808</t>
  </si>
  <si>
    <t>5087.34KRAFTVOLL</t>
  </si>
  <si>
    <t>5087.34ORJİN</t>
  </si>
  <si>
    <t>5087.34SWAPP</t>
  </si>
  <si>
    <t>50-01426</t>
  </si>
  <si>
    <t>5087.34TEKNOROT</t>
  </si>
  <si>
    <t>CI-210</t>
  </si>
  <si>
    <t>5087.40ABRASSE</t>
  </si>
  <si>
    <t>Z ROT 106/406/SAXO/XANTIA 91-96</t>
  </si>
  <si>
    <t>BRS-02-01-PG</t>
  </si>
  <si>
    <t>5087.45ABRASSE</t>
  </si>
  <si>
    <t>Z ROT 206/C2/C3/  C3 10&gt;208/DS3</t>
  </si>
  <si>
    <t>BRS-02-13-PG</t>
  </si>
  <si>
    <t>5087.45AYD</t>
  </si>
  <si>
    <t>96-01408</t>
  </si>
  <si>
    <t>5087.45DJPARTS</t>
  </si>
  <si>
    <t xml:space="preserve">Z ROT 206/C2/C3/  C3 10&gt;208/DS3 </t>
  </si>
  <si>
    <t>DL1226</t>
  </si>
  <si>
    <t>5087.45FROW</t>
  </si>
  <si>
    <t>5087.45KRAFTVOLL</t>
  </si>
  <si>
    <t xml:space="preserve">Z ROT 206/C2/C3/  C3 10&gt;208/DS3  </t>
  </si>
  <si>
    <t xml:space="preserve">5087.45ORJİN </t>
  </si>
  <si>
    <t>5087.45RIW</t>
  </si>
  <si>
    <t>PE4002</t>
  </si>
  <si>
    <t>5087.45TEKNOROT</t>
  </si>
  <si>
    <t>P-240</t>
  </si>
  <si>
    <t>5087.45VOTTO</t>
  </si>
  <si>
    <t>VOT-12-04400</t>
  </si>
  <si>
    <t>5087.45Y</t>
  </si>
  <si>
    <t xml:space="preserve">5087.50FROW </t>
  </si>
  <si>
    <t>Z ROT 307/C4</t>
  </si>
  <si>
    <t>5087.50KAPİM</t>
  </si>
  <si>
    <t>Z ROT 307/308/C4/3008/5008/TEPEE/BERLİNGO</t>
  </si>
  <si>
    <t>19-02805</t>
  </si>
  <si>
    <t>5087.52AYD</t>
  </si>
  <si>
    <t>Z ROT ÖN SOL 407 // 05&gt; C6</t>
  </si>
  <si>
    <t>96-04110</t>
  </si>
  <si>
    <t>5087.53AYD</t>
  </si>
  <si>
    <t>Z ROT ÖN SAĞ 407 // 05&gt; C6</t>
  </si>
  <si>
    <t>96-04111</t>
  </si>
  <si>
    <t>5087.54AYD</t>
  </si>
  <si>
    <t>Z ROT SOL 207 06&gt; 208/ 301/C-ELYSEE/C3 PİCASSO/DS3</t>
  </si>
  <si>
    <t>96-05698</t>
  </si>
  <si>
    <t>5087.54FROW</t>
  </si>
  <si>
    <t>5087.54KAPİM</t>
  </si>
  <si>
    <t>19-02810</t>
  </si>
  <si>
    <t>5087.54KRAFTVOLL</t>
  </si>
  <si>
    <t>5087.54RIW</t>
  </si>
  <si>
    <t>PE4004</t>
  </si>
  <si>
    <t>5087.54SWAPP</t>
  </si>
  <si>
    <t>50-05698</t>
  </si>
  <si>
    <t>5087.54TEKNOROT</t>
  </si>
  <si>
    <t>P-279</t>
  </si>
  <si>
    <t>5087.55AYD</t>
  </si>
  <si>
    <t>Z ROT SAĞ 207 06&gt; 208/ 301/C-ELYSEE/C3 PİCASSO/DS3</t>
  </si>
  <si>
    <t>96-05699</t>
  </si>
  <si>
    <t xml:space="preserve">5087.55FROW </t>
  </si>
  <si>
    <t>5087.55KAPİM</t>
  </si>
  <si>
    <t>19-02811</t>
  </si>
  <si>
    <t>5087.55RIW</t>
  </si>
  <si>
    <t>PE4003</t>
  </si>
  <si>
    <t>5087.55SWAPP</t>
  </si>
  <si>
    <t>50-05699</t>
  </si>
  <si>
    <t>5087.56FROWAS</t>
  </si>
  <si>
    <t>Z ROT ÖN JUMPY III/SCUDO III</t>
  </si>
  <si>
    <t>5087.60KRAFTVOLL</t>
  </si>
  <si>
    <t xml:space="preserve">Z ROT 406/607/C5 </t>
  </si>
  <si>
    <t xml:space="preserve">5087.64AYD </t>
  </si>
  <si>
    <t>Z ROT 3008/5008/308/C4 335mm</t>
  </si>
  <si>
    <t>96-07198</t>
  </si>
  <si>
    <t>5087.64FROW</t>
  </si>
  <si>
    <t>Z ROT 308/3008/5008/PARTNER</t>
  </si>
  <si>
    <t>5087.64KAPİM</t>
  </si>
  <si>
    <t>19-02828</t>
  </si>
  <si>
    <t>5087.65FEBİ</t>
  </si>
  <si>
    <t xml:space="preserve">Z ROT BİPPER/NEMO </t>
  </si>
  <si>
    <t>5087.65KAPİM</t>
  </si>
  <si>
    <t>Z ROT BİPPER/NEMO</t>
  </si>
  <si>
    <t>5087.65RIW</t>
  </si>
  <si>
    <t xml:space="preserve">RIW </t>
  </si>
  <si>
    <t>FI4013</t>
  </si>
  <si>
    <t>5087.65YTT</t>
  </si>
  <si>
    <t>Y617002</t>
  </si>
  <si>
    <t xml:space="preserve">5087.77AYD </t>
  </si>
  <si>
    <t>Z ROT 307/308/3008/5008/C4/RCZ/PARTNER/DS4</t>
  </si>
  <si>
    <t>96-07975</t>
  </si>
  <si>
    <t>5087.77DELPHİ</t>
  </si>
  <si>
    <t xml:space="preserve">Z ROT 307/308/3008/5008/C4/RCZ/PARTNER/DS4 </t>
  </si>
  <si>
    <t>TC1023</t>
  </si>
  <si>
    <t>5087.77DJPARTS</t>
  </si>
  <si>
    <t xml:space="preserve">Z ROT 307/308/3008/5008/C4/RCZ/PARTNER/DS4  </t>
  </si>
  <si>
    <t>DL1162</t>
  </si>
  <si>
    <t>5087.77FEBİ</t>
  </si>
  <si>
    <t>5087.77FROW</t>
  </si>
  <si>
    <t>5087.77KAPİMSAN</t>
  </si>
  <si>
    <t>19-02805K</t>
  </si>
  <si>
    <t>5087.77KRAFTVOLL</t>
  </si>
  <si>
    <t>5087.77ORJİN</t>
  </si>
  <si>
    <t>5087.77SWAPP</t>
  </si>
  <si>
    <t>50-01975</t>
  </si>
  <si>
    <t>5087.77TEKNOROT</t>
  </si>
  <si>
    <t>P-656</t>
  </si>
  <si>
    <t>5087.77VOTTO</t>
  </si>
  <si>
    <t>VOT-12-08400</t>
  </si>
  <si>
    <t>5087.77Y</t>
  </si>
  <si>
    <t>5094.65GBK</t>
  </si>
  <si>
    <t>VİRAJ DEMİR LASTİK 21mm 306/PARTNER/BERLİNGO M59</t>
  </si>
  <si>
    <t>GB13729</t>
  </si>
  <si>
    <t>5094.65RPR</t>
  </si>
  <si>
    <t>R59733</t>
  </si>
  <si>
    <t>5094.65SASIC</t>
  </si>
  <si>
    <t xml:space="preserve">SASIC </t>
  </si>
  <si>
    <t>5094.82RPR</t>
  </si>
  <si>
    <t>VİRAJ DEMİR LASTİĞİ 20mm 206 98&gt;</t>
  </si>
  <si>
    <t>R51637</t>
  </si>
  <si>
    <t>5094.91ERASTECH</t>
  </si>
  <si>
    <t>VİRAJ DEMİR LASTİĞİ 19mm C2/C3 02&gt;</t>
  </si>
  <si>
    <t>5094.91RPR</t>
  </si>
  <si>
    <t>R59769</t>
  </si>
  <si>
    <t>5094.A6RPR</t>
  </si>
  <si>
    <t>VİRAJ DEMİR LASTİK C2/C3 19mm/20mm</t>
  </si>
  <si>
    <t>R51501</t>
  </si>
  <si>
    <t>5094.C1MEHA</t>
  </si>
  <si>
    <t>MH13335</t>
  </si>
  <si>
    <t xml:space="preserve">VİRAJ DEMİR LASTİĞİ 20mm 207/208/301/C-ELYSEE </t>
  </si>
  <si>
    <t>5094.C1ÜÇEL</t>
  </si>
  <si>
    <t>5094.E0RPR</t>
  </si>
  <si>
    <t>VİRAJ DEMİR LASTİK 22mm 307/308/C4</t>
  </si>
  <si>
    <t>R59731</t>
  </si>
  <si>
    <t>5094.E4RPR</t>
  </si>
  <si>
    <t>VİRAJ DEMİR LASTİĞİ 24mm PRT.TEPEE/3008/C4 II</t>
  </si>
  <si>
    <t>R51826</t>
  </si>
  <si>
    <t>5094.E5RPR</t>
  </si>
  <si>
    <t xml:space="preserve">VİRAJ DEMİR LASTİK BİPPER/NEMO </t>
  </si>
  <si>
    <t>R52189</t>
  </si>
  <si>
    <t>5094.E7MEHA</t>
  </si>
  <si>
    <t>MH13343</t>
  </si>
  <si>
    <t>VİRAJ DEMİR LASTİĞİ 25mm 308/3008/DS5/PRT.TEPEE</t>
  </si>
  <si>
    <t>5094.E7RPR</t>
  </si>
  <si>
    <t>R51828</t>
  </si>
  <si>
    <t>5114278Y</t>
  </si>
  <si>
    <t>TORPİDO AYA TAKIMI SİYAH ASTRA.G</t>
  </si>
  <si>
    <t>5131.48FROW</t>
  </si>
  <si>
    <t>TORSİYON TAMİR TAKIM PARTNER/BERLİNGO M49 96&gt;</t>
  </si>
  <si>
    <t xml:space="preserve">5131.93MEHA </t>
  </si>
  <si>
    <t>TORSİYON BURCU DIŞ 206/206+</t>
  </si>
  <si>
    <t>MH13213</t>
  </si>
  <si>
    <t>5131.94KRAFTVOLL</t>
  </si>
  <si>
    <t>TORSİYON BURCU İÇ 206/206+</t>
  </si>
  <si>
    <t>5131.94MEHA</t>
  </si>
  <si>
    <t>ARKA TORSİYON BURCU İÇ 206</t>
  </si>
  <si>
    <t>MH13214</t>
  </si>
  <si>
    <t>5131.A6FROW</t>
  </si>
  <si>
    <t>TORSİYON TAMİR KİT 206 98&gt;</t>
  </si>
  <si>
    <t>5131.C1RPR</t>
  </si>
  <si>
    <t>ARKA DİNGİL TAKOZ C2/C3 02&gt;</t>
  </si>
  <si>
    <t>R59917</t>
  </si>
  <si>
    <t>5131.F8ABRASSE</t>
  </si>
  <si>
    <t>ARKA TORSİYON BURCU DIŞ 206</t>
  </si>
  <si>
    <t>BRS-5203-PG</t>
  </si>
  <si>
    <t>5132267KRAFTVOLL</t>
  </si>
  <si>
    <t>BAGAJ AMORTİSÖR COMBO.C</t>
  </si>
  <si>
    <t>5133.11</t>
  </si>
  <si>
    <t>ARKA TORSİYON MAKAS PLASTİK RONDELA İÇTARAF</t>
  </si>
  <si>
    <t>5142.32YTT</t>
  </si>
  <si>
    <t>ARKA AMORTİSÖR TAKOZ 307/C4</t>
  </si>
  <si>
    <t>Y23171</t>
  </si>
  <si>
    <t>ARKA KAPI İÇ YATAY FİTİL SOL VECTRA.B</t>
  </si>
  <si>
    <t>5160228KİTATECH</t>
  </si>
  <si>
    <t>KAPI GERGİSİ ÖN VECTRA.B</t>
  </si>
  <si>
    <t>5160251KİTATECH</t>
  </si>
  <si>
    <t>KAPI GERGİSİ ÖN ASTRA.H</t>
  </si>
  <si>
    <t>5160252KİTATECH</t>
  </si>
  <si>
    <t>KAPI GERGİSİ ARKA ASTRA.H</t>
  </si>
  <si>
    <t>5160252YTT</t>
  </si>
  <si>
    <t>Y2321</t>
  </si>
  <si>
    <t>5164661CABU</t>
  </si>
  <si>
    <t>MARŞBİYEL KAPAĞI ÖN SOL ASTRA.G</t>
  </si>
  <si>
    <t xml:space="preserve">5164724METTE </t>
  </si>
  <si>
    <t>MARŞPİYEL BAKALİT ARKA SAĞ ASTRA.G</t>
  </si>
  <si>
    <t>754K4033</t>
  </si>
  <si>
    <t>5164725METTE</t>
  </si>
  <si>
    <t>MARŞBİYEL KAPAĞI ARKA SOL ASTRA.G</t>
  </si>
  <si>
    <t>754K4034</t>
  </si>
  <si>
    <t>5166.83KRAFTVOLL</t>
  </si>
  <si>
    <t>AMORTİSÖR DARBE TAKOZ ARKA 301/C-ELYSEE/207</t>
  </si>
  <si>
    <t>5166.83ÜÇEL</t>
  </si>
  <si>
    <t xml:space="preserve">AMORTİSÖR DARBE TAKOZ ARKA 301/C-ELYSEE/207 </t>
  </si>
  <si>
    <t>5166.A4MEHA</t>
  </si>
  <si>
    <t>MH10201</t>
  </si>
  <si>
    <t>ARKA SUSPANSİYON TAKOZ BÜYÜK BİPPER/NEMO</t>
  </si>
  <si>
    <t>5166.A8MEHA</t>
  </si>
  <si>
    <t>MH10202</t>
  </si>
  <si>
    <t>ARKA SUSPANSİYON TAKOZ KÜÇÜK BİPPER/NEMO</t>
  </si>
  <si>
    <t>5171011ROOT</t>
  </si>
  <si>
    <t>ARKA KAPI BANDI SAĞ CORSA.D 5D</t>
  </si>
  <si>
    <t>5171020ROOT</t>
  </si>
  <si>
    <t>ÖN KAPI BANDI SAĞ COMBO.C</t>
  </si>
  <si>
    <t>5171073ROOT</t>
  </si>
  <si>
    <t>KAPI ÇITASI ÖN SOL VECTRA.C</t>
  </si>
  <si>
    <t>5171076ROOT</t>
  </si>
  <si>
    <t>KAPI BANDI ARKA SAĞ VECTRA.C</t>
  </si>
  <si>
    <t>5171149ROOT</t>
  </si>
  <si>
    <t>KAPI BANDI ARKA SOL VECTRA.B 96-99</t>
  </si>
  <si>
    <t>5171150ROOT</t>
  </si>
  <si>
    <t>KAPI BANDI ARKA SAĞ VECTRA.B 96-99</t>
  </si>
  <si>
    <t>5171521ROOT</t>
  </si>
  <si>
    <t>KAPI BANDI ÖN SAĞ ARMALI VECTRA.B 96-99</t>
  </si>
  <si>
    <t>5171545ROOT</t>
  </si>
  <si>
    <t>ÖN KAPI BANDI SOL CORSA.C 3KAPI</t>
  </si>
  <si>
    <t>5171546ROOT</t>
  </si>
  <si>
    <t>ÖN KAPI BANDI SAĞ CORSA.C 3KAPI</t>
  </si>
  <si>
    <t>51731213UFİ</t>
  </si>
  <si>
    <t>MAZOT FİLTRE KABI KOMPLE PALİO/DOBLO/ALBEA 1.3</t>
  </si>
  <si>
    <t>55.178.00</t>
  </si>
  <si>
    <t>5176952TAP</t>
  </si>
  <si>
    <t>BAGAJ AMORTİSÖR ASTRA.H NB.</t>
  </si>
  <si>
    <t>5177013Y</t>
  </si>
  <si>
    <t>YAZI OPEL (99-05)</t>
  </si>
  <si>
    <t>5177042Y</t>
  </si>
  <si>
    <t>YAZI ASTRA (99-05)</t>
  </si>
  <si>
    <t>5177075Y</t>
  </si>
  <si>
    <t>YAZI 1.6 16V (00-2008)</t>
  </si>
  <si>
    <t>5177296Y</t>
  </si>
  <si>
    <t>YAZI ASTRA.G/CORSA.C TWINPORT</t>
  </si>
  <si>
    <t>51810401WAGENBURG</t>
  </si>
  <si>
    <t>ÖN AMORTİSÖR SAĞ COMBO.D/DOBLO III 10&gt;</t>
  </si>
  <si>
    <t>ABC0025</t>
  </si>
  <si>
    <t>51810664KRAFTVOLL</t>
  </si>
  <si>
    <t>SALINCAK SAĞ COMBO.D/DOBLO III 10&gt;</t>
  </si>
  <si>
    <t>51822813MGA</t>
  </si>
  <si>
    <t>AKS KOMPLE SAĞ DOBLO/COMBO.D</t>
  </si>
  <si>
    <t>5184317DNK</t>
  </si>
  <si>
    <t>ARKA PANEL SAÇI ASTRA.G</t>
  </si>
  <si>
    <t>5187914AKD</t>
  </si>
  <si>
    <t>TAVAN ÇITASI ÖN ASTRA.H/ZAFİRA.B</t>
  </si>
  <si>
    <t>OP200113</t>
  </si>
  <si>
    <t>5187915AKD</t>
  </si>
  <si>
    <t>TAVAN ÇITASI ARKA ASTRA.H/ZAFİRA.B</t>
  </si>
  <si>
    <t>OP200114</t>
  </si>
  <si>
    <t>51952366BRUCKE</t>
  </si>
  <si>
    <t>STEPNE KRİKO BAĞLANTI VİDASI BİPPER/NEMO/FİORİNO</t>
  </si>
  <si>
    <t>5202.GWDJ</t>
  </si>
  <si>
    <t>ÖN AMORTİSÖR SOL C2/C3 01&gt;</t>
  </si>
  <si>
    <t>DS1374GS</t>
  </si>
  <si>
    <t>5202.GWVOTTO</t>
  </si>
  <si>
    <t xml:space="preserve">ÖN AMORTİSÖR SOL C2/C3 01&gt; </t>
  </si>
  <si>
    <t>VOT-A-1230G</t>
  </si>
  <si>
    <t>5202.GXDJ</t>
  </si>
  <si>
    <t>ÖN AMORTİSÖR SAĞ C2/C3 01&gt;</t>
  </si>
  <si>
    <t>DS1373GS</t>
  </si>
  <si>
    <t>5202.GXVOTTO</t>
  </si>
  <si>
    <t xml:space="preserve">ÖN AMORTİSÖR SAĞ C2/C3 01&gt; </t>
  </si>
  <si>
    <t>VOT-A-1228G</t>
  </si>
  <si>
    <t>5202.J6ABRASSE</t>
  </si>
  <si>
    <t>ÖN AMORTİSÖR R+L 106/SAXO GAZLI</t>
  </si>
  <si>
    <t>BRS-5510G</t>
  </si>
  <si>
    <t>5202.LVDJ</t>
  </si>
  <si>
    <t>ÖN AMORTİSÖR SOL 206 98&gt;</t>
  </si>
  <si>
    <t>DS1380GS</t>
  </si>
  <si>
    <t>5202.LVMONROE</t>
  </si>
  <si>
    <t>ÖN AMORTİSÖR SOL 98&gt; 206/206+</t>
  </si>
  <si>
    <t>G16447</t>
  </si>
  <si>
    <t>5202.LVOPTİMAL</t>
  </si>
  <si>
    <t>A-3068HL</t>
  </si>
  <si>
    <t>5202.LVTRW</t>
  </si>
  <si>
    <t>JGM3801SL</t>
  </si>
  <si>
    <t>5202.LWDJ</t>
  </si>
  <si>
    <t>ÖN AMORTİSÖR SAĞ 206 98&gt;</t>
  </si>
  <si>
    <t>DS1379GS</t>
  </si>
  <si>
    <t>5202.LWOPTİMAL</t>
  </si>
  <si>
    <t>ÖN AMORTİSÖR SAĞ 98&gt; 206/206+</t>
  </si>
  <si>
    <t>A-3068HR</t>
  </si>
  <si>
    <t>5202.LWTRW</t>
  </si>
  <si>
    <t>JGM3801SR</t>
  </si>
  <si>
    <t>5202.PAVOTTO</t>
  </si>
  <si>
    <t>ÖN AMORTİSÖR SAĞ+SOL 407 04-11</t>
  </si>
  <si>
    <t>VOT-A-1232G</t>
  </si>
  <si>
    <t>5202.QHOPTİMAL</t>
  </si>
  <si>
    <t>ÖN AMORTİSÖR SAĞ 307 01&gt;/C4 04&gt;</t>
  </si>
  <si>
    <t>A-3150GR</t>
  </si>
  <si>
    <t>5202.VFDJ</t>
  </si>
  <si>
    <t>ÖN AMORTİSÖR SOL 207 06&gt; 47mm</t>
  </si>
  <si>
    <t>DS3198GS</t>
  </si>
  <si>
    <t>5202.VFKRAFTVOLL</t>
  </si>
  <si>
    <t xml:space="preserve">ÖN AMORTİSÖR SOL 207 06-13 47mm </t>
  </si>
  <si>
    <t>5202.VFOPTİMAL</t>
  </si>
  <si>
    <t>ÖN AMORTİSÖR SOL 207 06-13 47mm</t>
  </si>
  <si>
    <t>A-3764GL</t>
  </si>
  <si>
    <t>5202.VGDJ</t>
  </si>
  <si>
    <t>ÖN AMORTİSÖR SOL 207 06-13/C3 PİCASSO 09-13 51mm</t>
  </si>
  <si>
    <t>DS3179GS</t>
  </si>
  <si>
    <t>5202.VJDJ</t>
  </si>
  <si>
    <t>ÖN AMORTİSÖR SAĞ 207 06&gt; 47mm</t>
  </si>
  <si>
    <t>DS3197GS</t>
  </si>
  <si>
    <t>5202.VJKRAFTVOLL</t>
  </si>
  <si>
    <t xml:space="preserve">ÖN AMORTİSÖR SAĞ 207 06-13 47mm </t>
  </si>
  <si>
    <t>5202.VJOPTİMAL</t>
  </si>
  <si>
    <t>ÖN AMORTİSÖR SAĞ 207 06-13 47mm</t>
  </si>
  <si>
    <t>A-3764GR</t>
  </si>
  <si>
    <t>5202.VKDJ</t>
  </si>
  <si>
    <t>ÖN AMORTİSÖR SAĞ 207 06-13/C3 PİCASSO 09-13 51mm</t>
  </si>
  <si>
    <t>DS3178GS</t>
  </si>
  <si>
    <t>5202.WLOPTİMAL</t>
  </si>
  <si>
    <t>ÖN AMORTİSÖR SOL 307 01&gt;/C4 04&gt;</t>
  </si>
  <si>
    <t>A-3150GL</t>
  </si>
  <si>
    <t>5202.Y1DJ</t>
  </si>
  <si>
    <t>ARKA AMORTİSÖR 106/SAXO 94-04</t>
  </si>
  <si>
    <t>DS1213HC</t>
  </si>
  <si>
    <t>5206.CYOPTİMAL</t>
  </si>
  <si>
    <t>ARKA AMORTİSÖR C2/C3 05&gt;</t>
  </si>
  <si>
    <t>A1225G</t>
  </si>
  <si>
    <t>5206.EKDJPARTS</t>
  </si>
  <si>
    <t>ARKA AMORTİSÖR 307/C4</t>
  </si>
  <si>
    <t>DS1377GT</t>
  </si>
  <si>
    <t>5206.EKOPTİMAL</t>
  </si>
  <si>
    <t>A-2117G</t>
  </si>
  <si>
    <t>5206.FSDJ</t>
  </si>
  <si>
    <t>ARKA AMORTİSÖR 06&gt;13 207/C3/C3 PİCASSO</t>
  </si>
  <si>
    <t>DS3535GT</t>
  </si>
  <si>
    <t>5206.FSOPTİMAL</t>
  </si>
  <si>
    <t>A1289G</t>
  </si>
  <si>
    <t>5206.Q7GSP</t>
  </si>
  <si>
    <t xml:space="preserve">ARKA AMORTİSÖR 206 SW-NB-HB YAĞLI </t>
  </si>
  <si>
    <t>5206.Q7KRAFTVOLL</t>
  </si>
  <si>
    <t>ARKA AMORTİSÖR 206 SW-NB-HB YAĞLI</t>
  </si>
  <si>
    <t>5206.Q7MARELLİ</t>
  </si>
  <si>
    <t>ARKA AMORTİSÖR 206/206+ SW/NB/HB</t>
  </si>
  <si>
    <t>5206.Q7OPTİMAL</t>
  </si>
  <si>
    <t>A-1162H</t>
  </si>
  <si>
    <t>5206.Q7OPTİMAL-G</t>
  </si>
  <si>
    <t>ARKA AMORTİSÖR 206 SW-NB-HB GAZLI</t>
  </si>
  <si>
    <t>A-1162G</t>
  </si>
  <si>
    <t>5206.QKDJPARTS</t>
  </si>
  <si>
    <t>ARKA AMORTİSÖR PARTNER TEPEE/BERLİNGO</t>
  </si>
  <si>
    <t>DS3556GT</t>
  </si>
  <si>
    <t>5206.V3DJ</t>
  </si>
  <si>
    <t>ARKA AMORTİSÖR PARTNER/BERLİNGO 96-08</t>
  </si>
  <si>
    <t>DS1219GT</t>
  </si>
  <si>
    <t>5206.V3TECHNO</t>
  </si>
  <si>
    <t>42R034N</t>
  </si>
  <si>
    <t>5206.W2SACHS</t>
  </si>
  <si>
    <t>52079729AA-NRF</t>
  </si>
  <si>
    <t>SU RADYATÖR JEEP CHEROKEE 01-08</t>
  </si>
  <si>
    <t>5208.52KRAFTVOLL</t>
  </si>
  <si>
    <t xml:space="preserve">ÖN AMORTİSÖR SOL BİPPER/NEMO </t>
  </si>
  <si>
    <t xml:space="preserve">5208.52OPTİMAL </t>
  </si>
  <si>
    <t>ÖN AMORTİSÖR SOL BİPPER/NEMO</t>
  </si>
  <si>
    <t>A-3771GL</t>
  </si>
  <si>
    <t>5208.52VOTTO</t>
  </si>
  <si>
    <t>VOT-A-1008G</t>
  </si>
  <si>
    <t>5208.81ABRASSE</t>
  </si>
  <si>
    <t>ÖN AMORTİSÖR SOL PARTNER TEPEE 08&gt; BERLİNGO 08&gt;/C4 PCS.</t>
  </si>
  <si>
    <t>BRS5553GL</t>
  </si>
  <si>
    <t>5208.81DJ</t>
  </si>
  <si>
    <t>DS3212GS</t>
  </si>
  <si>
    <t xml:space="preserve">5208.81MONROE </t>
  </si>
  <si>
    <t>G7324</t>
  </si>
  <si>
    <t>5208.81OPTİMAL</t>
  </si>
  <si>
    <t>A3018GL</t>
  </si>
  <si>
    <t>5208.81SACHS</t>
  </si>
  <si>
    <t>5208.81TECHNO</t>
  </si>
  <si>
    <t>43F006L</t>
  </si>
  <si>
    <t>5208.81VOTTO</t>
  </si>
  <si>
    <t xml:space="preserve">ÖN AMORTİSÖR SOL PARTNER TEPEE 08&gt; BERLİNGO 08&gt;/C4 PCS. </t>
  </si>
  <si>
    <t>VOT-A-1206G</t>
  </si>
  <si>
    <t>5208.82ABRASSE</t>
  </si>
  <si>
    <t>ÖN AMORTİSÖR SAĞ PARTNER TEPEE 08&gt; BERLİNGO 08&gt;/C4 PCS.</t>
  </si>
  <si>
    <t>BRS-5552GR</t>
  </si>
  <si>
    <t>5208.82DJ</t>
  </si>
  <si>
    <t>DS3211GS</t>
  </si>
  <si>
    <t xml:space="preserve">5208.82MONROE </t>
  </si>
  <si>
    <t>G7323</t>
  </si>
  <si>
    <t>5208.82OPTİMAL</t>
  </si>
  <si>
    <t>A3018GR</t>
  </si>
  <si>
    <t xml:space="preserve">5208.82SACHS </t>
  </si>
  <si>
    <t>5208.82TECHNO</t>
  </si>
  <si>
    <t>43F005R</t>
  </si>
  <si>
    <t>5208.82VOTTO</t>
  </si>
  <si>
    <t>VOT-A-1204G</t>
  </si>
  <si>
    <t>5208.L2+L4-SET-TRW</t>
  </si>
  <si>
    <t>ÖN AMORTİSÖR SAĞ-SOL TAKIM BOXER III/JUMPER III/DUCATO III 06&gt;//KARSAN JEST</t>
  </si>
  <si>
    <t>JGM1050</t>
  </si>
  <si>
    <t>5208.N0DJPARTS</t>
  </si>
  <si>
    <t>ÖN AMORTİSÖR SOL PARTNER/BERLİNGO 96&gt;/306 93-02</t>
  </si>
  <si>
    <t>DS1216GS</t>
  </si>
  <si>
    <t>5208.N0MAYSAN</t>
  </si>
  <si>
    <t>S9762101</t>
  </si>
  <si>
    <t>5208.N0MONROE</t>
  </si>
  <si>
    <t>R8002</t>
  </si>
  <si>
    <t>5208.N1DJPARTS</t>
  </si>
  <si>
    <t xml:space="preserve">ÖN AMORTİSÖR SAĞ PARTNER/BERLİNGO 96&gt;/306 93-02  </t>
  </si>
  <si>
    <t>DS1215GS</t>
  </si>
  <si>
    <t>5208.N1MAYSAN</t>
  </si>
  <si>
    <t>ÖN AMORTİSÖR SAĞ PARTNER/BERLİNGO 96&gt;/306 93-02</t>
  </si>
  <si>
    <t>S9762103</t>
  </si>
  <si>
    <t>5208.N1MONROE</t>
  </si>
  <si>
    <t>R8001</t>
  </si>
  <si>
    <t>5208.Q2FEBİ</t>
  </si>
  <si>
    <t>ÖN AMORTİSÖR SOL JUMPY III/SCUDO III/EXPERT III</t>
  </si>
  <si>
    <t>5208.Q3FEBİ</t>
  </si>
  <si>
    <t>ÖN AMORTİSÖR SAĞ JUMPY III/SCUDO III/EXPERT III</t>
  </si>
  <si>
    <t>5208.T5KRAFTVOLL</t>
  </si>
  <si>
    <t xml:space="preserve">ÖN AMORTİSÖR SAĞ BİPPER/NEMO </t>
  </si>
  <si>
    <t>5208.T5OPTİMAL</t>
  </si>
  <si>
    <t>ÖN AMORTİSÖR SAĞ BİPPER/NEMO</t>
  </si>
  <si>
    <t>A-3771GR</t>
  </si>
  <si>
    <t>5208.T7DJPARTS</t>
  </si>
  <si>
    <t>ÖN AMORTİSÖR SOL C4 II 09-17/DS4 10&gt;//5008 09-17 PRT.TEPEE</t>
  </si>
  <si>
    <t>DS9365GS</t>
  </si>
  <si>
    <t>5208.T7VOTTO</t>
  </si>
  <si>
    <t>VOT-A-1264G</t>
  </si>
  <si>
    <t>5208.T8DJPARTS</t>
  </si>
  <si>
    <t>ÖN AMORTİSÖR SAĞ C4 II 09-17/DS4 10&gt;//5008 09-17 PRT.TEPEE</t>
  </si>
  <si>
    <t>DS9364GS</t>
  </si>
  <si>
    <t>5208.T8VOTTO</t>
  </si>
  <si>
    <t>VOT-A-1262G</t>
  </si>
  <si>
    <t>522005AKERSAN</t>
  </si>
  <si>
    <t>EL FREN TELİ ARKA KISA ASTRA.G/H</t>
  </si>
  <si>
    <t>AKERSAN</t>
  </si>
  <si>
    <t>522013CAVO</t>
  </si>
  <si>
    <t>EL FREN TELİ COMBO.C KISA</t>
  </si>
  <si>
    <t>522016CAVO</t>
  </si>
  <si>
    <t>5902 6320</t>
  </si>
  <si>
    <t>EL FREN TELİ MERİVA.A DİSKİ TİP</t>
  </si>
  <si>
    <t>522017AKD</t>
  </si>
  <si>
    <t>AKD OP158125</t>
  </si>
  <si>
    <t>EL FREN TELİ COMBO.C DİSKLİ TİP 1591mm</t>
  </si>
  <si>
    <t>522017CAVO</t>
  </si>
  <si>
    <t>522045AKD</t>
  </si>
  <si>
    <t>EL FREN TELİ ASTRA.H SEDAN</t>
  </si>
  <si>
    <t>OP158155</t>
  </si>
  <si>
    <t>522153TAP</t>
  </si>
  <si>
    <t xml:space="preserve">EL FREN TELİ KAMPANALI ZAFİRA.A </t>
  </si>
  <si>
    <t>522446SPAREMOTIVE</t>
  </si>
  <si>
    <t>EL FREN TELİ SAĞ CORSA.C DİSKLİ FREN 1143/370mm</t>
  </si>
  <si>
    <t>SPAREMOTIVE</t>
  </si>
  <si>
    <t>522448METTE</t>
  </si>
  <si>
    <t>EL FREN TELİ SOL CORSA.C (KAMPANALI TİP) 1095CM</t>
  </si>
  <si>
    <t>835N5010</t>
  </si>
  <si>
    <t>522448SPAREMOTIVE</t>
  </si>
  <si>
    <t>522449SPAREMOTIVE</t>
  </si>
  <si>
    <t>EL FREN TELİ SAĞ CORSA.C KAMPANA FREN 83CM</t>
  </si>
  <si>
    <t>522449Y</t>
  </si>
  <si>
    <t>522452CAVO</t>
  </si>
  <si>
    <t>EL FREN TELİ VECTRA.C 02-08 162.9mm</t>
  </si>
  <si>
    <t>522456CAVO</t>
  </si>
  <si>
    <t>5902 6260</t>
  </si>
  <si>
    <t>EL FREN TELİ ASTRA.H HB 164,4 CM DİSKLİ TİP</t>
  </si>
  <si>
    <t>522456SPAREMOTİVE</t>
  </si>
  <si>
    <t>SPAREMOTİVE</t>
  </si>
  <si>
    <t>522524AKD</t>
  </si>
  <si>
    <t>EL FREN TELİ VECTRA.B 1455mm</t>
  </si>
  <si>
    <t>OP158111</t>
  </si>
  <si>
    <t>522524CAVO</t>
  </si>
  <si>
    <t>522551CAVO</t>
  </si>
  <si>
    <t>EL FREN TELİ ÖN KISA ASTRA.G/VECTRA.B</t>
  </si>
  <si>
    <t>522551KRAFTVOLL</t>
  </si>
  <si>
    <t>522551METTE</t>
  </si>
  <si>
    <t>835N5017</t>
  </si>
  <si>
    <t xml:space="preserve">522597CAVO </t>
  </si>
  <si>
    <t>EL FREN TELİ SOL VECTRA.A 18SV (75,5CM)</t>
  </si>
  <si>
    <t>522599YTT</t>
  </si>
  <si>
    <t>EL FREN TELİ SOL VECTRA.A (66.3CM)</t>
  </si>
  <si>
    <t>Y1653</t>
  </si>
  <si>
    <t>522614CAVO</t>
  </si>
  <si>
    <t>5902 262</t>
  </si>
  <si>
    <t>EL FREN TELİ CORSA.B SAĞ 93-97</t>
  </si>
  <si>
    <t>522614KRAFTVOLL</t>
  </si>
  <si>
    <t xml:space="preserve">EL FREN TELİ CORSA.B SAĞ 93-97 </t>
  </si>
  <si>
    <t>522615AKD</t>
  </si>
  <si>
    <t xml:space="preserve">EL FREN TELİ CORSA.B SOL 93-97 </t>
  </si>
  <si>
    <t>OP158115</t>
  </si>
  <si>
    <t>522615CAVO</t>
  </si>
  <si>
    <t>5902 261</t>
  </si>
  <si>
    <t>522615KRAFTVOLL</t>
  </si>
  <si>
    <t>522618CAVO</t>
  </si>
  <si>
    <t>5902 001</t>
  </si>
  <si>
    <t>EL FREN TELİ COMBO.B 94&gt;</t>
  </si>
  <si>
    <t>522621AKD</t>
  </si>
  <si>
    <t>EL FREN TELİ VECTRA.A (DİSKLİ TİP) SAĞ UZUN 200,5CM</t>
  </si>
  <si>
    <t>OP158109</t>
  </si>
  <si>
    <t>522621CAVO</t>
  </si>
  <si>
    <t>522641CAVO</t>
  </si>
  <si>
    <t>5902 257</t>
  </si>
  <si>
    <t>EL FREN TALİ ASTRA.F/KADETT.E</t>
  </si>
  <si>
    <t>522641TAP</t>
  </si>
  <si>
    <t>522653CAVO</t>
  </si>
  <si>
    <t>5902 6580</t>
  </si>
  <si>
    <t>EL FREN TELİ ARKA KISA ASTRA.H/G/COMBO.C</t>
  </si>
  <si>
    <t>522654CAVO</t>
  </si>
  <si>
    <t>EL FREN TELİ ARKA UÇ ASTRA.G KAMPANALI FREN</t>
  </si>
  <si>
    <t>522656AKD</t>
  </si>
  <si>
    <t>EL FREN TELİ ASTRA.G KAMPANA TİP (124.5CM)</t>
  </si>
  <si>
    <t>OP158102</t>
  </si>
  <si>
    <t>522656CAVO</t>
  </si>
  <si>
    <t>5902 6200</t>
  </si>
  <si>
    <t>522656FEBİ</t>
  </si>
  <si>
    <t>EL FREN TELİ ASTRA.G KAMPANALI TİP</t>
  </si>
  <si>
    <t>522656METTE</t>
  </si>
  <si>
    <t>835N5028</t>
  </si>
  <si>
    <t>522656SWAG</t>
  </si>
  <si>
    <t>524483YTT</t>
  </si>
  <si>
    <t>ARKA FREN BALATA YAYI KAMPANA CORSA.D</t>
  </si>
  <si>
    <t>Y20251</t>
  </si>
  <si>
    <t>5254.13YTT</t>
  </si>
  <si>
    <t>AMORTİSÖR TOZ KÖRÜK PARTNER/BERLİNGO/306</t>
  </si>
  <si>
    <t>Y5637</t>
  </si>
  <si>
    <t>5254.33YTT</t>
  </si>
  <si>
    <t>AMORTİSÖR TOZ KÖRÜĞÜ 96&gt;PARTNER/BERLİNGO/97&gt;XSARA</t>
  </si>
  <si>
    <t>Y5636</t>
  </si>
  <si>
    <t>5254.47YTT</t>
  </si>
  <si>
    <t>AMORTİSÖR KÖRÜĞÜ BİPPER/NEMO/ASTRA.H/CORSA/VECTRA.C</t>
  </si>
  <si>
    <t>Y1534</t>
  </si>
  <si>
    <t>530448Y</t>
  </si>
  <si>
    <t>ARKA KAMPANA ABS SENSÖR HALKA CORSA.C</t>
  </si>
  <si>
    <t>5308015METTE</t>
  </si>
  <si>
    <t>AKS TAŞIYICI (AKSON) SOL ÖN ASTRA.G X16XEL 98&gt;</t>
  </si>
  <si>
    <t>683D1094</t>
  </si>
  <si>
    <t>5308023METTE</t>
  </si>
  <si>
    <t>AKS TAŞIYICI (AKSON) SOL CORSA.C/COMBO.C</t>
  </si>
  <si>
    <t>683D1098</t>
  </si>
  <si>
    <t xml:space="preserve">5308055ASPART </t>
  </si>
  <si>
    <t>1SKN1035</t>
  </si>
  <si>
    <t>ÖN AKS TAŞIYICI SOL CORSA.D Z13DT</t>
  </si>
  <si>
    <t>5308056KRAFTVOLL</t>
  </si>
  <si>
    <t>ÖN AKS TAŞIYICI SAĞ CORSA.D Z13DT</t>
  </si>
  <si>
    <t xml:space="preserve">5308059ASPART </t>
  </si>
  <si>
    <t>AKS TAŞIYICI ÖN SAĞ İNSİGNİA.A</t>
  </si>
  <si>
    <t>1SKN1002</t>
  </si>
  <si>
    <t>5352004ASPART</t>
  </si>
  <si>
    <t>1CAR1334</t>
  </si>
  <si>
    <t>SALINCAK SAĞ ASTRA.G/H/VECTRA.B</t>
  </si>
  <si>
    <t>5352004AYD</t>
  </si>
  <si>
    <t>97-00770</t>
  </si>
  <si>
    <t>5352004BGA</t>
  </si>
  <si>
    <t>TRC9512</t>
  </si>
  <si>
    <t>5352004DELPHİ</t>
  </si>
  <si>
    <t>TC751</t>
  </si>
  <si>
    <t>5352004KAPİM</t>
  </si>
  <si>
    <t>18-70119</t>
  </si>
  <si>
    <t>5352004KRAFVOLL</t>
  </si>
  <si>
    <t>5352004ORJİN</t>
  </si>
  <si>
    <t>5352004SWAPP</t>
  </si>
  <si>
    <t>60-00770</t>
  </si>
  <si>
    <t>5352004VOTTO</t>
  </si>
  <si>
    <t xml:space="preserve">VOTTO </t>
  </si>
  <si>
    <t>VOT-14-02502</t>
  </si>
  <si>
    <t>5352005ASPART</t>
  </si>
  <si>
    <t>1CAR1335</t>
  </si>
  <si>
    <t>SALINCAK SOL ASTRA.G/H/VECTRA.B</t>
  </si>
  <si>
    <t>5352005AYD</t>
  </si>
  <si>
    <t>97-00909</t>
  </si>
  <si>
    <t>5352005BGA</t>
  </si>
  <si>
    <t>TRC9509</t>
  </si>
  <si>
    <t>5352005DELPHİ</t>
  </si>
  <si>
    <t>TC750</t>
  </si>
  <si>
    <t>5352005KAPİM</t>
  </si>
  <si>
    <t>18-70118</t>
  </si>
  <si>
    <t>5352005KRAFTVOLL</t>
  </si>
  <si>
    <t>5352005ORJİN</t>
  </si>
  <si>
    <t>5352005SWAPP</t>
  </si>
  <si>
    <t>60-00909</t>
  </si>
  <si>
    <t>5352005VOTTO</t>
  </si>
  <si>
    <t>VOT-14-02505</t>
  </si>
  <si>
    <t>5352011AYD</t>
  </si>
  <si>
    <t>SALINCAK SOL ROTİLLİ CORSA.B 97-00 HİD.DİR.</t>
  </si>
  <si>
    <t>97-01745</t>
  </si>
  <si>
    <t>5352011KAPİMSAN</t>
  </si>
  <si>
    <t>SALINCAK SOL CORSA.B/TİGRA.A 97&gt;&gt;</t>
  </si>
  <si>
    <t>18-70112</t>
  </si>
  <si>
    <t>5352012AYD</t>
  </si>
  <si>
    <t>SALINCAK SAĞ ROTİLLİ CORSA.B 97-00 HİD.DİR.</t>
  </si>
  <si>
    <t>97-01746</t>
  </si>
  <si>
    <t>5352012KAPİMSAN</t>
  </si>
  <si>
    <t>SALINCAK SAĞ CORSA.B/TİGRA.A 97&gt;&gt;</t>
  </si>
  <si>
    <t>18-70113</t>
  </si>
  <si>
    <t>5352027VOTTO</t>
  </si>
  <si>
    <t>SALINCAK SOL MERİVA.A</t>
  </si>
  <si>
    <t>VOT-14-08501</t>
  </si>
  <si>
    <t>5352028KRAFTVOLL</t>
  </si>
  <si>
    <t>SALINCAK SAĞ MERİVA.A</t>
  </si>
  <si>
    <t>5352038ASPART</t>
  </si>
  <si>
    <t>1CAR1352</t>
  </si>
  <si>
    <t>SALINCAK SAĞ CORSA.D/CORSA.E/ADAM</t>
  </si>
  <si>
    <t>5352038AYD</t>
  </si>
  <si>
    <t>97-05539</t>
  </si>
  <si>
    <t>5352038KRAFTVOLL</t>
  </si>
  <si>
    <t>5352038ORJİN</t>
  </si>
  <si>
    <t>5352038VOTTO</t>
  </si>
  <si>
    <t>VOT-14-05515</t>
  </si>
  <si>
    <t>5352039ASPART</t>
  </si>
  <si>
    <t>1CAR1353</t>
  </si>
  <si>
    <t>SALINCAK SOL CORSA.D/CORSA.E/ADAM</t>
  </si>
  <si>
    <t>5352039AYD</t>
  </si>
  <si>
    <t>97-05540</t>
  </si>
  <si>
    <t>5352039VOTTO</t>
  </si>
  <si>
    <t>VOT-14-05514</t>
  </si>
  <si>
    <t>5374059MOCA</t>
  </si>
  <si>
    <t>AKS KOMPLE İNSİGNİA.A SOL B16DTH/A16XHT +AT/ASTRA.J/CASCADA SOL A16XHT +AT/</t>
  </si>
  <si>
    <t xml:space="preserve">MOCA </t>
  </si>
  <si>
    <t>MCA-CAX7712</t>
  </si>
  <si>
    <t>5374200MOCA</t>
  </si>
  <si>
    <t>AKS KOMPLE SAĞ MOKKA A14NET/B16DTH//MOKKA.X B16DTH/B14XFT</t>
  </si>
  <si>
    <t>CAX7707A</t>
  </si>
  <si>
    <t>5402631DOGRU</t>
  </si>
  <si>
    <t>ARKA DİNGİL BURCU ALT VECTRA.B</t>
  </si>
  <si>
    <t>DK90-700</t>
  </si>
  <si>
    <t>5402636DOGRU</t>
  </si>
  <si>
    <t>ARKA DİNGİL BURCU CORSA.C</t>
  </si>
  <si>
    <t>DK90-786</t>
  </si>
  <si>
    <t>5402637ASPART</t>
  </si>
  <si>
    <t>1BUS1084</t>
  </si>
  <si>
    <t>ARKA DİNGİL BURCU ASTRA.H/ZAFİRA.B/MERİVA.B</t>
  </si>
  <si>
    <t>5402638YTT</t>
  </si>
  <si>
    <t>ARKA DİNGİL BURCU ASTRA.G/H/COMBO.C/ZAFİRA.A/MERİVA.A</t>
  </si>
  <si>
    <t>Y1439</t>
  </si>
  <si>
    <t>5405.35BİTAPART</t>
  </si>
  <si>
    <t>BPE436005</t>
  </si>
  <si>
    <t>BİJON SAPLAMASI 106/206/306/C3/SAXO/XSARA</t>
  </si>
  <si>
    <t>5405.66SWAPP</t>
  </si>
  <si>
    <t>BİJON SAPLAMASI PEUGEOT/CİTRÖEN</t>
  </si>
  <si>
    <t>542040APETECH</t>
  </si>
  <si>
    <t>ARKA BALATA ASTRA.J/CRUZE/MOKKA</t>
  </si>
  <si>
    <t>AP1869</t>
  </si>
  <si>
    <t xml:space="preserve">542040ASPART </t>
  </si>
  <si>
    <t>3BPA1148</t>
  </si>
  <si>
    <t>542040AYD</t>
  </si>
  <si>
    <t xml:space="preserve">ARKA BALATA ASTRA.J/CRUZE/MOKKA </t>
  </si>
  <si>
    <t>11-60076AA</t>
  </si>
  <si>
    <t>542040BOSCH</t>
  </si>
  <si>
    <t>542040DELPHİ</t>
  </si>
  <si>
    <t>LP2167</t>
  </si>
  <si>
    <t>542092METTE</t>
  </si>
  <si>
    <t>ARKA FREN KALİPERİ SAĞ VECTRA.C/SAAB 9.3 1.8T</t>
  </si>
  <si>
    <t>987B3609</t>
  </si>
  <si>
    <t>542096BROM</t>
  </si>
  <si>
    <t>ARKA FREN KALİPER SOL ASTRA.H/COMBO.C</t>
  </si>
  <si>
    <t>OP35001</t>
  </si>
  <si>
    <t>542096MGA</t>
  </si>
  <si>
    <t>542096TRW</t>
  </si>
  <si>
    <t>BHN315</t>
  </si>
  <si>
    <t>542106BROM</t>
  </si>
  <si>
    <t>ARKA FREN KALİPER SAĞ ASTRA.H/COMBO.C</t>
  </si>
  <si>
    <t>OP35000</t>
  </si>
  <si>
    <t>542106MGA</t>
  </si>
  <si>
    <t>542106TRW</t>
  </si>
  <si>
    <t>BHN316</t>
  </si>
  <si>
    <t>542144-TMR-BRAXIS</t>
  </si>
  <si>
    <t>KALİPER TAMİR TAKIM ÖN İNSİGNİA.A</t>
  </si>
  <si>
    <t>AT1237</t>
  </si>
  <si>
    <t>544364METTE</t>
  </si>
  <si>
    <t>WESTİNGHOUSE BORU SİBOBLU KOMPLE VECTRA.C Z16XE</t>
  </si>
  <si>
    <t>987B3637</t>
  </si>
  <si>
    <t>545004055RTEKNOROT</t>
  </si>
  <si>
    <t>SALINCAK SAĞ MEGANE III/FLUENCE 09&gt;/SCENIC III</t>
  </si>
  <si>
    <t>R-678</t>
  </si>
  <si>
    <t>54500BB00AKRAFTVOLL</t>
  </si>
  <si>
    <t>SALINCAK SAĞ QASHQAI 07&gt;//X-TRAİL 07-13</t>
  </si>
  <si>
    <t>54501BB00AKRAFTVOLL</t>
  </si>
  <si>
    <t>SALINCAK SOL QASHQAI 07&gt;//X-TRAİL 07-13</t>
  </si>
  <si>
    <t>550011METTE</t>
  </si>
  <si>
    <t>ARKA FREN SİLİNDİR ASTRA.J SEDAN/ASTRA.H/CORSA.C/ZAFİRA.A</t>
  </si>
  <si>
    <t>987B3591</t>
  </si>
  <si>
    <t>550130BOSCH</t>
  </si>
  <si>
    <t>ARKA FREN SİLİNDİRİ COMBO.B</t>
  </si>
  <si>
    <t>550130DELPHİ</t>
  </si>
  <si>
    <t>LW50007</t>
  </si>
  <si>
    <t>550130TRW</t>
  </si>
  <si>
    <t>BWD118</t>
  </si>
  <si>
    <t>550143CİFAM</t>
  </si>
  <si>
    <t>ARKA FREN SİLİNDİR 17,5mm ASCONA/KADETT/CORSA/ASTRA</t>
  </si>
  <si>
    <t>101-300</t>
  </si>
  <si>
    <t>550143DELPHİ</t>
  </si>
  <si>
    <t>LW50003</t>
  </si>
  <si>
    <t>550143TRW</t>
  </si>
  <si>
    <t>BWC115</t>
  </si>
  <si>
    <t>550144BOSCH</t>
  </si>
  <si>
    <t>ARKA FREN SİLİNDİR ASCONA/KADETT/CORSA/ASTRA 19mm</t>
  </si>
  <si>
    <t>F026009143</t>
  </si>
  <si>
    <t xml:space="preserve">550144CİFAM </t>
  </si>
  <si>
    <t>101-298</t>
  </si>
  <si>
    <t>550144DELPHİ</t>
  </si>
  <si>
    <t>ARKA FREN SİLİNDİR ASTRA/VECTRA/CORSA 19mm</t>
  </si>
  <si>
    <t>LW50008</t>
  </si>
  <si>
    <t>550144TRW</t>
  </si>
  <si>
    <t>BWD119</t>
  </si>
  <si>
    <t>ENJEKTÖR KEÇESİ Z13DT</t>
  </si>
  <si>
    <t>55219498DEKAR</t>
  </si>
  <si>
    <t>EGR VALFİ DÖNÜŞ BORU 1.3 EURO5</t>
  </si>
  <si>
    <t>DK1910</t>
  </si>
  <si>
    <t>55230849SUZUKİ</t>
  </si>
  <si>
    <t>KRANK MİLİ Z13DT/Z13DTJ/A13DTE</t>
  </si>
  <si>
    <t xml:space="preserve">SUZUKİ </t>
  </si>
  <si>
    <t>55231291CM</t>
  </si>
  <si>
    <t>EMME MANİFOLDU Z13DT EURO4 EGRLİ</t>
  </si>
  <si>
    <t>55237520GARRETT</t>
  </si>
  <si>
    <t>TURBO KOMPLE A13DTE/A13DTC 1.3 EURO5 CORSA.D/MERİVA.B/AVEO T300</t>
  </si>
  <si>
    <t>GARRETT</t>
  </si>
  <si>
    <t>8252465002S</t>
  </si>
  <si>
    <t>55237728GKL</t>
  </si>
  <si>
    <t>GKL 343489</t>
  </si>
  <si>
    <t>YAĞ FİLTRE KAPAĞI A13DTE 1.3EURO5/EURO6</t>
  </si>
  <si>
    <t>55245385WİNTECH</t>
  </si>
  <si>
    <t>WIN0500151</t>
  </si>
  <si>
    <t>ENJEKTÖR GERİ DÖNÜŞ HORTUM COMBO.D/DOBLO A13FD 95HP</t>
  </si>
  <si>
    <t>55251773WİNTECH</t>
  </si>
  <si>
    <t>WIN0500300</t>
  </si>
  <si>
    <t>ENJEKTÖR GERİ DÖNÜŞ HORTUM A13DTE CORSA.D/T300/ASTRA.J</t>
  </si>
  <si>
    <t>5530482METTE</t>
  </si>
  <si>
    <t>ABS SENSÖR BRAKETİ ÖN SAĞ VECTRA.B/CORSA.C/MERİVA.A</t>
  </si>
  <si>
    <t>987B3694</t>
  </si>
  <si>
    <t>5530482TAP</t>
  </si>
  <si>
    <t>ABS SENSÖR BRAKETİ SAĞ CORSA.C/B/VECTRA.B/ASTRA.F</t>
  </si>
  <si>
    <t>5530483METTE</t>
  </si>
  <si>
    <t>ABS SENSÖR BRAKETİ ÖN SOL VECTRA.B/CORSA.C/MERİVA.A</t>
  </si>
  <si>
    <t>987B3695</t>
  </si>
  <si>
    <t>5530483TAP</t>
  </si>
  <si>
    <t>ABS SENSÖR BRAKETİ SOL CORSA.C/B/VECTRA.B/ASTRA.F</t>
  </si>
  <si>
    <t>YAĞ POMPA SÜZGEÇ A16XER/A16LET</t>
  </si>
  <si>
    <t>55353723OEM</t>
  </si>
  <si>
    <t>KARTER HAVALANDIRMA HORTUM Z16XEP</t>
  </si>
  <si>
    <t>55353723TOSCANO</t>
  </si>
  <si>
    <t>TOSCANO</t>
  </si>
  <si>
    <t>5544010TRW</t>
  </si>
  <si>
    <t>WESTİNGHOUSE KOMPLE ASTRA.H 04&gt;</t>
  </si>
  <si>
    <t>PSA118</t>
  </si>
  <si>
    <t>5545524METTE</t>
  </si>
  <si>
    <t>WESTİNGHOUSE HORTUM KOMPLE CORSA.C Z14XE</t>
  </si>
  <si>
    <t>987B3630</t>
  </si>
  <si>
    <t>554700METTE</t>
  </si>
  <si>
    <t>FREN GERGİ YAY TELİ ARKA SOL ASTRA.F/G/H</t>
  </si>
  <si>
    <t>835N5173</t>
  </si>
  <si>
    <t>554701METTE</t>
  </si>
  <si>
    <t>FREN GERGİ YAY TELİ ARKA SAĞ ASTRA.F/G/H</t>
  </si>
  <si>
    <t>835N5174</t>
  </si>
  <si>
    <t>DEVİRDAİM ASTRA.K/İNSİGNİA.B F15DVH</t>
  </si>
  <si>
    <t>DEBRİYAJ SETİ B16DTH/DTL</t>
  </si>
  <si>
    <t>YAĞ SOĞUTUCU HORTUM KOMPLE A20DTH İNSİGNİA.A (TEK ÇIKIŞ)</t>
  </si>
  <si>
    <t>55488382İBRAS</t>
  </si>
  <si>
    <t>55491644PIERBURG</t>
  </si>
  <si>
    <t xml:space="preserve">YAĞ POMPA YAĞ BAŞINÇ VALFİ(AKIŞ KONTROL) B16DTH </t>
  </si>
  <si>
    <t xml:space="preserve">PIERBURG </t>
  </si>
  <si>
    <t>7.08681.01.0</t>
  </si>
  <si>
    <t xml:space="preserve">55492940AKD </t>
  </si>
  <si>
    <t>AKD 55492940</t>
  </si>
  <si>
    <t>TERMOSTAT GÖVDE CONTASI A16XHT/B16SHL</t>
  </si>
  <si>
    <t xml:space="preserve">55492940ELRİNG </t>
  </si>
  <si>
    <t xml:space="preserve">TERMOSTAT GÖVDE CONTASI A16XHT/B16SHL </t>
  </si>
  <si>
    <t>55494599PIERBURG</t>
  </si>
  <si>
    <t>EMME MANİFOLT MOTORU B16DTH</t>
  </si>
  <si>
    <t>7.03206.23.0</t>
  </si>
  <si>
    <t>YAĞ SOĞUTUCU CONTA SET F15DVH 1.5D</t>
  </si>
  <si>
    <t>EKSOZ SICAKLIK SENSÖR KONUM 2 ASTRA.H F15DVH</t>
  </si>
  <si>
    <t>OKSİJEN SENSÖR</t>
  </si>
  <si>
    <t>ZİNCİR KURMALI DİŞLİ B16DTH OTOMATİK</t>
  </si>
  <si>
    <t>55502770EXQ</t>
  </si>
  <si>
    <t>ENJEKTÖR GERİ DÖNÜŞ HORTUM B16DTH</t>
  </si>
  <si>
    <t>EXQ</t>
  </si>
  <si>
    <t>18-40-01</t>
  </si>
  <si>
    <t>55502770NİFEA</t>
  </si>
  <si>
    <t>55502770YTT</t>
  </si>
  <si>
    <t>Y20762</t>
  </si>
  <si>
    <t>P55504335</t>
  </si>
  <si>
    <t>VOLANT OYNAR B16DTH/DTL</t>
  </si>
  <si>
    <t>55509027-TK-METTE</t>
  </si>
  <si>
    <t>EGR KÜTÜĞÜ CONTA TAKIMI B16DTH</t>
  </si>
  <si>
    <t>266C2174</t>
  </si>
  <si>
    <t>YAĞ+VAKUM POMPASI B16DTH</t>
  </si>
  <si>
    <t>YAĞ SOĞUTUCU F15DVH 1.5D</t>
  </si>
  <si>
    <t>TERMOSTAT B16DTL/B16DTH İNS.A/B/ASTRA.J/K</t>
  </si>
  <si>
    <t>DEVİRDAİM+TERMOSTAT KOMPLE KÜTÜKLÜ B16DTH</t>
  </si>
  <si>
    <t>55515025ASPART</t>
  </si>
  <si>
    <t>8GAS1290</t>
  </si>
  <si>
    <t xml:space="preserve">ZİNCİR GERGİ CONTA B16DTH </t>
  </si>
  <si>
    <t>YAĞ FİLTRESİ ASTRA.K/İNSİGNİA.B 20&gt; 1.5D 122HP</t>
  </si>
  <si>
    <t>55515474WUNDER</t>
  </si>
  <si>
    <t>WY316</t>
  </si>
  <si>
    <t>TERMOSTAT KOMPLE F15DVH/D15DVC/F15DVC 1.5 DİZEL ASTRA.K/İNSİGNİA.B</t>
  </si>
  <si>
    <t>YAĞ SINIRLAYICI VALF (BLOK-KAPAK ARA) A16XER/A16LET/Z16XEP</t>
  </si>
  <si>
    <t>55556227HANSFEL</t>
  </si>
  <si>
    <t>HSF-2015</t>
  </si>
  <si>
    <t>KARTER HAVALANDIRMA HORTUM Z16XER/A16XER/B16XER</t>
  </si>
  <si>
    <t xml:space="preserve">OPEL </t>
  </si>
  <si>
    <t>55556495Y</t>
  </si>
  <si>
    <t>55559133AKD</t>
  </si>
  <si>
    <t>VİTES TOPUZU CORSA.D 6İLERİ (KROM HALKALI-MANDALLI)</t>
  </si>
  <si>
    <t>OP151132</t>
  </si>
  <si>
    <t>55561149İBRAS</t>
  </si>
  <si>
    <t>YAKIT HORTUM CORSA.D Z13DTJ/A13DTE/Z13DTH</t>
  </si>
  <si>
    <t>PİSTON KOL CİVATASI A12XER/A14XER/A14NET/B14NET</t>
  </si>
  <si>
    <t>SİLİNDİR KAPAK CONTA A12XER/A14XER/A14NET/B14NET</t>
  </si>
  <si>
    <t>55562233ELRİNG</t>
  </si>
  <si>
    <t>55562723Y</t>
  </si>
  <si>
    <t>YAĞ POMPA SÜZGEÇ (KARTERDEKİ) A14NET/A14XER/A12XER(DELCO OEM)</t>
  </si>
  <si>
    <t>KARTER HAVALANDIRMA HORTUM ÜST A16LET</t>
  </si>
  <si>
    <t>55563925BOSCH</t>
  </si>
  <si>
    <t>V KAYIŞ 6PK1555 A16XER/A16LET</t>
  </si>
  <si>
    <t>YAĞ SINIRLAYICI VALF A16XER/B16DTH (BLOK/KAPAK ARASI)</t>
  </si>
  <si>
    <t>P55564441</t>
  </si>
  <si>
    <t xml:space="preserve">PİSTON YAĞLAMA MEMESİ A16XER/A16LET </t>
  </si>
  <si>
    <t>55564676CONTİ</t>
  </si>
  <si>
    <t>DİREKSİYON KAYIŞ A16XER/B16XER/A16LET</t>
  </si>
  <si>
    <t>CONTİ</t>
  </si>
  <si>
    <t>4PK643ELAST</t>
  </si>
  <si>
    <t>55564676GATES</t>
  </si>
  <si>
    <t>DİREKSİYON KAYIŞ 4PK643 A16XER/A16LET (ELASTİK)</t>
  </si>
  <si>
    <t>4PK643SF</t>
  </si>
  <si>
    <t>55564933ASPART</t>
  </si>
  <si>
    <t>EMME MANİFOLT KOMPLE A16XER/Z16XER</t>
  </si>
  <si>
    <t>55564978DELPHİ</t>
  </si>
  <si>
    <t>OKSİJEN SENSÖR A13DTE CORSA.D/ASTRA.J</t>
  </si>
  <si>
    <t>ES21351-12B1</t>
  </si>
  <si>
    <t>55565351OEM</t>
  </si>
  <si>
    <t>KELEPÇE TURBO BÜYÜK A14NET</t>
  </si>
  <si>
    <t>55565351TK-OEM</t>
  </si>
  <si>
    <t>KELEPÇE TAKIM TURBO+KATALİZOR A14NET</t>
  </si>
  <si>
    <t>55565351TK</t>
  </si>
  <si>
    <t>55565452ASPART</t>
  </si>
  <si>
    <t>8CHE1042</t>
  </si>
  <si>
    <t>SİLİNDİR KAPAĞI A16XER/Z16XER</t>
  </si>
  <si>
    <t>55565572ABA</t>
  </si>
  <si>
    <t xml:space="preserve">V KAYIŞ RULMAN A14XER (SABİT OLAN)//B16DTH(GERGİDEKİ) </t>
  </si>
  <si>
    <t>25305397.1</t>
  </si>
  <si>
    <t>55565572ECO</t>
  </si>
  <si>
    <t>V KAYIŞ RULMAN A14XER (SABİT OLAN)//B16DTH(GERGİDEKİ)</t>
  </si>
  <si>
    <t>G6526004</t>
  </si>
  <si>
    <t>55565903KORE</t>
  </si>
  <si>
    <t>VİTES TOPUZ ASTRA.J 6İLERİ (KROM MANDALLI)</t>
  </si>
  <si>
    <t>55565904OEM</t>
  </si>
  <si>
    <t>P55565904</t>
  </si>
  <si>
    <t>VİTES TOPUZU ASTRA.J 5İLERİ (KROM MANDALLI-HALKALI)</t>
  </si>
  <si>
    <t>55565905KORE</t>
  </si>
  <si>
    <t>VİTES TOPUZ ASTRA.J 5İLERİ (KROM MANDALLI)</t>
  </si>
  <si>
    <t>55566594WILDCAT</t>
  </si>
  <si>
    <t xml:space="preserve">PİSTON KOL BURCU A16XER/B16XER </t>
  </si>
  <si>
    <t xml:space="preserve">WILDCAT </t>
  </si>
  <si>
    <t>D-3287</t>
  </si>
  <si>
    <t>BİYEL KOLU A16XER/Z16XER/B16XER</t>
  </si>
  <si>
    <t xml:space="preserve">55566648FAE </t>
  </si>
  <si>
    <t>OKSİJEN SENSÖR CRUZE A16XER P2</t>
  </si>
  <si>
    <t>55566650FAE</t>
  </si>
  <si>
    <t>OKSİJEN SENSÖR CRUZE A16XER P1</t>
  </si>
  <si>
    <t>55566665Y</t>
  </si>
  <si>
    <t xml:space="preserve">EMME MANİFOLT CONTA A14NET/A14XER/A12XER </t>
  </si>
  <si>
    <t>55567048-049INA</t>
  </si>
  <si>
    <t>EKSANTRİK DİŞLİ SETİ(DİŞLİLER+OKUYUCULAR+TRİGER+DEVİRDAİM+CONTA)A16XER/B16XER CRUZE/ASTRA.H/İNSİGNİA.A</t>
  </si>
  <si>
    <t>55567048-55568386INA</t>
  </si>
  <si>
    <t>EKSANTRİK DİŞLİ SETİ(DİŞLİLER+OKUYUCULAR+TRİGER+DEVİRDAİM+CONTA)A16XER/B16XER</t>
  </si>
  <si>
    <t>55567067Y</t>
  </si>
  <si>
    <t>TURBO SU DÖNÜŞ BORUSU A14NET</t>
  </si>
  <si>
    <t>55567962İTHAL</t>
  </si>
  <si>
    <t>MOTOR HAVALANDIRMA BORU ÜST A16LET</t>
  </si>
  <si>
    <t>55567962OEM</t>
  </si>
  <si>
    <t>MOTOR HAVALANDIRMA BORU ÜST UZUN A16LET KOMPLE</t>
  </si>
  <si>
    <t>55568031Y</t>
  </si>
  <si>
    <t>TURBO SU BESLEME BORU A14NET/B14NET/A14NEL</t>
  </si>
  <si>
    <t xml:space="preserve">VOLANT CORSA.D Z13DTJ/A13DTC/ASTRA.J A13DTE </t>
  </si>
  <si>
    <t>EKSANTRİK VANOS DİŞLİ EMME A16XER ASTRA.J/ASTRA.H/INS.A/MOKKA</t>
  </si>
  <si>
    <t>55569419ATİK</t>
  </si>
  <si>
    <t>DEVİRDAİM ARKA BORU A13DTE EURO5 ASTRA.J/CORSA.D/AVEO T300</t>
  </si>
  <si>
    <t>ATK-212</t>
  </si>
  <si>
    <t>55569419SWAPP</t>
  </si>
  <si>
    <t>KRANK MİLİ Z16XER/A16XER/B16XER</t>
  </si>
  <si>
    <t>55569829VİCTOR</t>
  </si>
  <si>
    <t>ÜST KAPAK CONTA A16XHT</t>
  </si>
  <si>
    <t>71-10165-00</t>
  </si>
  <si>
    <t>MAP SENSÖR A16XHT/B14XHT</t>
  </si>
  <si>
    <t>55570037BERU</t>
  </si>
  <si>
    <t xml:space="preserve">KIZDIRMA BUJİ B16DTH </t>
  </si>
  <si>
    <t xml:space="preserve">BERU </t>
  </si>
  <si>
    <t>GE126</t>
  </si>
  <si>
    <t>55570037ERP</t>
  </si>
  <si>
    <t>55570089PIERBURG</t>
  </si>
  <si>
    <t>DPF EKSOZ SICAKLIK SENSÖR (KONUM 1 ÜST) B16DTH MOKKA/MOKKA.X/ASTRA.J/ZAFİRA.C/MERİVA.B</t>
  </si>
  <si>
    <t>7.11020.67.0</t>
  </si>
  <si>
    <t>YAĞ KARTER CONTA A16XHT/B16SHL</t>
  </si>
  <si>
    <t xml:space="preserve">55570140ELRİNG </t>
  </si>
  <si>
    <t>55570194-SET-GM</t>
  </si>
  <si>
    <t>VOLANT+DEBRİYAJ+RULMAN SET Z13DTH 90HP ASTRA.H/CORSA.D</t>
  </si>
  <si>
    <t xml:space="preserve">55570685AKD </t>
  </si>
  <si>
    <t>YAĞ SOĞUTUCU RADYATÖR A16XHT/B16SDL</t>
  </si>
  <si>
    <t>55570687ELRİNG</t>
  </si>
  <si>
    <t xml:space="preserve">YAĞ SOĞUTUCU RAYATÖR CONTA A16XHT/B16SHT </t>
  </si>
  <si>
    <t xml:space="preserve">55570687HANSFEL </t>
  </si>
  <si>
    <t>YAĞ SOĞUTUCU RAYATÖR CONTA A16XHT/B16SHT</t>
  </si>
  <si>
    <t>HANSFELL</t>
  </si>
  <si>
    <t>55570687TK-AKD</t>
  </si>
  <si>
    <t>AKD 55570687TK</t>
  </si>
  <si>
    <t>55570689HANSFEL</t>
  </si>
  <si>
    <t xml:space="preserve">TERMOSTAT-DEVRİDAİM GÖVDE CONTA BÜYÜK BLOGA GELEN </t>
  </si>
  <si>
    <t xml:space="preserve">55570690ELRİNG </t>
  </si>
  <si>
    <t>DEVİRDAİM GÖVDE CONTA A16XHT/B16SHL (BLOGA GELEN KARE)</t>
  </si>
  <si>
    <t>55570690HANSFEL</t>
  </si>
  <si>
    <t xml:space="preserve">TERMOSTAT-DEVRİDAİM GÖVDE CONTA BLOGA GELEN </t>
  </si>
  <si>
    <t>ENJEKTÖR ORİNG A16XHT</t>
  </si>
  <si>
    <t xml:space="preserve">PİSTON KOLU A14NET/B14NET </t>
  </si>
  <si>
    <t>55571402CORTECO</t>
  </si>
  <si>
    <t>KRANK KASNAĞI Z14XEP/A12XER/A14XER/A14NET</t>
  </si>
  <si>
    <t>ÜST KAPAK CONTA B16DTH</t>
  </si>
  <si>
    <t>55571587ELRİNG</t>
  </si>
  <si>
    <t xml:space="preserve">55571587ÜSTTAKIMBGA </t>
  </si>
  <si>
    <t xml:space="preserve">ÜST TAKIM CONTA B16DTH </t>
  </si>
  <si>
    <t>HN9500</t>
  </si>
  <si>
    <t>55571587VİCTOR</t>
  </si>
  <si>
    <t xml:space="preserve">ÜST KAPAK CONTA B16DTH  </t>
  </si>
  <si>
    <t>71-42951-00</t>
  </si>
  <si>
    <t>EKSANTRİK MİLİ DİŞLİ B16DTH</t>
  </si>
  <si>
    <t>55573168ASPART</t>
  </si>
  <si>
    <t>EMME MANİFOLT A14NET</t>
  </si>
  <si>
    <t>55573259PIERBURG</t>
  </si>
  <si>
    <t>TURBO BASINÇ VALFİ (SELENOİD) B14XFT/B16SHT/A16XHT</t>
  </si>
  <si>
    <t>7.03351.12.0</t>
  </si>
  <si>
    <t>55573418KRAFTVOLL</t>
  </si>
  <si>
    <t>YAKIT BORUSU DÖNÜŞ CORSA.D A13DTE/A13DTC EURO5</t>
  </si>
  <si>
    <t>55573419WINTECH</t>
  </si>
  <si>
    <t>WIN0500637</t>
  </si>
  <si>
    <t xml:space="preserve">YAKIT BORUSU POMPA ÇIKIŞ CORSA.D A13DTE/A13DTC EURO5 </t>
  </si>
  <si>
    <t>55573419YTT</t>
  </si>
  <si>
    <t>Y20056</t>
  </si>
  <si>
    <t>YAĞ POMPA DİŞLİ B16DTH</t>
  </si>
  <si>
    <t>YAĞ POMPA ZİNCİR B16DTH</t>
  </si>
  <si>
    <t>55573876INA</t>
  </si>
  <si>
    <t>YAĞ POMPA ZİNCİR+GERGİ SETİ B16DTH</t>
  </si>
  <si>
    <t>YAĞ POMPA ZİNCİR GERİCİ B16DTH</t>
  </si>
  <si>
    <t>55574004Y</t>
  </si>
  <si>
    <t>DEVİRDAİM GÖVDE CONTA B16DTH (BLOGA GELEN)</t>
  </si>
  <si>
    <t>TURBO YAĞ DÖNÜŞ BORU A16LET</t>
  </si>
  <si>
    <t>55574129Y</t>
  </si>
  <si>
    <t xml:space="preserve">ZİNCİR KAPAK KEÇE B16DTH </t>
  </si>
  <si>
    <t>55574781CORTECO</t>
  </si>
  <si>
    <t>KRANK SENSÖR DARBE EMİCİ A16XER/A16LET</t>
  </si>
  <si>
    <t>55574896PIERBURG</t>
  </si>
  <si>
    <t>TURBO SELENOİD VALF B16DTH</t>
  </si>
  <si>
    <t>7.02256.44.0</t>
  </si>
  <si>
    <t>TURBO VAKUM BORU SET A17DTC/A17DTS</t>
  </si>
  <si>
    <t>SUBAP AKIŞ VALF CONTA A16XHT/B16SHL</t>
  </si>
  <si>
    <t xml:space="preserve">55575505ELRİNG </t>
  </si>
  <si>
    <t xml:space="preserve">SUBAP AKIŞ VALF CONTA A16XHT/B16SHL </t>
  </si>
  <si>
    <t>55575505Y</t>
  </si>
  <si>
    <t>TURBO SU BORU BAGLANTI REKOR A16XHT</t>
  </si>
  <si>
    <t>55575674Y</t>
  </si>
  <si>
    <t>YAĞ POMPA CONTA A16XHT/B16SDL</t>
  </si>
  <si>
    <t xml:space="preserve">TURBO SELENOİD VALFİ B16DTH </t>
  </si>
  <si>
    <t>55577120Y</t>
  </si>
  <si>
    <t>YAN KAPAK CONTA B16DTH</t>
  </si>
  <si>
    <t>55577121Y</t>
  </si>
  <si>
    <t xml:space="preserve">YAN KAPAK CONTA B16DTH YUVARLAK </t>
  </si>
  <si>
    <t>55578661METTE</t>
  </si>
  <si>
    <t>TURBO SU DÖNÜŞ BORU A16LET</t>
  </si>
  <si>
    <t>668M6880</t>
  </si>
  <si>
    <t>55578715AKD</t>
  </si>
  <si>
    <t>AKD 55578715</t>
  </si>
  <si>
    <t xml:space="preserve">YAĞ FİLTRE GÖVDE CONTA A16XHT/B16SHL   </t>
  </si>
  <si>
    <t>55578715ELRİNG</t>
  </si>
  <si>
    <t xml:space="preserve">YAĞ FİLTRE GÖVDE CONTA A16XHT/B16SHL  </t>
  </si>
  <si>
    <t>55578715Y</t>
  </si>
  <si>
    <t>YAĞ FİLTRE GÖVDE CONTA A16XHT/B16SHL</t>
  </si>
  <si>
    <t>55580214METTE</t>
  </si>
  <si>
    <t>EGR BORU CONTASI B16DTH</t>
  </si>
  <si>
    <t>266C2236</t>
  </si>
  <si>
    <t>TURBO YAĞ BORU BAGLANTI REKOR A16XHT</t>
  </si>
  <si>
    <t>55583122ELRİNG</t>
  </si>
  <si>
    <t xml:space="preserve">EGR ARA CONTA BORU B16DTH </t>
  </si>
  <si>
    <t>55583808Y</t>
  </si>
  <si>
    <t>YAĞ SOĞUTUCU HORTUM KOMPLE A14NET</t>
  </si>
  <si>
    <t>55587854Y</t>
  </si>
  <si>
    <t xml:space="preserve">TURBO YAĞ DÖNÜŞ BORUSU A14NET </t>
  </si>
  <si>
    <t>55587854Y-METAL</t>
  </si>
  <si>
    <t>TURBO YAĞ DÖNÜŞ BORUSU A14NET (METAL TİP)</t>
  </si>
  <si>
    <t>55588333KING-STD</t>
  </si>
  <si>
    <t xml:space="preserve">ANA YATAK STD B16DT </t>
  </si>
  <si>
    <t>MB5804SM</t>
  </si>
  <si>
    <t>55589549İTHAL</t>
  </si>
  <si>
    <t>YAĞ EMME BORU CONTASI A20DTH</t>
  </si>
  <si>
    <t>55591186BOSCH</t>
  </si>
  <si>
    <t>V KAYIŞ İNSİGNİA.B/ASTRA.K1.0T/1.4/1.4T/1.5T</t>
  </si>
  <si>
    <t xml:space="preserve">55591575VİCTOR </t>
  </si>
  <si>
    <t>EKSOZ MANİFOLT CONTA A16XHT</t>
  </si>
  <si>
    <t>71-42877-00</t>
  </si>
  <si>
    <t>55591997UCPA</t>
  </si>
  <si>
    <t>22H133586</t>
  </si>
  <si>
    <t>TERMOSTAT HORTUM B16DTH</t>
  </si>
  <si>
    <t>55592366PIERBURG</t>
  </si>
  <si>
    <t>DPF EKSOZ SICAKLIK SENSÖR (KONUM 2 ALT) B16DTH MOKKA/MOKKA.X/İNSİGNİA.A/ASTRA.J/K</t>
  </si>
  <si>
    <t>7.11020.27.0</t>
  </si>
  <si>
    <t>55592600Y</t>
  </si>
  <si>
    <t>TURBO YAĞ BESLEME HORTUM A14NET</t>
  </si>
  <si>
    <t>EKSANTRİK SELENOİD VALFİ ASTRA.K F12SHL</t>
  </si>
  <si>
    <t>YAĞ SOĞUTUCU KOMPLE A20DTH/A20DTC</t>
  </si>
  <si>
    <t>P55595532</t>
  </si>
  <si>
    <t>55595532BGA</t>
  </si>
  <si>
    <t>CO2202</t>
  </si>
  <si>
    <t>55596125ELRİNG</t>
  </si>
  <si>
    <t>SİLİNDİR KAPAK CONTA A16XHT/B16SHT/D16SHT</t>
  </si>
  <si>
    <t xml:space="preserve">55596779ELRİNG </t>
  </si>
  <si>
    <t xml:space="preserve">ÖN KRANK KEÇE B16DTH </t>
  </si>
  <si>
    <t>MAZOT POMPA DİŞLİ B16DTH</t>
  </si>
  <si>
    <t>55597152AKD</t>
  </si>
  <si>
    <t>AKD 559132</t>
  </si>
  <si>
    <t>VAKUM POMPA CONTA A16XHT/B16SHT</t>
  </si>
  <si>
    <t>55597152ELRİNG</t>
  </si>
  <si>
    <t>55597152HANSFEL</t>
  </si>
  <si>
    <t>55597152Y</t>
  </si>
  <si>
    <t>55598493VİCTOR</t>
  </si>
  <si>
    <t>SİLİNDİR KAPAK SAPLAMA B16DTH</t>
  </si>
  <si>
    <t>14-11649-01</t>
  </si>
  <si>
    <t>MOTOR SU DAĞITICI HORTUM ÖN KOMPLE A16XHT/B16SHT</t>
  </si>
  <si>
    <t>556004METTE</t>
  </si>
  <si>
    <t>FREN KALİPER AYAR CIRCIR TAKIMI SAĞ ASTRA.F/G/CORSA.B/C</t>
  </si>
  <si>
    <t>987B3640</t>
  </si>
  <si>
    <t>556004Y</t>
  </si>
  <si>
    <t>556007Y</t>
  </si>
  <si>
    <t>FREN KALİPER AYAR CIRCIR TAKIMI SOL ASTRA.F/G/CORSA.B/C</t>
  </si>
  <si>
    <t>5560716YTT</t>
  </si>
  <si>
    <t>PEDAL LASTİĞİ CORSA.D/CORSA.E/ADAM</t>
  </si>
  <si>
    <t>Y1610</t>
  </si>
  <si>
    <t xml:space="preserve">5562079ASPART </t>
  </si>
  <si>
    <t>ARKA FREN HORTUM ASTRA.G/ZAFİRA.A(DİSKLİ TİP)</t>
  </si>
  <si>
    <t>5562237ASPART</t>
  </si>
  <si>
    <t>ARKA FREN HORTUM CORSA.C/TİGRA.B</t>
  </si>
  <si>
    <t>3HOS1276</t>
  </si>
  <si>
    <t>55701796YTT</t>
  </si>
  <si>
    <t>AMORTİSÖR TEPE ÇANAK CORSA.D/E</t>
  </si>
  <si>
    <t>Y2408</t>
  </si>
  <si>
    <t>55701971SAGEM</t>
  </si>
  <si>
    <t>BAGAJ KİLİ CORSA.D/E/ASTRA.K/MERİVA.B</t>
  </si>
  <si>
    <t>558013LPR</t>
  </si>
  <si>
    <t>FREN ANA MERKEZ VECTRA.B (TANIM ER)X16XEL/X18XE/X20DTH 22,20mm</t>
  </si>
  <si>
    <t xml:space="preserve">LPR </t>
  </si>
  <si>
    <t>558059METTE</t>
  </si>
  <si>
    <t>FREN ANA MERKEZ ASTRA.G 98-04/ZAFİRA.A 98&gt; 23.81MM</t>
  </si>
  <si>
    <t>987B3600</t>
  </si>
  <si>
    <t>558078METTE</t>
  </si>
  <si>
    <t xml:space="preserve">FREN ANA MERKEZ CORSA.C 00-03 1.2/1.4/1.7 </t>
  </si>
  <si>
    <t>987B3616</t>
  </si>
  <si>
    <t>558099LPR</t>
  </si>
  <si>
    <t>FREN ANA MERKEZ ASTRA.F/VECTRA.A</t>
  </si>
  <si>
    <t>558102BRAXIS</t>
  </si>
  <si>
    <t>FREN ANA MERKEZ 20.64mm VECTRA.A/ASTRA.F/CORSA.B (ABS HARİC)</t>
  </si>
  <si>
    <t>AJ0081</t>
  </si>
  <si>
    <t xml:space="preserve">558102CİFAM </t>
  </si>
  <si>
    <t>202-190</t>
  </si>
  <si>
    <t>558102METTE</t>
  </si>
  <si>
    <t>FREN ANA MERKEZ ASTRA.F/VECTRA.A/KADETT.E 20.64MM DELCO</t>
  </si>
  <si>
    <t>987B3585</t>
  </si>
  <si>
    <t>558144DELPHİ</t>
  </si>
  <si>
    <t>FREN ANA MERKEZ ASTRA.H 24.5mm -ESP</t>
  </si>
  <si>
    <t>LM80316</t>
  </si>
  <si>
    <t>558162LPR</t>
  </si>
  <si>
    <t>FREN ANA MERKEZ VECTRA.B X20XEV 95&gt;</t>
  </si>
  <si>
    <t>559261ASPART</t>
  </si>
  <si>
    <t>3TCA1001</t>
  </si>
  <si>
    <t>FREN HİDROLİK DEPO KAPAĞI VECTRA.C/ASTRA.H/MERİVA.B/A/ZAFİRA.B</t>
  </si>
  <si>
    <t xml:space="preserve">559261TAP </t>
  </si>
  <si>
    <t xml:space="preserve">5602630DOGRU </t>
  </si>
  <si>
    <t>ARKA DİNGİL BURCU VECTRA.B ÖN</t>
  </si>
  <si>
    <t>DK90-699</t>
  </si>
  <si>
    <t xml:space="preserve">5602636AYD </t>
  </si>
  <si>
    <t>87-08585</t>
  </si>
  <si>
    <t>5607035ÖZGAYD</t>
  </si>
  <si>
    <t>SİLİNDİR KAPAGI 20NE/C20NE 2.0 8V</t>
  </si>
  <si>
    <t xml:space="preserve">ÖZGAYD </t>
  </si>
  <si>
    <t>CH15-002</t>
  </si>
  <si>
    <t>5607063İOTO</t>
  </si>
  <si>
    <t>SİLİNDİR KAPAĞI X16XEL/X14XE (İÇTEN EGR Lİ)</t>
  </si>
  <si>
    <t>İOTO</t>
  </si>
  <si>
    <t>20201-11005</t>
  </si>
  <si>
    <t>5607076IOTO</t>
  </si>
  <si>
    <t>SİLİNDİR KAPAĞI Y17DT</t>
  </si>
  <si>
    <t>IOTO</t>
  </si>
  <si>
    <t>20203-11002</t>
  </si>
  <si>
    <t>KÜLBÜTÖR KAPAĞI Z12XEP/Z14XEP</t>
  </si>
  <si>
    <t>5607146METTE</t>
  </si>
  <si>
    <t>KÜLBÜTÖR KAPAGI Z12XEP/Z14XEP CONTALI</t>
  </si>
  <si>
    <t>668M6589</t>
  </si>
  <si>
    <t>5607159FEBİ</t>
  </si>
  <si>
    <t>KÜLBÜTÖR KAPAGI Z16XEP</t>
  </si>
  <si>
    <t>5607170İOTO</t>
  </si>
  <si>
    <t>SİLİNDİR KAPAĞI Z13DT/Z13DTH EURO4</t>
  </si>
  <si>
    <t>10901-11001</t>
  </si>
  <si>
    <t xml:space="preserve">5607170ÖZGAYD </t>
  </si>
  <si>
    <t>CH07-003</t>
  </si>
  <si>
    <t>5607247ZENON</t>
  </si>
  <si>
    <t>KÜLBÜTÖR KAPAĞI Z13DT EURO4</t>
  </si>
  <si>
    <t>FI4311</t>
  </si>
  <si>
    <t>5607258ASPART</t>
  </si>
  <si>
    <t>8RCO1012</t>
  </si>
  <si>
    <t xml:space="preserve">KÜLBÜTOR KAPAĞI A16XER/A16LET </t>
  </si>
  <si>
    <t xml:space="preserve">5607258FEBİ </t>
  </si>
  <si>
    <t>5607258MOTIVE</t>
  </si>
  <si>
    <t>KÜLBÜTOR KAPAĞI A16XER/A16LET</t>
  </si>
  <si>
    <t>MOTIVE</t>
  </si>
  <si>
    <t>VC8006</t>
  </si>
  <si>
    <t>5607258SWAG</t>
  </si>
  <si>
    <t>5607258TOPRAN</t>
  </si>
  <si>
    <t>5607408OTOCONTA</t>
  </si>
  <si>
    <t>SİLİNDİR KAPAK CONTA 1.6 8V</t>
  </si>
  <si>
    <t xml:space="preserve">5607408VİCTOR </t>
  </si>
  <si>
    <t>61-27270-20</t>
  </si>
  <si>
    <t xml:space="preserve">5607410ELRİNG </t>
  </si>
  <si>
    <t>SİLİNDİR KAPAK CONTA X14XE</t>
  </si>
  <si>
    <t xml:space="preserve">5607410VİCTOR </t>
  </si>
  <si>
    <t>61-31985-10</t>
  </si>
  <si>
    <t>5607425ELRİNG</t>
  </si>
  <si>
    <t>SİLİNDİR KAPAK CONTA 1.4 8V</t>
  </si>
  <si>
    <t>5607425OTOCONTA</t>
  </si>
  <si>
    <t>SİLİNDİR KAPAK CONTA 1.4 8V X14SZ</t>
  </si>
  <si>
    <t>5607425VİCTOR</t>
  </si>
  <si>
    <t>61-28135-00</t>
  </si>
  <si>
    <t>5607442ELRİNG</t>
  </si>
  <si>
    <t>ÜST KAPAK CONTA X20DTH/Y20DTL</t>
  </si>
  <si>
    <t>5607448ELRİNG</t>
  </si>
  <si>
    <t>SİLİNDİR KAPAK CONTA X12XE/Z12XE</t>
  </si>
  <si>
    <t>5607449ELRİNG</t>
  </si>
  <si>
    <t>SİLİNDİR KAPAK CONTA X20XEV</t>
  </si>
  <si>
    <t xml:space="preserve">5607449VİCTOR </t>
  </si>
  <si>
    <t>61-33005-10</t>
  </si>
  <si>
    <t>ÜST KAPAK CONTA Z12XEP/Z14XEP</t>
  </si>
  <si>
    <t xml:space="preserve">5607467AKD </t>
  </si>
  <si>
    <t>OP5607467</t>
  </si>
  <si>
    <t>5607467BGA</t>
  </si>
  <si>
    <t>RC6543</t>
  </si>
  <si>
    <t xml:space="preserve">5607467CORTECO </t>
  </si>
  <si>
    <t>5607467ELRİNG</t>
  </si>
  <si>
    <t xml:space="preserve">5607467VİCTOR </t>
  </si>
  <si>
    <t>71-35888-00</t>
  </si>
  <si>
    <t>5607469VİCTOR</t>
  </si>
  <si>
    <t>ÜST KAPAK CONTA X25XE VECTRA.B</t>
  </si>
  <si>
    <t>71-34261-00</t>
  </si>
  <si>
    <t xml:space="preserve">5607489AKD </t>
  </si>
  <si>
    <t>AKD 5607489</t>
  </si>
  <si>
    <t>ENJEKTÖR KEÇESİ Z17DTH</t>
  </si>
  <si>
    <t>5607489ELRİNG</t>
  </si>
  <si>
    <t xml:space="preserve">ENJEKTÖR KEÇESİ Z17DTH </t>
  </si>
  <si>
    <t>5607490ELRİNG</t>
  </si>
  <si>
    <t>ENJEKTÖR KEÇESİ ÜST Z17DTL/Z17DTH</t>
  </si>
  <si>
    <t>ÜST KAPAK CONTA Z16XEP</t>
  </si>
  <si>
    <t>5607593ELRİNG</t>
  </si>
  <si>
    <t>5607593VİCTOR</t>
  </si>
  <si>
    <t>71-36612-00</t>
  </si>
  <si>
    <t>5607630ELRİNG</t>
  </si>
  <si>
    <t>SİLİNDİR KAPAK CONTA X20DTH/Y20DTH/X22DTH 3KERTİK 1,5mm</t>
  </si>
  <si>
    <t>SİLİNDİR KAPAK CONTA Z13DTH/A13DTE 0,92mm 2ÇENTİK</t>
  </si>
  <si>
    <t xml:space="preserve">5607641ELRİNG </t>
  </si>
  <si>
    <t>560775YTT</t>
  </si>
  <si>
    <t>DEBRİYAJ+FREN PEDAL LASTİK ASTRA.G/H/VECTRA.B</t>
  </si>
  <si>
    <t>Y1563</t>
  </si>
  <si>
    <t>5607837BGA</t>
  </si>
  <si>
    <t>SİLİNDİR KAPAK CONTA Z12XE/Z12XEP/Z14XEP</t>
  </si>
  <si>
    <t>CH9578</t>
  </si>
  <si>
    <t>5607837ELRİNG</t>
  </si>
  <si>
    <t xml:space="preserve">5607837VİCTOR </t>
  </si>
  <si>
    <t>61-36225-00</t>
  </si>
  <si>
    <t>5607842AVORTEX</t>
  </si>
  <si>
    <t>ÜST KAPAK CONTA Z13DT</t>
  </si>
  <si>
    <t>5607842Y</t>
  </si>
  <si>
    <t>5607856VİCTOR</t>
  </si>
  <si>
    <t>SİLİNDİR KAPAK CONTA X20DTH/Y20DTH/X22DTH</t>
  </si>
  <si>
    <t>61-33820-10</t>
  </si>
  <si>
    <t>5607858OTOCONTA</t>
  </si>
  <si>
    <t>SİLİNDİR KAPAK CONTA X18XE/Z18XE</t>
  </si>
  <si>
    <t>5607863VİCTOR</t>
  </si>
  <si>
    <t>SİLİNDİR KAPAK CONTA Z16XEP</t>
  </si>
  <si>
    <t>61-36025-00</t>
  </si>
  <si>
    <t>5607865ELRİNG</t>
  </si>
  <si>
    <t>SİLİNDİR KAPAK CONTA Z16XE</t>
  </si>
  <si>
    <t>5607865VİCTOR</t>
  </si>
  <si>
    <t>61-34900-00</t>
  </si>
  <si>
    <t>5607866ELRİNG</t>
  </si>
  <si>
    <t>SİLİNDİR KAPAK CONTA Z14XE</t>
  </si>
  <si>
    <t>5607866VİCTOR</t>
  </si>
  <si>
    <t>61-34235-00</t>
  </si>
  <si>
    <t>5607873VİCTOR</t>
  </si>
  <si>
    <t>SİLİNDİR KAPAK CONTA Y17DT 1,50MM 2 KERTİK</t>
  </si>
  <si>
    <t>61-53245-10</t>
  </si>
  <si>
    <t>5607874ELİRNG</t>
  </si>
  <si>
    <t>SİLİNDİR KAPAK CONTA Y17DT/Z17DTH 3ÇENTİK</t>
  </si>
  <si>
    <t xml:space="preserve">5607874REİNZ </t>
  </si>
  <si>
    <t>SİLİNDİR KAPAK CONTA Y17DT 1.45mm 3ÇENTİK</t>
  </si>
  <si>
    <t>61-53245-20</t>
  </si>
  <si>
    <t>5607885ELRİNG</t>
  </si>
  <si>
    <t>SİLİNDİR KAPAK CONTA Z13DT/A13DTE 1Ç 0,82mm</t>
  </si>
  <si>
    <t xml:space="preserve">5607886VİCTOR </t>
  </si>
  <si>
    <t>SİLİNDİR KAPAK CONTA Z13DT/A13DTE 2Ç 0,92mm</t>
  </si>
  <si>
    <t>61-36210-20</t>
  </si>
  <si>
    <t>SİLİNDİR KAPAK CONTA A16XER/A16LET</t>
  </si>
  <si>
    <t>5607895ELRİNG</t>
  </si>
  <si>
    <t>5607895VİCTOR</t>
  </si>
  <si>
    <t>61-37240-00</t>
  </si>
  <si>
    <t>5607937BGA</t>
  </si>
  <si>
    <t>SİLİNDİR KAPAK SAPLAMA TAKIM X12XE/Z12XEP/Z14XEP (12AD.)</t>
  </si>
  <si>
    <t>BK4305</t>
  </si>
  <si>
    <t>5607937ELRİNG</t>
  </si>
  <si>
    <t>5607937FEBİ</t>
  </si>
  <si>
    <t>5607953ELRİNG</t>
  </si>
  <si>
    <t>SİLİNDİR KAPAK SAPLAMA Z13DTH/A13DTE</t>
  </si>
  <si>
    <t>5607953FEBİ</t>
  </si>
  <si>
    <t>5607953MOTİVE</t>
  </si>
  <si>
    <t>SİLİNDİR KAPAK SAPLAMA Z13DTH/A13DTE 10LU</t>
  </si>
  <si>
    <t>MOTİVE</t>
  </si>
  <si>
    <t>HB3700SET</t>
  </si>
  <si>
    <t>5607953VİCTOR</t>
  </si>
  <si>
    <t>14-32191-01</t>
  </si>
  <si>
    <t>ÜST KAPAK CONTA A16XER/A16LET/Z16XER</t>
  </si>
  <si>
    <t>5607980AKD-METAL</t>
  </si>
  <si>
    <t>ÜST KAPAK CONTA A16XER/A16LET/Z16XER(METAL KAPAK İÇİN)</t>
  </si>
  <si>
    <t>OP200219</t>
  </si>
  <si>
    <t>5607980CORTECO</t>
  </si>
  <si>
    <t xml:space="preserve">5607980ELRİNG </t>
  </si>
  <si>
    <t>5607980PAYEN</t>
  </si>
  <si>
    <t>JM7103</t>
  </si>
  <si>
    <t xml:space="preserve">5607980ROYAL </t>
  </si>
  <si>
    <t>H2B 458040</t>
  </si>
  <si>
    <t xml:space="preserve">ROYAL </t>
  </si>
  <si>
    <t xml:space="preserve">5607980VİCTOR </t>
  </si>
  <si>
    <t>71-38166-00</t>
  </si>
  <si>
    <t>560804DOGRU</t>
  </si>
  <si>
    <t>FREN PEDAL LASTİK OTOMATİK CORSA.C/ZAFİRA.A/MERİVA.A/TİGRA.B</t>
  </si>
  <si>
    <t>DK90-886</t>
  </si>
  <si>
    <t>5614425CORTECO</t>
  </si>
  <si>
    <t>KRANK KASNAĞI Z14XE/Z16XE</t>
  </si>
  <si>
    <t>5614844SKT</t>
  </si>
  <si>
    <t>ARKA KRANK KEÇE Z14XE/Z16XE(YAYSIZ)</t>
  </si>
  <si>
    <t>562146BRAXIS</t>
  </si>
  <si>
    <t>ARKA FREN HORTUM SOL ASTRA.H/COMBO.C/MERİVA.A</t>
  </si>
  <si>
    <t>AH0764</t>
  </si>
  <si>
    <t>562178BRAXIS</t>
  </si>
  <si>
    <t>ARKA FREN HORTUM SAĞ ASTRA.H/COMBO.C/MERİVA.A</t>
  </si>
  <si>
    <t>AH0763</t>
  </si>
  <si>
    <t>562274ASPART</t>
  </si>
  <si>
    <t>ARKA FREN HORTUM CORSA.D (142mm)</t>
  </si>
  <si>
    <t>3HOS1285</t>
  </si>
  <si>
    <t>562373FHS</t>
  </si>
  <si>
    <t>ÖN FREN HORTUM VECTRA.B 95-01</t>
  </si>
  <si>
    <t>FHS</t>
  </si>
  <si>
    <t>562377FHS</t>
  </si>
  <si>
    <t>ÖN FREN HORTUM ASTRA.G</t>
  </si>
  <si>
    <t>562603BRAXIS</t>
  </si>
  <si>
    <t>ÖN FREN HORTUM ASTRA.H/ZAFİRA.B</t>
  </si>
  <si>
    <t>AH0404</t>
  </si>
  <si>
    <t>5636059KAMEKS</t>
  </si>
  <si>
    <t>EKSANTRİK MİLİ EMME Z13DT</t>
  </si>
  <si>
    <t>5636060MGA</t>
  </si>
  <si>
    <t>EKSANTRİK MİLİ EKSOZ Z13DT</t>
  </si>
  <si>
    <t>5636119AKD</t>
  </si>
  <si>
    <t>EKSANTRİK MİLİ ÜST OKUYUCU SACI A16XER CRUZE/ASTRA.J/İNSİGNİA.A</t>
  </si>
  <si>
    <t>OP176100</t>
  </si>
  <si>
    <t>5636155AKD</t>
  </si>
  <si>
    <t>AKD 55568386</t>
  </si>
  <si>
    <t>5636155INA</t>
  </si>
  <si>
    <t>5636425ALT</t>
  </si>
  <si>
    <t>TRİGER KAYIŞ GERGİSİ 20NE/C20NE/X20XEV</t>
  </si>
  <si>
    <t>ALT</t>
  </si>
  <si>
    <t>5636560BOSCH</t>
  </si>
  <si>
    <t>TRİGER KAYIŞ 1.2/1.4 8V//KALOS/AVEO T200 1.4 8V 111*17</t>
  </si>
  <si>
    <t>5636560DAYCO</t>
  </si>
  <si>
    <t xml:space="preserve">TRİGER KAYIŞ 1.2/1.4 8V 111X17 </t>
  </si>
  <si>
    <t>11RP170H</t>
  </si>
  <si>
    <t>5636560ROAD</t>
  </si>
  <si>
    <t>TRİGER KAYIŞ 1.2/1.4 8V 111X17</t>
  </si>
  <si>
    <t>1310RM</t>
  </si>
  <si>
    <t>5636562BOSCH</t>
  </si>
  <si>
    <t>TRİGER KAYIŞ VECTRA.A 1.8/2.0 8V 93-95 146X200</t>
  </si>
  <si>
    <t>5636564CONTİ</t>
  </si>
  <si>
    <t>TRİGER KAYIŞI Z14XE/Z16XE 162DİŞ</t>
  </si>
  <si>
    <t>CT975</t>
  </si>
  <si>
    <t>5636565DAYCO</t>
  </si>
  <si>
    <t>TRİGER KAYIŞ X14XE/X16XEL 169X200</t>
  </si>
  <si>
    <t>EKSANTRİK VANOS DİŞLİ EKSOZ A16XER ASTRA.J/ASTRA.H/INS.A/MOKKA/CRUZE</t>
  </si>
  <si>
    <t>5636631AKD</t>
  </si>
  <si>
    <t>5636631INA</t>
  </si>
  <si>
    <t>EKSANTRİK VANOS DİŞLİ EMME A16XER ASTRA.H/İNSİGNİA.A/CRUZE/KALOS/AVEO</t>
  </si>
  <si>
    <t>5636632INA</t>
  </si>
  <si>
    <t>5636722ALT</t>
  </si>
  <si>
    <t>TRİGER KAYIŞ GERGİ 1.2/1.4 8V/KALOS/AVEO 1.2/1.4 8V/DAEWOO 1.5 8V</t>
  </si>
  <si>
    <t>5636722MOCA</t>
  </si>
  <si>
    <t>BT6024</t>
  </si>
  <si>
    <t>5636740SNR</t>
  </si>
  <si>
    <t>TRİGER GERGİSİ Z16XE/X16XE/Z14XE/X14XE</t>
  </si>
  <si>
    <t>GT353.17</t>
  </si>
  <si>
    <t>5636935BGA</t>
  </si>
  <si>
    <t>YAĞ POMPA KOVANI Z13DTH</t>
  </si>
  <si>
    <t>TC0380F</t>
  </si>
  <si>
    <t>PİSTON YAĞLAMA MEMESİ Z13DT/A13DTE</t>
  </si>
  <si>
    <t>5636938RPR</t>
  </si>
  <si>
    <t>KARTER HAVALANDIRMA HORTUM ALT Z13DT</t>
  </si>
  <si>
    <t>R11319</t>
  </si>
  <si>
    <t>5636970CORTECO</t>
  </si>
  <si>
    <t>EKSANTRİK KEÇE 1.4/1.6/1.8/2.0 8V/16V</t>
  </si>
  <si>
    <t>5636970ELRİNG</t>
  </si>
  <si>
    <t>5636970SKT</t>
  </si>
  <si>
    <t xml:space="preserve">5636970VİCTOR </t>
  </si>
  <si>
    <t>81-24909-10</t>
  </si>
  <si>
    <t xml:space="preserve">VANOS TAPASI A16XER </t>
  </si>
  <si>
    <t>5636974METTE</t>
  </si>
  <si>
    <t>754K4203</t>
  </si>
  <si>
    <t>5636974Y</t>
  </si>
  <si>
    <t>5638000TK-CABU</t>
  </si>
  <si>
    <t xml:space="preserve">TRİGER KAPAK TAKIM ASTRA.F/CORSA.B/VECTRA.A 1.4/1.6 8V </t>
  </si>
  <si>
    <t>5638032KRAFTVOLL</t>
  </si>
  <si>
    <t>TRİGER KAPAK ÖN VECTRA.B X20XEV</t>
  </si>
  <si>
    <t>5638032METTE</t>
  </si>
  <si>
    <t>668M6113</t>
  </si>
  <si>
    <t>5638048KRAFTVOLL</t>
  </si>
  <si>
    <t>TRİGER KAPAGI ARKA Z14XE/Z16XE</t>
  </si>
  <si>
    <t>5638048TK-BİTAPART</t>
  </si>
  <si>
    <t>BOP260018</t>
  </si>
  <si>
    <t>TRİGER KAPAK TAKIM Z14XE/Z16XE</t>
  </si>
  <si>
    <t>5638048TK-KRAFTVOLL</t>
  </si>
  <si>
    <t>5638048TK-Y</t>
  </si>
  <si>
    <t>5638076PRAKSSIS</t>
  </si>
  <si>
    <t>TRİGER KAPAK TAKIM X14XE/X16XE</t>
  </si>
  <si>
    <t>PRA-352082</t>
  </si>
  <si>
    <t>5638076Y-TKM</t>
  </si>
  <si>
    <t>5638113AKD</t>
  </si>
  <si>
    <t>YAĞ POMPASI Z12XEP/Z14XEP</t>
  </si>
  <si>
    <t>OP104129</t>
  </si>
  <si>
    <t>5638116ASPART</t>
  </si>
  <si>
    <t>8TBC1013</t>
  </si>
  <si>
    <t>TRİGER KAPAK ÜST ARKA A16XER</t>
  </si>
  <si>
    <t>5638116KRAFTVOLL</t>
  </si>
  <si>
    <t>5638116METTE</t>
  </si>
  <si>
    <t>754K6185</t>
  </si>
  <si>
    <t>YAĞ POMPASI Z16XEP/A16XER/A16LET KOMPLE KASNAKLI+DEVİRDAİMLİ</t>
  </si>
  <si>
    <t>5638127AKD</t>
  </si>
  <si>
    <t>YAĞ POMPASI Z16XEP/A16XER/A16LET</t>
  </si>
  <si>
    <t>OP104117</t>
  </si>
  <si>
    <t>5638127SCHADEK</t>
  </si>
  <si>
    <t>SCHADEK</t>
  </si>
  <si>
    <t>YAĞ POMPA CONTA Z16XEP/A16XER/A16LET</t>
  </si>
  <si>
    <t>5638611AKD</t>
  </si>
  <si>
    <t xml:space="preserve">5638611ELRİNG </t>
  </si>
  <si>
    <t>5638611METTE</t>
  </si>
  <si>
    <t>266C2088</t>
  </si>
  <si>
    <t>5638611PRESTİGE</t>
  </si>
  <si>
    <t>3 7034 68</t>
  </si>
  <si>
    <t xml:space="preserve">5638611VİCTOR </t>
  </si>
  <si>
    <t>71-36609-00</t>
  </si>
  <si>
    <t>5640.76BOSCH</t>
  </si>
  <si>
    <t>5640005SUPSAN</t>
  </si>
  <si>
    <t>SUBAP FİNCAN(ŞİM) TAKIMI Z16XEP/A16XER/B16XER/A16LET(3.030-3.050MM)</t>
  </si>
  <si>
    <t>FT-07075-01</t>
  </si>
  <si>
    <t>5640587BGA</t>
  </si>
  <si>
    <t xml:space="preserve">HOROZ TAKIM Z13DT/A13DTE </t>
  </si>
  <si>
    <t>RA3947</t>
  </si>
  <si>
    <t>5640587INA</t>
  </si>
  <si>
    <t xml:space="preserve">HOROZ Z13DT/A13DTE </t>
  </si>
  <si>
    <t>5640587ORJİNAL</t>
  </si>
  <si>
    <t>SUZUKİ</t>
  </si>
  <si>
    <t>12840M86J20</t>
  </si>
  <si>
    <t>564611-TEK-TOPRAN</t>
  </si>
  <si>
    <t>FREN VAKUM ÇEK VALFİ 2 YOLLU</t>
  </si>
  <si>
    <t>564611ASPART</t>
  </si>
  <si>
    <t>WESTİNGHOUSE HORTUM ASTRA.G/HVECTRA.B/ZAFİRA.A JAKLI</t>
  </si>
  <si>
    <t>3HOS1588</t>
  </si>
  <si>
    <t>564611YTT</t>
  </si>
  <si>
    <t>Y2063</t>
  </si>
  <si>
    <t>5646270PIERBURG</t>
  </si>
  <si>
    <t>YAĞ POMPASI A20DT/A20DTH/A20DTJ</t>
  </si>
  <si>
    <t>7.02266.01.0</t>
  </si>
  <si>
    <t xml:space="preserve">5648215BİRLİK </t>
  </si>
  <si>
    <t>YAĞ POMPA SÜZGEÇ Z13DTH/A13DTE</t>
  </si>
  <si>
    <t>YAĞ FİLTRESİ X20DTH</t>
  </si>
  <si>
    <t>5650319HENGST</t>
  </si>
  <si>
    <t>5650319SARDES</t>
  </si>
  <si>
    <t>SO 805</t>
  </si>
  <si>
    <t>5650319UFI</t>
  </si>
  <si>
    <t>5650337FİLTRON</t>
  </si>
  <si>
    <t>YAĞ FİLTRESİ 2.2 16V Z22SE/Z20NET/Z22YH</t>
  </si>
  <si>
    <t>OE648/3</t>
  </si>
  <si>
    <t>YAĞ FİLTRESİ Z13DTH TIRNAKLI</t>
  </si>
  <si>
    <t>73500049E</t>
  </si>
  <si>
    <t xml:space="preserve">5650342BOSCH </t>
  </si>
  <si>
    <t>5650342ERP</t>
  </si>
  <si>
    <t>5650342EUROFIL</t>
  </si>
  <si>
    <t>EFO300049</t>
  </si>
  <si>
    <t>5650342FİLTRON</t>
  </si>
  <si>
    <t>YAĞ FİLTRE Z13DTH TIRNAKLI</t>
  </si>
  <si>
    <t>OE 670</t>
  </si>
  <si>
    <t>5650342MANN</t>
  </si>
  <si>
    <t>HU713/1X</t>
  </si>
  <si>
    <t xml:space="preserve">5650342SARDES </t>
  </si>
  <si>
    <t>SO841</t>
  </si>
  <si>
    <t>5650342VALEO</t>
  </si>
  <si>
    <t>5650354HENGST</t>
  </si>
  <si>
    <t>YAĞ FİLTRESİ Z19DTH</t>
  </si>
  <si>
    <t>E46HD126</t>
  </si>
  <si>
    <t>5650354UFİ</t>
  </si>
  <si>
    <t xml:space="preserve">5650355ASPART </t>
  </si>
  <si>
    <t>YAĞ SOĞUTUCU KOMPLE Z13DT/Z13DTH EURO4(KALIN)</t>
  </si>
  <si>
    <t>5650355BGA</t>
  </si>
  <si>
    <t>CO9509</t>
  </si>
  <si>
    <t>5650355MGA</t>
  </si>
  <si>
    <t>5650358ASPART</t>
  </si>
  <si>
    <t>6OCO1101</t>
  </si>
  <si>
    <t>YAĞ SOĞUTUCU KOMPLE Z13DT/Z13DTH EURO4 İNCE</t>
  </si>
  <si>
    <t xml:space="preserve">5650358KALE </t>
  </si>
  <si>
    <t xml:space="preserve">YAĞ SOĞUTUCU TEK Z13DT/A13DTE </t>
  </si>
  <si>
    <t>5650358KALE-S</t>
  </si>
  <si>
    <t>YAĞ SOĞUTUCU Z13DT EURO4 SOGUTUCUSUZ TİP</t>
  </si>
  <si>
    <t>5650359BOSCH</t>
  </si>
  <si>
    <t>YAĞ FİLTRE A12XER/A14XER/A16XER/A16LET/B16DTH</t>
  </si>
  <si>
    <t>5650359ERP</t>
  </si>
  <si>
    <t>5650359FİLTRON</t>
  </si>
  <si>
    <t>OE648/6</t>
  </si>
  <si>
    <t>5650359MANN</t>
  </si>
  <si>
    <t>HU612/2X</t>
  </si>
  <si>
    <t>5650359UFİ</t>
  </si>
  <si>
    <t>25.064.00</t>
  </si>
  <si>
    <t>5650364ASPART</t>
  </si>
  <si>
    <t>YAĞ SOĞUTUCU KOMPLE A16XER/B16XER/Z16XER</t>
  </si>
  <si>
    <t>6OCO1102</t>
  </si>
  <si>
    <t>5650364BGA</t>
  </si>
  <si>
    <t>CO9501</t>
  </si>
  <si>
    <t>5650364KALE</t>
  </si>
  <si>
    <t>5650364PRAKSSİS</t>
  </si>
  <si>
    <t>5650364SBP</t>
  </si>
  <si>
    <t>YAĞ SOĞUTUCU ORTA PARÇA SUBAL İLE BERABER A16XER/Z16XER</t>
  </si>
  <si>
    <t>TAP.5541525</t>
  </si>
  <si>
    <t>5650365ASPART</t>
  </si>
  <si>
    <t>6OCO1103</t>
  </si>
  <si>
    <t>YAĞ SOĞUTUCU KOMPLE A16LET</t>
  </si>
  <si>
    <t>5650365HENGST</t>
  </si>
  <si>
    <t>H612HD928</t>
  </si>
  <si>
    <t xml:space="preserve">YAĞ FİLTRE Z13DT UZUN </t>
  </si>
  <si>
    <t xml:space="preserve">5650367BOSCH </t>
  </si>
  <si>
    <t>5650367FİLTRON</t>
  </si>
  <si>
    <t>OE2005</t>
  </si>
  <si>
    <t xml:space="preserve">5650367SARDES </t>
  </si>
  <si>
    <t>SO898</t>
  </si>
  <si>
    <t xml:space="preserve">5650367UFI </t>
  </si>
  <si>
    <t xml:space="preserve">UFI </t>
  </si>
  <si>
    <t>5650369ELRİNG</t>
  </si>
  <si>
    <t>YAĞ FİLTRE GÖVDE CONTA A12XER/A14XER/</t>
  </si>
  <si>
    <t>YAĞ SOĞUTUCU HORTUM KOMPLE A20DTH İNSİGNİA.A</t>
  </si>
  <si>
    <t>P55566096</t>
  </si>
  <si>
    <t>5650506BİRLİK</t>
  </si>
  <si>
    <t xml:space="preserve">YAĞ DOLUM KAPAĞI Z13DT EURO4 </t>
  </si>
  <si>
    <t>5650711YTT</t>
  </si>
  <si>
    <t>YAĞ SOĞUTUCU HORTUM Y17DT/Z17DTH</t>
  </si>
  <si>
    <t>Y11672</t>
  </si>
  <si>
    <t xml:space="preserve">YAĞ FİLTRE KAPAĞI (İÇ VALF DAHİL) Y17DT  </t>
  </si>
  <si>
    <t>YAĞ KAPAĞI X12XE/Z14XEP/X20XEV</t>
  </si>
  <si>
    <t xml:space="preserve">5650831ASPART </t>
  </si>
  <si>
    <t>8LOF1008</t>
  </si>
  <si>
    <t xml:space="preserve">ASPART  </t>
  </si>
  <si>
    <t xml:space="preserve">5650831FEBİ </t>
  </si>
  <si>
    <t>5650831TOPRAN</t>
  </si>
  <si>
    <t>5650831Y</t>
  </si>
  <si>
    <t xml:space="preserve">5650833ASPART </t>
  </si>
  <si>
    <t>YAĞ SOĞUTUCU PETEK A16XER/B16XER/A16LET</t>
  </si>
  <si>
    <t>5650833FEBİ-SET</t>
  </si>
  <si>
    <t>YAĞ SOĞUTUCU RADYATÖR A16XER 9PARÇA CONTA</t>
  </si>
  <si>
    <t>5650833KALE</t>
  </si>
  <si>
    <t xml:space="preserve">5650834AKD </t>
  </si>
  <si>
    <t>AKD 5650834</t>
  </si>
  <si>
    <t xml:space="preserve">YAĞ SOĞUTUCU CONTA TAKIM A16LET </t>
  </si>
  <si>
    <t>5650872AKD</t>
  </si>
  <si>
    <t>YAĞ SOĞUTUCU RADYATÖR ARA CONTA X20DTH/Y20DTH</t>
  </si>
  <si>
    <t>5650951ASPART</t>
  </si>
  <si>
    <t>6OCO1105</t>
  </si>
  <si>
    <t>YAĞ SOĞUTUCU KOMPLE Z19DTH</t>
  </si>
  <si>
    <t>5650960-1-PLASTECH</t>
  </si>
  <si>
    <t>P12596</t>
  </si>
  <si>
    <t>YAĞ SOĞUTUCU ORİNG SETİ A16XER/B16XER 15 PARÇA</t>
  </si>
  <si>
    <t>5650960AKD</t>
  </si>
  <si>
    <t>AKD 5650972</t>
  </si>
  <si>
    <t>YAĞ SOĞUTUCU ORİNG SETİ A16XER/B16XER</t>
  </si>
  <si>
    <t>5650960ASPART</t>
  </si>
  <si>
    <t>6GAS1110</t>
  </si>
  <si>
    <t>5650960BGA</t>
  </si>
  <si>
    <t>AG2280</t>
  </si>
  <si>
    <t>5650960ELRİNG</t>
  </si>
  <si>
    <t>5650960PLASTECH</t>
  </si>
  <si>
    <t>P12671</t>
  </si>
  <si>
    <t>5650960YTT</t>
  </si>
  <si>
    <t>Y1323</t>
  </si>
  <si>
    <t>YAĞ SOĞUTUCU SU HORTUM A16XER/Z16XER/A16LET</t>
  </si>
  <si>
    <t>5650993PLASTECH</t>
  </si>
  <si>
    <t>P12213</t>
  </si>
  <si>
    <t xml:space="preserve">YAĞ FİLTRE KAPAĞI Z13DT/Z13DTH UFİ TİP </t>
  </si>
  <si>
    <t>565563897YTT</t>
  </si>
  <si>
    <t>KALORİFER HORTUM İNSİGNİA.A ???</t>
  </si>
  <si>
    <t>Y81757</t>
  </si>
  <si>
    <t>5656020YTT</t>
  </si>
  <si>
    <t>MOTOR HAVALANDIRMA HORTUM X14XE/X16XE</t>
  </si>
  <si>
    <t>Y11540</t>
  </si>
  <si>
    <t>5656027RPR</t>
  </si>
  <si>
    <t>KARTER HAVALANDIRMA HORTUM ASTRA.F/VECTRA.B/CORSA.B X14XE/X16XEL</t>
  </si>
  <si>
    <t>R18208</t>
  </si>
  <si>
    <t>5656071ASPART</t>
  </si>
  <si>
    <t>5HOS1584</t>
  </si>
  <si>
    <t>KARTER HAVALANDIRMA HORTUM Z14XE/Z16XE</t>
  </si>
  <si>
    <t>5656072RPR</t>
  </si>
  <si>
    <t xml:space="preserve">ÜST KAPAK HAVALANDIRMA HORTUM Z14XE/Z16XE </t>
  </si>
  <si>
    <t>R18200</t>
  </si>
  <si>
    <t>5656090YTT</t>
  </si>
  <si>
    <t>KARTER HAVALANDIRMA HORTUM X16XE/Z16XE/Z14XE ASTRA.G/VECTRA.B</t>
  </si>
  <si>
    <t>Y11546</t>
  </si>
  <si>
    <t>5656132RPR</t>
  </si>
  <si>
    <t>MOTOR HAVALANDIRMA HORTUM ASTRA.G/H/CORSA.C/D</t>
  </si>
  <si>
    <t>R18276</t>
  </si>
  <si>
    <t>5656132YTT</t>
  </si>
  <si>
    <t>Y11593</t>
  </si>
  <si>
    <t xml:space="preserve">5656134İBRAS </t>
  </si>
  <si>
    <t>KARTER HAVALANDIRMA HORTUM Z13DTH</t>
  </si>
  <si>
    <t>5679012OEM</t>
  </si>
  <si>
    <t>DEBRİYAJ RULMAN BORU VECTRA.B X20XEV</t>
  </si>
  <si>
    <t xml:space="preserve">5679040FTE </t>
  </si>
  <si>
    <t>DEBRİYAJ RULMAN BORU F17SNZ</t>
  </si>
  <si>
    <t>A5753.03</t>
  </si>
  <si>
    <t>5679040Y</t>
  </si>
  <si>
    <t>5679306FTE</t>
  </si>
  <si>
    <t>DEBRİYAJ ÜST MERKEZ ASTRA.G/H</t>
  </si>
  <si>
    <t>5679306LUK</t>
  </si>
  <si>
    <t>5679306MARELLİ</t>
  </si>
  <si>
    <t>5679306TRW</t>
  </si>
  <si>
    <t>PNB467</t>
  </si>
  <si>
    <t>5679306VALEO</t>
  </si>
  <si>
    <t xml:space="preserve">DEBRİYAJ RULMAN METAL </t>
  </si>
  <si>
    <t xml:space="preserve">5679333FTE </t>
  </si>
  <si>
    <t>ZA3103B2</t>
  </si>
  <si>
    <t xml:space="preserve">5679333SACHS </t>
  </si>
  <si>
    <t xml:space="preserve">5679333VALEO </t>
  </si>
  <si>
    <t>5679335FTE</t>
  </si>
  <si>
    <t>DEBRİYAJ RULMAN Z12XEP/Z14XEP ASTRA.H/G/CORSA.C/D</t>
  </si>
  <si>
    <t>ZA31013A2</t>
  </si>
  <si>
    <t>5679335MARELLİ</t>
  </si>
  <si>
    <t>5679335OPAR</t>
  </si>
  <si>
    <t xml:space="preserve">5679335SACHS </t>
  </si>
  <si>
    <t>5679350FTE</t>
  </si>
  <si>
    <t>DEBRİYAJ RULMAN M32 ASTRA.H/J/İNSİGNİA/MOKKA</t>
  </si>
  <si>
    <t>ZA34048.3.1</t>
  </si>
  <si>
    <t xml:space="preserve">5679350SACHS </t>
  </si>
  <si>
    <t>DEBRİYAJ HAVA ALMA REKORU</t>
  </si>
  <si>
    <t>5679536OEM</t>
  </si>
  <si>
    <t>DEBRİYAJ RULMAN BURCU M6</t>
  </si>
  <si>
    <t>5679541Y</t>
  </si>
  <si>
    <t>DEBRİYAJ HAVA ALMA REKORU M32 6İLERİ</t>
  </si>
  <si>
    <t xml:space="preserve">568057BOSCH </t>
  </si>
  <si>
    <t>ARKA KAMPANA ASTRA.F/VECTRA.A/LANOS/NUBİRA(GENİŞ)</t>
  </si>
  <si>
    <t>568057BRAXIS</t>
  </si>
  <si>
    <t>AD5032</t>
  </si>
  <si>
    <t>568057TRW</t>
  </si>
  <si>
    <t xml:space="preserve">ARKA KAMPANA ASTRA.F/VECTRA.A/LANOS/NUBİRA(GENİŞ) </t>
  </si>
  <si>
    <t>DB4002</t>
  </si>
  <si>
    <t>5682507DOGRU</t>
  </si>
  <si>
    <t>MOTOR TAKOZ ARKA VECTRA.B</t>
  </si>
  <si>
    <t>DK90-798</t>
  </si>
  <si>
    <t>5682508DOGRU</t>
  </si>
  <si>
    <t>MOTOR TAKOZ ARKA VECTRA.B 1.6/1.8/2.0 16V</t>
  </si>
  <si>
    <t>DK90-756</t>
  </si>
  <si>
    <t>5682519ASPART</t>
  </si>
  <si>
    <t>8ESU1094</t>
  </si>
  <si>
    <t>MOTOR TAKOZ ARKA ASTRA.G/H</t>
  </si>
  <si>
    <t>5682519DOGRU</t>
  </si>
  <si>
    <t>DK90-736</t>
  </si>
  <si>
    <t>5682519YTT</t>
  </si>
  <si>
    <t>Y1242</t>
  </si>
  <si>
    <t xml:space="preserve">5684045ASPART </t>
  </si>
  <si>
    <t>MOTOR TAKOZ SOL ASTRA.G/H</t>
  </si>
  <si>
    <t>5684045FEBİ</t>
  </si>
  <si>
    <t>5684045YTT</t>
  </si>
  <si>
    <t>Y1214</t>
  </si>
  <si>
    <t xml:space="preserve">5684051ASPART </t>
  </si>
  <si>
    <t>8ESU1098</t>
  </si>
  <si>
    <t>MOTOR TAKOZ SAĞ ASTRA.G/H</t>
  </si>
  <si>
    <t>5684051DOGRU</t>
  </si>
  <si>
    <t>DOĞRU KAUÇUK</t>
  </si>
  <si>
    <t>DK90-734</t>
  </si>
  <si>
    <t>5684051FEBİ</t>
  </si>
  <si>
    <t>5684051KAUTEK</t>
  </si>
  <si>
    <t>OP-EM007</t>
  </si>
  <si>
    <t>5684051YTT</t>
  </si>
  <si>
    <t>Y1203</t>
  </si>
  <si>
    <t>5684055KRAFTVOLL</t>
  </si>
  <si>
    <t>MOTOR BAĞLANTI BRAKETİ SAĞ ASTRA.G</t>
  </si>
  <si>
    <t xml:space="preserve">5684137ASPART </t>
  </si>
  <si>
    <t>8ESU1100</t>
  </si>
  <si>
    <t>MOTOR TAKOZ ÖN ASTRA.H/ZAFİRA.A Z16XEP/Z16XER</t>
  </si>
  <si>
    <t>5684137DOGRU</t>
  </si>
  <si>
    <t>DK90-825</t>
  </si>
  <si>
    <t>5684142YTT</t>
  </si>
  <si>
    <t>MOTOR TAKOZ BRAKET ARKA ASTRA.H Z16XEP/Z14XEP/Z16XER//ZAFİRA.B Z16XEP/MERİVA.B A14XER/A14NET/A14NEL</t>
  </si>
  <si>
    <t>Y1744</t>
  </si>
  <si>
    <t>5684166ASPART</t>
  </si>
  <si>
    <t>8ESU1102</t>
  </si>
  <si>
    <t>MOTOR TAKOZ ARKA VECTRA.C Z19DTH</t>
  </si>
  <si>
    <t>5684166DOGRU</t>
  </si>
  <si>
    <t>MOTOR TAKOZ ARKA VECTRA.C</t>
  </si>
  <si>
    <t>DK90-827</t>
  </si>
  <si>
    <t>5684168YTT</t>
  </si>
  <si>
    <t>MOTOR TAKOZ SAĞ CORSA.C Z10XE/Z12XE</t>
  </si>
  <si>
    <t>Y1284</t>
  </si>
  <si>
    <t>5684170DOGRU</t>
  </si>
  <si>
    <t>MOTOR TAKOZ SAĞ CORSA.C Z10XEP/Z12XEP/Z14XEP</t>
  </si>
  <si>
    <t>DK90-1020</t>
  </si>
  <si>
    <t xml:space="preserve">5684178ASPART </t>
  </si>
  <si>
    <t>8ESU1106</t>
  </si>
  <si>
    <t>MOTOR TAKOZ SAĞ ASTRA.H/ZAFİRA.A Z13DT/A16XER</t>
  </si>
  <si>
    <t>5684178DOGRU</t>
  </si>
  <si>
    <t xml:space="preserve">MOTOR TAKOZ SAĞ ASTRA.H/ZAFİRA.A Z13DT/A16XER </t>
  </si>
  <si>
    <t>DK90-879</t>
  </si>
  <si>
    <t>5684178KAUTEK</t>
  </si>
  <si>
    <t>OP-EM028</t>
  </si>
  <si>
    <t>5684182ASPART</t>
  </si>
  <si>
    <t>8ESU1108</t>
  </si>
  <si>
    <t>MOTOR TAKOZ ÖN ASTRA.H Z13DTH</t>
  </si>
  <si>
    <t>5684182DOGRU</t>
  </si>
  <si>
    <t>DK90-1076</t>
  </si>
  <si>
    <t>5684182YTT</t>
  </si>
  <si>
    <t>Y1313</t>
  </si>
  <si>
    <t xml:space="preserve">MOTOR TAKOZ SOL ÖN BAGLANTI BRAKETİ CORSA.D </t>
  </si>
  <si>
    <t>5684196DOGRU</t>
  </si>
  <si>
    <t>MOTOR TAKOZ SAĞ CORSA.D Z12XEP/Z14XEP/A12XER/A14ER</t>
  </si>
  <si>
    <t>DK90-1135</t>
  </si>
  <si>
    <t>5684196MEHA</t>
  </si>
  <si>
    <t>MH45001</t>
  </si>
  <si>
    <t>5684196YTT</t>
  </si>
  <si>
    <t>Y1309</t>
  </si>
  <si>
    <t>5684197ASPART</t>
  </si>
  <si>
    <t>8ESU1110</t>
  </si>
  <si>
    <t>MOTOR TAKOZ SOL CORSA.D F17ŞNZ.</t>
  </si>
  <si>
    <t xml:space="preserve">5684197DOGRU </t>
  </si>
  <si>
    <t>DK90-1159</t>
  </si>
  <si>
    <t>5684197YTT</t>
  </si>
  <si>
    <t>Y1268</t>
  </si>
  <si>
    <t xml:space="preserve">5684198DOGRU </t>
  </si>
  <si>
    <t>MOTOR TAKOZU SAĞ CORSA.D A13DTC</t>
  </si>
  <si>
    <t>DK90-1161</t>
  </si>
  <si>
    <t>5684198YTT</t>
  </si>
  <si>
    <t>Y1269</t>
  </si>
  <si>
    <t>5684199ASPART</t>
  </si>
  <si>
    <t>8ESU1112</t>
  </si>
  <si>
    <t xml:space="preserve">MOTOR TAKOZ SOL CORSA.D 1.2/1.4 </t>
  </si>
  <si>
    <t>5684199DOGRU</t>
  </si>
  <si>
    <t>DK90-1134</t>
  </si>
  <si>
    <t>5684199YTT</t>
  </si>
  <si>
    <t>Y1310</t>
  </si>
  <si>
    <t>5684203DOGRU</t>
  </si>
  <si>
    <t>MOTOR TAKOZ SAĞ CORSA.D M32 6İLERİ 90 HP</t>
  </si>
  <si>
    <t>DK90-1163</t>
  </si>
  <si>
    <t>5684206ASPART</t>
  </si>
  <si>
    <t>8ESU1114</t>
  </si>
  <si>
    <t>MOTOR TAKOZ ARKA CORSA.D/ADAM</t>
  </si>
  <si>
    <t>5684206DOGRU</t>
  </si>
  <si>
    <t>DK90-1133</t>
  </si>
  <si>
    <t>5684206KRAFTVOLL</t>
  </si>
  <si>
    <t>5684206MGA</t>
  </si>
  <si>
    <t>5684206YTT</t>
  </si>
  <si>
    <t>Y1276</t>
  </si>
  <si>
    <t>5684646ASPART</t>
  </si>
  <si>
    <t>8ESU1120</t>
  </si>
  <si>
    <t xml:space="preserve">MOTOR TAKOZ SAĞ CORSA.C Y17DT </t>
  </si>
  <si>
    <t xml:space="preserve">5684646DOGRU </t>
  </si>
  <si>
    <t>DK90-882</t>
  </si>
  <si>
    <t>5684652ASPART</t>
  </si>
  <si>
    <t>8ESU1123</t>
  </si>
  <si>
    <t>MOTOR TAKOZ SOL ASTRA.H Z16XEP/Z14XEP</t>
  </si>
  <si>
    <t>5684652YTT</t>
  </si>
  <si>
    <t>Y1239</t>
  </si>
  <si>
    <t>5684653DOGRU</t>
  </si>
  <si>
    <t>MOTOR TAKOZ SOL ASTRA.H A16XER/Z13DTH/Y17DTR</t>
  </si>
  <si>
    <t>DK90-858</t>
  </si>
  <si>
    <t>5684658ASPART</t>
  </si>
  <si>
    <t>MOTOR TAKOZ ÖN VECTRA.C</t>
  </si>
  <si>
    <t>5684658RPR</t>
  </si>
  <si>
    <t xml:space="preserve">MOTOR TAKOZ ÖN VECTRA.C </t>
  </si>
  <si>
    <t>R59186</t>
  </si>
  <si>
    <t>5684658YTT</t>
  </si>
  <si>
    <t>Y1263</t>
  </si>
  <si>
    <t xml:space="preserve">5684761DOGRU </t>
  </si>
  <si>
    <t xml:space="preserve">MOTOR TAKOZ SOL CORSA.C Z13DT </t>
  </si>
  <si>
    <t>DK90-875</t>
  </si>
  <si>
    <t>5684761YTT</t>
  </si>
  <si>
    <t>Y1245</t>
  </si>
  <si>
    <t>569000ASPART</t>
  </si>
  <si>
    <t>3BDI1111</t>
  </si>
  <si>
    <t>ÖN FREN DİSKİ CORSA.C/COMBO.C 4D260mm</t>
  </si>
  <si>
    <t>569000AYD</t>
  </si>
  <si>
    <t>10-50208</t>
  </si>
  <si>
    <t>569000BOSCH</t>
  </si>
  <si>
    <t>569000DELPHİ</t>
  </si>
  <si>
    <t>BG3569T</t>
  </si>
  <si>
    <t>569000FERODO</t>
  </si>
  <si>
    <t>DDF1131</t>
  </si>
  <si>
    <t xml:space="preserve">569001AYD </t>
  </si>
  <si>
    <t>ÖN FREN DİSKİ ASTRA.F/VECTRA.B X16XE</t>
  </si>
  <si>
    <t>10-50357</t>
  </si>
  <si>
    <t xml:space="preserve">569001DELPHİ </t>
  </si>
  <si>
    <t>BG2443T</t>
  </si>
  <si>
    <t>569001FRENDİ</t>
  </si>
  <si>
    <t xml:space="preserve">FRENDİ </t>
  </si>
  <si>
    <t>569003ASPART</t>
  </si>
  <si>
    <t>3BDI1096</t>
  </si>
  <si>
    <t>ÖN FREN DİSKİ VECTRA.C 5D285mm</t>
  </si>
  <si>
    <t xml:space="preserve">569003AYD </t>
  </si>
  <si>
    <t>10-50214</t>
  </si>
  <si>
    <t>569003DELPHİ</t>
  </si>
  <si>
    <t>BG3713T</t>
  </si>
  <si>
    <t xml:space="preserve">569006AYD </t>
  </si>
  <si>
    <t>ÖN FREN DİSKİ ASTRA.H/COMBO.C 4D280mm</t>
  </si>
  <si>
    <t>10-50235</t>
  </si>
  <si>
    <t>569006BOSCH</t>
  </si>
  <si>
    <t>569020DELPHİ</t>
  </si>
  <si>
    <t>ÖN FREN DİSKİ CORSA.C 4D240mm SOGUTMASIZ</t>
  </si>
  <si>
    <t>BG3567</t>
  </si>
  <si>
    <t>569021TRW</t>
  </si>
  <si>
    <t xml:space="preserve">ÖN FREN DİSKİ 4D240mm CORSA.C Z12XE/Z12XEP </t>
  </si>
  <si>
    <t>DF4236</t>
  </si>
  <si>
    <t>569030AYD</t>
  </si>
  <si>
    <t>ÖN FREN DİSKİ 4D236mm HAVASIZ CORSA.B/ASTRA.F/VECTRA.A</t>
  </si>
  <si>
    <t>10-50350</t>
  </si>
  <si>
    <t>569030BOSCH</t>
  </si>
  <si>
    <t>ÖN FREN DİSKİ 236mm HAVASIZ CORSA.B/ASTRA.F/VECTRA.A</t>
  </si>
  <si>
    <t>569030DELPHİ</t>
  </si>
  <si>
    <t>BG2148T</t>
  </si>
  <si>
    <t>569054ASPART</t>
  </si>
  <si>
    <t>3BDI1095</t>
  </si>
  <si>
    <t>ÖN FREN DİSKİ 4D236mm ASTRA.F/VECTRA.A/CORSA.B</t>
  </si>
  <si>
    <t xml:space="preserve">569054AYD </t>
  </si>
  <si>
    <t>ÖN FREN DİSKİ 4D236mm ASTRA.F/VECTRA.A/CORSA.B/</t>
  </si>
  <si>
    <t>10-50233</t>
  </si>
  <si>
    <t>569054DELPHİ</t>
  </si>
  <si>
    <t xml:space="preserve">ÖN FREN DİSKİ 4D236mm ASTRA.F/VECTRA.A/CORSA.B/ </t>
  </si>
  <si>
    <t>BG2278T</t>
  </si>
  <si>
    <t>569054S-WALBURG</t>
  </si>
  <si>
    <t>ÖN FREN DİSKİ SPOR TİP 4D236mm ASTRA.F/VECTRA.A/CORSA.B</t>
  </si>
  <si>
    <t>WBD1173CD</t>
  </si>
  <si>
    <t>569054TRW</t>
  </si>
  <si>
    <t>DF1609</t>
  </si>
  <si>
    <t>569055AYD</t>
  </si>
  <si>
    <t>ÖN FREN DİSKİ VECTRA.A 1.8 94&gt; CORSA.B X16XE 4D256mm</t>
  </si>
  <si>
    <t>10-50537</t>
  </si>
  <si>
    <t>569055BOSCH</t>
  </si>
  <si>
    <t xml:space="preserve">ÖN FREN DİSKİ VECTRA.A 1.8 94&gt; CORSA.B X16XE 4D256mm </t>
  </si>
  <si>
    <t xml:space="preserve">569056AYD </t>
  </si>
  <si>
    <t>ÖN FREN DİSKİ VECTRA.B 5B288mm X20XEV</t>
  </si>
  <si>
    <t>10-50371</t>
  </si>
  <si>
    <t xml:space="preserve">569059AYD </t>
  </si>
  <si>
    <t>ÖN FREN DİSKİ ASTRA.G 4D256mm</t>
  </si>
  <si>
    <t>10-50191</t>
  </si>
  <si>
    <t>569059BOSCH</t>
  </si>
  <si>
    <t>569059DELPHİ</t>
  </si>
  <si>
    <t>BG3404T</t>
  </si>
  <si>
    <t>569059FERODO</t>
  </si>
  <si>
    <t>DDF1041</t>
  </si>
  <si>
    <t>569059HATTAT</t>
  </si>
  <si>
    <t xml:space="preserve">HATTAT </t>
  </si>
  <si>
    <t>569065ASPART</t>
  </si>
  <si>
    <t>3BDI1041</t>
  </si>
  <si>
    <t>ÖN FREN DİSKİ CORSA.D 4D257mm</t>
  </si>
  <si>
    <t>569065AYD</t>
  </si>
  <si>
    <t>10-50160</t>
  </si>
  <si>
    <t>569065BOSCH</t>
  </si>
  <si>
    <t xml:space="preserve">ÖN FREN DİSKİ CORSA.D 4D257mm </t>
  </si>
  <si>
    <t>569065DELPHİ</t>
  </si>
  <si>
    <t xml:space="preserve">ÖN FREN DİSKİ CORSA.D 4D257mm  </t>
  </si>
  <si>
    <t>BG4004T</t>
  </si>
  <si>
    <t>569065FERODO</t>
  </si>
  <si>
    <t>DDF1304</t>
  </si>
  <si>
    <t>569065SWAPP</t>
  </si>
  <si>
    <t>569066ASPART</t>
  </si>
  <si>
    <t>3BDI1049</t>
  </si>
  <si>
    <t xml:space="preserve">ÖN FREN DİSKİ ASTRA.H/G 5D280mm </t>
  </si>
  <si>
    <t>569066AYD</t>
  </si>
  <si>
    <t>10-50167</t>
  </si>
  <si>
    <t>569066BOSCH</t>
  </si>
  <si>
    <t>569066DELPHİ</t>
  </si>
  <si>
    <t>BG3405T</t>
  </si>
  <si>
    <t xml:space="preserve">569073ASPART </t>
  </si>
  <si>
    <t>3BDI1050</t>
  </si>
  <si>
    <t>ÖN FREN DİSKİ ASTRA.J/CRUZE/ASTRA.K/T300 276mm 15inç</t>
  </si>
  <si>
    <t xml:space="preserve">569073AYD </t>
  </si>
  <si>
    <t>10-50236</t>
  </si>
  <si>
    <t>569073BOSCH</t>
  </si>
  <si>
    <t>569073DELPHİ</t>
  </si>
  <si>
    <t>BG4191T</t>
  </si>
  <si>
    <t>569073KRAFTVOLL</t>
  </si>
  <si>
    <t>569073MARELLİ</t>
  </si>
  <si>
    <t>569074AYD</t>
  </si>
  <si>
    <t>ARKA FREN DİSKİ ASTRA.J/CRUZE 5D268mm 15İNC</t>
  </si>
  <si>
    <t>10-50238</t>
  </si>
  <si>
    <t>569074FERODO</t>
  </si>
  <si>
    <t>DDF1872C</t>
  </si>
  <si>
    <t>569074SWAPP</t>
  </si>
  <si>
    <t xml:space="preserve">569075ASPART </t>
  </si>
  <si>
    <t>3BDI1145</t>
  </si>
  <si>
    <t>FREN DİSKİ ARKA 5D292mm ASTRA.J 16İNÇ</t>
  </si>
  <si>
    <t>569075AYD</t>
  </si>
  <si>
    <t>10-50240</t>
  </si>
  <si>
    <t>569076ASPART</t>
  </si>
  <si>
    <t>3BDI1105</t>
  </si>
  <si>
    <t>ÖN FREN DİSKİ 5D300mm ASTRA.J/MOKKA/CRUZE 16İNÇ</t>
  </si>
  <si>
    <t>569076AYD</t>
  </si>
  <si>
    <t>10-50251</t>
  </si>
  <si>
    <t>569076BOSCH</t>
  </si>
  <si>
    <t>569076DELPHİ</t>
  </si>
  <si>
    <t>BG4278C</t>
  </si>
  <si>
    <t>569076TDF</t>
  </si>
  <si>
    <t>569083AYD-SPOR</t>
  </si>
  <si>
    <t>ÖN FREN DİSKİ İNSİGNİA.A 5D321mm KAPLAMALI+DELİKLİ</t>
  </si>
  <si>
    <t>10-50287XFC</t>
  </si>
  <si>
    <t xml:space="preserve">569091ASPART </t>
  </si>
  <si>
    <t>3BDI1134</t>
  </si>
  <si>
    <t>ÖN FREN DİSKİ 5D300mm MOKKA/MOKKA.X/ASTRA.K/TRAX</t>
  </si>
  <si>
    <t>569091KRAFTVOLL</t>
  </si>
  <si>
    <t xml:space="preserve">569109ASPART </t>
  </si>
  <si>
    <t>3BDI1064</t>
  </si>
  <si>
    <t>ARKA FREN DİSKİ ASTRA.H/G 5D264mm</t>
  </si>
  <si>
    <t>569109AYD</t>
  </si>
  <si>
    <t>10-50311</t>
  </si>
  <si>
    <t>569109DELPHİ</t>
  </si>
  <si>
    <t>BG3406T</t>
  </si>
  <si>
    <t>569109FERODO</t>
  </si>
  <si>
    <t>DDF1044</t>
  </si>
  <si>
    <t>569115AYD</t>
  </si>
  <si>
    <t>ARKA FREN DİSK 5D278mm VECTRA.C HAVASIZ</t>
  </si>
  <si>
    <t>10-50186</t>
  </si>
  <si>
    <t>569116AYD</t>
  </si>
  <si>
    <t>ARKA FREN DİSKİ 4D264mm ASTRA.H/COMBO.C</t>
  </si>
  <si>
    <t>10-50261</t>
  </si>
  <si>
    <t xml:space="preserve">569116BOSCH </t>
  </si>
  <si>
    <t>569127AYD</t>
  </si>
  <si>
    <t>ARKA FREN DİSKİ İNSİGNİA.A 292mm HAVASIZ 17inç</t>
  </si>
  <si>
    <t>10-50222</t>
  </si>
  <si>
    <t>569127DELPHİ</t>
  </si>
  <si>
    <t xml:space="preserve">ARKA FREN DİSKİ İNSİGNİA.A 292mm HAVASIZ </t>
  </si>
  <si>
    <t>BG4188</t>
  </si>
  <si>
    <t>569128AYD-SPOR</t>
  </si>
  <si>
    <t>ARKA FREN DİSKİ İNSİGNİA.A 315mm HAVALI+KAPLAMALI+DELİKLİ</t>
  </si>
  <si>
    <t>10-50385XFC</t>
  </si>
  <si>
    <t>569210AYD</t>
  </si>
  <si>
    <t>ARKA FREN DİSKİ 5D286mm VECTRA.B X20XEV</t>
  </si>
  <si>
    <t>10-50332</t>
  </si>
  <si>
    <t>569421AYD</t>
  </si>
  <si>
    <t xml:space="preserve">ÖN DİSK 5D296mm İNSİGNİA.A 16İNÇ </t>
  </si>
  <si>
    <t>569421DELPHİ</t>
  </si>
  <si>
    <t>ÖN DİSK 5D296mm İNSİGNİA.A 16İNÇ KAPLAMALI</t>
  </si>
  <si>
    <t>BG4187T</t>
  </si>
  <si>
    <t>569421MARELLİ</t>
  </si>
  <si>
    <t xml:space="preserve">ÖN DİSK 5D296mm İNSİGNİA.A 16İNÇ  </t>
  </si>
  <si>
    <t>5705.KXVALEO</t>
  </si>
  <si>
    <t>ALTERNATÖR PARTNER/BERLİNGO DW8B 1.9D KLİMALI/XSARA 1.6 16V TU5JP4</t>
  </si>
  <si>
    <t>5705.NEKRAFTVOLL</t>
  </si>
  <si>
    <t>ALTERNATÖR 12V 150AMP 107/206/307/C1/C2/C3 DV4 1.4HDİ//PARNER/BERLİNGO DV6 1.6HDİ</t>
  </si>
  <si>
    <t>5738023B-METTE</t>
  </si>
  <si>
    <t>VİTES KOL PLASTİĞİ ASTRA.H 5İLERİ</t>
  </si>
  <si>
    <t>754K4052</t>
  </si>
  <si>
    <t>5738024-MA-METTE</t>
  </si>
  <si>
    <t>VİTES TOPUZ ALT ADAPTÖR ASTRA.H 6İLERİ</t>
  </si>
  <si>
    <t>754K6658</t>
  </si>
  <si>
    <t>5738024İTHAL</t>
  </si>
  <si>
    <t>VİTES ALT BAĞLANTI PLASTİĞİ ASTRA.H 6İLERİ</t>
  </si>
  <si>
    <t>5738024P</t>
  </si>
  <si>
    <t>5738024METTE</t>
  </si>
  <si>
    <t>VİTES KOL FİBERİ ASTRA.H/CORSA.D 6İLERİ</t>
  </si>
  <si>
    <t>754K4030</t>
  </si>
  <si>
    <t>5738024SET-AKD</t>
  </si>
  <si>
    <t xml:space="preserve">VİTES TOPUZ ASTRA.H 6İLERİ KORÜKLÜ TAKIM KOMPLE </t>
  </si>
  <si>
    <t>OP151128</t>
  </si>
  <si>
    <t>5738024Y</t>
  </si>
  <si>
    <t>5738025-TPZ-AKD</t>
  </si>
  <si>
    <t>VİTES TOPUZU ASTRA.H 5İLERİ (KROM HALKALI-MANDALLI)</t>
  </si>
  <si>
    <t>OP151102</t>
  </si>
  <si>
    <t xml:space="preserve">5738025AKD </t>
  </si>
  <si>
    <t>VİTES KÖRÜĞÜ ASTRA.H NİKELAJLI</t>
  </si>
  <si>
    <t>OP150118</t>
  </si>
  <si>
    <t>5738025CABU</t>
  </si>
  <si>
    <t>VİTES KÖRÜĞÜ ASTRA.H</t>
  </si>
  <si>
    <t>5738025KRAFTVOLL</t>
  </si>
  <si>
    <t>VİTES TOPUZU ASTRA.H 5İLERİ</t>
  </si>
  <si>
    <t>5738025OEM</t>
  </si>
  <si>
    <t>5738025TKM-SHIFT</t>
  </si>
  <si>
    <t>VİTES TOPUZ ASTRA.H/CORSA.D 5İLERİ(MANDALLI)</t>
  </si>
  <si>
    <t>SHIFT</t>
  </si>
  <si>
    <t>5738040AKD</t>
  </si>
  <si>
    <t>VİTES TOPUZU ASTRA.H/CORSA.D 6İLERİ (MANDALLI HALKALI)</t>
  </si>
  <si>
    <t>OP151103</t>
  </si>
  <si>
    <t>5738040SHIFT</t>
  </si>
  <si>
    <t>VİTES TOPUZ ASTRA.H/CORSA.D 6İLERİ</t>
  </si>
  <si>
    <t xml:space="preserve">SHIFT </t>
  </si>
  <si>
    <t>5738056ROOT</t>
  </si>
  <si>
    <t>VİTES KÖRÜĞÜ CORSA.D</t>
  </si>
  <si>
    <t>5738057AKD</t>
  </si>
  <si>
    <t>VİTES TOPUZ CORSA.D 5 İLERİ(KROM MANDALLI)</t>
  </si>
  <si>
    <t>OP151131</t>
  </si>
  <si>
    <t>5738405CABU</t>
  </si>
  <si>
    <t>VİTES KOL KÖRÜĞÜ VECTRA.B</t>
  </si>
  <si>
    <t>5738414CABU</t>
  </si>
  <si>
    <t>VİTES KÖRÜĞÜ VECTRA.A/ASTRA.F/CORSA.B</t>
  </si>
  <si>
    <t>5738414Y</t>
  </si>
  <si>
    <t>5738736CABU</t>
  </si>
  <si>
    <t>VİTES TOPUZ ASTRA.F/VECTRA.A/CORSA.B (NİKELAJLI)</t>
  </si>
  <si>
    <t xml:space="preserve">5738737AKD </t>
  </si>
  <si>
    <t>VİTES TOPUZU ASTRA.G/VECTRA.B/CORSA.C F17</t>
  </si>
  <si>
    <t>OP151105</t>
  </si>
  <si>
    <t xml:space="preserve">5738737ASPART </t>
  </si>
  <si>
    <t xml:space="preserve">5738737DEKAR </t>
  </si>
  <si>
    <t>VİTES TOPUZU ASTRA.G/VECTRA.B/CORSA.C F17(NİKELAJLI)</t>
  </si>
  <si>
    <t>DK1164</t>
  </si>
  <si>
    <t>5738737KRAFTVOLL</t>
  </si>
  <si>
    <t>5738737MTJ</t>
  </si>
  <si>
    <t>7299A</t>
  </si>
  <si>
    <t xml:space="preserve">5738902ASPART </t>
  </si>
  <si>
    <t>VİTES TOPUZ VECTRA.C/VECTRA.B F23 ŞNZ</t>
  </si>
  <si>
    <t xml:space="preserve">5738946ASPART </t>
  </si>
  <si>
    <t>VİTES TOPUZ VECTRA.C 6 İLERİ</t>
  </si>
  <si>
    <t>574225KRAFTVOLL</t>
  </si>
  <si>
    <t>EL FREN DÜĞMESİ MOKKA</t>
  </si>
  <si>
    <t>574225MTJ</t>
  </si>
  <si>
    <t xml:space="preserve">EL FREN DÜĞMESİ MOKKA </t>
  </si>
  <si>
    <t>5750.FNABA</t>
  </si>
  <si>
    <t>V KAYIŞ 6PK865 PARTNER 1.9D</t>
  </si>
  <si>
    <t>6PK860</t>
  </si>
  <si>
    <t>5750.FNBANDO</t>
  </si>
  <si>
    <t>6PK0865(EPDM)</t>
  </si>
  <si>
    <t>5750.GWBOSCH</t>
  </si>
  <si>
    <t>V KAYIŞ 6PK1145 307/C4 ET3J4/TU5JP4 1.6 16V 110HP</t>
  </si>
  <si>
    <t>5750.HGBOSCH</t>
  </si>
  <si>
    <t>V KAYIŞ 6PK1743 PARTNER DW8</t>
  </si>
  <si>
    <t>5750.K4SNR</t>
  </si>
  <si>
    <t>V KAYIŞ GERGİ KOMPLE DV6C EURO5 1.6HDİ</t>
  </si>
  <si>
    <t>GA359.28</t>
  </si>
  <si>
    <t>5750.QEBANDO</t>
  </si>
  <si>
    <t>V KAYIŞ 6PK1675 01&gt;PARTNER/BERLİNGO DW8 +AC</t>
  </si>
  <si>
    <t>6PK1675EPDM</t>
  </si>
  <si>
    <t>5750.QGABA</t>
  </si>
  <si>
    <t>V KAYIŞ 6PK965 V KAYIŞ 1.4HDİ DV4C EURO5/6</t>
  </si>
  <si>
    <t>6PK965</t>
  </si>
  <si>
    <t>5750.QGBOSCH</t>
  </si>
  <si>
    <t>5750.RG</t>
  </si>
  <si>
    <t>V KAYIŞ 6PK906 EP6/EP3 1.4/1.6 16V</t>
  </si>
  <si>
    <t>5750.RGBANDO</t>
  </si>
  <si>
    <t>6PK096(EPDM)</t>
  </si>
  <si>
    <t>5750.RGBOSCH</t>
  </si>
  <si>
    <t>5750.RWCONTİ</t>
  </si>
  <si>
    <t>V KAYIŞ 6PK1090 207/307/C2/C3/C4 1.4/1.6HDİ ELASTİK</t>
  </si>
  <si>
    <t>6PK1090ELAST</t>
  </si>
  <si>
    <t>5750.VFABA</t>
  </si>
  <si>
    <t>V KAYIŞ 6PK1438 PARTNER/BERLİNGO 98-02 DW8 1.9D KLİMASIZ</t>
  </si>
  <si>
    <t>6PK1438</t>
  </si>
  <si>
    <t>5750.VJABA</t>
  </si>
  <si>
    <t>V KAYIŞ 6PK1190 C5 2.0 16V</t>
  </si>
  <si>
    <t>6PK1190</t>
  </si>
  <si>
    <t>5750.VTROADMAX</t>
  </si>
  <si>
    <t>V KAYIŞ 6PK1123 TU5JP/TU3JP</t>
  </si>
  <si>
    <t>1123K6</t>
  </si>
  <si>
    <t>5750.VVBOSCH</t>
  </si>
  <si>
    <t>V KAYIŞ 307/ET3J4/TU5JP4</t>
  </si>
  <si>
    <t>5750.WGABA</t>
  </si>
  <si>
    <t>V KAYIŞ 6PK1560 206/307/C2/C3 1.4 İ</t>
  </si>
  <si>
    <t>6PK1560</t>
  </si>
  <si>
    <t>5750.WYBANDO</t>
  </si>
  <si>
    <t>V KAYIŞ 6PK1050 207/307/TU3JP 1.4 8V</t>
  </si>
  <si>
    <t>6PK1050</t>
  </si>
  <si>
    <t>5750.WYBOSCH</t>
  </si>
  <si>
    <t>5750.Y5ABA</t>
  </si>
  <si>
    <t xml:space="preserve">V KAYIŞ 6PK1705 206/BİPPER/NEMO 1.4HDİ //1.6HDİ  </t>
  </si>
  <si>
    <t>6PK1705</t>
  </si>
  <si>
    <t>5750.Y5BANDO</t>
  </si>
  <si>
    <t>6PK1705(EPDM)</t>
  </si>
  <si>
    <t>5750.Y5BBANDO</t>
  </si>
  <si>
    <t xml:space="preserve">V KAYIŞ 6PK1710 206/BİPPER/NEMO 1.4HDİ //1.6HDİ </t>
  </si>
  <si>
    <t>6PK1710(EPDM)</t>
  </si>
  <si>
    <t>5750.Y5BOSCH</t>
  </si>
  <si>
    <t>V KAYIŞ 6PK1705 206/BİPPER/NEMO 1.4HDİ //1.6HDİ</t>
  </si>
  <si>
    <t>5750.Y5DAYCO</t>
  </si>
  <si>
    <t>6PK1710</t>
  </si>
  <si>
    <t>5750.YEABA</t>
  </si>
  <si>
    <t>6PK1565S1</t>
  </si>
  <si>
    <t>V KAYIŞ 6PK1565 206 TU3JP 1.4 8V (KIT)</t>
  </si>
  <si>
    <t>5750.YEABA.T</t>
  </si>
  <si>
    <t>V KAYIŞ 6PK1565 206 TU3JP 1.4 8V</t>
  </si>
  <si>
    <t>6PK1565</t>
  </si>
  <si>
    <t>5750.YEBOSCH</t>
  </si>
  <si>
    <t>5750.YGABA</t>
  </si>
  <si>
    <t>V KAYIŞ 6PK1740 PARTNER/BERLİNGO DW8/DW10 +HD+AC</t>
  </si>
  <si>
    <t>6PK1740</t>
  </si>
  <si>
    <t>5750.YGBOSCH</t>
  </si>
  <si>
    <t>V KAYIŞ 6PK1750 PARTNER/BERLİNGO DW8/DW10 +HD+AC</t>
  </si>
  <si>
    <t>5750.YPABA</t>
  </si>
  <si>
    <t>V KAYIŞ 6PK803 PEUGEOT</t>
  </si>
  <si>
    <t>6PK803</t>
  </si>
  <si>
    <t>5750.YQABA</t>
  </si>
  <si>
    <t>V KAYIŞ 6PK976 1.4/1.6 HDİ DV4/DV6</t>
  </si>
  <si>
    <t>6PK976</t>
  </si>
  <si>
    <t>5750.YQBANDO</t>
  </si>
  <si>
    <t>6PK0975(EPDM)</t>
  </si>
  <si>
    <t>5750.YQBOSCH</t>
  </si>
  <si>
    <t>5750.YYABA</t>
  </si>
  <si>
    <t>V KAYIŞ 6PK1660 XU10J4R 1.8 16V 306/406/XSARA</t>
  </si>
  <si>
    <t>6PK1660</t>
  </si>
  <si>
    <t>5751.29BMS-D</t>
  </si>
  <si>
    <t>BMS 107 D</t>
  </si>
  <si>
    <t>V KAYIŞ GERGİ RULMAN SABİT DW8/DW10</t>
  </si>
  <si>
    <t>5751.29BMS-P</t>
  </si>
  <si>
    <t>BMS107P</t>
  </si>
  <si>
    <t>5751.29VOE</t>
  </si>
  <si>
    <t>VOE</t>
  </si>
  <si>
    <t>VTB33013</t>
  </si>
  <si>
    <t>5751.47ABA</t>
  </si>
  <si>
    <t xml:space="preserve">V KAYIŞ GERGİ RULMAN 307/C4 1.4/1.6 16V </t>
  </si>
  <si>
    <t>5751.52VOE</t>
  </si>
  <si>
    <t>V KAYIŞ GERGİ KOMPLE 1.6 8V/1.4 8V 206/XSARA</t>
  </si>
  <si>
    <t>VTB 33037</t>
  </si>
  <si>
    <t>5751.55ECO</t>
  </si>
  <si>
    <t>ECO G0187</t>
  </si>
  <si>
    <t xml:space="preserve">V KAYIŞ GERGİ KOMPLE DW10 2.0/2.2HDİ PARTNER/BOXER/JUMPER </t>
  </si>
  <si>
    <t>5751.55SNR</t>
  </si>
  <si>
    <t xml:space="preserve">V KAYIŞ GERGİ KOMPLE DW10 2.0/2.2HDİ PARTNER/BOXER/JUMPER  </t>
  </si>
  <si>
    <t>GA359.85</t>
  </si>
  <si>
    <t>5751.60ECO</t>
  </si>
  <si>
    <t>V KAYIŞ GERGİ RULMAN SABİT OLAN 2.0 16V PEUGEOT</t>
  </si>
  <si>
    <t>G7825005</t>
  </si>
  <si>
    <t>5751.67ABA</t>
  </si>
  <si>
    <t>V KAYIŞ GERGİ RULMAN SABİT DW8</t>
  </si>
  <si>
    <t>5751.73BMS</t>
  </si>
  <si>
    <t>BMS 130</t>
  </si>
  <si>
    <t>V KAYIŞ RULMAN DW8 98&gt;PARTNER SABİT BÜYÜK</t>
  </si>
  <si>
    <t>5751.86ABA</t>
  </si>
  <si>
    <t>V KAYIŞ GERGİ KOMPLE 1.6HDİ 16V DV6ATED4</t>
  </si>
  <si>
    <t>5751.86ASPART</t>
  </si>
  <si>
    <t>8TLV1067</t>
  </si>
  <si>
    <t>5751.86DAYCO</t>
  </si>
  <si>
    <t xml:space="preserve">V KAYIŞ GERGİ KOMPLE 1.6HDİ 16V DV6ATED4 </t>
  </si>
  <si>
    <t>APV1076</t>
  </si>
  <si>
    <t xml:space="preserve">5751.86GATES </t>
  </si>
  <si>
    <t>T38331</t>
  </si>
  <si>
    <t>5751.86SNR</t>
  </si>
  <si>
    <t>GA359.00</t>
  </si>
  <si>
    <t>5751.87BMS</t>
  </si>
  <si>
    <t>V KAYIŞ RULMAN SABİT -AC 1.4/1.6HDİ</t>
  </si>
  <si>
    <t>BMS-222</t>
  </si>
  <si>
    <t>5751.87ECO</t>
  </si>
  <si>
    <t>G6030084</t>
  </si>
  <si>
    <t>5751.89ABA</t>
  </si>
  <si>
    <t>V KAYIŞ  RULMAN 1.4/1.6HDİ</t>
  </si>
  <si>
    <t>5751.89ABA-K</t>
  </si>
  <si>
    <t>V KAYIŞ GERGİ 1.4HDİ/1.6HDİ 75/90HP</t>
  </si>
  <si>
    <t>5751.89BMS</t>
  </si>
  <si>
    <t xml:space="preserve">V KAYIŞ  RULMAN 1.4/1.6HDİ </t>
  </si>
  <si>
    <t>BMS-038</t>
  </si>
  <si>
    <t>5751.89ECO</t>
  </si>
  <si>
    <t>G5525009</t>
  </si>
  <si>
    <t>5751.89GVA</t>
  </si>
  <si>
    <t>V KAYIŞ GERGİ 1.4HDİ/1.6HDİ 75/90HP  1613840380</t>
  </si>
  <si>
    <t>2743236K</t>
  </si>
  <si>
    <t>5751.89SNR</t>
  </si>
  <si>
    <t>GA359.11</t>
  </si>
  <si>
    <t>5751.91</t>
  </si>
  <si>
    <t>V KAYIŞ GERGİ KOMPLE DW8 1.9 PARTNER/BERLİNGO</t>
  </si>
  <si>
    <t>5751.94ABA</t>
  </si>
  <si>
    <t>V KAYIŞ GERGİ KOMPLE DW8B KLİMALI 1.9D</t>
  </si>
  <si>
    <t>5751.94SNR</t>
  </si>
  <si>
    <t>GA359.24</t>
  </si>
  <si>
    <t xml:space="preserve">5751.97BMS </t>
  </si>
  <si>
    <t>V KAYIŞ GERGİ RULMAN 206 1.4/1.6 16V /DW8 1.9D</t>
  </si>
  <si>
    <t xml:space="preserve">BMS </t>
  </si>
  <si>
    <t>BMS-013</t>
  </si>
  <si>
    <t>5751.98ABA</t>
  </si>
  <si>
    <t>V KAYIŞ GERGİ RULMAN 206/XSARA 1.4/1.6 16V</t>
  </si>
  <si>
    <t>5751.A2MGA</t>
  </si>
  <si>
    <t>V KAYIŞ GERGİ KOMPLE TU3JP/TU5JP4 1.4/1.6 16V +AC</t>
  </si>
  <si>
    <t>5751.C3-TEK-BMS</t>
  </si>
  <si>
    <t>BMS 257</t>
  </si>
  <si>
    <t>V KAYIŞ GERGİ RULMAN 307/C3/C4 1.6 16V TU5JP4</t>
  </si>
  <si>
    <t>5751.C3ABA</t>
  </si>
  <si>
    <t>V KAYIŞ GERGİ KOMPLE 307/C3/C4 1.6 16V TU5JP4</t>
  </si>
  <si>
    <t>5751.C3GVA</t>
  </si>
  <si>
    <t>2743251K</t>
  </si>
  <si>
    <t>5751.C8</t>
  </si>
  <si>
    <t xml:space="preserve">V KAYIŞ GERGİ KOMPLE 1.4 8V /1.6 16V TU3A </t>
  </si>
  <si>
    <t>5751.C8ABA</t>
  </si>
  <si>
    <t>5751.C8SNR</t>
  </si>
  <si>
    <t>V KAYIŞ GERGİ KOMPLE 1.4 8V /1.6 16V TU3A</t>
  </si>
  <si>
    <t>GA359.14</t>
  </si>
  <si>
    <t>5751.E5BMS</t>
  </si>
  <si>
    <t>BMS 103</t>
  </si>
  <si>
    <t xml:space="preserve">V KAYIŞ RULMAN SABİT OLAN 1.4/1.6HDİ +AC </t>
  </si>
  <si>
    <t>5751.F3DAYCO</t>
  </si>
  <si>
    <t>V KAYIŞ GERGİ KOMPLE 1.4/1.6 HDİ DV4/DV6</t>
  </si>
  <si>
    <t>APV2463</t>
  </si>
  <si>
    <t>5751.F3GVA</t>
  </si>
  <si>
    <t>2743225K</t>
  </si>
  <si>
    <t>5751.F3SNR</t>
  </si>
  <si>
    <t>GA359.17</t>
  </si>
  <si>
    <t>5751.F4ABA</t>
  </si>
  <si>
    <t>V KAYIŞ RULMAN 1.4HDİ/1.6HDİ DV4/DV6</t>
  </si>
  <si>
    <t>5751.G2ECO</t>
  </si>
  <si>
    <t>V KAYIŞ RULMAN 1.4/1.6HDİ BÜYÜK</t>
  </si>
  <si>
    <t xml:space="preserve">5751.K4GATES </t>
  </si>
  <si>
    <t>V KAYIŞ GERGİ KOMPLE 1.6HDİ EURO5 DV6C</t>
  </si>
  <si>
    <t>T39187</t>
  </si>
  <si>
    <t>578002YTT</t>
  </si>
  <si>
    <t>EL FREN KÖRÜĞÜ CORSA.D</t>
  </si>
  <si>
    <t>Y2399</t>
  </si>
  <si>
    <t>578412CABU</t>
  </si>
  <si>
    <t>EL FREN KÖRÜĞÜ ASTRA.G</t>
  </si>
  <si>
    <t>578511CABU</t>
  </si>
  <si>
    <t>EL FREN KÖRÜĞÜ VECTRA.B</t>
  </si>
  <si>
    <t>578512CABU</t>
  </si>
  <si>
    <t>EL FREN KÖRÜĞÜ CORSA.B</t>
  </si>
  <si>
    <t>578794Y</t>
  </si>
  <si>
    <t>EL FREN KÖRÜĞÜ VECTRA.A</t>
  </si>
  <si>
    <t>5802.V8VALEO</t>
  </si>
  <si>
    <t>MARŞ DİNAMOSU 10DİŞ PARTNER/BERLİNGO DW8/DW10 1.9/2.0 D</t>
  </si>
  <si>
    <t>5802006BOSCH</t>
  </si>
  <si>
    <t>YAKI DEPO ŞAMANDIRA KOMPLE MERİVA.A Z14XE/Z16XE</t>
  </si>
  <si>
    <t>5802006DELPHİ</t>
  </si>
  <si>
    <t>FG2399-12B1</t>
  </si>
  <si>
    <t>5807468İTHAL</t>
  </si>
  <si>
    <t xml:space="preserve">KANİSTER VALFİ(DEPO HAVLANDIRMA) A16XER/Z16XER </t>
  </si>
  <si>
    <t>5807468METTE</t>
  </si>
  <si>
    <t>KANİSTER VALFİ(DEPO HAVLANDIRMA) A16XER/Z16XER</t>
  </si>
  <si>
    <t>651D5230</t>
  </si>
  <si>
    <t>5807482PIERBURG</t>
  </si>
  <si>
    <t>EMME MANİFOLD VALFİ A12XER/A14XER/A16XER</t>
  </si>
  <si>
    <t>7.02256.43.0</t>
  </si>
  <si>
    <t>5815023HELLA</t>
  </si>
  <si>
    <t>YAKI DEPO ŞAMANDIRA KOMPLE ASTRA.H 1.2/1.4/1.6</t>
  </si>
  <si>
    <t>8TF358106961</t>
  </si>
  <si>
    <t>5817313KRAFTVOLL</t>
  </si>
  <si>
    <t xml:space="preserve">ENJEKTÖR GERİ DÖNÜŞ HORTUM ASTRA.H Z19DTH/COMBO.D 1.6D </t>
  </si>
  <si>
    <t>5817313WINTECH</t>
  </si>
  <si>
    <t>WIN0500240</t>
  </si>
  <si>
    <t>ENJEKTÖR GERİ DÖNÜŞ HORTUM ASTRA.H Z19DTH/COMBO.D 1.6D</t>
  </si>
  <si>
    <t>5817325BOSCH</t>
  </si>
  <si>
    <t>EJNEKTÖR RAİL RAMPA Z13DTH (MÜŞÜRLÜ)</t>
  </si>
  <si>
    <t xml:space="preserve">5818085BOSCH </t>
  </si>
  <si>
    <t>MAZOT FİLTRESİ ASTRA.J/İNSİGNİA.A</t>
  </si>
  <si>
    <t>F026402062</t>
  </si>
  <si>
    <t>5818085DELPHİ</t>
  </si>
  <si>
    <t>HDF623</t>
  </si>
  <si>
    <t>5818085ERP</t>
  </si>
  <si>
    <t>5818085GRAT</t>
  </si>
  <si>
    <t>GRT-25300</t>
  </si>
  <si>
    <t>5818085MANDO</t>
  </si>
  <si>
    <t>MMF030008</t>
  </si>
  <si>
    <t>5818085MANN</t>
  </si>
  <si>
    <t>PU9001/1X</t>
  </si>
  <si>
    <t>5818085SARDES</t>
  </si>
  <si>
    <t>SF292</t>
  </si>
  <si>
    <t>5818085VALEO</t>
  </si>
  <si>
    <t>5818085WUNDER</t>
  </si>
  <si>
    <t>WB351</t>
  </si>
  <si>
    <t>5820544WİNTECH</t>
  </si>
  <si>
    <t>WIN0500609</t>
  </si>
  <si>
    <t>YAKI HORTUM ASTRA.H Z13DTH</t>
  </si>
  <si>
    <t>5820656İBRAS</t>
  </si>
  <si>
    <t>YAKIT BORUSU İNSİGNİA.A B16DTH(ŞAMANDIRA FİLTRE ARASI)</t>
  </si>
  <si>
    <t>5825240İBRAŞ</t>
  </si>
  <si>
    <t>GAZ KELEBEK HORTUM Z16XEP</t>
  </si>
  <si>
    <t>5825240KRAFTVOLL</t>
  </si>
  <si>
    <t>GAZ KELEBEK HORTUM Z16XEP ASTRA.H/VECTRA.C</t>
  </si>
  <si>
    <t>GAZ KELEBEĞİ Z16XEP ASTRA.H</t>
  </si>
  <si>
    <t xml:space="preserve">5825724İBRAS </t>
  </si>
  <si>
    <t>GAZ KELEBEK HORTUM İNSİGNİA.A/ASTRA.H/J/MOKKA A16XER/Z16XER</t>
  </si>
  <si>
    <t xml:space="preserve">İBRAS </t>
  </si>
  <si>
    <t>5826485ASPART</t>
  </si>
  <si>
    <t>5HOS1266</t>
  </si>
  <si>
    <t xml:space="preserve">YEDEK SU DEPO HORTUM ASTRA.J/İNSİGNİA.A/MOKKA A16XER/B16XER </t>
  </si>
  <si>
    <t>5826485İBRAS</t>
  </si>
  <si>
    <t>YEDEK SU DEPO HORTUM ASTRA.J/İNSİGNİA.A/MOKKA A16XER/B16XER</t>
  </si>
  <si>
    <t>5826485KRAFTVOLL</t>
  </si>
  <si>
    <t>5826485NİFEA</t>
  </si>
  <si>
    <t>5826485WIN</t>
  </si>
  <si>
    <t>WIN0500602</t>
  </si>
  <si>
    <t>5826485YTT</t>
  </si>
  <si>
    <t>Y11705</t>
  </si>
  <si>
    <t>TURBO HORTUM SOL ALT CORSA.C Z13DT</t>
  </si>
  <si>
    <t>5835930LEVRETTO</t>
  </si>
  <si>
    <t>HAVA FİLTRESİ CORSA.D/E</t>
  </si>
  <si>
    <t>5835930METTE</t>
  </si>
  <si>
    <t>741F7318</t>
  </si>
  <si>
    <t>5835930SİON</t>
  </si>
  <si>
    <t>SH1561</t>
  </si>
  <si>
    <t>5835930WUNDER</t>
  </si>
  <si>
    <t xml:space="preserve">HAVA FİLTRESİ CORSA.D/E  </t>
  </si>
  <si>
    <t>WH318</t>
  </si>
  <si>
    <t>5836739ASPART</t>
  </si>
  <si>
    <t>5SHO1025</t>
  </si>
  <si>
    <t>HAVA FİLTRE HORTUM VECTRA.B X20XEV</t>
  </si>
  <si>
    <t>5836739RPR</t>
  </si>
  <si>
    <t>R18280</t>
  </si>
  <si>
    <t>5836739YTT</t>
  </si>
  <si>
    <t>Y1559</t>
  </si>
  <si>
    <t xml:space="preserve">5836841METTE </t>
  </si>
  <si>
    <t>HAVA DEBİMETRE VECTRA.A C20NE</t>
  </si>
  <si>
    <t>651D5234</t>
  </si>
  <si>
    <t>5849021SBS</t>
  </si>
  <si>
    <t>KATALİZATÖR MANİFOLTLU Z16XEP ASTRA.H/VECTRA.C</t>
  </si>
  <si>
    <t>S.B.S</t>
  </si>
  <si>
    <t>DFN430</t>
  </si>
  <si>
    <t>5849914ELRİNG</t>
  </si>
  <si>
    <t>EKSOZ MANİFOLT CONTA A16LET/Z16LET</t>
  </si>
  <si>
    <t>EMME MANİFOLT GERGİ DÖNÜŞ VALFİ A16XER/Z16XER</t>
  </si>
  <si>
    <t>5850534AKD</t>
  </si>
  <si>
    <t xml:space="preserve">EMME+EKSOZ MANİFOLT CONTA A16LET </t>
  </si>
  <si>
    <t>5850534VİCTOR</t>
  </si>
  <si>
    <t>EMME MANİFOLT CONTA A16LET</t>
  </si>
  <si>
    <t>71-38149-00</t>
  </si>
  <si>
    <t>EMME MANİFOLT CONTA X14XE/X16XE</t>
  </si>
  <si>
    <t>5850609PRESTİGE</t>
  </si>
  <si>
    <t>3 7018 19</t>
  </si>
  <si>
    <t>5850613AKD-SET</t>
  </si>
  <si>
    <t>AKD 5850613</t>
  </si>
  <si>
    <t>EMME+EKSOZ MANİFOLT CONTA X14XE/X16XE</t>
  </si>
  <si>
    <t>5850613ROYAL</t>
  </si>
  <si>
    <t>EKSOZ MANİFOLT CONTA X14XE/X16XE</t>
  </si>
  <si>
    <t>5850613VİCTOR</t>
  </si>
  <si>
    <t>71-31969-00</t>
  </si>
  <si>
    <t xml:space="preserve">5850624OTOCONTA </t>
  </si>
  <si>
    <t>EMME MANİFOLT ARA CONTA Z14XE/Z16XE</t>
  </si>
  <si>
    <t>5850638VİCTOR</t>
  </si>
  <si>
    <t>EMME MANİFOLT CONTA ÜST X20DTH/Y20DTL</t>
  </si>
  <si>
    <t>71-34933-00</t>
  </si>
  <si>
    <t>5850664ELRİNG</t>
  </si>
  <si>
    <t>EMME MANİFOLT ARA CONTA Z16XEP</t>
  </si>
  <si>
    <t>5850671ELRİNG</t>
  </si>
  <si>
    <t xml:space="preserve">EMME MANİDOLT ARA CONTA Y17DT </t>
  </si>
  <si>
    <t>5850674Y</t>
  </si>
  <si>
    <t>EMME MANİFOLT CONTA Z13DT EURO4</t>
  </si>
  <si>
    <t>5850796PRESTİGE</t>
  </si>
  <si>
    <t>EMME MANİFOLT CONTA Z12XE/Z14XEP/Z14XEP</t>
  </si>
  <si>
    <t xml:space="preserve">PRESTİGE </t>
  </si>
  <si>
    <t>5851005DELPHİ</t>
  </si>
  <si>
    <t>EGR VALFİ ASTRA.F/VECTRA.B/CORSA.B X14XE/X16XE/X14SZ</t>
  </si>
  <si>
    <t>EG10004-12B1</t>
  </si>
  <si>
    <t>5851025DELPHİ</t>
  </si>
  <si>
    <t>EGR VALFİ ASTRA.G 99-01/VECTRA.B 99-01 X16XEL</t>
  </si>
  <si>
    <t>EG10006-12B1</t>
  </si>
  <si>
    <t>5851073OEM</t>
  </si>
  <si>
    <t>TURBO SELENOİD VALF ASTRA.H/CORSA.C Z13DTH</t>
  </si>
  <si>
    <t>5851073PİERBURG</t>
  </si>
  <si>
    <t>5851091ELRİNG</t>
  </si>
  <si>
    <t>EGR CONTA A13DTE/A13DTC EURO5</t>
  </si>
  <si>
    <t>5851356ELRİNG</t>
  </si>
  <si>
    <t>EGR CONTA TAKIMI ASTRA.H/CORSA.D Z13DTH 90HP</t>
  </si>
  <si>
    <t xml:space="preserve">5851357DEKAR </t>
  </si>
  <si>
    <t>EGR METAL HORTUM Z13DT/Z13DTH</t>
  </si>
  <si>
    <t>DK1911</t>
  </si>
  <si>
    <t>5851357İBRAS</t>
  </si>
  <si>
    <t xml:space="preserve">EGR METAL HORTUM Z13DT/Z13DTH   </t>
  </si>
  <si>
    <t>5851357KRAFTVOLL</t>
  </si>
  <si>
    <t xml:space="preserve">EGR METAL HORTUM Z13DT/Z13DTH  </t>
  </si>
  <si>
    <t xml:space="preserve">5851407DEKAR </t>
  </si>
  <si>
    <t>EGR DİRSEK BORU CORSA.C/CORSA.D Z13DT</t>
  </si>
  <si>
    <t>DK1912</t>
  </si>
  <si>
    <t>5851407İBRAS</t>
  </si>
  <si>
    <t>5851407NİFEA</t>
  </si>
  <si>
    <t xml:space="preserve">EGR DİRSEK BORU CORSA.C/CORSA.D Z13DT </t>
  </si>
  <si>
    <t>5851586DELPHİ</t>
  </si>
  <si>
    <t>EGR VALFİ Z16XEP</t>
  </si>
  <si>
    <t>EG10310-12B1</t>
  </si>
  <si>
    <t>5851946MES</t>
  </si>
  <si>
    <t>EGR HORTUM Z13DT/Z13DTH</t>
  </si>
  <si>
    <t>5851946MGA</t>
  </si>
  <si>
    <t>5851946RPR</t>
  </si>
  <si>
    <t>R18434</t>
  </si>
  <si>
    <t>5851947RPR</t>
  </si>
  <si>
    <t>EGR HORTUM Z13DT/DTH</t>
  </si>
  <si>
    <t>RARPO</t>
  </si>
  <si>
    <t>R18315</t>
  </si>
  <si>
    <t>5852691UCEL</t>
  </si>
  <si>
    <t>EKSOZ ASKI LASTİK ÖN CORSA.D/E/ADAM</t>
  </si>
  <si>
    <t>5854312ELRİNG</t>
  </si>
  <si>
    <t>KATALİZÖR BOĞAZ CONTA A16LET</t>
  </si>
  <si>
    <t xml:space="preserve">5854988ELRİNG </t>
  </si>
  <si>
    <t>EKSOZ BOĞAZ CONTA Z14XE/Z16XE/Z18XE/Z12XEP/Z14XEP/Z16XE/A16XER</t>
  </si>
  <si>
    <t>5860032NİFEA</t>
  </si>
  <si>
    <t>TURBO HORTUM SOL ALT JAKLI CORSA.D Z13DTH</t>
  </si>
  <si>
    <t>5860033UCPA</t>
  </si>
  <si>
    <t>22H133302</t>
  </si>
  <si>
    <t>TURBO HORTUM CORSA.D Z13DTJ</t>
  </si>
  <si>
    <t>KATALİZÖR TURBO ARA CONTA A13DTE/A131DTC</t>
  </si>
  <si>
    <t>5860312ELRİNG</t>
  </si>
  <si>
    <t xml:space="preserve">TURBO EKSOZ MANİFOLT ARA CONTA A13DTE </t>
  </si>
  <si>
    <t>5860312KRAFTVOLL</t>
  </si>
  <si>
    <t>TURBO EKSOZ MANİFOLT ARA CONTA A13DTE</t>
  </si>
  <si>
    <t>5860313PEKTECHNIC</t>
  </si>
  <si>
    <t>TURBO YAĞLAMA BORUSU ASTRA.J/CORSA.D A13DTE/A13DTJ EURO5</t>
  </si>
  <si>
    <t>5860518ASPART</t>
  </si>
  <si>
    <t>5PIP1127</t>
  </si>
  <si>
    <t xml:space="preserve">TERMOSTAT HORTUM A16LET İNSİGNİA.A/ASTRA.J </t>
  </si>
  <si>
    <t>5860518CM</t>
  </si>
  <si>
    <t>CM 135022</t>
  </si>
  <si>
    <t>5860518IISI</t>
  </si>
  <si>
    <t>TERMOSTAT HORTUM A16LET İNSİGNİA.A/ASTRA.J</t>
  </si>
  <si>
    <t>HRT100001</t>
  </si>
  <si>
    <t>5860518RPR</t>
  </si>
  <si>
    <t>R18435</t>
  </si>
  <si>
    <t>5860518WINTECH</t>
  </si>
  <si>
    <t>WIN0500601</t>
  </si>
  <si>
    <t>5860518YTT</t>
  </si>
  <si>
    <t>Y11680</t>
  </si>
  <si>
    <t xml:space="preserve">TURBO HORTUM ARA CONTA A13DTE </t>
  </si>
  <si>
    <t>5860547İBRAS</t>
  </si>
  <si>
    <t>TURBO HORTUM CORSA.D SAĞ ÜST Z13DTH</t>
  </si>
  <si>
    <t xml:space="preserve">5860589İBRAS </t>
  </si>
  <si>
    <t xml:space="preserve">TURBO VAKUM HORTUM ASTRA.H Z13DT </t>
  </si>
  <si>
    <t>5860809NİFEA</t>
  </si>
  <si>
    <t>TURBO HORTUM SAĞ CORSA.C Z13DT (PLASTİK OLAN)</t>
  </si>
  <si>
    <t>5860810YTT</t>
  </si>
  <si>
    <t xml:space="preserve">TURBO ARA HORTUM CORSA.C/MERİVA.A Z13DT </t>
  </si>
  <si>
    <t>Y10535</t>
  </si>
  <si>
    <t>5860815BİRLİK</t>
  </si>
  <si>
    <t>TURBO YAĞ GERİ DÖNÜŞ BORU CORSA.C/D 75HP EURO4</t>
  </si>
  <si>
    <t>BIRLIK-0031</t>
  </si>
  <si>
    <t>5860815DEKAR</t>
  </si>
  <si>
    <t>DK0400</t>
  </si>
  <si>
    <t>5860815KRAFTVOLL</t>
  </si>
  <si>
    <t xml:space="preserve">5860818ASPART </t>
  </si>
  <si>
    <t>5HOS1268</t>
  </si>
  <si>
    <t xml:space="preserve">TURBO HORTUM ÜST CORSA.C Z13DT </t>
  </si>
  <si>
    <t>TURBO YAĞ DÖNÜŞ BORU CONTA A16LET</t>
  </si>
  <si>
    <t>5866-STD</t>
  </si>
  <si>
    <t>GÖMLEK 82,2 STD DW8 1.9D</t>
  </si>
  <si>
    <t>51-65866-00</t>
  </si>
  <si>
    <t>5900310SİSMAK</t>
  </si>
  <si>
    <t>DİREKSİYON KUTUSU EPS 2,70TUR 112D.AÇI CORSA.C/COMBO.C</t>
  </si>
  <si>
    <t>SİSMAK</t>
  </si>
  <si>
    <t>264416T</t>
  </si>
  <si>
    <t>5905102MGA</t>
  </si>
  <si>
    <t>DİREKSİYON MAFSALI CORSA.C</t>
  </si>
  <si>
    <t xml:space="preserve">5918.92ÜNÜVAR </t>
  </si>
  <si>
    <t>KRANK DEVİR SENSÖR (UCLU 61,00CM) 106/306/405 1.7D/XUD7 1.9D//BOXER 2.0HDİ/2.5HDİ</t>
  </si>
  <si>
    <t>5960.15BOSCH</t>
  </si>
  <si>
    <t>ATEŞLEME BUJİ TU3/TU5</t>
  </si>
  <si>
    <t>5960.15MARELLİ</t>
  </si>
  <si>
    <t>ATEŞLEME BUJİ 1.4/1.6 16V TU5/TU3</t>
  </si>
  <si>
    <t>5960.57BOSCH</t>
  </si>
  <si>
    <t>ATEŞLEME BUJİ 206/307/C2/C3 1.6 16V TU5JP4</t>
  </si>
  <si>
    <t>5960.E6ET1BERU</t>
  </si>
  <si>
    <t>KIZDIRMA BUJİ 1.6HDİ 10&gt;&gt;/DW10FU/DW12RU EURO6</t>
  </si>
  <si>
    <t>ET1BERU</t>
  </si>
  <si>
    <t>ET112068</t>
  </si>
  <si>
    <t>5960.E6SVAC</t>
  </si>
  <si>
    <t>SV123</t>
  </si>
  <si>
    <t>5960.E9ERP</t>
  </si>
  <si>
    <t xml:space="preserve">KIZDIRMA BUJİ DV4/DV6 1.4HDİ/1.6HDİ SOMUNLU </t>
  </si>
  <si>
    <t>5960.E9ET1</t>
  </si>
  <si>
    <t>EC773</t>
  </si>
  <si>
    <t>KIZDIRMA BUJİ DV4/DV6 1.4/1.6HDİ CİVATALI</t>
  </si>
  <si>
    <t>ET1</t>
  </si>
  <si>
    <t>5960.E9FROWAS</t>
  </si>
  <si>
    <t>5960.F3ERP</t>
  </si>
  <si>
    <t>ATEŞLEME BUJİ TU5JP4 1.6/1.8 16V 206/207/307 FR8ME</t>
  </si>
  <si>
    <t>5960.F3MARELLİ</t>
  </si>
  <si>
    <t>5960.F5</t>
  </si>
  <si>
    <t>KIZDMA BUJİ DW10 2.0HDİ 11V</t>
  </si>
  <si>
    <t>5960.F5FROWAS</t>
  </si>
  <si>
    <t>5960.F5SVAC</t>
  </si>
  <si>
    <t>SV022</t>
  </si>
  <si>
    <t>5960.F6ERP</t>
  </si>
  <si>
    <t>KIZDIRMA BUJİ DW8</t>
  </si>
  <si>
    <t>5960.F6SVAC</t>
  </si>
  <si>
    <t>SV020</t>
  </si>
  <si>
    <t>5960.F9ERP</t>
  </si>
  <si>
    <t xml:space="preserve">KIZDIRMA BUJİ DV4/DV6 1.4/1.6HDİ GEÇMELİ </t>
  </si>
  <si>
    <t>5960.F9FROW</t>
  </si>
  <si>
    <t>5960.F9SVAC</t>
  </si>
  <si>
    <t>SV028</t>
  </si>
  <si>
    <t>5960.G1BOSCH</t>
  </si>
  <si>
    <t>ATEŞLEME BUJİ ET3J4 1.4 16V 206/207/307/C2 88bg</t>
  </si>
  <si>
    <t>5960.G1ERP</t>
  </si>
  <si>
    <t>ATEŞLEME BUJİ ET3J4 1.4 16V 206/207/307/C2</t>
  </si>
  <si>
    <t>5960.G1EYQUEM</t>
  </si>
  <si>
    <t>RWC42HSEW</t>
  </si>
  <si>
    <t>5960.G7BOSCH</t>
  </si>
  <si>
    <t>KIZDIRMA BUJİ XUD9/X17DT CORSA</t>
  </si>
  <si>
    <t>5960.G7SVAC</t>
  </si>
  <si>
    <t>SV001</t>
  </si>
  <si>
    <t>5960.H9BOSCH</t>
  </si>
  <si>
    <t>BUJİ İRİDİUM 1.6 16V EP3/EP6 207/308 //EB2 1.2 110HP//F20/F30/F80</t>
  </si>
  <si>
    <t>5960.J2ERP</t>
  </si>
  <si>
    <t>ATEŞLEME BUJİ 1.6 8V TU5JP TU3/ ÇİFT TIRNAK X14XE/X16XE/Z16XE/X20XEV</t>
  </si>
  <si>
    <t>5970.64BOSCH</t>
  </si>
  <si>
    <t>ATEŞLEME BOBİN EP6/EP6CDT</t>
  </si>
  <si>
    <t>5970.85BOSCH</t>
  </si>
  <si>
    <t xml:space="preserve">ATEŞLEME BOBİN 307/C4 1.4 16V ET3J4 </t>
  </si>
  <si>
    <t>5970.85DELPHİ</t>
  </si>
  <si>
    <t>GN10239-12B1</t>
  </si>
  <si>
    <t>5970.99</t>
  </si>
  <si>
    <t>ATEŞLEME BOBİN 206/307 1.6 16V TU5JP4</t>
  </si>
  <si>
    <t>5970.99ÜNÜVAR</t>
  </si>
  <si>
    <t xml:space="preserve">ATEŞLEME BOBİN 206/307 1.6 16V TU5JP4  </t>
  </si>
  <si>
    <t>UNU-155032-2</t>
  </si>
  <si>
    <t>5970.A3BREMİ</t>
  </si>
  <si>
    <t>ATEŞLEME BOBİN 106/SAXO TU5J4</t>
  </si>
  <si>
    <t>5970.A8HELLA</t>
  </si>
  <si>
    <t>ATEŞLEME BOBİN 106/206/306 TU3/TU5JP 1.4 8V GRİ SOKET</t>
  </si>
  <si>
    <t>5DA193175441</t>
  </si>
  <si>
    <t>5970.A9FACET</t>
  </si>
  <si>
    <t>ATEŞLEME BOBİN TU3JP/TU5JP SİYAH SOKET 1.4/1.6 &lt;01</t>
  </si>
  <si>
    <t>5981.38</t>
  </si>
  <si>
    <t>KIZDIRMA RÖLE DW8/DW10 PARTNER/BERLİNGO</t>
  </si>
  <si>
    <t>5G1998002SİLBAK</t>
  </si>
  <si>
    <t>ÖN SİLECEK TAKIM 65+45 13&gt; GOLF VII/PASSAT/SUPERB/A3/ATECA</t>
  </si>
  <si>
    <t>SB2618C2</t>
  </si>
  <si>
    <t>5K6955427ASİLBAK</t>
  </si>
  <si>
    <t>ARKA SİLECEK GOLF VI/VII/ATECA</t>
  </si>
  <si>
    <t>SB11ARC</t>
  </si>
  <si>
    <t>5Q0698151AH-BRAXIS</t>
  </si>
  <si>
    <t>ÖN FREN BALATA 160mm GOLF 7/LEON /OCTAVİA 12&gt;</t>
  </si>
  <si>
    <t>AB0313</t>
  </si>
  <si>
    <t>5Q0698451C-BRAXIS</t>
  </si>
  <si>
    <t>ARKA BALATA 123mm GOLF 7/A3 12&gt;</t>
  </si>
  <si>
    <t>AA0605</t>
  </si>
  <si>
    <t>5W30 4LT TECAA DX1</t>
  </si>
  <si>
    <t>MOTOR YAĞI 5W30 4LT TEC AA DEXOS1 GEN3</t>
  </si>
  <si>
    <t>5W30 5LT MOLYGEN</t>
  </si>
  <si>
    <t>MOTOR YAĞI 5W30 5LT MOLYGEN NEW GENERATION DX1-GEN3</t>
  </si>
  <si>
    <t>5W30 5LT TOPTEC 4600</t>
  </si>
  <si>
    <t>MOTOR YAĞI 5W30 5LT TOP TEC 4600 DEXOS2</t>
  </si>
  <si>
    <t>5W30 MOBİL 4LT</t>
  </si>
  <si>
    <t>MOTOR YAĞI 5W-30 4LT SÜPER 3000 X1 F-FE</t>
  </si>
  <si>
    <t>5W30 MOBİL 5LT</t>
  </si>
  <si>
    <t>MOTOR YAĞI 5W-30 5LT SÜPER 3000 FORMULA R</t>
  </si>
  <si>
    <t>5W30 MOBİL ESP 5LT</t>
  </si>
  <si>
    <t>MOTOR YAĞI 5W-30 5LT ESP F</t>
  </si>
  <si>
    <t>5W30 XE MOBİL 5LT</t>
  </si>
  <si>
    <t xml:space="preserve">MOTOR YAĞI 5W-30 5LT SÜPER 2000 XE </t>
  </si>
  <si>
    <t>606400METTE</t>
  </si>
  <si>
    <t>DEVİRDAİM ARKA BORU DEMİR 35mm X20XEV</t>
  </si>
  <si>
    <t>668M6244</t>
  </si>
  <si>
    <t>606400TAP</t>
  </si>
  <si>
    <t>TAP.90572544</t>
  </si>
  <si>
    <t xml:space="preserve">606408METTE </t>
  </si>
  <si>
    <t>DEVİRDAİM ARKA BORU DEMİR 30mm X16XEL/X14XE/Z14XE/Z16XE</t>
  </si>
  <si>
    <t>668M6243</t>
  </si>
  <si>
    <t>607093İOTO</t>
  </si>
  <si>
    <t>SİLİNDİR KAPAGI Z16XE (EGRLİ)</t>
  </si>
  <si>
    <t>20201-11007</t>
  </si>
  <si>
    <t>607123ASAHI</t>
  </si>
  <si>
    <t xml:space="preserve">SİLİNDİR KAPAĞI X20XEV </t>
  </si>
  <si>
    <t>ASAHI</t>
  </si>
  <si>
    <t>LP17000</t>
  </si>
  <si>
    <t xml:space="preserve">607123ASPART </t>
  </si>
  <si>
    <t>8CHE1047</t>
  </si>
  <si>
    <t>607156ASAHİ</t>
  </si>
  <si>
    <t>SİLİNDİR KAPAĞI Z16XEP</t>
  </si>
  <si>
    <t>LP18850</t>
  </si>
  <si>
    <t xml:space="preserve">607165BGA </t>
  </si>
  <si>
    <t>SİLİNDİR KAPAK SAPLAMA A14XER/A14NET</t>
  </si>
  <si>
    <t>BK9600</t>
  </si>
  <si>
    <t>607165ELRİNG</t>
  </si>
  <si>
    <t>607165VİCTOR</t>
  </si>
  <si>
    <t>14-32331-01</t>
  </si>
  <si>
    <t>607242ELRİNG</t>
  </si>
  <si>
    <t>SİLİNDİR KAPAK SAPLAMA 1.2/1.4 8V</t>
  </si>
  <si>
    <t xml:space="preserve">607256ELRİNG </t>
  </si>
  <si>
    <t>SİLİNDİR KAPAK SAPLAMA X20XEV</t>
  </si>
  <si>
    <t>607256VİCTOR</t>
  </si>
  <si>
    <t>14-32104-02</t>
  </si>
  <si>
    <t>607347IOTO</t>
  </si>
  <si>
    <t>SİLİNDİR KAPAĞI Z12XEP/Z14XEP</t>
  </si>
  <si>
    <t>20201-11006</t>
  </si>
  <si>
    <t>607491BGA</t>
  </si>
  <si>
    <t>SİLİNDİR KAPAK CONTA X16XEL</t>
  </si>
  <si>
    <t>CH7344</t>
  </si>
  <si>
    <t>607491ELRİNG</t>
  </si>
  <si>
    <t>SİLİNDİR KAPAK CONTA X16XE</t>
  </si>
  <si>
    <t>607491OTOCONTA</t>
  </si>
  <si>
    <t>607491VİCTOR</t>
  </si>
  <si>
    <t>61-31995-10</t>
  </si>
  <si>
    <t xml:space="preserve">607492CORTECO </t>
  </si>
  <si>
    <t>ÜST KAPAK CONTA Y17DT/Y17DTL</t>
  </si>
  <si>
    <t>607492ELRİNG</t>
  </si>
  <si>
    <t>607492VİCTOR</t>
  </si>
  <si>
    <t>71-53146-00</t>
  </si>
  <si>
    <t xml:space="preserve">607499VİCTOR </t>
  </si>
  <si>
    <t>ÜST KAPAK CONTA Z10XEP CORSA.C</t>
  </si>
  <si>
    <t>71-34818-00</t>
  </si>
  <si>
    <t xml:space="preserve">607505AKD </t>
  </si>
  <si>
    <t>KARTER HAVALANDIRMA BYPASS CONTA X20XEV</t>
  </si>
  <si>
    <t>607505HANSFEL</t>
  </si>
  <si>
    <t>HSF-2105</t>
  </si>
  <si>
    <t>607572AKD-METAL</t>
  </si>
  <si>
    <t>KÜLBÜTÖR KAPAĞI X20XEV (METAL)</t>
  </si>
  <si>
    <t>OP199101</t>
  </si>
  <si>
    <t>607572ASPART</t>
  </si>
  <si>
    <t>8RCO1015</t>
  </si>
  <si>
    <t>KÜLBÜTÖR KAPAĞI X20XEV (PLASTİK)</t>
  </si>
  <si>
    <t xml:space="preserve">607631VİCTOR </t>
  </si>
  <si>
    <t xml:space="preserve">ÜST KAPAK CONTA COMBO.B X17TD </t>
  </si>
  <si>
    <t>71-52717-00</t>
  </si>
  <si>
    <t>607642VİCTOR</t>
  </si>
  <si>
    <t>ÜST KAPAK CONTA X25XE OMEGA.B ORİNGLİ SET</t>
  </si>
  <si>
    <t>15-34268-02</t>
  </si>
  <si>
    <t>ÜST KAPAK CONTA X20XEV</t>
  </si>
  <si>
    <t>607647AKD-KALIN</t>
  </si>
  <si>
    <t>ÜST KAPAK CONTA X20XEV (METAL KAPAK İÇİN)</t>
  </si>
  <si>
    <t>OP200221</t>
  </si>
  <si>
    <t>607647ELRİNG</t>
  </si>
  <si>
    <t>607647KLN-METTE</t>
  </si>
  <si>
    <t>266C2175</t>
  </si>
  <si>
    <t>607647MANDO</t>
  </si>
  <si>
    <t>DNI90501944</t>
  </si>
  <si>
    <t xml:space="preserve">607647VİCTOR </t>
  </si>
  <si>
    <t>71-31997-00</t>
  </si>
  <si>
    <t>607647VİCTOR-SET</t>
  </si>
  <si>
    <t>ÜST KAPAK CONTA X20XEV ORİNGLİ</t>
  </si>
  <si>
    <t>15-31997-01</t>
  </si>
  <si>
    <t>607647WİSCO</t>
  </si>
  <si>
    <t>2113628-00</t>
  </si>
  <si>
    <t>607648ELRİNG</t>
  </si>
  <si>
    <t>ÜST KAPAK ORİNG X16XE/X14XE/X20XEV</t>
  </si>
  <si>
    <t>607685ELRİNG</t>
  </si>
  <si>
    <t>SİLİNDİR KAPAK SAPLAMA TAKIM 18SV/20NE 8V</t>
  </si>
  <si>
    <t>607697ASPART</t>
  </si>
  <si>
    <t>8RCO1013</t>
  </si>
  <si>
    <t>KÜLBÜTÖR KAPAGI A12XER/A14XER/A14NET/B14NET</t>
  </si>
  <si>
    <t xml:space="preserve">607697FEBİ </t>
  </si>
  <si>
    <t>607697KRAFTVOLL</t>
  </si>
  <si>
    <t>607726METTE</t>
  </si>
  <si>
    <t xml:space="preserve">ENJEKTÖR KEÇESİ Y17DT  </t>
  </si>
  <si>
    <t>266C2109</t>
  </si>
  <si>
    <t>607726TAP</t>
  </si>
  <si>
    <t xml:space="preserve">ENJEKTÖR KEÇESİ Y17DT </t>
  </si>
  <si>
    <t xml:space="preserve">BLOK SU TAPASI 25mm Z13DT </t>
  </si>
  <si>
    <t>607860METTE</t>
  </si>
  <si>
    <t>ÜST TAKIM CONTA A20DTH</t>
  </si>
  <si>
    <t>266C2164</t>
  </si>
  <si>
    <t>607882ELRİNG</t>
  </si>
  <si>
    <t>SİLİNDİR KAPAK CONTA B16DTH 1.45MM</t>
  </si>
  <si>
    <t>607923VİCTOR</t>
  </si>
  <si>
    <t>SİLİNDİR KAPAK SAPLAMA X20DTH/Y20DTH/X22DTH</t>
  </si>
  <si>
    <t>14-32105-01</t>
  </si>
  <si>
    <t xml:space="preserve">607960ELRİNG </t>
  </si>
  <si>
    <t>SİLİNDİR KAPAK SAPLAMA X14XE/Z16XE/Z14XE/X14XE/Z16XEP/A16XER</t>
  </si>
  <si>
    <t>607960OEM</t>
  </si>
  <si>
    <t>607960VİCTOR</t>
  </si>
  <si>
    <t>14-32103-01</t>
  </si>
  <si>
    <t>607979SWAG</t>
  </si>
  <si>
    <t>SİLİNDİR KAPAK SAPLAMA PULU 8V</t>
  </si>
  <si>
    <t xml:space="preserve">607986ELRİNG </t>
  </si>
  <si>
    <t>SİLİNDİR KAPAK CONTA 1.8 8V C18NZ</t>
  </si>
  <si>
    <t>607986VİCTOR</t>
  </si>
  <si>
    <t>61-27275-10</t>
  </si>
  <si>
    <t>607987ELRİNG</t>
  </si>
  <si>
    <t>SİLİNDİR KAPAK CONTA C20NE/20NE 2.0 8V</t>
  </si>
  <si>
    <t xml:space="preserve">607987VİCTOR </t>
  </si>
  <si>
    <t>61-26775-10</t>
  </si>
  <si>
    <t>ÇAMURLUK DAVLUMBAZ ÖN SOL CORSA.C</t>
  </si>
  <si>
    <t xml:space="preserve">6101330HİLEKS </t>
  </si>
  <si>
    <t xml:space="preserve">ÇAMURLUK DAVLUMBAZI ÖN SOL CORSA.C/COMBO.C </t>
  </si>
  <si>
    <t xml:space="preserve">HİLEKS  </t>
  </si>
  <si>
    <t>OC12-L</t>
  </si>
  <si>
    <t>6101330Y</t>
  </si>
  <si>
    <t>6101339Y</t>
  </si>
  <si>
    <t xml:space="preserve">ÇAMURLUK ÖN SOL ASTRA.H </t>
  </si>
  <si>
    <t>6101353HILEKS</t>
  </si>
  <si>
    <t>ÇAMURLUK DAVLUMBAZI ÖN SOL CORSA.D</t>
  </si>
  <si>
    <t>OC13L</t>
  </si>
  <si>
    <t>6101354HILEKS</t>
  </si>
  <si>
    <t>ÇAMURLUK DAVLUMBAZI ÖN SAĞ CORSA.D</t>
  </si>
  <si>
    <t>OC13R</t>
  </si>
  <si>
    <t>6101364PRASCO</t>
  </si>
  <si>
    <t>ÇAMURLUK ÖN SOL ASTRA.G</t>
  </si>
  <si>
    <t>OP0173004</t>
  </si>
  <si>
    <t>6102338TONGYANG</t>
  </si>
  <si>
    <t>OP10024AR</t>
  </si>
  <si>
    <t xml:space="preserve">ÇAMURLUK ÖN SAĞ VECTRA.C </t>
  </si>
  <si>
    <t>6102340KRAFTVOLL</t>
  </si>
  <si>
    <t xml:space="preserve">ÇAMURLUK DAVLUMBAZ ÖN SAĞ VECTRA.C </t>
  </si>
  <si>
    <t>6102341HİLEKS</t>
  </si>
  <si>
    <t xml:space="preserve">ÇAMURLUK DAVLUMBAZI ÖN SAĞ CORSA.C/COMBO.C </t>
  </si>
  <si>
    <t>HİLEKS</t>
  </si>
  <si>
    <t>OC12-R</t>
  </si>
  <si>
    <t>6102341Y</t>
  </si>
  <si>
    <t>ÇAMURLUK DAVLUMBAZ ÖN SAĞ CORSA.C</t>
  </si>
  <si>
    <t>6102349ORAN</t>
  </si>
  <si>
    <t>ÇAMURLUK ÖN SAĞ ASTRA.H</t>
  </si>
  <si>
    <t>6102362ORAN</t>
  </si>
  <si>
    <t xml:space="preserve">ÖN ÇAMURLUK SAĞ CORSA.D </t>
  </si>
  <si>
    <t>6102364ORAN</t>
  </si>
  <si>
    <t xml:space="preserve">ÇAMURLUK ÖN SAĞ ASTRA.G </t>
  </si>
  <si>
    <t>6122792ZYD</t>
  </si>
  <si>
    <t xml:space="preserve">ÇAMURLUK DAVLUMBAZI ARKA SAĞ CORSA.D </t>
  </si>
  <si>
    <t xml:space="preserve">ZYD </t>
  </si>
  <si>
    <t>OP999502</t>
  </si>
  <si>
    <t xml:space="preserve">614018GENMOT </t>
  </si>
  <si>
    <t>KRANK MİLİ X16XEL/C16SE ASTRA.F/VECTRA.B</t>
  </si>
  <si>
    <t xml:space="preserve">GENMOT </t>
  </si>
  <si>
    <t>GM1555</t>
  </si>
  <si>
    <t>614120GENMOT</t>
  </si>
  <si>
    <t>KRANK MİLİ VECTRA.A 18SV 1.8 8V</t>
  </si>
  <si>
    <t>GM1556</t>
  </si>
  <si>
    <t>614135CORTECO</t>
  </si>
  <si>
    <t>ARKA KRANK KEÇE A16XER/A16LET</t>
  </si>
  <si>
    <t>614135ELRİNG</t>
  </si>
  <si>
    <t>614135VİCTOR</t>
  </si>
  <si>
    <t>81-38236-00</t>
  </si>
  <si>
    <t>614150DAYCO</t>
  </si>
  <si>
    <t>KRANK KASNAĞI Z13DTH/ASTRA.J A13DTE</t>
  </si>
  <si>
    <t>DPV1020</t>
  </si>
  <si>
    <t xml:space="preserve">614196ELRİNG </t>
  </si>
  <si>
    <t>ÖN KRANK KEÇE A16XHT/B16SHT/A14XFL/A20NHT/A20NFT</t>
  </si>
  <si>
    <t xml:space="preserve">ARKA KRANK KEÇE B16DTH </t>
  </si>
  <si>
    <t>614204CORTECO</t>
  </si>
  <si>
    <t>ARKA KRANK KEÇE B16DTH</t>
  </si>
  <si>
    <t>614204SKT</t>
  </si>
  <si>
    <t>410520-V</t>
  </si>
  <si>
    <t>614204VİCTOR</t>
  </si>
  <si>
    <t>81-10396-00</t>
  </si>
  <si>
    <t>614526ABA</t>
  </si>
  <si>
    <t>KRANK DİŞLİ 1.4 8V X14SZ/X14NZ</t>
  </si>
  <si>
    <t>614546ABA</t>
  </si>
  <si>
    <t>KRANK DİŞLİSİ Z16XE/X16XE/Z14XE/X14XE</t>
  </si>
  <si>
    <t>614546AKD</t>
  </si>
  <si>
    <t>OP112104</t>
  </si>
  <si>
    <t>614547Y</t>
  </si>
  <si>
    <t>KRANK DİŞLİSİ 1.8/2.0 8V 18SV/C20NE</t>
  </si>
  <si>
    <t>614556AKD</t>
  </si>
  <si>
    <t>KRANK DİŞLİ ALT X20XEV/X22XE</t>
  </si>
  <si>
    <t>OP112105</t>
  </si>
  <si>
    <t>614564Y</t>
  </si>
  <si>
    <t>KRANK DİŞLİ 1.4 8V 14NZ/14NV</t>
  </si>
  <si>
    <t>614825SKT</t>
  </si>
  <si>
    <t xml:space="preserve">ARKA KRANK KEÇE Y17DT </t>
  </si>
  <si>
    <t>614830CORTECO</t>
  </si>
  <si>
    <t>ARKA KRANK KEÇE 1.4/1.6/ 16V/A12XER/A14XER/A14NET</t>
  </si>
  <si>
    <t>12013882B</t>
  </si>
  <si>
    <t xml:space="preserve">614830ELRİNG </t>
  </si>
  <si>
    <t>614830OEM</t>
  </si>
  <si>
    <t>614830SKT</t>
  </si>
  <si>
    <t>614830VİCTOR</t>
  </si>
  <si>
    <t>81-24908-10</t>
  </si>
  <si>
    <t>614840CORTECO</t>
  </si>
  <si>
    <t>ARKA KRANK KEÇE X20XEV/18SV/20NE</t>
  </si>
  <si>
    <t>20033412B</t>
  </si>
  <si>
    <t>614840ELRİNG</t>
  </si>
  <si>
    <t xml:space="preserve">ARKA KRANK KEÇE X20XEV/18SV/20NE </t>
  </si>
  <si>
    <t>614840SKT</t>
  </si>
  <si>
    <t>410359-V</t>
  </si>
  <si>
    <t xml:space="preserve">614840VİCTOR </t>
  </si>
  <si>
    <t>81-27294-10</t>
  </si>
  <si>
    <t>614860SKT</t>
  </si>
  <si>
    <t>ARKA KRANK KEÇE Z13DTH/A13DTE(YAYLI)</t>
  </si>
  <si>
    <t>614891KING</t>
  </si>
  <si>
    <t>GEZİ AYI Y17DT/X17D/X17DT</t>
  </si>
  <si>
    <t>TW142AM</t>
  </si>
  <si>
    <t>614979SKT</t>
  </si>
  <si>
    <t xml:space="preserve">ÖN KRANK KEÇE Y17DT </t>
  </si>
  <si>
    <t>6160263KİTATECH</t>
  </si>
  <si>
    <t>KAPI GERGİSİ ARKA İNSİGNİA.A</t>
  </si>
  <si>
    <t>6160263METTE</t>
  </si>
  <si>
    <t>754K4246</t>
  </si>
  <si>
    <t>616037VOLMERK</t>
  </si>
  <si>
    <t>VOLANT SABİT CORSA.C/D Z13DT</t>
  </si>
  <si>
    <t>VOLMERK</t>
  </si>
  <si>
    <t>VM OP 401</t>
  </si>
  <si>
    <t>616037WEGER</t>
  </si>
  <si>
    <t xml:space="preserve">WEGER </t>
  </si>
  <si>
    <t>61612147361SİLBAK</t>
  </si>
  <si>
    <t>SİLECEK TAKIM BMW F-01/02/03/04/07/10/11</t>
  </si>
  <si>
    <t>SB2618A2</t>
  </si>
  <si>
    <t xml:space="preserve">VOLANT OYNAR A13DTE ASTRA.J/CORSA.D/T300 </t>
  </si>
  <si>
    <t>616352LUK</t>
  </si>
  <si>
    <t>VOLANT İNSİGNİA.A/ASTRA.J A14NET</t>
  </si>
  <si>
    <t>6178443AKD</t>
  </si>
  <si>
    <t>KAPUT AÇMA TELİ ASTRA.G</t>
  </si>
  <si>
    <t>OP160103</t>
  </si>
  <si>
    <t>618189KING</t>
  </si>
  <si>
    <t>ANA YATAK STD Z13DT/A13DTE(AY YATAKSIZ)</t>
  </si>
  <si>
    <t>MB5406SI</t>
  </si>
  <si>
    <t>618189ŞAHİN</t>
  </si>
  <si>
    <t>AN5258SA001</t>
  </si>
  <si>
    <t>618190KING</t>
  </si>
  <si>
    <t>ANA YATAK 0,50 Z13DT/A13DTE(AY YATAKSIZ)</t>
  </si>
  <si>
    <t>MB5406SI020</t>
  </si>
  <si>
    <t>618209KING</t>
  </si>
  <si>
    <t>ANA YATAK STD Y17DT</t>
  </si>
  <si>
    <t>MB5078SI</t>
  </si>
  <si>
    <t>618210KING</t>
  </si>
  <si>
    <t>ANA YATAK 0,25 X17D/X17DT/Y17DT</t>
  </si>
  <si>
    <t>MB5078SI0,25</t>
  </si>
  <si>
    <t>618377GLYCO</t>
  </si>
  <si>
    <t>ANA YATAK STD A20DTH/B20DTH/Z19DTH</t>
  </si>
  <si>
    <t xml:space="preserve">GLYCO AE </t>
  </si>
  <si>
    <t>BM60130AE</t>
  </si>
  <si>
    <t>618380GLYCO</t>
  </si>
  <si>
    <t>ANA YATAK STD  X12XE/Z14XEP/Z12XE/A12XER/A14XER</t>
  </si>
  <si>
    <t>H1295/5STD</t>
  </si>
  <si>
    <t>620060500MAPA</t>
  </si>
  <si>
    <t>DEBRİYAJ SETİ VECTRA.A 88-92 1.8 8V ALÇAK BASKI</t>
  </si>
  <si>
    <t>620209800MAPA</t>
  </si>
  <si>
    <t>DEBRİYAJ SETİ 1.6 16V/Z13DT SABİT</t>
  </si>
  <si>
    <t>620209809LUK</t>
  </si>
  <si>
    <t>620209809SACHS</t>
  </si>
  <si>
    <t xml:space="preserve">620209809VALEO </t>
  </si>
  <si>
    <t>DEBRİYAJ SETİ F17ŞNZ/SABİT</t>
  </si>
  <si>
    <t>620209833SACHS</t>
  </si>
  <si>
    <t>DEBRİYAJ SET F17ŞNZ RULMANLI</t>
  </si>
  <si>
    <t>6202098MAPA</t>
  </si>
  <si>
    <t>620307509LUK</t>
  </si>
  <si>
    <t>DEBRİYAJ SETİ (EASYTRONIC) CORSA.C/D 1.2/1.4 XEP/XER</t>
  </si>
  <si>
    <t>6204.AXAYFAR</t>
  </si>
  <si>
    <t>FAR SOL PARTNER II/BERLİNGO II 03-08 +ELEK</t>
  </si>
  <si>
    <t xml:space="preserve">AYFAR </t>
  </si>
  <si>
    <t>6204.AXMAHER</t>
  </si>
  <si>
    <t>FAR SOL PARTNER 03-08 MOTORLU</t>
  </si>
  <si>
    <t>MHR-37031</t>
  </si>
  <si>
    <t>6204.S9AYFAR</t>
  </si>
  <si>
    <t>FAR SOL 206 02-05</t>
  </si>
  <si>
    <t>AYFAR</t>
  </si>
  <si>
    <t>6204.V7İTHAL</t>
  </si>
  <si>
    <t>FAR SOL 306 2000&gt;&gt;&gt;</t>
  </si>
  <si>
    <t>3600-7000</t>
  </si>
  <si>
    <t>6204.Z3TYC</t>
  </si>
  <si>
    <t>FAR SOL (SİSLİ) 307 01-06</t>
  </si>
  <si>
    <t>20-A166-A5-2B</t>
  </si>
  <si>
    <t xml:space="preserve">6204286ASPART </t>
  </si>
  <si>
    <t>8AFR1025</t>
  </si>
  <si>
    <t>ŞARJ DİNAMO KASNAGI CORSA.C/D Z13DT</t>
  </si>
  <si>
    <t>6204286INA</t>
  </si>
  <si>
    <t xml:space="preserve">6205.AWAYFAR </t>
  </si>
  <si>
    <t>FAR SAĞ PARTNER II/BERLİNGO II 03-08 +ELEK</t>
  </si>
  <si>
    <t>6205.S9AYFAR</t>
  </si>
  <si>
    <t>FAR SAĞ 206 02-05</t>
  </si>
  <si>
    <t>6205.V7İTHAL</t>
  </si>
  <si>
    <t>FAR SAĞ 306 2000&gt;&gt;&gt;</t>
  </si>
  <si>
    <t>PG3600-7001</t>
  </si>
  <si>
    <t>6205.Z3TYC</t>
  </si>
  <si>
    <t>FAR SAĞ (SİSLİ) 307 01-06</t>
  </si>
  <si>
    <t>20-A165-A5-2B</t>
  </si>
  <si>
    <t xml:space="preserve">6206.95VALEO </t>
  </si>
  <si>
    <t>FAR SAĞ 207 06&gt;</t>
  </si>
  <si>
    <t>6206.E1BİTAPART</t>
  </si>
  <si>
    <t>BPE354001</t>
  </si>
  <si>
    <t>SİS FARI R+L 207/307 Y.M/ 407/C3/C4/XSARA/301/308/TEPEE</t>
  </si>
  <si>
    <t>SİS FARI</t>
  </si>
  <si>
    <t>6206.E1SPK</t>
  </si>
  <si>
    <t>6206.E1WAGENBURG</t>
  </si>
  <si>
    <t xml:space="preserve">SİS FARI R+L 207/307 Y.M/ 407/C3/C4/XSARA/301/308/TEPEE </t>
  </si>
  <si>
    <t>6206.L4DEPO</t>
  </si>
  <si>
    <t>FAR SAĞ MOTORLU C4 04-11</t>
  </si>
  <si>
    <t>552-1121R-LD-EM</t>
  </si>
  <si>
    <t>6206.L4HCW</t>
  </si>
  <si>
    <t>HCW</t>
  </si>
  <si>
    <t>CIT10C4C01</t>
  </si>
  <si>
    <t>6206.L4WAGENBURG</t>
  </si>
  <si>
    <t>HC-B53-1R</t>
  </si>
  <si>
    <t xml:space="preserve">6208.95VALEO </t>
  </si>
  <si>
    <t>FAR SOL 207 06&gt;</t>
  </si>
  <si>
    <t>6208.95WAGENBURG</t>
  </si>
  <si>
    <t>PG2706-7000</t>
  </si>
  <si>
    <t>6208.L4DEPO</t>
  </si>
  <si>
    <t>FAR SOL MOTORLU C4 04-11</t>
  </si>
  <si>
    <t>552-1121L-LD-EM</t>
  </si>
  <si>
    <t>6208.L4HCW</t>
  </si>
  <si>
    <t>CIT10C4C02</t>
  </si>
  <si>
    <t>6208.Q3BİTAPART</t>
  </si>
  <si>
    <t>BPE354011</t>
  </si>
  <si>
    <t>SİS FARI 301/308/TEPEE/COMBO.E/RİFTER</t>
  </si>
  <si>
    <t>622028BMY</t>
  </si>
  <si>
    <t>PİSTON KOLU 18SV/20NE/X20XEV</t>
  </si>
  <si>
    <t>622061100MAPA</t>
  </si>
  <si>
    <t>DEBRİYAJ SETİ (ALÇAK BASKI) VECTRA.A 2.0 8V 20NE/C20NE</t>
  </si>
  <si>
    <t>PİSTON KOLU Z13DT/Z13DTH/A13DTE(ORJİNAL)</t>
  </si>
  <si>
    <t>BPE239017</t>
  </si>
  <si>
    <t>622062TKN</t>
  </si>
  <si>
    <t>PİSTON KOLU Z13DT/Z13DTH/A13DTE</t>
  </si>
  <si>
    <t>TKN</t>
  </si>
  <si>
    <t>FI-PK-002</t>
  </si>
  <si>
    <t>622066BMY</t>
  </si>
  <si>
    <t>PİSTON KOLU X16XE/X14XE/Z16XE/Z14XE</t>
  </si>
  <si>
    <t>622106KING</t>
  </si>
  <si>
    <t>KOL YATAK 0,25 X17D/X17DT/Y17DT</t>
  </si>
  <si>
    <t>CR4207XA0,25</t>
  </si>
  <si>
    <t>622108KING</t>
  </si>
  <si>
    <t>KOL YATAK STD A16LET</t>
  </si>
  <si>
    <t>CR4677SM</t>
  </si>
  <si>
    <t>622109KING</t>
  </si>
  <si>
    <t>KOL YATAK 0,25 A16LET</t>
  </si>
  <si>
    <t>CR4677SM0.25</t>
  </si>
  <si>
    <t>622110KING</t>
  </si>
  <si>
    <t>KOL YATAK 0,50 A16LET</t>
  </si>
  <si>
    <t>CR4677SM0.50</t>
  </si>
  <si>
    <t>622139609LUK</t>
  </si>
  <si>
    <t>DEBRİYAJ SETİ VECTRA.B X20XEV F18/LACETTİ 1.6 16V</t>
  </si>
  <si>
    <t xml:space="preserve">622139609SACHS </t>
  </si>
  <si>
    <t>DEBRİYAJ SETİ VECTRA.B X20XEV F18/LACETTİ 1.6 16V RULMANLI</t>
  </si>
  <si>
    <t>622139609SACHS-1</t>
  </si>
  <si>
    <t>622211GLYCO</t>
  </si>
  <si>
    <t>KOL YATAK STD A20DTH/B20DTH/Z19DTH</t>
  </si>
  <si>
    <t>GLYCO AE</t>
  </si>
  <si>
    <t>BC6023-0-AE</t>
  </si>
  <si>
    <t>622257KING</t>
  </si>
  <si>
    <t xml:space="preserve">KOL YATAK STD Z13DTH/A13DTE(GÜÇLENDİRİLMİŞ) </t>
  </si>
  <si>
    <t>CR4377XA</t>
  </si>
  <si>
    <t>622257ŞAHİN</t>
  </si>
  <si>
    <t>KOL YATAK STD Z13DTH/A13DTE(GÜÇLENDİRİLMİŞ) SPUTTER</t>
  </si>
  <si>
    <t>KL4307LC001MX</t>
  </si>
  <si>
    <t>622260KING</t>
  </si>
  <si>
    <t xml:space="preserve">KOL YATAK 0,50 Z13DTH/A13DTE(GÜÇLENDİRİLMİŞ) </t>
  </si>
  <si>
    <t>CR4377XA020</t>
  </si>
  <si>
    <t>622262KING-STD</t>
  </si>
  <si>
    <t>KOL YATAK STD B16DTH SILVERLİNE</t>
  </si>
  <si>
    <t>CR4649SV</t>
  </si>
  <si>
    <t>6223017TYC</t>
  </si>
  <si>
    <t>STOP LAMBASI SOL ASTRA.G SW</t>
  </si>
  <si>
    <t>11-A392-01-2B</t>
  </si>
  <si>
    <t>6223019TYC</t>
  </si>
  <si>
    <t xml:space="preserve">STOP LAMBASI SAĞ ASTRA.G SW </t>
  </si>
  <si>
    <t>11-A391-01-2B</t>
  </si>
  <si>
    <t>6223020MARELLİ</t>
  </si>
  <si>
    <t xml:space="preserve">STOP SAĞ ASTRA.G HB SİS LAMBALI </t>
  </si>
  <si>
    <t>6223021İTHAL</t>
  </si>
  <si>
    <t>ARKA STOP SOL (SARI) ASTRA.G HB.(SİS LAMBALI)</t>
  </si>
  <si>
    <t>6223021MARELLİ</t>
  </si>
  <si>
    <t>STOP SOL ASTRA.G HB SİS LAMBALI</t>
  </si>
  <si>
    <t>6223022İTHAL</t>
  </si>
  <si>
    <t>ARKA STOP SAĞ (SARI) ASTRA.G HB.(SİS LAMBALI)</t>
  </si>
  <si>
    <t>6223023DEPO</t>
  </si>
  <si>
    <t>STOP LAMBASI SOL (SİS LAMBALI) ASTRA.G SEDAN</t>
  </si>
  <si>
    <t>442-1934L3UE</t>
  </si>
  <si>
    <t>6223023MARELLİ</t>
  </si>
  <si>
    <t>6223026DEPO</t>
  </si>
  <si>
    <t>STOP LAMBASI SAĞ ASTRA.G SEDAN</t>
  </si>
  <si>
    <t>442-1934R3UE</t>
  </si>
  <si>
    <t>6223041DEPO</t>
  </si>
  <si>
    <t>ARKA SİS LAMBASI SOL CORSA.C 04&gt;</t>
  </si>
  <si>
    <t>442-4002L-UE</t>
  </si>
  <si>
    <t>6223042DEPO</t>
  </si>
  <si>
    <t>ARKA SİS LAMBASI SAĞ CORSA.C 04&gt;</t>
  </si>
  <si>
    <t>442-4002R-UE</t>
  </si>
  <si>
    <t>622309509LUK</t>
  </si>
  <si>
    <t xml:space="preserve">DEBRİYAJ SETİ Z13DT CORSA.C/COMBO.C  (OYNAR VALANTA) </t>
  </si>
  <si>
    <t>622309509VALEO</t>
  </si>
  <si>
    <t>622314609BLUEPRİNT</t>
  </si>
  <si>
    <t>DEBRİYAJ SET CORSA.C/CORSA.D Z13DTJ(OYNAR VOLANT)</t>
  </si>
  <si>
    <t>ADW193071</t>
  </si>
  <si>
    <t>622314609LUK</t>
  </si>
  <si>
    <t>PLAKA LAMASI KOMPLE İNSİGNİA.A/B/ASTRA.K/J/CORSA.E</t>
  </si>
  <si>
    <t>622481GLYCO</t>
  </si>
  <si>
    <t xml:space="preserve">KOL BURCU Z13DTH/A13DTE STD </t>
  </si>
  <si>
    <t>55-4077 SEMI</t>
  </si>
  <si>
    <t>622481ŞAHİN</t>
  </si>
  <si>
    <t>KOL BURCU Z13DTH/A13DTE STD</t>
  </si>
  <si>
    <t>KB4044L</t>
  </si>
  <si>
    <t>622486WİLDCAT</t>
  </si>
  <si>
    <t>PİSTON KOL BURCU 27PİM Y17DT/X17D/Z17DTH</t>
  </si>
  <si>
    <t>WİLDCAT</t>
  </si>
  <si>
    <t>2335(4)</t>
  </si>
  <si>
    <t>622745KING</t>
  </si>
  <si>
    <t>KOL YATAK STD Y17DT(GÜÇLENDİRİLMİŞ)</t>
  </si>
  <si>
    <t>CR4207XA</t>
  </si>
  <si>
    <t>622796KING</t>
  </si>
  <si>
    <t xml:space="preserve">KOL YATAK STD X25XE </t>
  </si>
  <si>
    <t>CR650AM</t>
  </si>
  <si>
    <t>622805-0,25KING</t>
  </si>
  <si>
    <t xml:space="preserve">KOL YATAK 0,25 X12XE/Z14XEP/Z12XE/A12XER/A14XER </t>
  </si>
  <si>
    <t>CR488CP0,25</t>
  </si>
  <si>
    <t>622805-0,75KING</t>
  </si>
  <si>
    <t xml:space="preserve">KOL YATAK 0,75 X12XE/Z14XEP/Z12XE/A12XER/A14XER </t>
  </si>
  <si>
    <t>CR4388CP0.75</t>
  </si>
  <si>
    <t>622805GLYCO</t>
  </si>
  <si>
    <t>KOL YATAK STD X12XE/Z14XEP/Z12XE/A12XER/A14XER</t>
  </si>
  <si>
    <t>622948WILDCAT</t>
  </si>
  <si>
    <t>PİSTON KOL BURCU Z19DT/Z19DTH</t>
  </si>
  <si>
    <t>WILDCAT</t>
  </si>
  <si>
    <t>D-2896</t>
  </si>
  <si>
    <t>6235240HÜCO</t>
  </si>
  <si>
    <t>KIZDIRMA BEYNİ ASTRA.H/CORSA.C Z13DT/Z13DTH/VECTRA.C Z19DTH</t>
  </si>
  <si>
    <t>HÜCO</t>
  </si>
  <si>
    <t>6235303HÜCO</t>
  </si>
  <si>
    <t>KIZDIRMA BEYNİ ASTRA.G/H/X20DTH//CORSA.C/COMBO.C Y17DT</t>
  </si>
  <si>
    <t>6235612DELPHİ</t>
  </si>
  <si>
    <t>DEBİMETRE ASTRA.G/ASTRA.H Z16XEP</t>
  </si>
  <si>
    <t>AF10088-12B1</t>
  </si>
  <si>
    <t>6235631BOSCH</t>
  </si>
  <si>
    <t>MAP SENSÖR Z13DT/Z13DTJ</t>
  </si>
  <si>
    <t>6235647TOPRAN</t>
  </si>
  <si>
    <t>ÖN BALATA FİŞİ ASTRA.H</t>
  </si>
  <si>
    <t>6235664FAE</t>
  </si>
  <si>
    <t>KRANK DEVİR SENSÖR Z19DT/Z19DTL</t>
  </si>
  <si>
    <t>6235667DELPHİ</t>
  </si>
  <si>
    <t>EKSANTRİK+KRANK FAZ OKUYUCU Z19DTH 1.9CDTİ</t>
  </si>
  <si>
    <t>SS11004</t>
  </si>
  <si>
    <t xml:space="preserve">6235667FAE </t>
  </si>
  <si>
    <t>EKSANTRİK DEVİR SENSÖR Z19DT/Z19DTL</t>
  </si>
  <si>
    <t>6235685BOSCH</t>
  </si>
  <si>
    <t>EKSANTRİK DEVİR SENSÖR Z12XEP/Z14XEP/A16LET</t>
  </si>
  <si>
    <t>6235697DELPHİ</t>
  </si>
  <si>
    <t xml:space="preserve">EKSANTRİK DEVİR SENSÖR ASTRA.H/VECTRA.C Z16XER </t>
  </si>
  <si>
    <t>SS11008</t>
  </si>
  <si>
    <t>6235703FAE</t>
  </si>
  <si>
    <t>VURUNTU SENSÖR ASTRA.H A16XER</t>
  </si>
  <si>
    <t>6235704DELPHİ</t>
  </si>
  <si>
    <t>KRANK DEVİR SENSÖR A16LET</t>
  </si>
  <si>
    <t>SS11121</t>
  </si>
  <si>
    <t>6235751KAVLICO</t>
  </si>
  <si>
    <t>3CCS0004</t>
  </si>
  <si>
    <t>EKSANTRİK DEVİR SENSÖR EMME A16XER</t>
  </si>
  <si>
    <t>KAVLICO</t>
  </si>
  <si>
    <t>6235752FAE</t>
  </si>
  <si>
    <t xml:space="preserve">EKSANTRİK DEVİR SENSÖR EKSOZ A16XER </t>
  </si>
  <si>
    <t>6235752KAVLICO</t>
  </si>
  <si>
    <t>3CCS0003</t>
  </si>
  <si>
    <t>EKSANTRİK DEVİR SENSÖR EKSOZ A16XER</t>
  </si>
  <si>
    <t>SİGORTA KAPAĞI ASTRA.J</t>
  </si>
  <si>
    <t>6238000DELPHİ</t>
  </si>
  <si>
    <t>EKSANTRİK DEVİR SENSÖR X16XEL/X14XE ASTRA.F/VECTRA.B/ASTRA.G</t>
  </si>
  <si>
    <t>SS10885</t>
  </si>
  <si>
    <t xml:space="preserve">6238098FAE </t>
  </si>
  <si>
    <t>KRANK DEVİR SENSÖR ASTRA.G X16XEL</t>
  </si>
  <si>
    <t xml:space="preserve">6238102FAE </t>
  </si>
  <si>
    <t>VURUNTU SENSÖR Z10XE/X10XE/X12XE/Z12XEP</t>
  </si>
  <si>
    <t>6238109BOSCH</t>
  </si>
  <si>
    <t>KRANK DEVİR SENSÖR Z12XE/Z14XEP/Z12XEP/X12XE</t>
  </si>
  <si>
    <t>6238109DELPHİ</t>
  </si>
  <si>
    <t>SS10805</t>
  </si>
  <si>
    <t xml:space="preserve">6238109FAE </t>
  </si>
  <si>
    <t>6238110BREMİ</t>
  </si>
  <si>
    <t>EKSANTRİK DEVİR SENSÖR X10XE/X12XE/Z12XE</t>
  </si>
  <si>
    <t>6238110HELLA</t>
  </si>
  <si>
    <t>6PU358.380-601</t>
  </si>
  <si>
    <t>6238120FACET</t>
  </si>
  <si>
    <t>BASINÇ MAP SENSÖR ASTRA.H Z16XEP/CORSA.C Z14XE/ASTRA.G Z14XE/Z16XE</t>
  </si>
  <si>
    <t>6238120HERTH+BUSS</t>
  </si>
  <si>
    <t>MAP SENSÖR CORSA.C/VECTRA.C/ASTRA.G X14XE/X16XEL/Z16XE/Z14XE</t>
  </si>
  <si>
    <t>J5701001</t>
  </si>
  <si>
    <t>6238153BREMİ</t>
  </si>
  <si>
    <t xml:space="preserve">KRANK DEVİR SENSÖR Y17DT </t>
  </si>
  <si>
    <t>6238282FACET</t>
  </si>
  <si>
    <t xml:space="preserve">EKSANTRİK DEVİR SENSÖR Z16XEP </t>
  </si>
  <si>
    <t>6238282FAE</t>
  </si>
  <si>
    <t>EKSANTRİK DEVİR SENSÖR Z16XEP</t>
  </si>
  <si>
    <t>6238282VALEO</t>
  </si>
  <si>
    <t>6238313DELPHİ</t>
  </si>
  <si>
    <t>KRANK DEVİR SENSÖR VECTRA.A 1.8/2.0 8V</t>
  </si>
  <si>
    <t>SS10797</t>
  </si>
  <si>
    <t>6238313FAE</t>
  </si>
  <si>
    <t xml:space="preserve">KRANK DEVİR SENSÖR VECTRA.A 1.8/2.0 8V </t>
  </si>
  <si>
    <t xml:space="preserve">6238313HELLA </t>
  </si>
  <si>
    <t>6PU013122921</t>
  </si>
  <si>
    <t>6238325DELPHİ</t>
  </si>
  <si>
    <t>KRANK DEVİR SENSÖR 1.4 8V C14NZ</t>
  </si>
  <si>
    <t>SS10804</t>
  </si>
  <si>
    <t>6238325FAE</t>
  </si>
  <si>
    <t>6238331FAE</t>
  </si>
  <si>
    <t>HAVA SICAKLIK SENSÖR KALOS/AVEO/LANOS</t>
  </si>
  <si>
    <t>6238388HELLUX</t>
  </si>
  <si>
    <t>FREN BALATA FİŞİ ÖN VECTRA.B</t>
  </si>
  <si>
    <t>HLS.6505</t>
  </si>
  <si>
    <t>6238393DELPHİ</t>
  </si>
  <si>
    <t>KRANK DEVİR SENSÖR X16XEL ASTRA.F/VECTRA.B</t>
  </si>
  <si>
    <t>SS10806</t>
  </si>
  <si>
    <t xml:space="preserve">6238393FAE </t>
  </si>
  <si>
    <t>6238395BOSCH</t>
  </si>
  <si>
    <t xml:space="preserve">KRANK DEVİR SENSÖR X20DTH  </t>
  </si>
  <si>
    <t>6238395FAE</t>
  </si>
  <si>
    <t xml:space="preserve">KRANK DEVİR SENSÖR X20DTH </t>
  </si>
  <si>
    <t>6238404JUST</t>
  </si>
  <si>
    <t>ABS SENSÖR ÖN ASTRA.F X14XE/X16XEL</t>
  </si>
  <si>
    <t>AB2003</t>
  </si>
  <si>
    <t>6238422FAE</t>
  </si>
  <si>
    <t>HARARET MÜŞÜR Z12XEP/Z14XEP</t>
  </si>
  <si>
    <t>6238643HELLA</t>
  </si>
  <si>
    <t xml:space="preserve">ABS SENSÖR ARKAASTRA.J/CASCADA/CRUZE </t>
  </si>
  <si>
    <t>6PU358217-591</t>
  </si>
  <si>
    <t>6238643MEYLE</t>
  </si>
  <si>
    <t xml:space="preserve">ABS SENSÖR ARKA ASTRA.J/CASCADA/CRUZE </t>
  </si>
  <si>
    <t>6238646DELPHİ</t>
  </si>
  <si>
    <t>EKSANTRİK DEVİR SENSÖR Z13DT/Z13DTH/A13DTE</t>
  </si>
  <si>
    <t>SS10727-12B1</t>
  </si>
  <si>
    <t>6238868DELPHİ</t>
  </si>
  <si>
    <t>KRANK DEVİR SENSÖR A16XER</t>
  </si>
  <si>
    <t>SS11321</t>
  </si>
  <si>
    <t>6238927BOSCH</t>
  </si>
  <si>
    <t xml:space="preserve">MAP SENSÖR ASTRA.F/VECTRA.A/CORSA.B   </t>
  </si>
  <si>
    <t>F00099P169</t>
  </si>
  <si>
    <t>6238927DELPHİ</t>
  </si>
  <si>
    <t xml:space="preserve">MAP SENSÖR ASTRA.F/VECTRA.A/CORSA.B </t>
  </si>
  <si>
    <t>PS10075-11B1</t>
  </si>
  <si>
    <t xml:space="preserve">6238927FACET </t>
  </si>
  <si>
    <t>MAP SENSÖR ASTRA.F/VECTRA.A/CORSA.B</t>
  </si>
  <si>
    <t>6238927KRAFTVOLL</t>
  </si>
  <si>
    <t xml:space="preserve">6239120FAE </t>
  </si>
  <si>
    <t>DEBRİYAJ PEDAL MÜŞÜR ASTRA.G/H/CORSA.C/D</t>
  </si>
  <si>
    <t>6240097TOPRAN</t>
  </si>
  <si>
    <t>FAR AÇMA ANAHTARI ASTRA.G SİSLİ</t>
  </si>
  <si>
    <t>6240105KRAFTVOLL</t>
  </si>
  <si>
    <t>CAM AÇMA DÜĞME ÖN SAĞ ASTRA.G/ZAFİRA.A/CORSA.C</t>
  </si>
  <si>
    <t>DİKİZ AYNA AYAR DÜĞMESİ FRONTERA.B</t>
  </si>
  <si>
    <t>6240138HELLUX</t>
  </si>
  <si>
    <t>DÖRTLÜ İKAZ DÜĞMESİ ASTRA.F</t>
  </si>
  <si>
    <t>PRA.700923</t>
  </si>
  <si>
    <t>6240138KRAW</t>
  </si>
  <si>
    <t>AN-1380</t>
  </si>
  <si>
    <t>6240138Y</t>
  </si>
  <si>
    <t xml:space="preserve">DÖRTLÜ DÜĞMESİ ASTRA.F </t>
  </si>
  <si>
    <t>6240240TOPRAN</t>
  </si>
  <si>
    <t>FAR SİNYAL KOLU ASTRA.G/ZAFİRA.A (CRUZE KONTROLLÜ)</t>
  </si>
  <si>
    <t>6240241AKD</t>
  </si>
  <si>
    <t>FAR SİNYAL KOLU ASTRA.G/ZAFİRA.A</t>
  </si>
  <si>
    <t>OP129100</t>
  </si>
  <si>
    <t>6240241YASİD</t>
  </si>
  <si>
    <t xml:space="preserve">YASİD </t>
  </si>
  <si>
    <t>6240289TOPRAN</t>
  </si>
  <si>
    <t>FREN STOP MÜŞÜR 4KUTUP CORSA.C/MERİVA.A/TİGRA.B (FAE)</t>
  </si>
  <si>
    <t>YAĞ MÜŞÜR Z13DTH/Z19DTH/A20DTH</t>
  </si>
  <si>
    <t>6240415DELPHİ</t>
  </si>
  <si>
    <t>SW90000</t>
  </si>
  <si>
    <t>SİNYAL KOLU CORSA.D HIZ SABİTLEYİCİLİ</t>
  </si>
  <si>
    <t>6240445MGA</t>
  </si>
  <si>
    <t>CAM AÇMA DÜĞME ARKA TEKLİ ASTRA.H/ZAFİRA.B</t>
  </si>
  <si>
    <t>6240447KRAFTVOLL</t>
  </si>
  <si>
    <t xml:space="preserve">CAM AÇMA DÜĞME ÖN SOL ASTRA.H KOMPLE </t>
  </si>
  <si>
    <t xml:space="preserve">6240447METTE </t>
  </si>
  <si>
    <t>754K4214</t>
  </si>
  <si>
    <t>6240449KRAW</t>
  </si>
  <si>
    <t xml:space="preserve">CAM AÇMA DÜĞME ÖN SOL İKİLİ ASTRA.H KOMPLE </t>
  </si>
  <si>
    <t>AN-356B</t>
  </si>
  <si>
    <t>6240452KRAFTVOLL</t>
  </si>
  <si>
    <t>CAM AÇMA DÜĞMESİ SAĞ ÖN ASTRA.H</t>
  </si>
  <si>
    <t>6240462FACET</t>
  </si>
  <si>
    <t>FREN PEDAL MÜŞÜR ASTRA.H/CORSA.D/VECTRA.C/BİPPER/NEMO</t>
  </si>
  <si>
    <t xml:space="preserve">6240462FAE </t>
  </si>
  <si>
    <t>6240487KRAFTVOLL</t>
  </si>
  <si>
    <t>AYNA AYAR DÜĞMESİ ASTRA.G/CORSA.C/VECTRA.B</t>
  </si>
  <si>
    <t>6240487MAXTEL</t>
  </si>
  <si>
    <t xml:space="preserve">AYNA AYAR DÜĞMESİ ASTRA.G/CORSA.C/VECTRA.B </t>
  </si>
  <si>
    <t>6240509KRAW</t>
  </si>
  <si>
    <t>CAM AÇMA DÜĞME ÖN SOL CORSA.D</t>
  </si>
  <si>
    <t>AN-372</t>
  </si>
  <si>
    <t>6240654KRAFTVOLL</t>
  </si>
  <si>
    <t>CAM AÇMA DÜĞME ARKA ASTRA.G/ZAFİRA.A</t>
  </si>
  <si>
    <t>624113KOLBEN</t>
  </si>
  <si>
    <t xml:space="preserve">PİSTON SEKMAN Z18XE/X18XE 81mm+0,50mm </t>
  </si>
  <si>
    <t>6242078AKD</t>
  </si>
  <si>
    <t>KORNO KAPAK TAKIM CORSA.C/COMBO.C</t>
  </si>
  <si>
    <t>OP200136</t>
  </si>
  <si>
    <t>6272292BOSCH</t>
  </si>
  <si>
    <t>ARKA SİLECEK SÜPÜRGESİ ASTRA.H/C4</t>
  </si>
  <si>
    <t>6272292METTE</t>
  </si>
  <si>
    <t>977W7002</t>
  </si>
  <si>
    <t>6272301WPI</t>
  </si>
  <si>
    <t>ARKA SİLECEK SÜPÜRGESİ ASTRA.G HB/CORSA.C/COMBO.C/ZAFİRA.A/MERİVA.A/B/VİVARO.A</t>
  </si>
  <si>
    <t>2945928A</t>
  </si>
  <si>
    <t>6272310BOSCH</t>
  </si>
  <si>
    <t>ÖN SİLECEK TAKIM CORSA.D/CORSA.E/PARTNER TEPEE</t>
  </si>
  <si>
    <t>6272310GRAT</t>
  </si>
  <si>
    <t xml:space="preserve">ÖN SİLECEK TAKIM CORSA.D/CORSA.E/PARTNER TEPEE </t>
  </si>
  <si>
    <t>F6538</t>
  </si>
  <si>
    <t>6272310SİLBAK</t>
  </si>
  <si>
    <t>SB2616B</t>
  </si>
  <si>
    <t>6272313SAGEM</t>
  </si>
  <si>
    <t xml:space="preserve">ARKA SİLECEK KOMPLE ASTRA.H/308 SW 13&gt;/CRUZE </t>
  </si>
  <si>
    <t>6272313WİSCO</t>
  </si>
  <si>
    <t>2233008-00</t>
  </si>
  <si>
    <t>6272313WPİ</t>
  </si>
  <si>
    <t>2945934A</t>
  </si>
  <si>
    <t>6272313Y</t>
  </si>
  <si>
    <t>6272395SAGEM</t>
  </si>
  <si>
    <t>ARKA SİLECEK KOMPLE CORSA.E 2014&gt;</t>
  </si>
  <si>
    <t>6272479METTE</t>
  </si>
  <si>
    <t>ARKA SİLECEK KOMPLE ZAFİRA.A</t>
  </si>
  <si>
    <t>977W7012</t>
  </si>
  <si>
    <t>6272479WPI</t>
  </si>
  <si>
    <t>2945730 H</t>
  </si>
  <si>
    <t>6272560BOSCH</t>
  </si>
  <si>
    <t>ARKA SİLECEK SÜPÜRGESİ CROSSLAND.X/ASTRA.H GTC/308 II 14&gt;/MİCRA</t>
  </si>
  <si>
    <t>6272560GRAT</t>
  </si>
  <si>
    <t>GRT-A23RO</t>
  </si>
  <si>
    <t>6272564TOPRAN</t>
  </si>
  <si>
    <t>ARKA SİLECEK LASTİK CORSA.B/FRONTERA.B/AGİLA.A</t>
  </si>
  <si>
    <t>6273313METTE</t>
  </si>
  <si>
    <t>977W7000</t>
  </si>
  <si>
    <t>6295489METTE</t>
  </si>
  <si>
    <t>MOTOR TESİSATI VECTRA.B 96- X20XEV MANUEL</t>
  </si>
  <si>
    <t>651D5001</t>
  </si>
  <si>
    <t>6302080ASPART</t>
  </si>
  <si>
    <t>6TRA1068</t>
  </si>
  <si>
    <t xml:space="preserve">TURBO İNTERCOOL CORSA.D 07&gt; Z13DTH/A13DTR/A13DTC </t>
  </si>
  <si>
    <t>6302080KALE</t>
  </si>
  <si>
    <t>TURBO İNTERCOOL CORSA.D 07&gt; Z13DTH/A13DTR/A13DTC</t>
  </si>
  <si>
    <t>6302084ASPART</t>
  </si>
  <si>
    <t>6OCO1055</t>
  </si>
  <si>
    <t>OTOMATİK ŞANZUMAN YAĞ SOĞUTUCU CORSA.D Z14XEP</t>
  </si>
  <si>
    <t>6302613ASPART</t>
  </si>
  <si>
    <t>5HOS1563</t>
  </si>
  <si>
    <t xml:space="preserve">TURBO HORTUM ÜST ASTRA.H Z13DTH </t>
  </si>
  <si>
    <t>6302613İBRAS</t>
  </si>
  <si>
    <t>TURBO HORTUM ÜST ASTRA.H Z13DTH</t>
  </si>
  <si>
    <t>6302613YTT</t>
  </si>
  <si>
    <t>Y11635</t>
  </si>
  <si>
    <t>6303.79MARS</t>
  </si>
  <si>
    <t>SİNYAL LAMBASI SOL PARTNER/BERLİNGO 96-02</t>
  </si>
  <si>
    <t>M521132</t>
  </si>
  <si>
    <t xml:space="preserve">6303.80MARS </t>
  </si>
  <si>
    <t>SİNYAL LAMBASI SAĞ PARTNER/BERLİNGO 96-02</t>
  </si>
  <si>
    <t>M521131</t>
  </si>
  <si>
    <t>63068002G-GOETZE</t>
  </si>
  <si>
    <t>SEKMAN TAKIM 86mm STD X20XEV/C20NE</t>
  </si>
  <si>
    <t>63071002G-STD-NÜRAL</t>
  </si>
  <si>
    <t>SEKMAN TAKIM STD 77.60MM C14NZ/X14XE 1.5X1.5X3.0</t>
  </si>
  <si>
    <t>6310601ASPART</t>
  </si>
  <si>
    <t>6MRA1007</t>
  </si>
  <si>
    <t>RADYATÖR BAĞLANTI AYAK ÜST SAĞ CORSA.C</t>
  </si>
  <si>
    <t>6310601ROOT</t>
  </si>
  <si>
    <t>6310601YTT</t>
  </si>
  <si>
    <t>Y1739</t>
  </si>
  <si>
    <t>6310603YTT</t>
  </si>
  <si>
    <t xml:space="preserve">RADYATÖR BAGLANTI AYAĞI SOL CORSA.C </t>
  </si>
  <si>
    <t>Y1740</t>
  </si>
  <si>
    <t>6310611KRAFTVOLL</t>
  </si>
  <si>
    <t>RADYATÖR BAĞLANTI BRAKETİ ASTRA.H</t>
  </si>
  <si>
    <t>6310611METTE</t>
  </si>
  <si>
    <t>754K6660</t>
  </si>
  <si>
    <t>6310615YTT</t>
  </si>
  <si>
    <t>RADYATÖR ÜST TAKOZ VECTRA.C</t>
  </si>
  <si>
    <t>Y1565</t>
  </si>
  <si>
    <t>6312054ZYD</t>
  </si>
  <si>
    <t xml:space="preserve">ÖN PANEL KOMPLE CORSA.D </t>
  </si>
  <si>
    <t>OP999174</t>
  </si>
  <si>
    <t>6320026PHIRA</t>
  </si>
  <si>
    <t xml:space="preserve">ÖN PANJUR ASTRA.F 95-98 </t>
  </si>
  <si>
    <t>PHIRA</t>
  </si>
  <si>
    <t>ST-95100</t>
  </si>
  <si>
    <t>6320026ZYD</t>
  </si>
  <si>
    <t>ÖN PANJUR ASTRA.F 95-98</t>
  </si>
  <si>
    <t>OP999179</t>
  </si>
  <si>
    <t>6320066EUROSTAMP</t>
  </si>
  <si>
    <t xml:space="preserve">ÖN PANJUR ASTRA.G </t>
  </si>
  <si>
    <t>101.17.8100</t>
  </si>
  <si>
    <t>6320072Y</t>
  </si>
  <si>
    <t>ÖN PANJUR VECTRA.B 99-01 NİKELAJLI</t>
  </si>
  <si>
    <t>6325.67DEPO</t>
  </si>
  <si>
    <t>ÇAMURLUK SİNYAL PARTNER/BERLİNGO M49</t>
  </si>
  <si>
    <t>552-1403N-UE</t>
  </si>
  <si>
    <t>6325.74BİTAPART</t>
  </si>
  <si>
    <t>BPE353010</t>
  </si>
  <si>
    <t>ÇAMURLUK SİNYAL 206/PARTNER/407</t>
  </si>
  <si>
    <t>6325.74BİTPART-1</t>
  </si>
  <si>
    <t>BPE353014</t>
  </si>
  <si>
    <t>ÇAMURLUK SİNYAL 206/PARTNER/407 (DUY AYRI)</t>
  </si>
  <si>
    <t>6325.G3BİTAPART</t>
  </si>
  <si>
    <t>BPE353007</t>
  </si>
  <si>
    <t>ÇAMURLUK SİNYAL 107/206/407/PARTNER Y.M ŞEFFAF TİP</t>
  </si>
  <si>
    <t>6325.G3ERL</t>
  </si>
  <si>
    <t>ÇAMURLUK SİNYALİ DUYLU 206/307/407/301/C-ELYSEE/PARTNER/BERLİNGO ŞEFFAF</t>
  </si>
  <si>
    <t>E6325G3</t>
  </si>
  <si>
    <t>6325.G3KRAFTVOLL</t>
  </si>
  <si>
    <t>6325.G3YTT</t>
  </si>
  <si>
    <t>ÇAMURLUK SİNYALİ 206/307/407/301/C-ELYSEE/PARTNER/BERLİNGO ŞEFFAF</t>
  </si>
  <si>
    <t>Y32572</t>
  </si>
  <si>
    <t>6334001AKD</t>
  </si>
  <si>
    <t>DEVİRDAİM Z13DT/A13DTE</t>
  </si>
  <si>
    <t>OP105127</t>
  </si>
  <si>
    <t xml:space="preserve">6334001ASPART </t>
  </si>
  <si>
    <t>6WPU1085</t>
  </si>
  <si>
    <t xml:space="preserve">DEVİRDAİM Z13DTH/A13DTE </t>
  </si>
  <si>
    <t>6334001BENDİX</t>
  </si>
  <si>
    <t>190005B</t>
  </si>
  <si>
    <t>6334001CRAFTEURO</t>
  </si>
  <si>
    <t>CRAFTEURO 104</t>
  </si>
  <si>
    <t xml:space="preserve">6334001DOLZ </t>
  </si>
  <si>
    <t>S233</t>
  </si>
  <si>
    <t>6334001ELİTCAR</t>
  </si>
  <si>
    <t>SPA 887</t>
  </si>
  <si>
    <t>6334001FROWAS</t>
  </si>
  <si>
    <t>6334001GRAF</t>
  </si>
  <si>
    <t>PA1083</t>
  </si>
  <si>
    <t>6334001KALE</t>
  </si>
  <si>
    <t>6334001LPR</t>
  </si>
  <si>
    <t>WP0681</t>
  </si>
  <si>
    <t>6334001PIERBURG</t>
  </si>
  <si>
    <t>7.07152.55.0</t>
  </si>
  <si>
    <t>6334001SKF</t>
  </si>
  <si>
    <t>VKPC 85701</t>
  </si>
  <si>
    <t>6334001SWAPP</t>
  </si>
  <si>
    <t>6334001THERMAX</t>
  </si>
  <si>
    <t>T01.115</t>
  </si>
  <si>
    <t>6334001WİSCO</t>
  </si>
  <si>
    <t>2113028-00</t>
  </si>
  <si>
    <t>6334002BENDİX</t>
  </si>
  <si>
    <t>DEVİRDAİM Z22XE/A20NHT/A20NFT</t>
  </si>
  <si>
    <t>190200B</t>
  </si>
  <si>
    <t>6334003OPTİMAL</t>
  </si>
  <si>
    <t>DEVİRDAİM  VECTRA.C Z19DT</t>
  </si>
  <si>
    <t>AQ-1732</t>
  </si>
  <si>
    <t xml:space="preserve">6334022DOLZ </t>
  </si>
  <si>
    <t xml:space="preserve">DEVİRDAİM Z10XE/Z12XE/X12XE </t>
  </si>
  <si>
    <t>O265</t>
  </si>
  <si>
    <t>6334022SUPSAN</t>
  </si>
  <si>
    <t>DEVİRDAİM Z10XE/Z12XE/X12XE 6334022 / 1334130</t>
  </si>
  <si>
    <t>PW0098</t>
  </si>
  <si>
    <t>6334022VALEO</t>
  </si>
  <si>
    <t>DEVİRDAİM Z10XE/Z12XE/X12XE</t>
  </si>
  <si>
    <t>6334035ASPART</t>
  </si>
  <si>
    <t>6WPU1208</t>
  </si>
  <si>
    <t>DEVİRDAİM X16XE/Z14XE/Z16XE</t>
  </si>
  <si>
    <t>6334035BENDİX</t>
  </si>
  <si>
    <t>190047B</t>
  </si>
  <si>
    <t xml:space="preserve">6334035DOLZ </t>
  </si>
  <si>
    <t>O146</t>
  </si>
  <si>
    <t>6334035GRAF</t>
  </si>
  <si>
    <t>PA541A</t>
  </si>
  <si>
    <t>6334035GSP</t>
  </si>
  <si>
    <t>WP900564</t>
  </si>
  <si>
    <t xml:space="preserve">6334035LPR </t>
  </si>
  <si>
    <t>WP0664</t>
  </si>
  <si>
    <t>6334035LUCAS</t>
  </si>
  <si>
    <t>LWP4110M</t>
  </si>
  <si>
    <t>6334035METELLİ</t>
  </si>
  <si>
    <t>24-0541A</t>
  </si>
  <si>
    <t>6334035OPTİMAL</t>
  </si>
  <si>
    <t>DEVİRDAİM X14XE/Z14XE/Z16XE</t>
  </si>
  <si>
    <t>AQ-1502</t>
  </si>
  <si>
    <t>6334035SUPSAN</t>
  </si>
  <si>
    <t>PW0019-01</t>
  </si>
  <si>
    <t>6334035THERMAX</t>
  </si>
  <si>
    <t>T01.161</t>
  </si>
  <si>
    <t>6334035VALEO</t>
  </si>
  <si>
    <t>6336.50VERTEX</t>
  </si>
  <si>
    <t>KAPI IŞIK BUTONU PARTNER/BERLİNGO/106-206 Y.M</t>
  </si>
  <si>
    <t>VERTEX</t>
  </si>
  <si>
    <t>AN-2272</t>
  </si>
  <si>
    <t>6336006ROOT</t>
  </si>
  <si>
    <t>BAKALİT BORU ARKA ASTRA.G  X16XE</t>
  </si>
  <si>
    <t>6336006RPR</t>
  </si>
  <si>
    <t>R18243/P</t>
  </si>
  <si>
    <t>6336006TAP</t>
  </si>
  <si>
    <t>TAP.6336006</t>
  </si>
  <si>
    <t>6336006Y</t>
  </si>
  <si>
    <t>6336007RPR</t>
  </si>
  <si>
    <t>DEVİRDAİM ARKA BORU AHTAPOT Z14XE/Z16XE</t>
  </si>
  <si>
    <t>R18244/P</t>
  </si>
  <si>
    <t>6336007TAP</t>
  </si>
  <si>
    <t>TAP.6336007</t>
  </si>
  <si>
    <t>6336011KRAFTVOLL</t>
  </si>
  <si>
    <t>YEDEK SU DEPO HORTUM ASTRA.G/ZAİFRA.A Z14XE/Z16XE</t>
  </si>
  <si>
    <t>6336011YTT</t>
  </si>
  <si>
    <t>Y11558</t>
  </si>
  <si>
    <t>6336014UCPA</t>
  </si>
  <si>
    <t>22H13390</t>
  </si>
  <si>
    <t>YEDEK SU DEPO ALT HORTUM VECTRA.B X20XEV</t>
  </si>
  <si>
    <t>6336062İBRAS</t>
  </si>
  <si>
    <t>DEVİRDAİM ARKA BORU BAKALİT VECTRA.C Z16XE</t>
  </si>
  <si>
    <t>6336062NİFEA</t>
  </si>
  <si>
    <t xml:space="preserve">NİFEA </t>
  </si>
  <si>
    <t>6336062RPR</t>
  </si>
  <si>
    <t>R18281/P</t>
  </si>
  <si>
    <t>6336066KRAFTVOLL</t>
  </si>
  <si>
    <t>RADYAYÖR BYPASS HORTUM VECTRA.C Z16XE (AHTAPOT ÇIKIŞ)</t>
  </si>
  <si>
    <t>6336066UCPA</t>
  </si>
  <si>
    <t>22H133328</t>
  </si>
  <si>
    <t>6336066YTT</t>
  </si>
  <si>
    <t>Y10538</t>
  </si>
  <si>
    <t>6336067İBRAS</t>
  </si>
  <si>
    <t>DEVİRDAİM ARKA HORTUM VECTRA.C Z16XE</t>
  </si>
  <si>
    <t>6336067YTT</t>
  </si>
  <si>
    <t>Y10539</t>
  </si>
  <si>
    <t>6336080İBRAS</t>
  </si>
  <si>
    <t>RADYATÖR ALT HORTUM MERİVA.A Z16XE</t>
  </si>
  <si>
    <t>6336103İBRAS</t>
  </si>
  <si>
    <t>RADYATÖR ALT HORTUM CORSA.C/COMBO.C Y17DT</t>
  </si>
  <si>
    <t>6336103RPR</t>
  </si>
  <si>
    <t>R18221</t>
  </si>
  <si>
    <t>6336103YTT</t>
  </si>
  <si>
    <t>Y11580</t>
  </si>
  <si>
    <t>6336107ASPART</t>
  </si>
  <si>
    <t>6HOS1661</t>
  </si>
  <si>
    <t>RADYATÖR ALT HORTUM CORSA.C Z13DT</t>
  </si>
  <si>
    <t>6336107IISI</t>
  </si>
  <si>
    <t>HRT40151</t>
  </si>
  <si>
    <t>6336107İBRAS</t>
  </si>
  <si>
    <t>6336107NİFEA</t>
  </si>
  <si>
    <t>6336107RPR</t>
  </si>
  <si>
    <t>R18219</t>
  </si>
  <si>
    <t>6336107YTT</t>
  </si>
  <si>
    <t>Y11581</t>
  </si>
  <si>
    <t xml:space="preserve">6336108ASPART </t>
  </si>
  <si>
    <t>6HOS1912</t>
  </si>
  <si>
    <t>YEDEK SU DEPO HORTUM CORSA.C Z13DT</t>
  </si>
  <si>
    <t>6336108NİFEA</t>
  </si>
  <si>
    <t>6336108RPR</t>
  </si>
  <si>
    <t>R18324</t>
  </si>
  <si>
    <t>6336108YTT</t>
  </si>
  <si>
    <t>Y11587</t>
  </si>
  <si>
    <t xml:space="preserve">RADYATÖR ALT HORTUM MERİVA.A Z13DT </t>
  </si>
  <si>
    <t>6336135KRAFTVOLL</t>
  </si>
  <si>
    <t>RADYATÖR ALT HORTUM CORSA.D Z14XEP +AT</t>
  </si>
  <si>
    <t>6336136İBRAS</t>
  </si>
  <si>
    <t>RAYATÖR ALT HORTUM Z12XEP/Z14XEP CORSA.D +AT</t>
  </si>
  <si>
    <t>6336136RPR</t>
  </si>
  <si>
    <t>R18382</t>
  </si>
  <si>
    <t>6336139İBRAŞ</t>
  </si>
  <si>
    <t>YEDEK SU DEPO HORTUM CORSA.D Z13DTH</t>
  </si>
  <si>
    <t>6336139RPR</t>
  </si>
  <si>
    <t>R18392</t>
  </si>
  <si>
    <t>6336141İBRAS</t>
  </si>
  <si>
    <t>GAZ KELEBEK HORTUM CORSA.D Z13DTJ</t>
  </si>
  <si>
    <t>6336143ASPART</t>
  </si>
  <si>
    <t>6HOS1919</t>
  </si>
  <si>
    <t>YEDEK SU DEPO HORTUM CORSA.D Z13DT/A13DTE</t>
  </si>
  <si>
    <t>6336152WİNTECH</t>
  </si>
  <si>
    <t>WIN0500625</t>
  </si>
  <si>
    <t>YEDEK SU DEPO HORTUM CORSA.D Z12XEP/Z14XEP</t>
  </si>
  <si>
    <t>6338005ASPART</t>
  </si>
  <si>
    <t>6TCO1056</t>
  </si>
  <si>
    <t>TERMOSTAT X18XE/Z18XE</t>
  </si>
  <si>
    <t>6338005MARELLİ</t>
  </si>
  <si>
    <t>6338006ELRİNG</t>
  </si>
  <si>
    <t>TERMOSTAT GÖVDE CONTA Z16XEP</t>
  </si>
  <si>
    <t xml:space="preserve">6338022ASPART </t>
  </si>
  <si>
    <t>6TCO1043</t>
  </si>
  <si>
    <t>TERMOSTAT UZUN Z13DT CORSA.C/COMBO.C</t>
  </si>
  <si>
    <t xml:space="preserve">6338022BGA </t>
  </si>
  <si>
    <t>CT5030</t>
  </si>
  <si>
    <t xml:space="preserve">6338022ELBA </t>
  </si>
  <si>
    <t>8.60.077</t>
  </si>
  <si>
    <t>6338022SAGEM</t>
  </si>
  <si>
    <t>6338022SUZUKİ</t>
  </si>
  <si>
    <t>TERMOSTAT CORSA.C/COMBO.C UZUN</t>
  </si>
  <si>
    <t>17690M86J40</t>
  </si>
  <si>
    <t xml:space="preserve">6338028AKD </t>
  </si>
  <si>
    <t>TERMOSTAT Z12XEP/Z14XEP</t>
  </si>
  <si>
    <t>OP143109</t>
  </si>
  <si>
    <t>6338028ASPART</t>
  </si>
  <si>
    <t>6TCO1019</t>
  </si>
  <si>
    <t xml:space="preserve">6338028BGA </t>
  </si>
  <si>
    <t>CT5162</t>
  </si>
  <si>
    <t xml:space="preserve">6338028MAHLE </t>
  </si>
  <si>
    <t>TI22492</t>
  </si>
  <si>
    <t xml:space="preserve">6338028VERNET </t>
  </si>
  <si>
    <t>TH6251.92J</t>
  </si>
  <si>
    <t>6338038FAE</t>
  </si>
  <si>
    <t>HARARET MÜŞÜR Z13DT/Z13DTH</t>
  </si>
  <si>
    <t xml:space="preserve">6338039ASPART </t>
  </si>
  <si>
    <t>6TCO1041</t>
  </si>
  <si>
    <t>TERMOSTAT ASTRA.H/CORSA.D Z13DTH KISA</t>
  </si>
  <si>
    <t>6338039HELLUX</t>
  </si>
  <si>
    <t>TERMOSTAT ASTRA.H/CORSA.D Z13DTH</t>
  </si>
  <si>
    <t>HTR.251001</t>
  </si>
  <si>
    <t xml:space="preserve">6338039KALE </t>
  </si>
  <si>
    <t>6338039MARELLİ</t>
  </si>
  <si>
    <t>6338039MGA</t>
  </si>
  <si>
    <t>6338039SAGEM</t>
  </si>
  <si>
    <t>S131131</t>
  </si>
  <si>
    <t>6338039VEMA</t>
  </si>
  <si>
    <t>6338050+177MARELLİ</t>
  </si>
  <si>
    <t>TERMOSTAT KOMPLE GÖVDELİ İNSİGNİA.A A16LET</t>
  </si>
  <si>
    <t>6338050BGA</t>
  </si>
  <si>
    <t>TERMOSTAT İNSİGNİA.A A16LET</t>
  </si>
  <si>
    <t>CT5596</t>
  </si>
  <si>
    <t>6338050VERNET</t>
  </si>
  <si>
    <t>TH7152.92J</t>
  </si>
  <si>
    <t>6340.A3</t>
  </si>
  <si>
    <t>ARKA PLAKA LAMBASI 206/207/406/307/308/407/PARTNER Y.M</t>
  </si>
  <si>
    <t>6340553ABA</t>
  </si>
  <si>
    <t>V KAYIŞ GERGİ Z12XEP/Z14XEP/A12XER/A14XER/A14NET</t>
  </si>
  <si>
    <t>6340553AKD</t>
  </si>
  <si>
    <t>AKD OP115106</t>
  </si>
  <si>
    <t xml:space="preserve">V KAYIŞ GERGİ Z12XEP/Z14XEP/A12XER/A14XER/A14NET </t>
  </si>
  <si>
    <t xml:space="preserve">6340553ASPART </t>
  </si>
  <si>
    <t>6340553BGA</t>
  </si>
  <si>
    <t>DC9507</t>
  </si>
  <si>
    <t>6340553LUCAS</t>
  </si>
  <si>
    <t>LA0258</t>
  </si>
  <si>
    <t>6340553MOCA</t>
  </si>
  <si>
    <t>BT7035</t>
  </si>
  <si>
    <t>6340554-TEK-KRAFTVOLL</t>
  </si>
  <si>
    <t xml:space="preserve">V KAYIŞ RULMAN Z13DT/A13DTE/1.4HDİ/1.6HDİ </t>
  </si>
  <si>
    <t>6340554ABA-TEK</t>
  </si>
  <si>
    <t>V KAYIŞ RULMAN Z13DT/A13DTE/1.4HDİ/1.6HDİ 65X25X17</t>
  </si>
  <si>
    <t>6340554AKD</t>
  </si>
  <si>
    <t xml:space="preserve">V KAYIŞ GERGİ KOMPLE Z13DTH/A13DTE </t>
  </si>
  <si>
    <t>OP115105</t>
  </si>
  <si>
    <t xml:space="preserve">6340554ASPART </t>
  </si>
  <si>
    <t>8TLV1124</t>
  </si>
  <si>
    <t xml:space="preserve">6340554GATES </t>
  </si>
  <si>
    <t>V KAYIŞ GERGİ KOMPLE Z13DTH/A13DTE</t>
  </si>
  <si>
    <t>T39281</t>
  </si>
  <si>
    <t>6340554LUCAS</t>
  </si>
  <si>
    <t>LA0392</t>
  </si>
  <si>
    <t>6340554SAGEM</t>
  </si>
  <si>
    <t>V KAYIŞ RULMAN Z13DT/A13DTE/1.4HDİ/1.6HDİ</t>
  </si>
  <si>
    <t>SGM-20111</t>
  </si>
  <si>
    <t>6340554SNR</t>
  </si>
  <si>
    <t>GA358.99</t>
  </si>
  <si>
    <t xml:space="preserve">6340558ASPART </t>
  </si>
  <si>
    <t>8TLV1077</t>
  </si>
  <si>
    <t>V KAYIŞ GERGİ KOMPLE Z16XEP/A16XER/A16LET</t>
  </si>
  <si>
    <t>6340558ECO</t>
  </si>
  <si>
    <t>ECO KG1333</t>
  </si>
  <si>
    <t>6340558MOCA</t>
  </si>
  <si>
    <t>MCA BT7057</t>
  </si>
  <si>
    <t>6340600BANDO</t>
  </si>
  <si>
    <t>V KAYIŞ 5PK1240 VECTRA.C Z16XE</t>
  </si>
  <si>
    <t>5PK1240</t>
  </si>
  <si>
    <t>6340600BOSCH</t>
  </si>
  <si>
    <t>6340600MANDO</t>
  </si>
  <si>
    <t>MB5PK1240</t>
  </si>
  <si>
    <t>6340600WUTSE</t>
  </si>
  <si>
    <t>V KAYIŞ 5PK1238 VECTRA.C Z16XE/Z18XE</t>
  </si>
  <si>
    <t>WUT.3605.1238</t>
  </si>
  <si>
    <t>6340606ABA</t>
  </si>
  <si>
    <t>V KAYIŞ 5PK1545 ASTRA.G/H/VECTRA.C Z16XEP</t>
  </si>
  <si>
    <t>5PK1545</t>
  </si>
  <si>
    <t>6340606BANDO</t>
  </si>
  <si>
    <t>5PK1545(EPDM)</t>
  </si>
  <si>
    <t>6340606BOSCH</t>
  </si>
  <si>
    <t xml:space="preserve">6340606ECOPARTS </t>
  </si>
  <si>
    <t xml:space="preserve">ECOPARTS </t>
  </si>
  <si>
    <t>6340609BOSCH</t>
  </si>
  <si>
    <t>V KAYIŞ Z22SE ASTRA.G/VECTRA.C 5PK1030</t>
  </si>
  <si>
    <t>6340613ABA</t>
  </si>
  <si>
    <t>V KAYIŞ 5PK1368 CORSA.C/MERİVA.A X12XE/Z12XE/Z14XEP</t>
  </si>
  <si>
    <t>5PK1368</t>
  </si>
  <si>
    <t>6340616ABA</t>
  </si>
  <si>
    <t>V KAYIŞ 6PK1320 Z13DT ASTRA.H/CORSA.C</t>
  </si>
  <si>
    <t>6PK1320</t>
  </si>
  <si>
    <t>6340616ABA-SET</t>
  </si>
  <si>
    <t>6PK1320S1</t>
  </si>
  <si>
    <t>V KAYIŞ KİTİ RULMANLI 6PK1320 Z13DT ASTRA.H/CORSA.C</t>
  </si>
  <si>
    <t>6340616BANDO</t>
  </si>
  <si>
    <t>6PK1320(EPDM)</t>
  </si>
  <si>
    <t>6340616BOSCH</t>
  </si>
  <si>
    <t>6340616GMB</t>
  </si>
  <si>
    <t>6340626ABA</t>
  </si>
  <si>
    <t xml:space="preserve">V KAYIŞ 5PK1210 Z14XE/Z16XE ASTRA.G/CORSA.C </t>
  </si>
  <si>
    <t>5PK1210</t>
  </si>
  <si>
    <t>6340626BANDO</t>
  </si>
  <si>
    <t>5PK1210(EPDM)</t>
  </si>
  <si>
    <t>6340626BOSCH</t>
  </si>
  <si>
    <t>6340626MANDO</t>
  </si>
  <si>
    <t>V KAYIŞ Z14XE/Z16XE ASTRA.G/CORSA.C 5PK1210</t>
  </si>
  <si>
    <t>MB5PK1210</t>
  </si>
  <si>
    <t>6340626ROAD</t>
  </si>
  <si>
    <t>V KAYIŞ Z14XE/Z16XE ASTRA.G/CORSA.C</t>
  </si>
  <si>
    <t>1210K5</t>
  </si>
  <si>
    <t>6340626WUTSE</t>
  </si>
  <si>
    <t>6340632BOSCH</t>
  </si>
  <si>
    <t>V KAYIŞ 10X913 VECTRA.A 1.6/1.8 8V/ASTRA.F 1.4/1.6 8V</t>
  </si>
  <si>
    <t>6340633ABA</t>
  </si>
  <si>
    <t xml:space="preserve">V KAYIŞ 6PK1795 ASTRA.F/CORSA.B X14XE/X16XEL +AC </t>
  </si>
  <si>
    <t>6PK1795</t>
  </si>
  <si>
    <t>6340633BANDO</t>
  </si>
  <si>
    <t>V KAYIŞ 6PK1795 ASTRA.F/CORSA.B X14XE/X16XEL +AC</t>
  </si>
  <si>
    <t>6PK1795(EPDM)</t>
  </si>
  <si>
    <t>6340633BOSCH</t>
  </si>
  <si>
    <t>V KAYIŞ ASTRA.F/VECTRA.B X14XE/X16XE KLİMALI</t>
  </si>
  <si>
    <t>6340633ECO</t>
  </si>
  <si>
    <t>6340633ROAD</t>
  </si>
  <si>
    <t>1795K6</t>
  </si>
  <si>
    <t>6340639WUTSE</t>
  </si>
  <si>
    <t>V KAYIŞ 5PK1230 ASTRA.G/H Z14XEP/CORSA.D Z12XEP/Z14XEP</t>
  </si>
  <si>
    <t>WUT.3605.1230</t>
  </si>
  <si>
    <t>6340640ABA</t>
  </si>
  <si>
    <t xml:space="preserve">V KAYIŞ 5PK1355 ASTRA.G/H/CORSA.C Z14XEP/Z12XEP  </t>
  </si>
  <si>
    <t>5PK1355</t>
  </si>
  <si>
    <t>6340640BANDO</t>
  </si>
  <si>
    <t>5PK1355(EPDM)</t>
  </si>
  <si>
    <t>6340640ECO</t>
  </si>
  <si>
    <t xml:space="preserve">V KAYIŞ 5PK1355 ASTRA.G/H/CORSA.C Z14XEP/Z12XEP </t>
  </si>
  <si>
    <t>6340640WUTSE</t>
  </si>
  <si>
    <t>WUT.3605.1355</t>
  </si>
  <si>
    <t>6340677ROADMAX</t>
  </si>
  <si>
    <t>V KAYIŞ 5PK1570 VECTRA.C Z16XEP/AVEO F14D4</t>
  </si>
  <si>
    <t>1570K5</t>
  </si>
  <si>
    <t>6341168MGA</t>
  </si>
  <si>
    <t>FAN MOTORU ASTRA.H 04&gt;Z14XEP/Z16XEP 4FİŞ</t>
  </si>
  <si>
    <t>6341172FROWAS</t>
  </si>
  <si>
    <t>FAN MOTOR ASTRA.H Z13DT (ÇEKMELİ FAN)</t>
  </si>
  <si>
    <t xml:space="preserve">6341172KALE </t>
  </si>
  <si>
    <t>6341172SWAPP</t>
  </si>
  <si>
    <t xml:space="preserve">FAN MOTOR ASTRA.H Z13DT (ÇEKMELİ FAN) </t>
  </si>
  <si>
    <t>6341172WİSCO</t>
  </si>
  <si>
    <t>2113065-00</t>
  </si>
  <si>
    <t>6346.79BİTAPART</t>
  </si>
  <si>
    <t>BPE350014</t>
  </si>
  <si>
    <t>STOP LAMBASI DUYU PARTNER/BERLİNGO M49</t>
  </si>
  <si>
    <t>6350.CXMARS</t>
  </si>
  <si>
    <t>STOP SOL PARTNER/BERLİNGO E.M ÇİFTKAPI ŞEFFAF 05-08</t>
  </si>
  <si>
    <t>M511123</t>
  </si>
  <si>
    <t>6350.CYPLEKSAN</t>
  </si>
  <si>
    <t xml:space="preserve">STOP LAMBASI ŞEFFAF SOL PARTNER/BERLİNGO 03-08 TEK KAPI </t>
  </si>
  <si>
    <t>6350.ETMARS</t>
  </si>
  <si>
    <t>ARKA STOP SAĞ 08&gt;BİPPER/NEMO (ÇİFT KAPAK)</t>
  </si>
  <si>
    <t>M610392</t>
  </si>
  <si>
    <t>6350.ETPLEKSAN</t>
  </si>
  <si>
    <t>6350.EUMARS</t>
  </si>
  <si>
    <t>ARKA STOP SOL 08&gt;BİPPER/NEMO (ÇİFT KAPAK)</t>
  </si>
  <si>
    <t>M610393</t>
  </si>
  <si>
    <t>6350.EUPLEKSAN</t>
  </si>
  <si>
    <t>6350.FHMARS</t>
  </si>
  <si>
    <t>STOP SOL PARTNER TEPEE/BERLİNGO 08-12 TEK KAPI</t>
  </si>
  <si>
    <t>6350.H2MARS</t>
  </si>
  <si>
    <t xml:space="preserve">STOP SOL PARTNER/BERLİNGO 96-04 ÇİFT KAPI </t>
  </si>
  <si>
    <t>M511115</t>
  </si>
  <si>
    <t>6350.HGDEPO</t>
  </si>
  <si>
    <t>ARKA SİS LAMBASI SOL 3008 09-</t>
  </si>
  <si>
    <t>550-4002-L-UE</t>
  </si>
  <si>
    <t>6350.P3PLEKSAN</t>
  </si>
  <si>
    <t>STOP SAĞ 307 01-06 DUYSUZ</t>
  </si>
  <si>
    <t>6350.Y2BİTAPART</t>
  </si>
  <si>
    <t>BPE350032</t>
  </si>
  <si>
    <t>3.STOP LAMBASI 207</t>
  </si>
  <si>
    <t>6351.CVTYC</t>
  </si>
  <si>
    <t>ARKA STOP SAĞ 308 08&gt;</t>
  </si>
  <si>
    <t>11-11883-01-2</t>
  </si>
  <si>
    <t>6351.CXMARS</t>
  </si>
  <si>
    <t>STOP SAĞ PARTNER/BERLİNGO E.M ÇİFTKAPI ŞEFFAF 05-08</t>
  </si>
  <si>
    <t>M511122</t>
  </si>
  <si>
    <t>6351.CYPLEKSAN</t>
  </si>
  <si>
    <t xml:space="preserve">STOP LAMBASI ŞEFFAF SAĞ PARTNER/BERLİNGO 03-08 TEK KAPI </t>
  </si>
  <si>
    <t>PELKSAN</t>
  </si>
  <si>
    <t xml:space="preserve">6351.FHMARS </t>
  </si>
  <si>
    <t>STOP SAĞ PARTNER TEPEE/BERLİNGO 08-12 (TEK KAPAK BAGAJ)</t>
  </si>
  <si>
    <t>M511151</t>
  </si>
  <si>
    <t>6351.H2MARS</t>
  </si>
  <si>
    <t xml:space="preserve">STOP SAĞ PARTNER/BERLİNGO 96-04 ÇİFT KAPI </t>
  </si>
  <si>
    <t>M511114</t>
  </si>
  <si>
    <t>6351.J1PLEKSAN</t>
  </si>
  <si>
    <t>STOP LAMBASI SAĞ PARTNER/BERLİNGO TEK KAPI 96-05 (SİYAH)</t>
  </si>
  <si>
    <t>6351.T8DEPO</t>
  </si>
  <si>
    <t>STOP LAMBASI SAĞ C4 04&gt; 5KAPI</t>
  </si>
  <si>
    <t>552-1919R-UE</t>
  </si>
  <si>
    <t xml:space="preserve">636032CAMKO </t>
  </si>
  <si>
    <t>EKSANTRİK MİLİ EKSOZ Z22SE</t>
  </si>
  <si>
    <t xml:space="preserve">CAMKO </t>
  </si>
  <si>
    <t>C231-0636032</t>
  </si>
  <si>
    <t>636059BGA</t>
  </si>
  <si>
    <t>ZİNCİR TAKIM (DİŞLİ DAHİL) A14NET</t>
  </si>
  <si>
    <t>TC0237FK</t>
  </si>
  <si>
    <t>636107INA</t>
  </si>
  <si>
    <t>EKSANTRİK MİLİ EKSOZ A16XER/Z16XER/B16XER</t>
  </si>
  <si>
    <t>636113INA</t>
  </si>
  <si>
    <t>EKSANTRİK MİLİ EMME A16XER/Z16XER/B16XER</t>
  </si>
  <si>
    <t>636257BMS</t>
  </si>
  <si>
    <t>V KAYIŞ RULMAN KANALLI A20DTH 2.0D</t>
  </si>
  <si>
    <t xml:space="preserve">BMS 430 </t>
  </si>
  <si>
    <t>636290ATLAS</t>
  </si>
  <si>
    <t>V KAYIŞ AVARE RULMAN SABİT B16DTH</t>
  </si>
  <si>
    <t xml:space="preserve">ATLAS </t>
  </si>
  <si>
    <t>636290TUNCH</t>
  </si>
  <si>
    <t>TUNCH</t>
  </si>
  <si>
    <t>BT2008</t>
  </si>
  <si>
    <t>636565BOSCH</t>
  </si>
  <si>
    <t xml:space="preserve">TRİGER KAYIŞ VECTRA.A 1.8/2.0 8V 89-92 </t>
  </si>
  <si>
    <t>6366.C7ABRASSE</t>
  </si>
  <si>
    <t>ORTA SÜRHÜLÜ KAPI IŞIK BUTONU KABLOLU BOXER III/JUMPER III/DUCATO III 08&gt;</t>
  </si>
  <si>
    <t>BRS-6366C7-PG</t>
  </si>
  <si>
    <t>636861YTT</t>
  </si>
  <si>
    <t>KARTER HAVALANDIRMA HORTUM Z13DT</t>
  </si>
  <si>
    <t>637523TAP</t>
  </si>
  <si>
    <t>KRANK DİŞLİ ALT X20XEV</t>
  </si>
  <si>
    <t>TAP.637523</t>
  </si>
  <si>
    <t>638085WİSCO</t>
  </si>
  <si>
    <t>KÜLBÜTÖR KAPAĞI+CONTA 1.4 8V (HAVA ÇIKIŞI YOK)</t>
  </si>
  <si>
    <t>2114092-00</t>
  </si>
  <si>
    <t>YAĞ POMPA CONTA A12XER/A14XER/A14NET/B14NET</t>
  </si>
  <si>
    <t>638130ELRİNG</t>
  </si>
  <si>
    <t>638130METTE</t>
  </si>
  <si>
    <t>266C2089</t>
  </si>
  <si>
    <t>638130VİCTOR</t>
  </si>
  <si>
    <t>71-40668-00</t>
  </si>
  <si>
    <t>638139ASPART</t>
  </si>
  <si>
    <t>8TBC1012</t>
  </si>
  <si>
    <t>TRİGER KAPAK ÖN ÜST A16XER</t>
  </si>
  <si>
    <t>638139BİTAPART</t>
  </si>
  <si>
    <t>BOP309165</t>
  </si>
  <si>
    <t xml:space="preserve">TRİGER KAPAK ÖN ÜST A16XER </t>
  </si>
  <si>
    <t>ÜST KAPAK CONTA A14NET/B14NET/A14XER/A12XER 6mm KALIN</t>
  </si>
  <si>
    <t>638156AKD</t>
  </si>
  <si>
    <t>638156BGA</t>
  </si>
  <si>
    <t>RC9500</t>
  </si>
  <si>
    <t>638156ELRİNG</t>
  </si>
  <si>
    <t>638156FEBİ</t>
  </si>
  <si>
    <t>638156PAYEN</t>
  </si>
  <si>
    <t>JM7199</t>
  </si>
  <si>
    <t xml:space="preserve">638176BGA </t>
  </si>
  <si>
    <t>YAĞ POMPA CONTA X20DTH</t>
  </si>
  <si>
    <t>CH9556</t>
  </si>
  <si>
    <t>638177CORTECO</t>
  </si>
  <si>
    <t>ÜST KAPAK CONTA X18XEL/Z18XE</t>
  </si>
  <si>
    <t xml:space="preserve">638178ELRİNG </t>
  </si>
  <si>
    <t>ÜST KAPAK ARA CONTA Y17DT</t>
  </si>
  <si>
    <t xml:space="preserve">638192BGA </t>
  </si>
  <si>
    <t>ÜST KAPAK CONTA 18SV/20NE 1.8/2.0 8V</t>
  </si>
  <si>
    <t>RC6322</t>
  </si>
  <si>
    <t xml:space="preserve">638192VİCTOR </t>
  </si>
  <si>
    <t>71-13045-30</t>
  </si>
  <si>
    <t>638194SKT</t>
  </si>
  <si>
    <t>EKSANTRİK KEÇE ARKA 1.8/2.0 8V</t>
  </si>
  <si>
    <t xml:space="preserve">638196BGA </t>
  </si>
  <si>
    <t>ÖN KRANK KEÇE X20DTH/X22DTH/Y20DTH</t>
  </si>
  <si>
    <t>OS1306</t>
  </si>
  <si>
    <t>638199CORTECO</t>
  </si>
  <si>
    <t>ÖN KRANK KEÇE X12XE/Z12XE/Z14XEP/A12XER/A14XER/A14NET</t>
  </si>
  <si>
    <t>20020389B</t>
  </si>
  <si>
    <t>638199ELRİNG</t>
  </si>
  <si>
    <t xml:space="preserve">ÖN KRANK KEÇE X12XE/Z12XE/Z14XEP/A12XER/A14XER/A14NET </t>
  </si>
  <si>
    <t>638199SKT</t>
  </si>
  <si>
    <t>YAĞ POMPA CONTA Z12XE/X12XE/Z14XEP/Z12XEP</t>
  </si>
  <si>
    <t xml:space="preserve">638225BGA </t>
  </si>
  <si>
    <t>TC3901</t>
  </si>
  <si>
    <t>638225ELRİNG</t>
  </si>
  <si>
    <t>638225VİCTOR</t>
  </si>
  <si>
    <t>71-33492-00</t>
  </si>
  <si>
    <t xml:space="preserve">638260BGA </t>
  </si>
  <si>
    <t>ÜST KAPAK CONTA 1.4 8V X14NZ/C14SE</t>
  </si>
  <si>
    <t>RC2373</t>
  </si>
  <si>
    <t>638260ELRİNG</t>
  </si>
  <si>
    <t xml:space="preserve">638260VİCTOR </t>
  </si>
  <si>
    <t>71-29303-00</t>
  </si>
  <si>
    <t>638492-493CABU</t>
  </si>
  <si>
    <t>TRİGER KAPAK TAKIM VECTRA.A 18SV/20NE 93-95</t>
  </si>
  <si>
    <t>638727AKD</t>
  </si>
  <si>
    <t>ÜST KAPAK CONTA 1.4/1.6 8V</t>
  </si>
  <si>
    <t>638727M</t>
  </si>
  <si>
    <t xml:space="preserve">638727VİCTOR </t>
  </si>
  <si>
    <t>71-13043-00</t>
  </si>
  <si>
    <t>638736-737VİCTOR</t>
  </si>
  <si>
    <t>ÜST KAPAK CONTA X14XE/X16XE İN+EX TAKIM ORİNGLİ</t>
  </si>
  <si>
    <t>15-31973-01</t>
  </si>
  <si>
    <t>638736CORTECO</t>
  </si>
  <si>
    <t>ÜST KAPAK CONTA X14XE/X16XE İN+EX</t>
  </si>
  <si>
    <t>638736TOPRAN</t>
  </si>
  <si>
    <t>ÜST KAPAK CONTA EKSOZ X14XE/X16XEL</t>
  </si>
  <si>
    <t>638737TOPRAN</t>
  </si>
  <si>
    <t xml:space="preserve">ÜST KAPAK CONTA EMME X14XE/X16XEL </t>
  </si>
  <si>
    <t>638741BGA</t>
  </si>
  <si>
    <t>ÜST KAPAK CONTA X12XE/Z12XE</t>
  </si>
  <si>
    <t>RC8398</t>
  </si>
  <si>
    <t>638741ELRİNG</t>
  </si>
  <si>
    <t>638742CORTECO</t>
  </si>
  <si>
    <t>ÜST KAPAK CONTA Z14XE/Z16XE</t>
  </si>
  <si>
    <t>440075P</t>
  </si>
  <si>
    <t xml:space="preserve">638742ELRİNG </t>
  </si>
  <si>
    <t xml:space="preserve">638742VİCTOR </t>
  </si>
  <si>
    <t>71-34288-00</t>
  </si>
  <si>
    <t>640004INA</t>
  </si>
  <si>
    <t>LİFTER /Z16XE/Z14XE/X20XEV/X20DTH</t>
  </si>
  <si>
    <t xml:space="preserve">640013INA </t>
  </si>
  <si>
    <t>LİFTER TAKIM Z12XE/Z12XEP/Z14XEP/A12XER/A14XER/A14NET</t>
  </si>
  <si>
    <t xml:space="preserve">640039BGA </t>
  </si>
  <si>
    <t xml:space="preserve">LİFTER TAKIM </t>
  </si>
  <si>
    <t>HL6345</t>
  </si>
  <si>
    <t>640039INA</t>
  </si>
  <si>
    <t>640039ORJİNAL</t>
  </si>
  <si>
    <t>12850M86J20</t>
  </si>
  <si>
    <t>640051TOPRAN</t>
  </si>
  <si>
    <t>LİFTER 1.4/1.6/1.8/2.0 8V</t>
  </si>
  <si>
    <t>6400629EUROSTAMP</t>
  </si>
  <si>
    <t>ÖN TAMPON CORSA.D 07-10</t>
  </si>
  <si>
    <t>101.13.9120</t>
  </si>
  <si>
    <t>6400629PRASCO</t>
  </si>
  <si>
    <t>OP0341001</t>
  </si>
  <si>
    <t xml:space="preserve">ÖN TAMPON CORSA.D 07-10  </t>
  </si>
  <si>
    <t>6400629ZYK</t>
  </si>
  <si>
    <t>OP555044</t>
  </si>
  <si>
    <t xml:space="preserve">6400633WİSCO </t>
  </si>
  <si>
    <t>PANJUR NİKELAJ CORSA.D 07-10</t>
  </si>
  <si>
    <t>2233833-00</t>
  </si>
  <si>
    <t xml:space="preserve">6400639DEGA </t>
  </si>
  <si>
    <t>ÖN TAMPON ALT IZGARA CORSA.D 07-10</t>
  </si>
  <si>
    <t>OP555046</t>
  </si>
  <si>
    <t>6400646EUROSTAMP</t>
  </si>
  <si>
    <t>ÖN TAMPON İNSİGNİA.A 09-13 (ASTARLI) PARK SENSÖRLÜ</t>
  </si>
  <si>
    <t>101.35.9130</t>
  </si>
  <si>
    <t>6401.G0KRAFTVOLL</t>
  </si>
  <si>
    <t>SİLECEK MEKANİZMA PARTNER/BERLİNGO 03-08</t>
  </si>
  <si>
    <t>6401.G6KRAFTVOLL</t>
  </si>
  <si>
    <t>SİLECEK MEKANİZMASI BİPPER/NEMO/FİORİNO</t>
  </si>
  <si>
    <t>6405.LQVALEO</t>
  </si>
  <si>
    <t>ARKA SİLECEK MOTOR PARTNER TEPEE/BERLİNGO</t>
  </si>
  <si>
    <t>640581BGA</t>
  </si>
  <si>
    <t>SUBAP TUŞU(HOROZ) 1.4/1.6/1.8/2.0 8V(KARE KAFA)</t>
  </si>
  <si>
    <t>RA3995</t>
  </si>
  <si>
    <t>640588FEBİ</t>
  </si>
  <si>
    <t>HOROZ 1.4/1.6/1.8/2.0 8V İNCE TİP</t>
  </si>
  <si>
    <t>640588MOTIVE</t>
  </si>
  <si>
    <t>HOROZ SUBAP TUŞU 1.4/1.6/1.8/2.0 8V İNCE TİP</t>
  </si>
  <si>
    <t>CF63A</t>
  </si>
  <si>
    <t>640588WDL</t>
  </si>
  <si>
    <t>WDL</t>
  </si>
  <si>
    <t>WDL-7-042</t>
  </si>
  <si>
    <t>640766SWAG</t>
  </si>
  <si>
    <t>SUBAP KEPİ 8V</t>
  </si>
  <si>
    <t>641002-641302SUPAR</t>
  </si>
  <si>
    <t>SUBAP TAKIM 1.4 8V K.KAFA X14SZ</t>
  </si>
  <si>
    <t xml:space="preserve">SUPAR </t>
  </si>
  <si>
    <t>641011GAYSAN</t>
  </si>
  <si>
    <t xml:space="preserve">GAYD Z16XEP UZUN </t>
  </si>
  <si>
    <t>GAYSAN</t>
  </si>
  <si>
    <t>GT450.06.01</t>
  </si>
  <si>
    <t>641015+641317TETİK</t>
  </si>
  <si>
    <t>SUBAP TAKIM C14SE/X14SZ BÜYÜK KAFA ENJEKSİYONLU</t>
  </si>
  <si>
    <t>OPL-109</t>
  </si>
  <si>
    <t xml:space="preserve">641015GÜNEŞ </t>
  </si>
  <si>
    <t>SUBAP TAKIM 1.4 8V BÜYÜK KAFA</t>
  </si>
  <si>
    <t>4015-4016</t>
  </si>
  <si>
    <t>641022SUPSAN</t>
  </si>
  <si>
    <t>SUBAB TAKIM X20XEV</t>
  </si>
  <si>
    <t>VT-40238-40413</t>
  </si>
  <si>
    <t xml:space="preserve">641022TETİK </t>
  </si>
  <si>
    <t>SUBAP TAKIM X20XEV</t>
  </si>
  <si>
    <t>OPL-131</t>
  </si>
  <si>
    <t>641025TETİK</t>
  </si>
  <si>
    <t>SUBAP TAKIM Y17DT/Z17DTH 16V</t>
  </si>
  <si>
    <t>OPL-114</t>
  </si>
  <si>
    <t>641034GÜNES</t>
  </si>
  <si>
    <t>SUBAP TAKIM X14XE/X16XE/Z14XE/Z16XE</t>
  </si>
  <si>
    <t>4017-4018</t>
  </si>
  <si>
    <t>641034SUPSAN</t>
  </si>
  <si>
    <t>VT-33340-40410</t>
  </si>
  <si>
    <t>641034TETİK</t>
  </si>
  <si>
    <t>OPL-110</t>
  </si>
  <si>
    <t>641048TETİK</t>
  </si>
  <si>
    <t>SUBAP TAKIM Z18XE/X18XE</t>
  </si>
  <si>
    <t>OPL-111</t>
  </si>
  <si>
    <t>641051TETİK</t>
  </si>
  <si>
    <t>SUBAP TAKIM Z12XE/Z12XEP/Z14XEP</t>
  </si>
  <si>
    <t xml:space="preserve">MOTOR </t>
  </si>
  <si>
    <t>OPL-116</t>
  </si>
  <si>
    <t>641063GÜNEŞ</t>
  </si>
  <si>
    <t>SUBAP TAKIM Z22SE/Z22YH</t>
  </si>
  <si>
    <t>5708-5709</t>
  </si>
  <si>
    <t>641071-072GÜNEŞ</t>
  </si>
  <si>
    <t xml:space="preserve">SUBAP TAKIM Z13DT/Z13DTH/A13DTE </t>
  </si>
  <si>
    <t>4027-4062</t>
  </si>
  <si>
    <t>641071-072SUPSAN</t>
  </si>
  <si>
    <t>VT-40500-40501</t>
  </si>
  <si>
    <t>641071-072TETİK</t>
  </si>
  <si>
    <t>SUBAP TAKIM Z13DT/Z13DTH/A13DTE</t>
  </si>
  <si>
    <t>OPL-107</t>
  </si>
  <si>
    <t xml:space="preserve">641094TETİK </t>
  </si>
  <si>
    <t>SUBAP TAKIM A14NET/A14XER STELİTLİ</t>
  </si>
  <si>
    <t>OPL-138</t>
  </si>
  <si>
    <t>64119237555HENGST</t>
  </si>
  <si>
    <t>POLEN FİLTRESİ F20/F30 KARBONLU</t>
  </si>
  <si>
    <t>E2991LC</t>
  </si>
  <si>
    <t>641379SUPSAN</t>
  </si>
  <si>
    <t xml:space="preserve">SUBAP TAKIM STELİTLİ Z16XEP/A16XER/Z16XER </t>
  </si>
  <si>
    <t>VT-40813-40814</t>
  </si>
  <si>
    <t>641379TETİK</t>
  </si>
  <si>
    <t>SUBAP TAKIM STELİTLİ Z16XEP/A16XER/Z16XER</t>
  </si>
  <si>
    <t>OPL-135</t>
  </si>
  <si>
    <t>SUBAP LASTİĞİ Z16XEP/A16XER/A16LET</t>
  </si>
  <si>
    <t>642002ELRİNG</t>
  </si>
  <si>
    <t>SUBAP LASTİĞİ Z16XEP/A16XER/A16LET TAKIM 6mm</t>
  </si>
  <si>
    <t>642002VİCTOR</t>
  </si>
  <si>
    <t>VİCTORREİNZ</t>
  </si>
  <si>
    <t>12-36613-01</t>
  </si>
  <si>
    <t>642002Y</t>
  </si>
  <si>
    <t>SUBAP LASTİĞİ Z16XEP/A16XER/A16LET TAKIM</t>
  </si>
  <si>
    <t>642011GÜNEŞ</t>
  </si>
  <si>
    <t>GAYD Z16XEP UZUN</t>
  </si>
  <si>
    <t>G0880</t>
  </si>
  <si>
    <t xml:space="preserve">642011ÖZGAYD </t>
  </si>
  <si>
    <t>VG4227</t>
  </si>
  <si>
    <t>642011TETİK</t>
  </si>
  <si>
    <t>OPL-127G</t>
  </si>
  <si>
    <t xml:space="preserve">ÜST KAPAK CONTA A12XER/A14XER/A14NET (İNCE)  </t>
  </si>
  <si>
    <t>642026CORTECO</t>
  </si>
  <si>
    <t xml:space="preserve">ÜST KAPAK CONTA A12XER/A14XER/A14NET (İNCE) </t>
  </si>
  <si>
    <t>642026ELRİNG</t>
  </si>
  <si>
    <t>642026VİCTOR</t>
  </si>
  <si>
    <t>ÜST KAPAK CONTA A12XER/A14XER/A14NET (İNCE)</t>
  </si>
  <si>
    <t>71-40674-00</t>
  </si>
  <si>
    <t>642063GAYSAN</t>
  </si>
  <si>
    <t>GAYD X14XE/X16XE/Z14XE/Z16XE</t>
  </si>
  <si>
    <t>GT450.01.01</t>
  </si>
  <si>
    <t>642063GSK</t>
  </si>
  <si>
    <t xml:space="preserve">GAYD X14XE/X16XE/Z14XE/Z16XE </t>
  </si>
  <si>
    <t>GSK</t>
  </si>
  <si>
    <t>G5004</t>
  </si>
  <si>
    <t>642063GÜNEŞ</t>
  </si>
  <si>
    <t>G0872</t>
  </si>
  <si>
    <t>642063METELLİ</t>
  </si>
  <si>
    <t>ABG24072F83/2</t>
  </si>
  <si>
    <t>642063ÖZGAYD</t>
  </si>
  <si>
    <t>VG2482</t>
  </si>
  <si>
    <t>642063TETİK</t>
  </si>
  <si>
    <t>OPL-110G</t>
  </si>
  <si>
    <t>642076TETİK</t>
  </si>
  <si>
    <t>SUBAP TAKIM A16LET/Z16LET</t>
  </si>
  <si>
    <t>OPL-120</t>
  </si>
  <si>
    <t xml:space="preserve">6423.31SİLBAK </t>
  </si>
  <si>
    <t>ÖN SİLECEK TAKIM BİPPER/NEMO/FİORİNO</t>
  </si>
  <si>
    <t>SB2619D</t>
  </si>
  <si>
    <t>6423.69SAGEM</t>
  </si>
  <si>
    <t>ARKA SİLECEK KOMPLE BİPPER/NEMO/FİORİNO</t>
  </si>
  <si>
    <t>642500BGA</t>
  </si>
  <si>
    <t>SUBAP LASTİK 5mm X12XE/XEP/Z14XEP/A12XER/A14NET</t>
  </si>
  <si>
    <t>VK3375</t>
  </si>
  <si>
    <t>642500CORTECO</t>
  </si>
  <si>
    <t>642500SKT</t>
  </si>
  <si>
    <t>4S-067-V</t>
  </si>
  <si>
    <t>642500VİCTOR</t>
  </si>
  <si>
    <t>12-34223-02</t>
  </si>
  <si>
    <t>642500Y</t>
  </si>
  <si>
    <t xml:space="preserve">642527BGA </t>
  </si>
  <si>
    <t>SUBAP LASTİĞİ 8V 7mm</t>
  </si>
  <si>
    <t>VK6371</t>
  </si>
  <si>
    <t>642527ELRİNG</t>
  </si>
  <si>
    <t>642527FEBİ</t>
  </si>
  <si>
    <t>642533BGA</t>
  </si>
  <si>
    <t>SUBAP LASTİĞİ 6mm</t>
  </si>
  <si>
    <t>VK4377</t>
  </si>
  <si>
    <t>642533ELRİNG</t>
  </si>
  <si>
    <t xml:space="preserve">SUBAP LASTİĞİ 6mm  </t>
  </si>
  <si>
    <t>642533SKT</t>
  </si>
  <si>
    <t>4S-025-V</t>
  </si>
  <si>
    <t>642533VİCTOR</t>
  </si>
  <si>
    <t>12-31306-01</t>
  </si>
  <si>
    <t>6426.LVWPİ</t>
  </si>
  <si>
    <t>ARKA SİLECEK SÜPÜRGESİ 106/206/307/SAXO</t>
  </si>
  <si>
    <t>2945725A</t>
  </si>
  <si>
    <t>6426.LWSAGEM</t>
  </si>
  <si>
    <t>S26535</t>
  </si>
  <si>
    <t>ARKA SİLECEK KOMPLE PARTNER/BERLİNGO</t>
  </si>
  <si>
    <t>6426.VGSAGEM</t>
  </si>
  <si>
    <t>ARKA SİLECEK KOMPLE 308 07-13</t>
  </si>
  <si>
    <t>642667GAYD TETİK</t>
  </si>
  <si>
    <t>GAYD TAKIM 1.4/1.6/1.8/2.0 8V</t>
  </si>
  <si>
    <t>OPL-129G</t>
  </si>
  <si>
    <t xml:space="preserve">642667GÜNEŞ </t>
  </si>
  <si>
    <t>SUBAP TAKIMI 20NE/C20NE/18SV 1.8/2.0 8V</t>
  </si>
  <si>
    <t>4046-4047</t>
  </si>
  <si>
    <t>642667TETİK</t>
  </si>
  <si>
    <t xml:space="preserve">SUBAP TAKIMI 20NE/C20NE/18SV 1.8/2.0 8V  </t>
  </si>
  <si>
    <t>OPL-129</t>
  </si>
  <si>
    <t>642697Y</t>
  </si>
  <si>
    <t>SUBAP LASTİK A20DTH/Z19DTH</t>
  </si>
  <si>
    <t>6428013KRAFTVOLL</t>
  </si>
  <si>
    <t>DIŞ DİKİZ AYNA SOL VECTRA.B MEKANİK</t>
  </si>
  <si>
    <t>6428015SPJ</t>
  </si>
  <si>
    <t>DIŞ DİKİZ AYNA SOL VECTRA.B ELEKTRİKLİ</t>
  </si>
  <si>
    <t>E-0657</t>
  </si>
  <si>
    <t>6428015VİEWMAX</t>
  </si>
  <si>
    <t>VM-166EH L</t>
  </si>
  <si>
    <t>6428017VMX</t>
  </si>
  <si>
    <t>DIŞ DİKİZ AYNA SAĞ VECTRA.B MANUEL</t>
  </si>
  <si>
    <t>VM-166 R</t>
  </si>
  <si>
    <t>6428076FROW</t>
  </si>
  <si>
    <t>DIŞ DİKİZ AYNA SOL ASTRA.G MANUEL</t>
  </si>
  <si>
    <t>6428076VMW</t>
  </si>
  <si>
    <t>VM-168A L</t>
  </si>
  <si>
    <t>6428077FROW</t>
  </si>
  <si>
    <t>DIŞ DİKİZ AYNA SAĞ ASTRA.G MANUEL</t>
  </si>
  <si>
    <t>6428077Y</t>
  </si>
  <si>
    <t>6428080VİEVMAX</t>
  </si>
  <si>
    <t>DİKİZ AYNA SOL ASTRA.G ELEKTRİKLİ</t>
  </si>
  <si>
    <t>VM168EHPAL</t>
  </si>
  <si>
    <t>6428081VMX</t>
  </si>
  <si>
    <t>DIŞ DİKİZ AYNA SAĞ ASTRA.G ELEKTRİKLİ</t>
  </si>
  <si>
    <t>6428116SPJ</t>
  </si>
  <si>
    <t>DIŞ DİKİZ AYNA SOL MANUEL COMBO.C</t>
  </si>
  <si>
    <t xml:space="preserve">SPJ </t>
  </si>
  <si>
    <t>E-1473</t>
  </si>
  <si>
    <t>6428116VMX</t>
  </si>
  <si>
    <t>DIŞ DİKİZ AYNA SOL COMBO.C MANUEL</t>
  </si>
  <si>
    <t>VM-965 L</t>
  </si>
  <si>
    <t>6428119SPJ</t>
  </si>
  <si>
    <t>DIŞ DİKİZ AYNA SAĞ MANUEL COMBO.C</t>
  </si>
  <si>
    <t>E-1474</t>
  </si>
  <si>
    <t>6428184SPJ</t>
  </si>
  <si>
    <t>DIŞ DİKİZ AYNA SAĞ ASTRA.H 04-10 +ELK.+ASTARLI KAPAK</t>
  </si>
  <si>
    <t>E-2216</t>
  </si>
  <si>
    <t>6428184WAGENBURG</t>
  </si>
  <si>
    <t>AYNA ALT KAPAK SAĞ ASTRA.H 04&gt;</t>
  </si>
  <si>
    <t>OP.1002</t>
  </si>
  <si>
    <t>6428185SPJ</t>
  </si>
  <si>
    <t>DIŞ DİKİZ AYNA SOL ASTRA.H 04-10 +ELK.+ASTARLI KAPAK</t>
  </si>
  <si>
    <t>E-2215</t>
  </si>
  <si>
    <t>6428185WAGENBURG</t>
  </si>
  <si>
    <t>AYNA ALT KAPAK SOL ASTRA.H 04&gt;</t>
  </si>
  <si>
    <t xml:space="preserve">WAGENBURG </t>
  </si>
  <si>
    <t>OP.1003</t>
  </si>
  <si>
    <t>6428193SPJ</t>
  </si>
  <si>
    <t>DIŞ DİKİZ AYNA SAĞ COMBO.C +ELEKTRİK+ISITMA</t>
  </si>
  <si>
    <t>E-1978</t>
  </si>
  <si>
    <t>6428231FROW</t>
  </si>
  <si>
    <t>DIŞ DİKİZ AYNA SOL ZAFİRA.B 05&gt; ELEKTRİKLİ+KATLANIR</t>
  </si>
  <si>
    <t>6428232FROW</t>
  </si>
  <si>
    <t>DIŞ DİKİZ AYNA SAĞ ZAFİRA.B 05&gt; ELEKTRİKLİ+KATLANIR</t>
  </si>
  <si>
    <t>6428245KRAFTVOLL</t>
  </si>
  <si>
    <t>SOL DİKİZ AYNA CORSA.D ELEKTRİKLİ</t>
  </si>
  <si>
    <t>6428253SPJ</t>
  </si>
  <si>
    <t>DİKİZ AYNA CORSA.D07-14/CORSA.E 15&gt;</t>
  </si>
  <si>
    <t>E-3183</t>
  </si>
  <si>
    <t>İÇ DİKİZ AYNA VECTRA.B/ASTRA.G/CORSA.C/D/ZAFİRA.A</t>
  </si>
  <si>
    <t>6428275FROW</t>
  </si>
  <si>
    <t>DIŞ DİKİZ AYNA SOL ZAFİRA.B 05&gt; ELEKTRİKLİ</t>
  </si>
  <si>
    <t>6428276FROW</t>
  </si>
  <si>
    <t>DIŞ DİKİZ AYNA SAĞ ZAFİRA.B 05&gt; ELEKTRİKLİ</t>
  </si>
  <si>
    <t>6428741TAP</t>
  </si>
  <si>
    <t>AYNA KAPAĞI SOL ASTRA.G</t>
  </si>
  <si>
    <t>TAP.6428741</t>
  </si>
  <si>
    <t>6428742TAP</t>
  </si>
  <si>
    <t>AYNA KAPAĞI SAĞ ASTRA.G</t>
  </si>
  <si>
    <t>TAP.6428742</t>
  </si>
  <si>
    <t>6428911AKD</t>
  </si>
  <si>
    <t>AYNA KAPAĞI SAĞ ASTRA.H 04-10</t>
  </si>
  <si>
    <t>OP142100</t>
  </si>
  <si>
    <t>6428911TAP</t>
  </si>
  <si>
    <t>TAP.6428911</t>
  </si>
  <si>
    <t>6428912AKD</t>
  </si>
  <si>
    <t>AYNA KAPAĞI SOL ASRA.H 04-10</t>
  </si>
  <si>
    <t>OP142101</t>
  </si>
  <si>
    <t>6428912TAP</t>
  </si>
  <si>
    <t>AYNA KAPAĞI SOL ASTRA.H 04-10</t>
  </si>
  <si>
    <t>TAP.6428912</t>
  </si>
  <si>
    <t>6429.ARSAGEM</t>
  </si>
  <si>
    <t>ARKA SİLECEK KOMPLE 207 06-12</t>
  </si>
  <si>
    <t>6429.FNMAXTEL</t>
  </si>
  <si>
    <t>ARKA SİLECEK KOMPLE PARTNER TEPEE/BERLİNGO</t>
  </si>
  <si>
    <t>6429.FNWPI</t>
  </si>
  <si>
    <t>ARKA SİLECEK KOMPLE PARTNER/BERLİNGO TEPEE</t>
  </si>
  <si>
    <t>6429.T1PLASTECH</t>
  </si>
  <si>
    <t>P12346</t>
  </si>
  <si>
    <t>ARKA SİLECEK KOMPLE 307 04-09</t>
  </si>
  <si>
    <t>6429.T1SAGEM</t>
  </si>
  <si>
    <t>6429.V5SAGEM</t>
  </si>
  <si>
    <t>S26536</t>
  </si>
  <si>
    <t>ARKA SİLECEK KOMPLE PARTNER/BERLİNGO 09&gt;(TEK KAPI)</t>
  </si>
  <si>
    <t>6429.V5WPI</t>
  </si>
  <si>
    <t xml:space="preserve">ARKA SİLECEK KOMPLE PARTNER/BERLİNGO 09&gt;(TEK KAPI) </t>
  </si>
  <si>
    <t>6431.F3WPI</t>
  </si>
  <si>
    <t>SİLECEK SU DEPO 207 05&gt;/1007 05&gt;/301/C-ELYSEE</t>
  </si>
  <si>
    <t>PB2180</t>
  </si>
  <si>
    <t>64316835405SARDES</t>
  </si>
  <si>
    <t>SCA3164-2</t>
  </si>
  <si>
    <t>POLEN FİLTRESİ KARBONLU F40/F44/F45/F46</t>
  </si>
  <si>
    <t>6432.30KRAFTVOLL</t>
  </si>
  <si>
    <t>CAM SU DEPO KAPAK 206/207/307/C2/C3 PARTNER/BERLİNGO</t>
  </si>
  <si>
    <t>6432.38ALPER</t>
  </si>
  <si>
    <t>SU FİSKİYE DEPO KAPAK 308/PARTNER TEPEE</t>
  </si>
  <si>
    <t>6434.58Y</t>
  </si>
  <si>
    <t xml:space="preserve">SU FİSKİYE MOTOR 106/206/306/PARTNER </t>
  </si>
  <si>
    <t>6438.A0PLASTECH</t>
  </si>
  <si>
    <t>P12613</t>
  </si>
  <si>
    <t>SU FİSKİYE MEME ÖN PARTNER/BERLİNGO M49/M59(97-08)</t>
  </si>
  <si>
    <t xml:space="preserve">6438.AVBİTAPART </t>
  </si>
  <si>
    <t>BPE309535</t>
  </si>
  <si>
    <t>SU FİSKİYE MEME 206/C2/C3/C5</t>
  </si>
  <si>
    <t>6438.AVPLASTECH</t>
  </si>
  <si>
    <t>P12615</t>
  </si>
  <si>
    <t>6438.CAMTJ</t>
  </si>
  <si>
    <t>SU FİSKİYE MEME 308/C4/508</t>
  </si>
  <si>
    <t>6438.H4MTJ</t>
  </si>
  <si>
    <t>SU FİSKİYE MEME 306/307</t>
  </si>
  <si>
    <t>6438.J2BİTAPART</t>
  </si>
  <si>
    <t xml:space="preserve"> BPE309900</t>
  </si>
  <si>
    <t>ÖN CAM SU FİSKİYE MEMESİ (HORTUMLU) 206/206+/407</t>
  </si>
  <si>
    <t>6438.Z7PLASTECH</t>
  </si>
  <si>
    <t>P12614</t>
  </si>
  <si>
    <t>SU FİSKİYE MEME ÖN PARTNER TEPEE/BERLİNGO</t>
  </si>
  <si>
    <t>6439.89</t>
  </si>
  <si>
    <t xml:space="preserve">SİLECEK SU DEPO ÜST BORUSU 307 </t>
  </si>
  <si>
    <t>6441.CSKALE</t>
  </si>
  <si>
    <t>KALORİFER MOTOR C3/DS3/C4 CACTUS 09&gt;</t>
  </si>
  <si>
    <t>6441.Q8HERTH+BUSS</t>
  </si>
  <si>
    <t>KALORİFER REZİSTANSI 1007/C2/C3</t>
  </si>
  <si>
    <t>6441.Q8MARELLİ</t>
  </si>
  <si>
    <t>6441.S0CADİC</t>
  </si>
  <si>
    <t>KALORİFER MOTOR M59 PARTNER/BERLİNGO 03-08</t>
  </si>
  <si>
    <t>6441.S7FROWAS</t>
  </si>
  <si>
    <t>KALORİFER REZİSTANSI 307/407/C3 III/DS3/C4/C5 X7 OTOMATİK KLİMA</t>
  </si>
  <si>
    <t>6447.AZPHAFF</t>
  </si>
  <si>
    <t>POLEN FİLTRESİ 206/206+</t>
  </si>
  <si>
    <t>DP129</t>
  </si>
  <si>
    <t>6447.AZY</t>
  </si>
  <si>
    <t>SMP-1158</t>
  </si>
  <si>
    <t>6447.KRY</t>
  </si>
  <si>
    <t>POLEN FİLTRE PARTNER/BERLİNGO/XSARA</t>
  </si>
  <si>
    <t>6447.VYY</t>
  </si>
  <si>
    <t>POLEN FİLTRE ÇİFTLİ 207/208/2008/C2/C3/C4 CACTUS</t>
  </si>
  <si>
    <t>6447.XF</t>
  </si>
  <si>
    <t>POLEN FİLTRE TEPEE/3008 09&gt;/5008 09&gt;/C4 PCS 08&gt;/DS5 11&gt;//RIFTER/COMBO.E</t>
  </si>
  <si>
    <t>6447.XFSARDES</t>
  </si>
  <si>
    <t>SC7312</t>
  </si>
  <si>
    <t>6447.XFY</t>
  </si>
  <si>
    <t>SMP-1151</t>
  </si>
  <si>
    <t>6447.XFY-CA</t>
  </si>
  <si>
    <t>SMP-1151K</t>
  </si>
  <si>
    <t>6447.YKGRAT</t>
  </si>
  <si>
    <t>POLEN FİLTRESİ JUMPY/SCUDO</t>
  </si>
  <si>
    <t>6448.78KRAFTVOLL</t>
  </si>
  <si>
    <t>KALORİFER RADYATÖR PARTNER/BERLİNGO M49/M59</t>
  </si>
  <si>
    <t>6448.78MAHLE</t>
  </si>
  <si>
    <t>AH43000S</t>
  </si>
  <si>
    <t>6448.G3KRAFTVOLL</t>
  </si>
  <si>
    <t>KALORİFER RADYATÖR 206/XSARA PCS.</t>
  </si>
  <si>
    <t>6448.G4Y</t>
  </si>
  <si>
    <t>PEG0856</t>
  </si>
  <si>
    <t>KALORİFER PETEK BORU TAKIM 206/206+</t>
  </si>
  <si>
    <t>6448.Q0FROWAS</t>
  </si>
  <si>
    <t>KALORİFER RADYATÖR HORTUM SETİ 207</t>
  </si>
  <si>
    <t>6448.Q7LUVİ</t>
  </si>
  <si>
    <t>KALORİFER RADYATÖR KELEPÇESİ PARTNER TEPEE/301/C-ELYSEE</t>
  </si>
  <si>
    <t>6448.S6KALE</t>
  </si>
  <si>
    <t>KALORİFER RADYATÖR BRAZİNG PARTNER TEPEE</t>
  </si>
  <si>
    <t>6450.GVMARELLİ</t>
  </si>
  <si>
    <t>KALORİFER REZİSTANSI PARTNER/BERLİNGO 98-10 1.9/2.0 HDİ</t>
  </si>
  <si>
    <t>6450.JPSAGEM</t>
  </si>
  <si>
    <t>KALORİFER REZİSTANSI 307/206/C3</t>
  </si>
  <si>
    <t>6450.NVHELLUX</t>
  </si>
  <si>
    <t>HLR 100033</t>
  </si>
  <si>
    <t>KALORİFER REZİSTANSI PARTNER/BERLİNGO 03-08 KLİMALI</t>
  </si>
  <si>
    <t>6450.NXHELLUX</t>
  </si>
  <si>
    <t>KALORİFER REZİSTANSI 206</t>
  </si>
  <si>
    <t>HLR.100096</t>
  </si>
  <si>
    <t>6450.NXSAGEM</t>
  </si>
  <si>
    <t xml:space="preserve">SİLECEK SU DEPOSU ASTRA.H TEK MOTOR </t>
  </si>
  <si>
    <t>6453.EYDELPHİ</t>
  </si>
  <si>
    <t>KLİMA KOMPRESÖR PARTNER/BERLİNGO/206/306/EXPERT/BOXER/JUMPER</t>
  </si>
  <si>
    <t>TSP0159031</t>
  </si>
  <si>
    <t>6453.JNMAHLE</t>
  </si>
  <si>
    <t>KLİMA KOMPRESÖR PARTNER/BERLİNGO/307 2.0HDİ DW10 05&gt; (ÇİFTLİ BAGLANTI)</t>
  </si>
  <si>
    <t>ACP29000S</t>
  </si>
  <si>
    <t>6455.EKMGA</t>
  </si>
  <si>
    <t>KLİMA RADYATÖR 207/208/1007/2008/C3/C4/DS3/CROSSLAND.X 1.2/1.5D</t>
  </si>
  <si>
    <t>6455.GKKALE</t>
  </si>
  <si>
    <t>KLİMA RADYATÖR  307/308/C4 1.4/1.6 16V</t>
  </si>
  <si>
    <t>6455.Q9KALE</t>
  </si>
  <si>
    <t>KLİMA RADYATÖR  306/PARTNER/BERLİNGO</t>
  </si>
  <si>
    <t>646041PIERBURG</t>
  </si>
  <si>
    <t>YAĞ POMPASI X14XE/Z14XE/Z16XE/X16XE/X14SZ</t>
  </si>
  <si>
    <t>7.07919.12.0</t>
  </si>
  <si>
    <t>646041SCHADEK</t>
  </si>
  <si>
    <t>646042SCHADEK</t>
  </si>
  <si>
    <t>YAĞ POMPASI YUVARLAK DELİK 18NV/20NE/X20XEV</t>
  </si>
  <si>
    <t>646046SCHADEK</t>
  </si>
  <si>
    <t>YAĞ POMPASI X20XEV (YUVARLAK DELİK)</t>
  </si>
  <si>
    <t>646067AKD</t>
  </si>
  <si>
    <t>YAĞ POMPASI X20XEV (OVAL TİP)</t>
  </si>
  <si>
    <t>OP104115</t>
  </si>
  <si>
    <t>646067KRAFTVOLL</t>
  </si>
  <si>
    <t>YAĞ POMPASI X20XEV OVAL TİP</t>
  </si>
  <si>
    <t>646067SUPSAN</t>
  </si>
  <si>
    <t>PL0051</t>
  </si>
  <si>
    <t>646071SCHADEK</t>
  </si>
  <si>
    <t>YAĞ POMPASI Z18XE ASTRA.G/ZAFİRA.A/VECTRA.B</t>
  </si>
  <si>
    <t>646072AKD</t>
  </si>
  <si>
    <t>YAĞ POMPASI Z18XE VECTRA.G/ZAFİRA.A 6 KÖŞELİ GENİŞ</t>
  </si>
  <si>
    <t>OP104122</t>
  </si>
  <si>
    <t>646076HELLA</t>
  </si>
  <si>
    <t>YAĞ POMPASI Z13DT/Z13DTH</t>
  </si>
  <si>
    <t>8TO358222-141</t>
  </si>
  <si>
    <t>646076OEM</t>
  </si>
  <si>
    <t>MOPAR</t>
  </si>
  <si>
    <t>646076OPAR</t>
  </si>
  <si>
    <t>646076PIERBURG</t>
  </si>
  <si>
    <t>7.04193.01.0</t>
  </si>
  <si>
    <t>646076SCHADEK</t>
  </si>
  <si>
    <t>646164FENİX</t>
  </si>
  <si>
    <t>FN3149</t>
  </si>
  <si>
    <t>YAĞ POMPASI Y17DT/X17D(KASNAKSIZ)</t>
  </si>
  <si>
    <t>646164KRAFTVOLL</t>
  </si>
  <si>
    <t>YAĞ POMPASI Y17DT/X17D(KASNAKLI)</t>
  </si>
  <si>
    <t>646260VİCTOR</t>
  </si>
  <si>
    <t>ÖN KRANK KEÇE Z18XE/X18XE</t>
  </si>
  <si>
    <t>81-15512-50</t>
  </si>
  <si>
    <t>646268SKT</t>
  </si>
  <si>
    <t>YAĞ POMPA KEÇESİ Y17DT/X17D</t>
  </si>
  <si>
    <t>646271SKT</t>
  </si>
  <si>
    <t xml:space="preserve">EKSANTRİK KEÇE Y17DT </t>
  </si>
  <si>
    <t xml:space="preserve">646289SKT </t>
  </si>
  <si>
    <t>ÖN KRANK KEÇE X20XEV/20NE/18SV/C20NE</t>
  </si>
  <si>
    <t>646299CORTECO</t>
  </si>
  <si>
    <t>ÖN KRANK KEÇE Z16XEP/A16XER/A16LET</t>
  </si>
  <si>
    <t>646299ELRİNG</t>
  </si>
  <si>
    <t xml:space="preserve">ÖN KRANK KEÇE Z16XEP/A16XER/A16LET </t>
  </si>
  <si>
    <t xml:space="preserve">646299SKT </t>
  </si>
  <si>
    <t>646299VİCTOR</t>
  </si>
  <si>
    <t>81-35147-00</t>
  </si>
  <si>
    <t>6464.FZRPR</t>
  </si>
  <si>
    <t>KALORİFER HORTUM 306/XSARA/PARTNER 96&gt; 1.9D</t>
  </si>
  <si>
    <t>R15252</t>
  </si>
  <si>
    <t>6464.NVRPR</t>
  </si>
  <si>
    <t>KALORİFER HORTUM 306 PARTNER/BERLİNGO DW8 1.9D</t>
  </si>
  <si>
    <t>R15104</t>
  </si>
  <si>
    <t>6464.SRRPR</t>
  </si>
  <si>
    <t>KALRİFER HORTUM 98-06 206 1.4/1.6 8V</t>
  </si>
  <si>
    <t>R15218</t>
  </si>
  <si>
    <t>6464.TSYTT</t>
  </si>
  <si>
    <t>KALORİFER HORTUM 206 1.4/1.6 8V</t>
  </si>
  <si>
    <t>Y32111</t>
  </si>
  <si>
    <t>6464.XCYTT</t>
  </si>
  <si>
    <t xml:space="preserve">KALORİFER HORTUM PARTNER/BERLİNGO 04&gt; 2.0HDİ </t>
  </si>
  <si>
    <t>Y31004</t>
  </si>
  <si>
    <t>6466.63RPR</t>
  </si>
  <si>
    <t>KALORİFER HORTUM DW8/1.9D PARTNER/BERLİNGO</t>
  </si>
  <si>
    <t>R15242</t>
  </si>
  <si>
    <t>6466.63YTT</t>
  </si>
  <si>
    <t>Y32179</t>
  </si>
  <si>
    <t>6466.CJKRAFTVOLL</t>
  </si>
  <si>
    <t>KALORİFER HORTUM 307/308/3008/5008/C4/PARTENER TEPEE/BERLİNGO DV6TED4 1.6HDİ</t>
  </si>
  <si>
    <t>6466.CJRPR</t>
  </si>
  <si>
    <t>R15208</t>
  </si>
  <si>
    <t>6466.CLKRAFTVOLL</t>
  </si>
  <si>
    <t>KALORİFER HORTUM 307/PARTNER TEPEE/BERLİNGO 1.6HDİ DV6</t>
  </si>
  <si>
    <t>6466.F4RPR</t>
  </si>
  <si>
    <t>KALORİFER HORTUM TU5JP4 1.6 16V 307</t>
  </si>
  <si>
    <t>R15194</t>
  </si>
  <si>
    <t>6466.F7RPR</t>
  </si>
  <si>
    <t>KALORİFER HORTUM 307 TU5JP4 1.6 16V</t>
  </si>
  <si>
    <t>R15195</t>
  </si>
  <si>
    <t>6466.G7FROW</t>
  </si>
  <si>
    <t>SU KOLLEKTÖR PARTNER/306</t>
  </si>
  <si>
    <t>6466.QXİBRAS</t>
  </si>
  <si>
    <t xml:space="preserve">KALORİFER HORTUM TAKIM BİPPER/NEMO 1.4HDİ </t>
  </si>
  <si>
    <t>6466.QXYTT</t>
  </si>
  <si>
    <t>Y32160</t>
  </si>
  <si>
    <t>6466.TYFROWAS</t>
  </si>
  <si>
    <t>KALORİFER HORTUM 207/301/C-ELYSEE/C2/C3</t>
  </si>
  <si>
    <t>646816CORTECO</t>
  </si>
  <si>
    <t>ÖN KRANK KEÇE X14XE/X16XE/Z16XE/Z14XE</t>
  </si>
  <si>
    <t>646816SKT</t>
  </si>
  <si>
    <t xml:space="preserve">646902ELRİNG </t>
  </si>
  <si>
    <t>YAĞ POMPA CONTA A20NHT/A20NFT/Z22SE/Z20NET</t>
  </si>
  <si>
    <t xml:space="preserve">646904ASPART </t>
  </si>
  <si>
    <t>8GAS1289</t>
  </si>
  <si>
    <t xml:space="preserve">YAĞ POMPA CONTA Z13DT/A13DTE </t>
  </si>
  <si>
    <t>646904Y</t>
  </si>
  <si>
    <t>YAĞ POMPA CONTA Z13DT/A13DTE</t>
  </si>
  <si>
    <t>646910SKT</t>
  </si>
  <si>
    <t xml:space="preserve">ÖN KRANK KEÇE Z13DTH/A13DTE </t>
  </si>
  <si>
    <t>6479.04Y</t>
  </si>
  <si>
    <t>POLEN FİLTRE 407 04&gt;/C5 04&gt;/2008 KALIN</t>
  </si>
  <si>
    <t>6479.45Y</t>
  </si>
  <si>
    <t>POLEN FİLTRESİ 407/C5</t>
  </si>
  <si>
    <t>SMP-1458</t>
  </si>
  <si>
    <t>6479.63Y</t>
  </si>
  <si>
    <t>POLEN FİLTRESİ BİPPER/NEMO/FİORİNO</t>
  </si>
  <si>
    <t>6479.C2Y</t>
  </si>
  <si>
    <t>POLEN FİLTRE 307&gt;/308 08&gt;/1007 05&gt;/RCZ 10&gt;/C3 02&gt;/C4 04&gt;DS4 11&gt;</t>
  </si>
  <si>
    <t>6479.C9SARDES</t>
  </si>
  <si>
    <t>POLEN FİTLRESİ BOXER III/DUCATO III/JUMPER III</t>
  </si>
  <si>
    <t>SC724</t>
  </si>
  <si>
    <t>6479.K9KARBON</t>
  </si>
  <si>
    <t>POLEN FİLTRESİ 508 10&gt; KARBONLU</t>
  </si>
  <si>
    <t>6479.K9Y</t>
  </si>
  <si>
    <t>POLEN FİLTRESİ 508 10&gt;</t>
  </si>
  <si>
    <t>6490.G8KRAFTVOLL</t>
  </si>
  <si>
    <t>CAM AÇMA DÜĞME ÖN SOL İKİLİ BİPPER/NEMO/FİORİNO (ÇERÇEVELİ)</t>
  </si>
  <si>
    <t>6490.H0KRAFTVOLL</t>
  </si>
  <si>
    <t>CAM AÇMA DÜĞME ÖN SAĞ BİPPER/NEMO/FİORİNO (ÇERÇEVELİ)</t>
  </si>
  <si>
    <t>6490.X9ROCKSWELL</t>
  </si>
  <si>
    <t>CAM AÇMA DÜĞME SOL BOXER III/JUMPERIII /DUCATO III 06&gt;</t>
  </si>
  <si>
    <t>ROCKSWELL</t>
  </si>
  <si>
    <t>A025</t>
  </si>
  <si>
    <t>649013ENK</t>
  </si>
  <si>
    <t>YAĞ FİLTRESİ X15D/X17D/17D</t>
  </si>
  <si>
    <t>ENK FİLTER</t>
  </si>
  <si>
    <t>26300-35056</t>
  </si>
  <si>
    <t>6500.CL</t>
  </si>
  <si>
    <t>MOTOR İÇİ SİGORTA KUTUSU BOXER III 06&gt; 2.2HDİ</t>
  </si>
  <si>
    <t>6500.Y1</t>
  </si>
  <si>
    <t>SİGORTA TABLASI 206/307/407/PARTNER</t>
  </si>
  <si>
    <t>650010AKD</t>
  </si>
  <si>
    <t>YAĞ SOĞUTUCU CONTA Z17DTJ/A17DTJ/A17DTR</t>
  </si>
  <si>
    <t>650037Y</t>
  </si>
  <si>
    <t>YAĞ SOĞUTUCU CONTA A14NET/B14NET/A14XER/A12XER</t>
  </si>
  <si>
    <t>650039ASPART</t>
  </si>
  <si>
    <t>YAĞ SOĞUTUCU KOMPLE A14NET</t>
  </si>
  <si>
    <t>650041Y</t>
  </si>
  <si>
    <t>FAN REZİSTANSI 207/208/301/C-ELYSEE/DS3</t>
  </si>
  <si>
    <t>650069İBRAS</t>
  </si>
  <si>
    <t xml:space="preserve">TERMOSTAT ÇIKIŞ HORTUM(SOĞUTUCUYA GİDEN) A14NET </t>
  </si>
  <si>
    <t>650091AKD</t>
  </si>
  <si>
    <t>MOTOR YAĞ KAPAĞI X16XE/X14XE</t>
  </si>
  <si>
    <t>OP110101</t>
  </si>
  <si>
    <t>650091ASPART</t>
  </si>
  <si>
    <t>8LOF1009</t>
  </si>
  <si>
    <t>650091FEBİ</t>
  </si>
  <si>
    <t>650091TOPRAN</t>
  </si>
  <si>
    <t>650094FEBİ</t>
  </si>
  <si>
    <t>MOTOR YAĞ KAPAĞI 1.2/1.4/1.6/1.8/2.0 8V</t>
  </si>
  <si>
    <t>650103AKD</t>
  </si>
  <si>
    <t>YAĞ KAPAĞI Z14XE/Z16XE</t>
  </si>
  <si>
    <t>OP110103</t>
  </si>
  <si>
    <t>650103ASPART</t>
  </si>
  <si>
    <t>8LOF1006</t>
  </si>
  <si>
    <t>650103FEBİ</t>
  </si>
  <si>
    <t>YAĞ KAPAGI Z14XE/Z16XE</t>
  </si>
  <si>
    <t>650103TOPRAN</t>
  </si>
  <si>
    <t xml:space="preserve">650110SARDES </t>
  </si>
  <si>
    <t>SO1058</t>
  </si>
  <si>
    <t>YAĞ FİLTRESİ COMBO.D 1.6/2.0 MTJ</t>
  </si>
  <si>
    <t>MOTOR YAĞ KAPAGI A12XER/A14XER/A16XER/A16LET/A14NET</t>
  </si>
  <si>
    <t>650143ASPART</t>
  </si>
  <si>
    <t>6OCO1115</t>
  </si>
  <si>
    <t>YAĞ SOĞUTUCU KOMPLE Z13DT (İÇTEN SOGUTMALI)</t>
  </si>
  <si>
    <t>650162-TK-HANSFEL</t>
  </si>
  <si>
    <t>ZİNCİR KAPAK CONTA SETİ B16DTH</t>
  </si>
  <si>
    <t xml:space="preserve">HANSFEL </t>
  </si>
  <si>
    <t>HSF-2125</t>
  </si>
  <si>
    <t>650162HANSFEL</t>
  </si>
  <si>
    <t>YAĞ KARTER CONTA B16DTH/B16DTL</t>
  </si>
  <si>
    <t>HSF-2110</t>
  </si>
  <si>
    <t>ENJEKTÖR PULU DV4C/DV6C EURO5/EURO6</t>
  </si>
  <si>
    <t>650170CABU</t>
  </si>
  <si>
    <t>YAĞ FİLTRE KAPAK A12XE/A14XER/A16XER/A16LET</t>
  </si>
  <si>
    <t>650180YTAKIM7</t>
  </si>
  <si>
    <t>YAĞ SOĞUTUCU ORİNG SET A13DTE 1.3EURO5(7PARÇA)</t>
  </si>
  <si>
    <t>55238300TK7</t>
  </si>
  <si>
    <t>650184Y</t>
  </si>
  <si>
    <t>YAĞ SOĞUTUCU RADYATÖR CONTA  A20DTH</t>
  </si>
  <si>
    <t>650194İBRAŞ</t>
  </si>
  <si>
    <t>YAĞ SOĞUTUCU HORTUM A14NEL/A14NET/B14NET</t>
  </si>
  <si>
    <t>650194RPR</t>
  </si>
  <si>
    <t xml:space="preserve">YAĞ SOĞUTUCU HORTUM A14NEL/A14NET/B14NET </t>
  </si>
  <si>
    <t>R38207</t>
  </si>
  <si>
    <t>650194WİSCO</t>
  </si>
  <si>
    <t>2113643-00</t>
  </si>
  <si>
    <t>650200METTE</t>
  </si>
  <si>
    <t>YAĞ SOĞUTUCU PETEK B10XFL/B14XFT</t>
  </si>
  <si>
    <t>345C6376</t>
  </si>
  <si>
    <t>650216ASPART</t>
  </si>
  <si>
    <t>YAĞ SOĞUTUCU KOMPLE B16DTH</t>
  </si>
  <si>
    <t>650217Y</t>
  </si>
  <si>
    <t>YAĞ SOĞUTUCU CONTA SETİ A20DTH</t>
  </si>
  <si>
    <t>650237AKD-TAKIM</t>
  </si>
  <si>
    <t>YAĞ SOĞUTUCU CONTA TAKIM A14NET/B14NET/A14XER/A12XER</t>
  </si>
  <si>
    <t>650237BOSCH</t>
  </si>
  <si>
    <t>YAĞ FİLTRE ASTRA.K/İNSİGNİA.B 1.4/1.4T/1.5T</t>
  </si>
  <si>
    <t>F026407213</t>
  </si>
  <si>
    <t>650237FİLTRON</t>
  </si>
  <si>
    <t>OP570/2</t>
  </si>
  <si>
    <t>650237MAHLE</t>
  </si>
  <si>
    <t>OC1421</t>
  </si>
  <si>
    <t>650237Y-TAKIM</t>
  </si>
  <si>
    <t>650037TKTAP</t>
  </si>
  <si>
    <t>650237Y-TAKIM6</t>
  </si>
  <si>
    <t>YAĞ SOĞUTUCU CONTA TAKIM A14NET/B14NET/A14XER/A12XER (6PARÇA)</t>
  </si>
  <si>
    <t>55565385TK6</t>
  </si>
  <si>
    <t>650240AKD</t>
  </si>
  <si>
    <t>YAĞ SOĞUTUCU KOMPLE A13DTE EURO5 ASTRA.J/AVEO T300</t>
  </si>
  <si>
    <t>OP146138</t>
  </si>
  <si>
    <t xml:space="preserve">650240ASPART </t>
  </si>
  <si>
    <t>6OCO1118</t>
  </si>
  <si>
    <t>650240KALE</t>
  </si>
  <si>
    <t>YAĞ SOĞUTUCU KOMPLE A13DTE EURO5 ASTRA.J/AVEO T300(SOĞUTUCUSUZ)</t>
  </si>
  <si>
    <t>650240PRAKSSIS</t>
  </si>
  <si>
    <t>YAĞ FİLTRESİ CORSA.D/AVEO T300 B14XER</t>
  </si>
  <si>
    <t>650246EUROFIL</t>
  </si>
  <si>
    <t>EFO389295</t>
  </si>
  <si>
    <t>650246HERTH+BUSS</t>
  </si>
  <si>
    <t>J1310913</t>
  </si>
  <si>
    <t>650246IISI</t>
  </si>
  <si>
    <t xml:space="preserve">YAĞ FİLTRESİ CORSA.D/AVEO T300 B14XER </t>
  </si>
  <si>
    <t>FLY7001</t>
  </si>
  <si>
    <t>650246KRAFTVOLL</t>
  </si>
  <si>
    <t>650246SARDES</t>
  </si>
  <si>
    <t>SO1097</t>
  </si>
  <si>
    <t>650246SMF</t>
  </si>
  <si>
    <t>SMF5057EY</t>
  </si>
  <si>
    <t>650300BLUEPRİNT</t>
  </si>
  <si>
    <t>YAĞ FİLTRESİ Y17DT</t>
  </si>
  <si>
    <t>ADH22115</t>
  </si>
  <si>
    <t>650300EUROFIL</t>
  </si>
  <si>
    <t>EFO343000</t>
  </si>
  <si>
    <t>650300FİLTRON</t>
  </si>
  <si>
    <t>OE2001</t>
  </si>
  <si>
    <t>650300MANDO</t>
  </si>
  <si>
    <t>EEOD0029Y</t>
  </si>
  <si>
    <t>650300SARDES</t>
  </si>
  <si>
    <t>SO812</t>
  </si>
  <si>
    <t xml:space="preserve">650300UFİ </t>
  </si>
  <si>
    <t xml:space="preserve">UFİ </t>
  </si>
  <si>
    <t>650300WUNDER</t>
  </si>
  <si>
    <t>WY305</t>
  </si>
  <si>
    <t>650307BLUEPRİNT</t>
  </si>
  <si>
    <t>YAĞ FİLTRESİ X12XE/Z12XE/Z14XEP/Z12XEP</t>
  </si>
  <si>
    <t>ADZ92119</t>
  </si>
  <si>
    <t xml:space="preserve">650307BOSCH </t>
  </si>
  <si>
    <t>F026407015</t>
  </si>
  <si>
    <t>650307FİLTRON</t>
  </si>
  <si>
    <t>OE648</t>
  </si>
  <si>
    <t>650307HENGST</t>
  </si>
  <si>
    <t>E600HD38</t>
  </si>
  <si>
    <t>650307UFİ</t>
  </si>
  <si>
    <t xml:space="preserve">650307VALEO </t>
  </si>
  <si>
    <t>650308HENGST</t>
  </si>
  <si>
    <t>YAĞ FİLTRESİ ASTRA.G/VECTRA.B/C/OMEGA.B X18XE/X25XE</t>
  </si>
  <si>
    <t>E610HD38</t>
  </si>
  <si>
    <t>650308PURFLUX</t>
  </si>
  <si>
    <t>L326</t>
  </si>
  <si>
    <t>650401BOSCH</t>
  </si>
  <si>
    <t>YAĞ FİLTRE BLM...</t>
  </si>
  <si>
    <t>650401ERP</t>
  </si>
  <si>
    <t>650401FİLTRON</t>
  </si>
  <si>
    <t>570/1</t>
  </si>
  <si>
    <t>650401HENGST</t>
  </si>
  <si>
    <t>H90W03</t>
  </si>
  <si>
    <t>650401UFİ</t>
  </si>
  <si>
    <t>650459FEBİ</t>
  </si>
  <si>
    <t>YAĞ KAPAĞI CONTASI 1.2/1.4/1.6/1.8/2.0 8V</t>
  </si>
  <si>
    <t>650473HANSFEL</t>
  </si>
  <si>
    <t xml:space="preserve">YAĞ SOĞUTUCU ORİNG SET Y17DT </t>
  </si>
  <si>
    <t>HSF-2013</t>
  </si>
  <si>
    <t>650607AKD</t>
  </si>
  <si>
    <t>YAĞ SOĞUTUCU RADYATÖR X20DTH/Y20DTH</t>
  </si>
  <si>
    <t>OP146115</t>
  </si>
  <si>
    <t xml:space="preserve">650616ASPART </t>
  </si>
  <si>
    <t xml:space="preserve">YAĞ SOĞUTUCU Y17DT </t>
  </si>
  <si>
    <t>TRİGER+DEVİRDAİM SET BOXER III/3008/5008 DW10FU/DW12RU 2.0/2.2HDİ EURO6 17&gt;</t>
  </si>
  <si>
    <t xml:space="preserve">650833METTE </t>
  </si>
  <si>
    <t>YAĞ FİLTRE KAPAĞI X12XE/Z12XE</t>
  </si>
  <si>
    <t>668M6448</t>
  </si>
  <si>
    <t>650953AKD</t>
  </si>
  <si>
    <t>YAĞ FİLTRE GÖVDE CONTA X12XE/Z12XE/Z12XEP/Z14XEP</t>
  </si>
  <si>
    <t>650953ELRİNG</t>
  </si>
  <si>
    <t>650956AKD</t>
  </si>
  <si>
    <t>YAĞ SOĞUTUCU GÖVDE CONTA X20DTH/Y20DTH</t>
  </si>
  <si>
    <t>YAĞ TANZİK SUBAP Z16XEP/A16LET (KAPAK ARASI)</t>
  </si>
  <si>
    <t>652026WİSCO</t>
  </si>
  <si>
    <t>YAĞ KARTERİ Z14XE/Z16XE CHECK KONTROL İÇİN</t>
  </si>
  <si>
    <t>2114292-00</t>
  </si>
  <si>
    <t>652063BROM</t>
  </si>
  <si>
    <t>YAĞ KARTER SENSÖRLÜ ASTRA.H/CORSA.C/D Z13DTH</t>
  </si>
  <si>
    <t xml:space="preserve">BROM </t>
  </si>
  <si>
    <t>F3305</t>
  </si>
  <si>
    <t>652063SANTRAL</t>
  </si>
  <si>
    <t>OS062</t>
  </si>
  <si>
    <t>652077METTE</t>
  </si>
  <si>
    <t>YAĞ KARTERİ Z16XEP (SENSÖR DELİKLİ)</t>
  </si>
  <si>
    <t>668M6105</t>
  </si>
  <si>
    <t xml:space="preserve">652098TOPRAN </t>
  </si>
  <si>
    <t>YAĞ KARTER 1.8/2.0 8V VECTRA.A</t>
  </si>
  <si>
    <t>652133MGA</t>
  </si>
  <si>
    <t>YAĞ KARTER X16XE/X14XE SENSÖRSÜZ</t>
  </si>
  <si>
    <t>MGA-62106</t>
  </si>
  <si>
    <t>652171WİSCO</t>
  </si>
  <si>
    <t>YAĞ KARTERİ (CHECK Lİ) ASTRA.G 98&gt;/VECTRA.B X16XEL/X14XE</t>
  </si>
  <si>
    <t>2113783-00</t>
  </si>
  <si>
    <t>652235SANTRAL</t>
  </si>
  <si>
    <t>YAĞ KARTERİ A13DTE SENSÖRSÜZ</t>
  </si>
  <si>
    <t>652235ZENON</t>
  </si>
  <si>
    <t>FI4309</t>
  </si>
  <si>
    <t>652254AKD</t>
  </si>
  <si>
    <t>KARTER TAPASI B16DTH/A16XHT</t>
  </si>
  <si>
    <t>OP155105</t>
  </si>
  <si>
    <t>652254ALPER</t>
  </si>
  <si>
    <t xml:space="preserve">652254METTE </t>
  </si>
  <si>
    <t>668M6194</t>
  </si>
  <si>
    <t>652254PLASTECH</t>
  </si>
  <si>
    <t>P13120</t>
  </si>
  <si>
    <t xml:space="preserve">KARTER TAPASI B16DTH/A16XHT </t>
  </si>
  <si>
    <t>652315FEBİ</t>
  </si>
  <si>
    <t>KARTER TAPASI ASTRA/VECTRA/CORSA</t>
  </si>
  <si>
    <t>652315MARELLİ</t>
  </si>
  <si>
    <t>652315OEM</t>
  </si>
  <si>
    <t>EXP-0652477</t>
  </si>
  <si>
    <t>652315SWAG</t>
  </si>
  <si>
    <t>652315TOPRAN</t>
  </si>
  <si>
    <t xml:space="preserve">652587AKD </t>
  </si>
  <si>
    <t>KARTER CONTA(MANTAR) 1.8/2.0 8V</t>
  </si>
  <si>
    <t>652587M</t>
  </si>
  <si>
    <t>652587ELRİNG</t>
  </si>
  <si>
    <t xml:space="preserve">KARTER CONTA VECTRA.A/OMEGA.A 1.8/2.0 8V </t>
  </si>
  <si>
    <t>652587FROWAS</t>
  </si>
  <si>
    <t>KARTER CONTA VECTRA.A/OMEGA.A 1.8/2.0 8V (LASTİK)</t>
  </si>
  <si>
    <t>652587ROYAL</t>
  </si>
  <si>
    <t xml:space="preserve">652608VİCTOR </t>
  </si>
  <si>
    <t>KARTER CONTA X17DTL BÜYÜK</t>
  </si>
  <si>
    <t>71-33696-00</t>
  </si>
  <si>
    <t xml:space="preserve">652609VİCTOR </t>
  </si>
  <si>
    <t>KARTER CONTA X17DTL KÜÇÜK</t>
  </si>
  <si>
    <t>71-33697-00</t>
  </si>
  <si>
    <t>652611BGA</t>
  </si>
  <si>
    <t>KARTER CONTA 1.4 8V</t>
  </si>
  <si>
    <t>OP4335</t>
  </si>
  <si>
    <t>652611VİCTOR</t>
  </si>
  <si>
    <t>71-12996-10</t>
  </si>
  <si>
    <t xml:space="preserve">652613BGA </t>
  </si>
  <si>
    <t>KARTER CONTA Z12XEP/Z14XEP</t>
  </si>
  <si>
    <t>OP9385</t>
  </si>
  <si>
    <t>652613ELRİNG</t>
  </si>
  <si>
    <t>652613VİCTOR</t>
  </si>
  <si>
    <t>71-34166-00</t>
  </si>
  <si>
    <t xml:space="preserve">652635AKD </t>
  </si>
  <si>
    <t xml:space="preserve">KARTER CONTA ÜST BÜYÜK X20XEV </t>
  </si>
  <si>
    <t>652635MANDO</t>
  </si>
  <si>
    <t>KARTER CONTA ÜST BÜYÜK X20XEV (KAGIT)</t>
  </si>
  <si>
    <t>DNI55354477</t>
  </si>
  <si>
    <t xml:space="preserve">652635VİCTOR </t>
  </si>
  <si>
    <t>71-31979-00</t>
  </si>
  <si>
    <t xml:space="preserve">652636AKD </t>
  </si>
  <si>
    <t xml:space="preserve">KARTER CONTA ALT KÜÇÜK X20XEV </t>
  </si>
  <si>
    <t>652636BGA</t>
  </si>
  <si>
    <t>AG9950</t>
  </si>
  <si>
    <t>652636CORTECO</t>
  </si>
  <si>
    <t>652636ELRİNG</t>
  </si>
  <si>
    <t xml:space="preserve">652636VİCTOR </t>
  </si>
  <si>
    <t>71-31978-00</t>
  </si>
  <si>
    <t>652669AKD</t>
  </si>
  <si>
    <t>KARTER CONTA X14XE/X16XE</t>
  </si>
  <si>
    <t xml:space="preserve">652669BGA </t>
  </si>
  <si>
    <t>OP0309</t>
  </si>
  <si>
    <t>652669CORTECO</t>
  </si>
  <si>
    <t xml:space="preserve">652669ELRİNG </t>
  </si>
  <si>
    <t>652669ROYAL</t>
  </si>
  <si>
    <t>H2 516050</t>
  </si>
  <si>
    <t>652669TOPRAN</t>
  </si>
  <si>
    <t>652669VİCTOR</t>
  </si>
  <si>
    <t>71-31226-00</t>
  </si>
  <si>
    <t>6552.V1VERTEX</t>
  </si>
  <si>
    <t>CAM AÇMA DÜĞMESİ 306 Y.M 6PİN</t>
  </si>
  <si>
    <t>AN-2220</t>
  </si>
  <si>
    <t>6552.WQVERTEX</t>
  </si>
  <si>
    <t>CAM AÇMA DĞMESİ ÇİFTLİ 206/206+/PARTNER TERS</t>
  </si>
  <si>
    <t>AN-2213</t>
  </si>
  <si>
    <t>6554.KSKRAW</t>
  </si>
  <si>
    <t>CAM AÇMA DÜĞME ÖN SOL 307 DÖRTLÜ</t>
  </si>
  <si>
    <t>AN-618</t>
  </si>
  <si>
    <t>6554.KTKRAW</t>
  </si>
  <si>
    <t>CAM AÇMA DÜĞME ÖN SOL 307 DÖRTLÜ+AYNA KATLAMALI 9FİŞ</t>
  </si>
  <si>
    <t>AN-616</t>
  </si>
  <si>
    <t>6554.QCROCKSWELL</t>
  </si>
  <si>
    <t>RCW A002</t>
  </si>
  <si>
    <t>ÖN CAM AÇMA DÜĞMESİ SOL ÇİFTLİ 207/C3 PİCASSO</t>
  </si>
  <si>
    <t>6554.QGKRAW</t>
  </si>
  <si>
    <t xml:space="preserve">CAM AÇMA DÜĞME ÖN SOL 207 DÖRTLÜ+AYNA KATLAMALI </t>
  </si>
  <si>
    <t>AN-612</t>
  </si>
  <si>
    <t>6554.QKMAXTEL</t>
  </si>
  <si>
    <t>ÖN ÇAM AÇMA DÜĞMESİ SAĞ 207/C3 6PIN ÇERÇEVELİ</t>
  </si>
  <si>
    <t>6554.WQVERTEX</t>
  </si>
  <si>
    <t>CAM AÇMA DÜĞMESİ ÇİFTLİ 206/206+</t>
  </si>
  <si>
    <t>AN-2212</t>
  </si>
  <si>
    <t>6554.XWMCAR</t>
  </si>
  <si>
    <t>CAM AÇMA DÜĞMESİ SAĞ TEKLİ BOXER III/JUMPER III/DUCATO III MAVİ 4PİN</t>
  </si>
  <si>
    <t>MCAR</t>
  </si>
  <si>
    <t>AN237</t>
  </si>
  <si>
    <t>6556.KZABRASSE</t>
  </si>
  <si>
    <t>SİGORTA KAPAK ALT 206</t>
  </si>
  <si>
    <t>BRS-6506-PG</t>
  </si>
  <si>
    <t>6556.Z1MGA</t>
  </si>
  <si>
    <t>SİGORTA KAPAK ÜST 206</t>
  </si>
  <si>
    <t>656004ÜÇPA</t>
  </si>
  <si>
    <t>22H13350</t>
  </si>
  <si>
    <t>MOTOR HAVALANDIRMA HORTUM VECTRA.A 18SV/18NV 1.8 8V</t>
  </si>
  <si>
    <t>656014RPR</t>
  </si>
  <si>
    <t>KARTER HAVALANDIRMA HORTUM X20XEV</t>
  </si>
  <si>
    <t>R18106</t>
  </si>
  <si>
    <t>656092RPR</t>
  </si>
  <si>
    <t>KARTER HAVALANDIRMA HORTUM Z12XEP/Z14XEP</t>
  </si>
  <si>
    <t>R18286</t>
  </si>
  <si>
    <t>656092YTT</t>
  </si>
  <si>
    <t>Y10802</t>
  </si>
  <si>
    <t>656234YTT</t>
  </si>
  <si>
    <t>KARTER HAVALANDIRMA HORTUM VECTRA.A/ASTRA.F</t>
  </si>
  <si>
    <t>Y11545</t>
  </si>
  <si>
    <t>656252RPR</t>
  </si>
  <si>
    <t>MOTOR HAVALANDIRMA HORTUM X20XEV</t>
  </si>
  <si>
    <t>R18107</t>
  </si>
  <si>
    <t>658020METTE</t>
  </si>
  <si>
    <t>YAĞ ÇUBUĞU X20XEV</t>
  </si>
  <si>
    <t>668M6203</t>
  </si>
  <si>
    <t>658048AKD</t>
  </si>
  <si>
    <t>YAĞ ÇUBUĞU ASTRA.G/VECTRA.C/CORSA.C Z14XE/Z16XE</t>
  </si>
  <si>
    <t>OP161101</t>
  </si>
  <si>
    <t>658145Y</t>
  </si>
  <si>
    <t>YAĞ ÇUBUĞU ASTRA.H A16XER</t>
  </si>
  <si>
    <t>658216AKD</t>
  </si>
  <si>
    <t>YAĞ ÇUBUĞU Z13DTH</t>
  </si>
  <si>
    <t>OP161100</t>
  </si>
  <si>
    <t>658221AKD</t>
  </si>
  <si>
    <t>YAĞ ÇUBUĞU ASTRA.H Z16XEP</t>
  </si>
  <si>
    <t>OP161103</t>
  </si>
  <si>
    <t>658344Y</t>
  </si>
  <si>
    <t>YAĞ ÇUBUĞU DEMİRİ(BORUSU) ASTRA.F</t>
  </si>
  <si>
    <t>6606019ELRİNG</t>
  </si>
  <si>
    <t>ÜST TAKIM CONTA Z16XE/A16XER</t>
  </si>
  <si>
    <t>6606019VİCTOR</t>
  </si>
  <si>
    <t>ÜST TAKIM CONTA A16XER/Z16XER</t>
  </si>
  <si>
    <t xml:space="preserve">6606020ELRİNG </t>
  </si>
  <si>
    <t>ALT TAKIM CONTA A16XER/B16XER/A16LET</t>
  </si>
  <si>
    <t>6606020VİCTOR</t>
  </si>
  <si>
    <t>VİCTOR</t>
  </si>
  <si>
    <t>DEBRİYAJ SET VECTRA.C/ASTRA.H Z16XER/A16XER EASYTRONİC</t>
  </si>
  <si>
    <t>ZİNCİR SET Z12XE/Z12XEP/Z14XEP/A12XER/A14XER</t>
  </si>
  <si>
    <t>6606022FEBİ</t>
  </si>
  <si>
    <t>ZİNCİR SETİ Z12XE/Z12XEP/Z14XEP/A12XER/A14XER</t>
  </si>
  <si>
    <t>6606022GATES-FULL</t>
  </si>
  <si>
    <t>ZİNCİR SETİ Z12XE/Z12XEP/Z14XEP/A12XER/A14XER FULL SET</t>
  </si>
  <si>
    <t>CHK1004MB</t>
  </si>
  <si>
    <t>6606022KRAFTVOLL</t>
  </si>
  <si>
    <t>ZİNCİR SETİ Z12XE/Z12XEP/Z14XEP/A12XER/A14XER CONTALI</t>
  </si>
  <si>
    <t>6606022SNR-FULL</t>
  </si>
  <si>
    <t>KDC45311</t>
  </si>
  <si>
    <t>6606022SWAG</t>
  </si>
  <si>
    <t>ZİNCİR SETİ Z13DTH/A13DTE</t>
  </si>
  <si>
    <t>6606024BGA-FULL</t>
  </si>
  <si>
    <t>ZİNCİR SETİ CONTALI FULL Z13DT/A13DTE</t>
  </si>
  <si>
    <t>TC0380FK</t>
  </si>
  <si>
    <t>6606024INA</t>
  </si>
  <si>
    <t>ZİNCİR SETİ CONTALI Z13DT/A13DTE</t>
  </si>
  <si>
    <t>6606024INA-S</t>
  </si>
  <si>
    <t>ZİNCİR SETİ CONTASIZ Z13DT/A13DTE</t>
  </si>
  <si>
    <t>6606025-026AKD</t>
  </si>
  <si>
    <t>ZİNCİR SETİ SİMLEX+DUBLEX(ALT-ÜST) X20DTH/Y20DTH/X22DTH</t>
  </si>
  <si>
    <t>OP125105</t>
  </si>
  <si>
    <t>6606030AYD</t>
  </si>
  <si>
    <t>ROT MİLİ İNSİGNİA.A</t>
  </si>
  <si>
    <t>95-09277</t>
  </si>
  <si>
    <t>6606030KAPİM</t>
  </si>
  <si>
    <t>18-12718</t>
  </si>
  <si>
    <t>6606031AYD</t>
  </si>
  <si>
    <t>ROT BAŞI İNSİGNİA.A/ASTRA.J/CRUZE</t>
  </si>
  <si>
    <t>91-08704</t>
  </si>
  <si>
    <t>6606031KAPİM</t>
  </si>
  <si>
    <t>18-09733</t>
  </si>
  <si>
    <t>6606036LUK</t>
  </si>
  <si>
    <t>DEBRİYAJ SETİ ASTRA.H Z16XER/VECTRA.C Z16XEP/ASTRA.J A16XER/B16XER</t>
  </si>
  <si>
    <t>6606036OPAR</t>
  </si>
  <si>
    <t xml:space="preserve">6606036SACHS </t>
  </si>
  <si>
    <t>6606036VALEO</t>
  </si>
  <si>
    <t>668653AKD</t>
  </si>
  <si>
    <t>DEBRİYAJ RULMAN ASTRA.F/CORSA.B 1.2/1.4/1.6 8V/16V</t>
  </si>
  <si>
    <t>OP113105</t>
  </si>
  <si>
    <t>668653SACHS</t>
  </si>
  <si>
    <t>668653TOPRAN</t>
  </si>
  <si>
    <t>669142CAVO</t>
  </si>
  <si>
    <t>5901 130</t>
  </si>
  <si>
    <t>DEBRİYAJ TELİ ASTRA.F &lt;94</t>
  </si>
  <si>
    <t>669142SPAREMOTIVE</t>
  </si>
  <si>
    <t>669166CAVO</t>
  </si>
  <si>
    <t>5901 143</t>
  </si>
  <si>
    <t>DEBRİYAJ TELİ (AĞIRLIKLI) VECTRA.A</t>
  </si>
  <si>
    <t xml:space="preserve">669166METTE </t>
  </si>
  <si>
    <t>835N5031</t>
  </si>
  <si>
    <t>669166TAP</t>
  </si>
  <si>
    <t>TAP.669166</t>
  </si>
  <si>
    <t>669186AKD</t>
  </si>
  <si>
    <t xml:space="preserve">DEBRİYAJ TELİ CORSA.B/TİGRA.A 93-95 </t>
  </si>
  <si>
    <t>OP157100</t>
  </si>
  <si>
    <t>669186CAVO</t>
  </si>
  <si>
    <t>5901 148</t>
  </si>
  <si>
    <t>DEBRİYAJ TELİ CORSA.B/TİGRA.A 93-95</t>
  </si>
  <si>
    <t>669187AKD</t>
  </si>
  <si>
    <t>AKD OP157101</t>
  </si>
  <si>
    <t>DEBRİYAJ TELİ CORSA.B 97&gt; 16V</t>
  </si>
  <si>
    <t>669187CAVO</t>
  </si>
  <si>
    <t>669189CAVO</t>
  </si>
  <si>
    <t>DEBRİYAJ TELİ ASTRA.F X16XEL</t>
  </si>
  <si>
    <t xml:space="preserve">669189METTE </t>
  </si>
  <si>
    <t>835N5034</t>
  </si>
  <si>
    <t>669189WİSCO</t>
  </si>
  <si>
    <t>2123039*00</t>
  </si>
  <si>
    <t>6710010Y</t>
  </si>
  <si>
    <t>SİS FARI SOL ASTRA.G</t>
  </si>
  <si>
    <t>6710012Y</t>
  </si>
  <si>
    <t>SİS FARI SAĞ ASTRA.G</t>
  </si>
  <si>
    <t>6710020Y</t>
  </si>
  <si>
    <t>SİS FARI SOL VECTRA.B 99-01</t>
  </si>
  <si>
    <t>6710021DEPO</t>
  </si>
  <si>
    <t>SİS FARI SAĞ VECTRA.B 99-01</t>
  </si>
  <si>
    <t>442-2005R-UE</t>
  </si>
  <si>
    <t>6710021Y</t>
  </si>
  <si>
    <t>6710039DEPO</t>
  </si>
  <si>
    <t>SİS FARI SOL ASTRA.H/ZAFİRA.B 05-07</t>
  </si>
  <si>
    <t>442-2015L-UE</t>
  </si>
  <si>
    <t>6710040DEPO</t>
  </si>
  <si>
    <t>SİS FARI SAĞ ASTRA.H 04-07/ZAFİRA.B 05-07</t>
  </si>
  <si>
    <t>442-2015R-UE</t>
  </si>
  <si>
    <t>6710041DEPO</t>
  </si>
  <si>
    <t>SİS FARI SOL VECTRA.C 05&gt;</t>
  </si>
  <si>
    <t>442-2018L-UE</t>
  </si>
  <si>
    <t>6710042DEPO</t>
  </si>
  <si>
    <t>SİS FARI SAĞ VECTRA.C 05&gt;</t>
  </si>
  <si>
    <t>442-2018R-UE</t>
  </si>
  <si>
    <t>6710090WİSCO</t>
  </si>
  <si>
    <t>SİS FARI SAĞ ASTRA.F</t>
  </si>
  <si>
    <t>2243029-00</t>
  </si>
  <si>
    <t>6710092DEPO</t>
  </si>
  <si>
    <t>SİS FARI SAĞ VECTRA.B 96-99</t>
  </si>
  <si>
    <t>442-2004R-UE</t>
  </si>
  <si>
    <t>6710092WİSCO</t>
  </si>
  <si>
    <t>2243081-00</t>
  </si>
  <si>
    <t>6710093İTHAL</t>
  </si>
  <si>
    <t>SİS FARI SOL VECTRA.B 96-99</t>
  </si>
  <si>
    <t>6710093TYC</t>
  </si>
  <si>
    <t>19-5328-05-2B</t>
  </si>
  <si>
    <t>DEBRİYAJ ÜST MERKEZ 15.87mm ASTRA.J/İNSİGNİA.A/ZAFİRA.C/CRUZE</t>
  </si>
  <si>
    <t>679081FTE</t>
  </si>
  <si>
    <t>KG15041.4.1</t>
  </si>
  <si>
    <t xml:space="preserve">679323FTE </t>
  </si>
  <si>
    <t xml:space="preserve">DEBRİYAJ ÜST MERKEZ VECTRA.B X20XEV </t>
  </si>
  <si>
    <t>KG15013.0.2</t>
  </si>
  <si>
    <t>679323LPR</t>
  </si>
  <si>
    <t>DEBRİYAJ ÜST MERKEZ VECTRA.B</t>
  </si>
  <si>
    <t>679323SACHS</t>
  </si>
  <si>
    <t xml:space="preserve">679346FTE </t>
  </si>
  <si>
    <t>DEBRİYAJ RULMAN X20XEV VECTRA.B</t>
  </si>
  <si>
    <t>ZA3403A1</t>
  </si>
  <si>
    <t>679346LUK</t>
  </si>
  <si>
    <t xml:space="preserve">610 0002 10 </t>
  </si>
  <si>
    <t xml:space="preserve">679346SACHS </t>
  </si>
  <si>
    <t xml:space="preserve">679401FTE </t>
  </si>
  <si>
    <t>DEBRİYAJ ÜST MERKEZ CORSA.C/COMBO.C</t>
  </si>
  <si>
    <t>KG15036.0.4</t>
  </si>
  <si>
    <t>679401MARELLİ</t>
  </si>
  <si>
    <t>679401TRW</t>
  </si>
  <si>
    <t>PNB946</t>
  </si>
  <si>
    <t>6808604PURFLUX</t>
  </si>
  <si>
    <t>POLEN FİLTRESİ MERİVA.A KARBONLU</t>
  </si>
  <si>
    <t>AHC206</t>
  </si>
  <si>
    <t>6808604Y</t>
  </si>
  <si>
    <t>POLEN FİLTRESİ MERİVA.A</t>
  </si>
  <si>
    <t>SMP-1208</t>
  </si>
  <si>
    <t>6808620CABU</t>
  </si>
  <si>
    <t>POLEN FİLTRE KAPAĞI CORSA.D/E/ADAM/BİPPER/NEMO</t>
  </si>
  <si>
    <t>6808622Y</t>
  </si>
  <si>
    <t>POLEN FİLTRESİ CORSA.D/E/BİPPER/NEMO</t>
  </si>
  <si>
    <t>SMP-1057</t>
  </si>
  <si>
    <t>6808622Y+CA</t>
  </si>
  <si>
    <t>POLEN FİLTRESİ CORSA.D/E/BİPPER/NEMO +CA</t>
  </si>
  <si>
    <t>6818246İBRAS</t>
  </si>
  <si>
    <t>KALORİFER GİRİŞ HORTUM VECTRA.B X20XEV</t>
  </si>
  <si>
    <t>6818246RPR</t>
  </si>
  <si>
    <t>R18486</t>
  </si>
  <si>
    <t>6818246UCPA</t>
  </si>
  <si>
    <t>22H133175</t>
  </si>
  <si>
    <t xml:space="preserve">6818290İBRAS </t>
  </si>
  <si>
    <t>KALORİFER GİRİŞ HORTUM CORSA.B X14XE/X16XE</t>
  </si>
  <si>
    <t>6818304İBRAS</t>
  </si>
  <si>
    <t>KALORİFER ÇIKIŞ HORTUM CORSA.B</t>
  </si>
  <si>
    <t>6818349YTT</t>
  </si>
  <si>
    <t>KALORİFER HORTUM CORSA.B ARA</t>
  </si>
  <si>
    <t>Y11567</t>
  </si>
  <si>
    <t>6818376YTT</t>
  </si>
  <si>
    <t>KALORİFER GİRİŞ HORTUM CORSA.B</t>
  </si>
  <si>
    <t>Y11730</t>
  </si>
  <si>
    <t xml:space="preserve">6818474ASPART </t>
  </si>
  <si>
    <t>6HOS1412</t>
  </si>
  <si>
    <t>KALORİFER ÇIKIŞ HORTUM ASTRA.G X14XE/Z14XE/Z16XE/X16XEL</t>
  </si>
  <si>
    <t>6818474RPR</t>
  </si>
  <si>
    <t>R18134</t>
  </si>
  <si>
    <t>6818474YTT</t>
  </si>
  <si>
    <t>Y11544</t>
  </si>
  <si>
    <t xml:space="preserve">6818482ASPART </t>
  </si>
  <si>
    <t>6HOS1413</t>
  </si>
  <si>
    <t>KALORİFER GİRİŞ HORTUM ASTRA.G Z14XE/Z16XE</t>
  </si>
  <si>
    <t>6818482RPR</t>
  </si>
  <si>
    <t>R18135</t>
  </si>
  <si>
    <t xml:space="preserve">6818484NİFEA </t>
  </si>
  <si>
    <t>KALORİFER GİRİŞ HORTUM ASTRA.G/ZAFİRA.A Z18XE/X18XE</t>
  </si>
  <si>
    <t>6818484RPR</t>
  </si>
  <si>
    <t>R18308</t>
  </si>
  <si>
    <t>6818515İBRAS</t>
  </si>
  <si>
    <t>TERMOSTAT YUVASI BESLEME HORTUM Y17DT/Y17DTL</t>
  </si>
  <si>
    <t>6818519RPR</t>
  </si>
  <si>
    <t xml:space="preserve">KALORİFER ÇIKIŞ HORTUM ASTRA.G Y17DT </t>
  </si>
  <si>
    <t>R18311</t>
  </si>
  <si>
    <t>6818519UCPA</t>
  </si>
  <si>
    <t>22H133307</t>
  </si>
  <si>
    <t>6818531RPR</t>
  </si>
  <si>
    <t>KALORİFER GİRİŞ HORTUM CORSA.C Y17DT</t>
  </si>
  <si>
    <t>R18418</t>
  </si>
  <si>
    <t>6818533NİFEA</t>
  </si>
  <si>
    <t xml:space="preserve">KALORİFER ÇIKIŞ HORTUM CORSA.C Y17DT </t>
  </si>
  <si>
    <t>6818533RPR</t>
  </si>
  <si>
    <t>R18419</t>
  </si>
  <si>
    <t xml:space="preserve">6818557ASPART </t>
  </si>
  <si>
    <t>6HOS1415</t>
  </si>
  <si>
    <t>KALORİFERİ ÇIKIŞ HORTUM CORSA.C Z13DT</t>
  </si>
  <si>
    <t>6818557NİFEA</t>
  </si>
  <si>
    <t>6818557RPR</t>
  </si>
  <si>
    <t>R18420</t>
  </si>
  <si>
    <t>6818557YTT</t>
  </si>
  <si>
    <t>Y11534</t>
  </si>
  <si>
    <t>6818559ASPART</t>
  </si>
  <si>
    <t>6HOS1416</t>
  </si>
  <si>
    <t>KALORİFER GİRİŞ HORTUM CORSA.C Z13DT</t>
  </si>
  <si>
    <t>6818559NİFEA</t>
  </si>
  <si>
    <t>6818559RPR</t>
  </si>
  <si>
    <t>R18421</t>
  </si>
  <si>
    <t>6818562YTT</t>
  </si>
  <si>
    <t>KALORİFER GİRİŞ HORTUM CORSA.C/COMBO.C Z17DTH</t>
  </si>
  <si>
    <t>Y10568</t>
  </si>
  <si>
    <t>6818567NİFEA</t>
  </si>
  <si>
    <t>KALORİFER GİRİŞ HORTUM ASTRA.H Z16XEP</t>
  </si>
  <si>
    <t>6818567RPR</t>
  </si>
  <si>
    <t>R18217</t>
  </si>
  <si>
    <t>KALORİFER ÇIKIŞ HORTUM ASTRA.H/ZAFİRA.B Z16XEP</t>
  </si>
  <si>
    <t>6818568NİFEA</t>
  </si>
  <si>
    <t>6818568RPR</t>
  </si>
  <si>
    <t>R18218</t>
  </si>
  <si>
    <t>6818568YTT</t>
  </si>
  <si>
    <t>Y11638</t>
  </si>
  <si>
    <t>6818571YTT</t>
  </si>
  <si>
    <t>KALORİFER GİRİŞ HORTUM ASTRA.H Z12XEP/Z14XEP</t>
  </si>
  <si>
    <t>Y20758</t>
  </si>
  <si>
    <t xml:space="preserve">6818587ASPART </t>
  </si>
  <si>
    <t>6HOS1417</t>
  </si>
  <si>
    <t>KALORİFER GİRİŞ HORTUM ASTRA.H Z13DTH</t>
  </si>
  <si>
    <t>6818587RPR</t>
  </si>
  <si>
    <t>R18210</t>
  </si>
  <si>
    <t>6818587UCPA</t>
  </si>
  <si>
    <t>22H14817</t>
  </si>
  <si>
    <t>6818588ASPART</t>
  </si>
  <si>
    <t>6HOS1418</t>
  </si>
  <si>
    <t>KALORİFER ÇIKIŞ HORTUM ASTRA.H Z13DTH</t>
  </si>
  <si>
    <t>6818588RPR</t>
  </si>
  <si>
    <t>R18211</t>
  </si>
  <si>
    <t>6818588UCPA</t>
  </si>
  <si>
    <t>22H14818</t>
  </si>
  <si>
    <t xml:space="preserve">6818589İBRAS </t>
  </si>
  <si>
    <t xml:space="preserve">KALORİFER GİRİŞ HORTUM ASTRA.G Z14XEP </t>
  </si>
  <si>
    <t>6818589YTT</t>
  </si>
  <si>
    <t>KALORİFER GİRİŞ HORTUM ASTRA.G Z14XEP</t>
  </si>
  <si>
    <t>Y10499</t>
  </si>
  <si>
    <t>6818590YTT</t>
  </si>
  <si>
    <t>KALORİFER ÇIKIŞ HORTUM ASTRA.G Z14XEP</t>
  </si>
  <si>
    <t>Y10500</t>
  </si>
  <si>
    <t>6818601ASPART</t>
  </si>
  <si>
    <t>6HOS1419</t>
  </si>
  <si>
    <t>KALORİFER GİRİŞ HORTUM VECTRA.C Z16XEP</t>
  </si>
  <si>
    <t>6818601RPR</t>
  </si>
  <si>
    <t>R18415</t>
  </si>
  <si>
    <t>KALORİFER HORTUM SET ASTRA.H Z16XER</t>
  </si>
  <si>
    <t xml:space="preserve">6818606ASPART </t>
  </si>
  <si>
    <t>6HOS1079</t>
  </si>
  <si>
    <t>6818627YILPAR</t>
  </si>
  <si>
    <t>KALORİFER GİRİŞ HORTUM CORSA.D 06-14 Z12XEP/Z14XEP</t>
  </si>
  <si>
    <t>Y233509</t>
  </si>
  <si>
    <t>6818632YILPAR</t>
  </si>
  <si>
    <t>KALORİFER ÇIKIŞ HORTUM CORSA.D 06-14 Z12XEP/Z14XEP</t>
  </si>
  <si>
    <t>Y233510</t>
  </si>
  <si>
    <t xml:space="preserve">682047ASPART </t>
  </si>
  <si>
    <t>MOTOR TAKOZU SOL ASTRA.J A13DTE</t>
  </si>
  <si>
    <t>ESU1132</t>
  </si>
  <si>
    <t>682504DOGRU</t>
  </si>
  <si>
    <t>MOTOR TAKOZ ARKA VECTRA.A</t>
  </si>
  <si>
    <t>DK90-662</t>
  </si>
  <si>
    <t>682601ASPART</t>
  </si>
  <si>
    <t>8ESU1136</t>
  </si>
  <si>
    <t>MOTOR TAKOZ ARKA ASTRA.F/VECTRA.A</t>
  </si>
  <si>
    <t>682601DOGRU</t>
  </si>
  <si>
    <t>DK90-725</t>
  </si>
  <si>
    <t>682603ASPART</t>
  </si>
  <si>
    <t>8ESU1137</t>
  </si>
  <si>
    <t>MOTOR TAKOZ ARKA CORSA.B</t>
  </si>
  <si>
    <t>682603DOGRU</t>
  </si>
  <si>
    <t>DK90-706</t>
  </si>
  <si>
    <t>684132ASPART</t>
  </si>
  <si>
    <t>8ESU1138</t>
  </si>
  <si>
    <t xml:space="preserve">MOTOR TAKOZ SAĞ ASTRA.J/CRUZE A13DTE/A16XER/A14NET//CRUZE A16XER </t>
  </si>
  <si>
    <t>684132YTT</t>
  </si>
  <si>
    <t>Y1314</t>
  </si>
  <si>
    <t>684160RPR</t>
  </si>
  <si>
    <t>MOTOR TAKOZ SAĞ CORSA.B/COMBO.B X17D</t>
  </si>
  <si>
    <t>R59032</t>
  </si>
  <si>
    <t xml:space="preserve">684183DOGRU </t>
  </si>
  <si>
    <t>MOTOR TAKOZ SAĞ CORSA.C Z13DT</t>
  </si>
  <si>
    <t>DK90-1021</t>
  </si>
  <si>
    <t>684184YTT</t>
  </si>
  <si>
    <t>MOTOR TAKOZ SAĞ CORSA.C Z14XEP//Z13DTH/Y17DT//MERİVA.A Z16XE/Z16XEP</t>
  </si>
  <si>
    <t>Y1243</t>
  </si>
  <si>
    <t xml:space="preserve">684188ASPART </t>
  </si>
  <si>
    <t>8ESU1142</t>
  </si>
  <si>
    <t>MOTOR TAKOZ SOL CORSA.C Z10XE/Z12XE/Z12XEP</t>
  </si>
  <si>
    <t>684188DOGRU</t>
  </si>
  <si>
    <t>DK90-877</t>
  </si>
  <si>
    <t>684188YTT</t>
  </si>
  <si>
    <t>Y1212</t>
  </si>
  <si>
    <t>684194DOGRU</t>
  </si>
  <si>
    <t xml:space="preserve">MOTOR TAKOZ SOL Y17DT CORSA.C </t>
  </si>
  <si>
    <t>DK90-878</t>
  </si>
  <si>
    <t>684214YTT</t>
  </si>
  <si>
    <t xml:space="preserve">MOTOR TAKOZ ÖN A20DTH İNSİGNİA.A/ASTRA.J/ZAFİRA.C +AT </t>
  </si>
  <si>
    <t>Y1334</t>
  </si>
  <si>
    <t>684216YTT</t>
  </si>
  <si>
    <t>MOTOR TAKOZ ÖN ASTRA.JA14NET/A16LET/A16XHT</t>
  </si>
  <si>
    <t>Y1297</t>
  </si>
  <si>
    <t xml:space="preserve">684220DOGRU </t>
  </si>
  <si>
    <t>MOTOR TAKOZ ÖN ASTRA.J/İNSİGNİA.A/CRUZE +AT</t>
  </si>
  <si>
    <t>DK90-1120</t>
  </si>
  <si>
    <t>684224ASPART</t>
  </si>
  <si>
    <t>8ESU1304</t>
  </si>
  <si>
    <t xml:space="preserve">MOTOR TAKOZ ARKA ASTRA.J/CRUZE </t>
  </si>
  <si>
    <t xml:space="preserve">684224DOGRU </t>
  </si>
  <si>
    <t>DK90-1077</t>
  </si>
  <si>
    <t xml:space="preserve">684238ASPART </t>
  </si>
  <si>
    <t>8ESU1148</t>
  </si>
  <si>
    <t>MOTOR TAKOZ ÖN CORSA.C/MERİVA.A</t>
  </si>
  <si>
    <t xml:space="preserve">684238DOGRU </t>
  </si>
  <si>
    <t xml:space="preserve">MOTOR TAKOZ ÖN CORSA.C </t>
  </si>
  <si>
    <t>DK90-760</t>
  </si>
  <si>
    <t>684238KRAFTVOLL</t>
  </si>
  <si>
    <t>MOTOR TAKOZ ÖN CORSA.C/COMBO.C</t>
  </si>
  <si>
    <t>684238RPR</t>
  </si>
  <si>
    <t>R59020</t>
  </si>
  <si>
    <t>684238YTT</t>
  </si>
  <si>
    <t>Y1244</t>
  </si>
  <si>
    <t>684289YTT</t>
  </si>
  <si>
    <t xml:space="preserve">MOTOR TAKOZ SOL ASTRA.F X16XEL/VECTRA.A </t>
  </si>
  <si>
    <t>Y1205</t>
  </si>
  <si>
    <t>684294DOGRU</t>
  </si>
  <si>
    <t>MOTOR TAKOZ SAĞ CORSA.B -AC</t>
  </si>
  <si>
    <t>DK90-712</t>
  </si>
  <si>
    <t>6845780MARELLİ</t>
  </si>
  <si>
    <t>KALORİFER REZİSTANSI MERİVA.A</t>
  </si>
  <si>
    <t>6845782MARELLİ</t>
  </si>
  <si>
    <t>KALORİFER REZİSTANS ASTRA.G/ASTRA.H/ZAFİRA.A</t>
  </si>
  <si>
    <t>6845796SAGEM</t>
  </si>
  <si>
    <t>KALORİFER REZİSTANS CORSA.D</t>
  </si>
  <si>
    <t>6845796TOPRAN</t>
  </si>
  <si>
    <t>684609DOGRU</t>
  </si>
  <si>
    <t>MOTOR TAKOZ SAĞ İNSİGNİA.A A20DTH/B20DTH/B16DTH</t>
  </si>
  <si>
    <t>DK90-1196</t>
  </si>
  <si>
    <t>684609RPR</t>
  </si>
  <si>
    <t>MOTOR TAKOZU SAĞ İNSİGNİA.A A20DTH OTOMATİK</t>
  </si>
  <si>
    <t>R54897</t>
  </si>
  <si>
    <t>684612DOGRU</t>
  </si>
  <si>
    <t xml:space="preserve">MOTOR TAKOZ ÖN İNSİGNİA.A A16XER/A16LET/A14NET/B16DTH </t>
  </si>
  <si>
    <t>DK90-1072</t>
  </si>
  <si>
    <t>684612YTT</t>
  </si>
  <si>
    <t>MOTOR TAKOZ ÖN İNSİGNİA.A</t>
  </si>
  <si>
    <t>Y1307</t>
  </si>
  <si>
    <t>684616DOGRU</t>
  </si>
  <si>
    <t>MOTOR TAKOZ ÖN İNSİGNİA.A A20DTH/A20NHT</t>
  </si>
  <si>
    <t>DOGRU</t>
  </si>
  <si>
    <t>DK90-1082</t>
  </si>
  <si>
    <t>684619ASPART</t>
  </si>
  <si>
    <t>8ESU1156</t>
  </si>
  <si>
    <t>MOTOR TAKOZ ARKA İNSİGNİA.A A20DTH</t>
  </si>
  <si>
    <t>684619DOGRU</t>
  </si>
  <si>
    <t>DK90-1130</t>
  </si>
  <si>
    <t>684619YTT</t>
  </si>
  <si>
    <t>Y1308</t>
  </si>
  <si>
    <t>684620RPR</t>
  </si>
  <si>
    <t>MOTOR TAKOZ ARKA İNSİGNİA.A</t>
  </si>
  <si>
    <t>R55461</t>
  </si>
  <si>
    <t>684641DOGRU</t>
  </si>
  <si>
    <t>MOTOR TAKOZ SOL ASTRA.F/VECTRA.A</t>
  </si>
  <si>
    <t>DK90-661</t>
  </si>
  <si>
    <t xml:space="preserve">684641MGA </t>
  </si>
  <si>
    <t>684641YTT</t>
  </si>
  <si>
    <t>Y1206</t>
  </si>
  <si>
    <t xml:space="preserve">684644ASPART </t>
  </si>
  <si>
    <t>8ESU1160</t>
  </si>
  <si>
    <t>MOTOR TAKOZ SAĞ ASTRA.F/VECTRA.A 1.7D</t>
  </si>
  <si>
    <t>684666YTT</t>
  </si>
  <si>
    <t>MOTOR TAKOZ SAĞ CORSA.B +AC</t>
  </si>
  <si>
    <t>Y1218</t>
  </si>
  <si>
    <t>684667YTT</t>
  </si>
  <si>
    <t>Y1207</t>
  </si>
  <si>
    <t>MOTOR TAKOZ ÖN SAĞ ASTRA.F</t>
  </si>
  <si>
    <t xml:space="preserve">684669DOGRU </t>
  </si>
  <si>
    <t>MOTOR TAKOZ SOL CORSA.B -AC</t>
  </si>
  <si>
    <t>DK90-713</t>
  </si>
  <si>
    <t>684670DOGRU</t>
  </si>
  <si>
    <t>MOTOR TAKOZ SAĞ VECTRA.B X16XEL</t>
  </si>
  <si>
    <t>DK90-810</t>
  </si>
  <si>
    <t>684671DOGRU</t>
  </si>
  <si>
    <t>MOTOR TAKOZ SOL CORSA.B +AC</t>
  </si>
  <si>
    <t>DK90-714</t>
  </si>
  <si>
    <t>684674DOGRU</t>
  </si>
  <si>
    <t>MOTOR TAKOZ SAĞ VECTRA.B X20XEV</t>
  </si>
  <si>
    <t>DK90-815</t>
  </si>
  <si>
    <t>684680DOGRU</t>
  </si>
  <si>
    <t>MOTOR TAKOZ SOL VECTRA.B X20XEV</t>
  </si>
  <si>
    <t>DK90-811</t>
  </si>
  <si>
    <t>684680YTT</t>
  </si>
  <si>
    <t>Y1216</t>
  </si>
  <si>
    <t>684693YTT</t>
  </si>
  <si>
    <t>MOTOR TAKOZ ÖN ASTRA.G Z14XE/Z16XE +AT</t>
  </si>
  <si>
    <t>Y1237</t>
  </si>
  <si>
    <t xml:space="preserve">684694ASPART </t>
  </si>
  <si>
    <t>8ESU1168</t>
  </si>
  <si>
    <t>MOTOR TAKOZ ÖN ASTRA.G</t>
  </si>
  <si>
    <t>684694DOGRU</t>
  </si>
  <si>
    <t>DK90-722</t>
  </si>
  <si>
    <t>684694YTT</t>
  </si>
  <si>
    <t>Y1204</t>
  </si>
  <si>
    <t>684696YTT</t>
  </si>
  <si>
    <t>MOTOR TAKOZ ÖN ASTRA.G +AT DİZEL</t>
  </si>
  <si>
    <t>Y1240</t>
  </si>
  <si>
    <t>684703DOGRU</t>
  </si>
  <si>
    <t>MOTOR DESTEK TAKOZ ÜST VECTRA.B X20XEV</t>
  </si>
  <si>
    <t>DK90-676</t>
  </si>
  <si>
    <t>684703RPR</t>
  </si>
  <si>
    <t>R59035</t>
  </si>
  <si>
    <t>684703YTT</t>
  </si>
  <si>
    <t>Y1413</t>
  </si>
  <si>
    <t>684713DOGRU</t>
  </si>
  <si>
    <t>MOTOR TAKOZ ARKA Y17DT/Z12XEP/Z14XEP</t>
  </si>
  <si>
    <t>DK90-762</t>
  </si>
  <si>
    <t>684713YTT</t>
  </si>
  <si>
    <t>Y1241</t>
  </si>
  <si>
    <t xml:space="preserve">684717ASPART </t>
  </si>
  <si>
    <t>4GMO1018</t>
  </si>
  <si>
    <t>MOTOR TAKOZ ARKA CORSA.C Z13DT ÇATAL</t>
  </si>
  <si>
    <t>684717DOGRU</t>
  </si>
  <si>
    <t>DK90-896</t>
  </si>
  <si>
    <t>684717KRAFTVOLL</t>
  </si>
  <si>
    <t>MOTOR TAKOZ ARKA ÇATAL CORSA.C Z13DT</t>
  </si>
  <si>
    <t>684717YTT</t>
  </si>
  <si>
    <t>Y1261</t>
  </si>
  <si>
    <t>6850512KAVLİCO</t>
  </si>
  <si>
    <t>3ACP0020</t>
  </si>
  <si>
    <t>KLİMA BASINÇ MÜŞÜR ASTRA/VECTRA/CORSA/İNSİGNİA/MOKKA/CRUZE/AVEO T300</t>
  </si>
  <si>
    <t>KAVLİCO</t>
  </si>
  <si>
    <t>6854109DELPHİ</t>
  </si>
  <si>
    <t>KLİMA KOMPRESÖRÜ İNSİGNİA.A A20DTH</t>
  </si>
  <si>
    <t>TSP0155949</t>
  </si>
  <si>
    <t>6991.Q0BİTAPART</t>
  </si>
  <si>
    <t>BPE309331</t>
  </si>
  <si>
    <t>MOTOR ÜST KAPAK SABİTLEME VİDASI PARTNER/BERLİNGO DW8</t>
  </si>
  <si>
    <t>6991.S6STARKLIPS</t>
  </si>
  <si>
    <t>ARKA BAGAJ KAPLAMA KLİPSİ PEUGEOT</t>
  </si>
  <si>
    <t>STARKLİPS</t>
  </si>
  <si>
    <t>6R0129618HADLER</t>
  </si>
  <si>
    <t>HAVA FİLTRE UC HORTUM POLE/FABİA/ROOMSTER/İBİZA/TOLEDO 1.2/1.4 TSİ</t>
  </si>
  <si>
    <t>BG01028</t>
  </si>
  <si>
    <t>7013.GLWAGENBURG</t>
  </si>
  <si>
    <t>KARTER MUHAFAZA PLASTİK 301/C-ELYSEE/208</t>
  </si>
  <si>
    <t>701762040PIERBURG</t>
  </si>
  <si>
    <t>TURBO SELONOİD TAHLİYE VALFİ N13/N18</t>
  </si>
  <si>
    <t>708153INA</t>
  </si>
  <si>
    <t>PRİZDİREK RULMAN F17 ŞANZUMAN</t>
  </si>
  <si>
    <t>7104.GGLUVİ</t>
  </si>
  <si>
    <t>ÖN PANEL 307/C4 ET3J4/TU5JP4</t>
  </si>
  <si>
    <t>7104.L2GRAMPA</t>
  </si>
  <si>
    <t>ÖN PANEL KLİMALI 307/C4 KLİMALI BENZİNLİ</t>
  </si>
  <si>
    <t>GRM-307-03</t>
  </si>
  <si>
    <t>7104.Q3GRAMPA</t>
  </si>
  <si>
    <t xml:space="preserve">ÖN PANEL 206 KLİMALI </t>
  </si>
  <si>
    <t>GRM-206-01</t>
  </si>
  <si>
    <t>7104.V6ITSA</t>
  </si>
  <si>
    <t>ÖN PANEL 307 04-10 (7104.L2 YE OLUR)</t>
  </si>
  <si>
    <t>ITSA</t>
  </si>
  <si>
    <t>10IFR0110130</t>
  </si>
  <si>
    <t>7106.C5İTHAL</t>
  </si>
  <si>
    <t>ÖN TAMPON DEMİRİ C4 04-11 ALEMİNYUM</t>
  </si>
  <si>
    <t>7106.C5</t>
  </si>
  <si>
    <t>7136.C7KRAFTVOLL</t>
  </si>
  <si>
    <t>ÇAMURLUK DAVLUMBAZ ÖN SAĞ PARTNER M49</t>
  </si>
  <si>
    <t>7136.CWHILEKS</t>
  </si>
  <si>
    <t>ÇAMURLUK DAVLUMBAZ ÖN SAĞ 206</t>
  </si>
  <si>
    <t>P206R</t>
  </si>
  <si>
    <t>7136.CXHILEKS</t>
  </si>
  <si>
    <t>ÇAMURLUK DAVLUMBAZI ÖN SOL 206</t>
  </si>
  <si>
    <t>P206L</t>
  </si>
  <si>
    <t>7136.CXSODSAN</t>
  </si>
  <si>
    <t>SODSAN</t>
  </si>
  <si>
    <t>SOD968B</t>
  </si>
  <si>
    <t>7136.N7HILEKS</t>
  </si>
  <si>
    <t>ÇAMURLUK DAVLUMBAZI ÖN SAĞ 307 E.M</t>
  </si>
  <si>
    <t>P367-R</t>
  </si>
  <si>
    <t>7136.NLSODSAN</t>
  </si>
  <si>
    <t>SOD079B</t>
  </si>
  <si>
    <t>ÇAMURLUK DAVLUMBAZ ÖN SOL (ÖNÜ) 508</t>
  </si>
  <si>
    <t>7136.NNSODSAN</t>
  </si>
  <si>
    <t>SOD079A</t>
  </si>
  <si>
    <t>ÇAMURLUK DAVLUMBAZ ÖN SAĞ(ÖNÜ) 508</t>
  </si>
  <si>
    <t>7136.Q7HILEKS</t>
  </si>
  <si>
    <t>ÇAMURLUK DAVLUMBAZ ÖN SOL C3 02-09</t>
  </si>
  <si>
    <t>P003L</t>
  </si>
  <si>
    <t>7136.Q7SODSAN</t>
  </si>
  <si>
    <t>7136.Q8HILEKS</t>
  </si>
  <si>
    <t>ÇAMURLUK DAVLUMBAZI ÖN SAĞ C3 03-09</t>
  </si>
  <si>
    <t>P003R</t>
  </si>
  <si>
    <t>7136.Q8SODSAN</t>
  </si>
  <si>
    <t>7136.R1KRAFTVOLL</t>
  </si>
  <si>
    <t>ÇAMURLUK DAVLUMBAZ SOL PARTNER/BERLİNGO 03-09</t>
  </si>
  <si>
    <t>7136.R2HILEKS</t>
  </si>
  <si>
    <t>ÇAMURLUK DAVLUMBAZ SAĞ PARTNER/BERLİNGO 03-09</t>
  </si>
  <si>
    <t>P006R</t>
  </si>
  <si>
    <t>714401CORTECO</t>
  </si>
  <si>
    <t>PRİZDİREK KEÇE M20/M32 ŞANZUMAN 6İLERİ</t>
  </si>
  <si>
    <t>71744285Y</t>
  </si>
  <si>
    <t>MOTOR TAKIM CONTA Z13DT EURO4 (-SKC)/(-KEÇE)</t>
  </si>
  <si>
    <t>71744285Y-EURO5</t>
  </si>
  <si>
    <t>MOTOR TAKIM CONTA A13DTE EURO5 (-SKC)/(-KEÇE)</t>
  </si>
  <si>
    <t xml:space="preserve">71751022SİLBAK </t>
  </si>
  <si>
    <t>ARKA SİLECEK SÜPÜRGESİ 300mm DUSTER/PUNTO III/G.PUNTO/C-MAX/CIVIC/JUKE/MICRA</t>
  </si>
  <si>
    <t>SP12AR</t>
  </si>
  <si>
    <t>7208151Y</t>
  </si>
  <si>
    <t>CAM ÖN HAVALANDIRMA IZGARASI SİYAH ASTRA.G</t>
  </si>
  <si>
    <t>7212.TXİTHAL</t>
  </si>
  <si>
    <t>FAR YUVA SACI SAĞ 206 98-10</t>
  </si>
  <si>
    <t>7240.09BİTAPART</t>
  </si>
  <si>
    <t>BPE309644</t>
  </si>
  <si>
    <t>ÖN TAMPON ALT DESTEK AYAK KOMPLE 308 08&gt;</t>
  </si>
  <si>
    <t>724414TOPRAN</t>
  </si>
  <si>
    <t>KİLOMETRE DİŞLİ ASTRA.F/VECTRA.A</t>
  </si>
  <si>
    <t>7345465KRAFTVOLL</t>
  </si>
  <si>
    <t xml:space="preserve">PANZDİZOT AYAĞI  FÜME (DIŞTAN GEÇME) CORSA.C/ASTRA.H </t>
  </si>
  <si>
    <t>7345465METTE</t>
  </si>
  <si>
    <t>PANZDİZOT AYAĞI  FÜME (DIŞTAN GEÇME) CORSA.C/ASTRA.H</t>
  </si>
  <si>
    <t>754K4066</t>
  </si>
  <si>
    <t>735325166TURSAN</t>
  </si>
  <si>
    <t>DIŞ DİKİZ AYNA SAĞ DOBLO 01-10</t>
  </si>
  <si>
    <t>TURSAN</t>
  </si>
  <si>
    <t>T2066</t>
  </si>
  <si>
    <t>738005Y</t>
  </si>
  <si>
    <t>VİTES KOL TAMİR TAKIM VECTRA.B</t>
  </si>
  <si>
    <t>738125AKD</t>
  </si>
  <si>
    <t>VİTES TOPUZU VECTRA.C F17</t>
  </si>
  <si>
    <t>OP151106</t>
  </si>
  <si>
    <t>738125KRAFTVOLL</t>
  </si>
  <si>
    <t>738415CABU</t>
  </si>
  <si>
    <t>VİTES KOL KÖRÜĞÜ ASTRA.G</t>
  </si>
  <si>
    <t>738423CABU</t>
  </si>
  <si>
    <t>VİTES KOL KÖRÜĞÜ CORSA.C/MERİVA.A</t>
  </si>
  <si>
    <t>738858Y</t>
  </si>
  <si>
    <t>VİTES KOL İÇ BURCU ASTRA.F/G/H/VECTRA.A/B/C/CORSA.B</t>
  </si>
  <si>
    <t>7401.APPHİRA</t>
  </si>
  <si>
    <t>ÖN TAMPON ASTARLI C4 04-08 SPORT TİP</t>
  </si>
  <si>
    <t>C4-04200</t>
  </si>
  <si>
    <t>7401.J8PHIRA</t>
  </si>
  <si>
    <t>ÖN TAMPON ASTARSIZ 306 1997&gt;&gt;</t>
  </si>
  <si>
    <t>306-97201</t>
  </si>
  <si>
    <t>7401.PCROOT</t>
  </si>
  <si>
    <t>ÖN TAMPON AYAK BİPPER/NEMO</t>
  </si>
  <si>
    <t>7401.W7EUROBUMP</t>
  </si>
  <si>
    <t>ÖN TAMPON PARTNER BERLİNGO M59 Y.M 03-09</t>
  </si>
  <si>
    <t>PEJ07PR007T</t>
  </si>
  <si>
    <t>7414.CRABRASSE</t>
  </si>
  <si>
    <t>ÖN TAMPON DARBE EMİCİ PARTNER/BERLİNGO Y.M 03-09</t>
  </si>
  <si>
    <t xml:space="preserve">ABRASSE </t>
  </si>
  <si>
    <t>BRS-7414CR-PG</t>
  </si>
  <si>
    <t>7414.HYBİTAPART</t>
  </si>
  <si>
    <t>BCI288001</t>
  </si>
  <si>
    <t>ÖN TAMPON ORTA İÇ DESTEK C4 04&gt;</t>
  </si>
  <si>
    <t>7414.JFBİTAPART</t>
  </si>
  <si>
    <t>BCI309004</t>
  </si>
  <si>
    <t>ÖN TAMPON ORTA IZGARA C5 II 05-09</t>
  </si>
  <si>
    <t>7414.JJBİTAPART</t>
  </si>
  <si>
    <t>BCI309100</t>
  </si>
  <si>
    <t>SİS FAR KAPAĞI TAKIM C5 II SİSLİ</t>
  </si>
  <si>
    <t>7414.JNPHİRA</t>
  </si>
  <si>
    <t>ÖN TAMPON ÜST ORTA IZGARA C4 04&gt;</t>
  </si>
  <si>
    <t>C4-04120</t>
  </si>
  <si>
    <t>7414.JT-SAĞ-PHİRA</t>
  </si>
  <si>
    <t xml:space="preserve">SİS KAPAĞI SAĞ SİSLİ C4 04-08 </t>
  </si>
  <si>
    <t>7414.JT-SOL-PHİRA</t>
  </si>
  <si>
    <t>SİS KAPAĞI SOL SİSLİ C4 04-08</t>
  </si>
  <si>
    <t>7414.JYİTHAL</t>
  </si>
  <si>
    <t>ÖN TAMPON ALT DESTEK AYAK KOMPLE C4 04-11</t>
  </si>
  <si>
    <t>7414.CY</t>
  </si>
  <si>
    <t>7414.K0Y</t>
  </si>
  <si>
    <t>SİS KAPAĞI SAĞ+SOL TAKIM 306</t>
  </si>
  <si>
    <t>7414.K2Y</t>
  </si>
  <si>
    <t>ÖN TAMPON ORTA IZGARA 306</t>
  </si>
  <si>
    <t>7414.PQBİTAPART</t>
  </si>
  <si>
    <t>BPE309004</t>
  </si>
  <si>
    <t>ÖN TAMPON DEMİRİ 207 06-12</t>
  </si>
  <si>
    <t>7414.PQY</t>
  </si>
  <si>
    <t>7414.RRPHİRA</t>
  </si>
  <si>
    <t>ÖN TAMPON DEMİR C3 05&gt;</t>
  </si>
  <si>
    <t>7414.VABİTAPART</t>
  </si>
  <si>
    <t>BPE309174</t>
  </si>
  <si>
    <t>ARKA TAMPON ÇEKİ DEMİR KAPAK 308 08&gt;</t>
  </si>
  <si>
    <t>7414.YNBİTAPART</t>
  </si>
  <si>
    <t>BPE309854</t>
  </si>
  <si>
    <t xml:space="preserve">ÖN TAMPON DEMİR ALÜMİNYUM PARTNER TEPEE/BERLİNGO III </t>
  </si>
  <si>
    <t>7414.YNWAGENBURG</t>
  </si>
  <si>
    <t>ÖN TAMPON DEMİR ALÜMİNYUM PARTNER TEPEE/BERLİNGO III</t>
  </si>
  <si>
    <t>7416.48LUVİ</t>
  </si>
  <si>
    <t>ÖN TAMPON AYAK R+L TAKIM PARTNER/BERLİNGO Y.M 03-09</t>
  </si>
  <si>
    <t>LUVI 0020.7416.48-URT</t>
  </si>
  <si>
    <t>7416.78İTHAL</t>
  </si>
  <si>
    <t>ÖN PANEL ÜST KAPLAMASI C4 04-10</t>
  </si>
  <si>
    <t>7416.79İTHAL</t>
  </si>
  <si>
    <t>ÖN TAMPON AYAK TAKIMI C4 04-11</t>
  </si>
  <si>
    <t>7416.79</t>
  </si>
  <si>
    <t>7416.F8LUVİ</t>
  </si>
  <si>
    <t>ÖN TAMPON İÇ KARKAS 308</t>
  </si>
  <si>
    <t>7416.F9</t>
  </si>
  <si>
    <t>ARKA TAMPON İÇ AYAK ORATA BAKALİT 308</t>
  </si>
  <si>
    <t>7416.J2PHİRA</t>
  </si>
  <si>
    <t>ÖN TAMPON BRAKETİ TAKIM SAĞ+SOL PARTNER TEPEE/BERLİNGO 08-15</t>
  </si>
  <si>
    <t>BR-08420</t>
  </si>
  <si>
    <t>7416.J3BİTAPART</t>
  </si>
  <si>
    <t>BPE309219</t>
  </si>
  <si>
    <t xml:space="preserve">ÖN PANJUR BAĞLANTI AYAĞI PARTNER TEPEE/BERLİNGO 08&gt; </t>
  </si>
  <si>
    <t>7416.J3İTHAL</t>
  </si>
  <si>
    <t>ÖN PANJUR BAĞLANTI AYAĞI PARTNER TEPEE/BERLİNGO 08&gt;</t>
  </si>
  <si>
    <t>7416.J3</t>
  </si>
  <si>
    <t>7416.J6LUVİ</t>
  </si>
  <si>
    <t>SİS FAR YUVASI TAKIM PARTNER TEPEE/BERLİNGO 08&gt;</t>
  </si>
  <si>
    <t>7416.S9LUVİ</t>
  </si>
  <si>
    <t>ÖN TAMPON AYAGI TAKIM C3 III 09&gt;</t>
  </si>
  <si>
    <t>7422.79LUVİ</t>
  </si>
  <si>
    <t>ÇEKİ DEMİR KAPAĞI ÖN 206+</t>
  </si>
  <si>
    <t xml:space="preserve">LUVİ </t>
  </si>
  <si>
    <t>7452.HFLUVİ</t>
  </si>
  <si>
    <t xml:space="preserve">ÖN TAMPON BANDI SOL C3 II </t>
  </si>
  <si>
    <t>7452.PPBİTAPART</t>
  </si>
  <si>
    <t>BPE288058</t>
  </si>
  <si>
    <t>ARKA TAMPON BANDI SAĞ 308</t>
  </si>
  <si>
    <t>7452.SSLUVİ</t>
  </si>
  <si>
    <t>ARKA TAMPON NİKELAJ ÇITASI SAĞ C5 X7</t>
  </si>
  <si>
    <t>7452.TJKRAFTVOLL</t>
  </si>
  <si>
    <t>SİS KAPAĞI SAĞ BİPPER/NEMO/FİORİNO</t>
  </si>
  <si>
    <t>7452.TKKRAFTVOLL</t>
  </si>
  <si>
    <t>SİS KAPAĞI SOL BİPPER/NEMO/FİORİNO</t>
  </si>
  <si>
    <t>7452.TPİTHAL</t>
  </si>
  <si>
    <t>ÖN TAMPON KÖŞE BAKALİT KAPLAMA SAĞ BERLİNGO</t>
  </si>
  <si>
    <t>7452.WVVORTEX</t>
  </si>
  <si>
    <t>ÖN TAMPOM BANDI SOL C4 04&gt;</t>
  </si>
  <si>
    <t>VORTEX</t>
  </si>
  <si>
    <t>V2808940</t>
  </si>
  <si>
    <t>7452.WWVORTEX</t>
  </si>
  <si>
    <t>ÖN TAMPON BANDI SAĞ C4 04&gt;</t>
  </si>
  <si>
    <t>V2808941</t>
  </si>
  <si>
    <t>758223AKD</t>
  </si>
  <si>
    <t>VİTES TAMİR TAKIM ASTRA.F/VECTRA.A/CORSA.B</t>
  </si>
  <si>
    <t>OP163104</t>
  </si>
  <si>
    <t>758223KRAFTVOLL</t>
  </si>
  <si>
    <t>758223YTT</t>
  </si>
  <si>
    <t>Y2053</t>
  </si>
  <si>
    <t>758422Y</t>
  </si>
  <si>
    <t>VİTES KOL MİLİ VECTRA.A</t>
  </si>
  <si>
    <t>758427BİTAPART</t>
  </si>
  <si>
    <t>BOP434002</t>
  </si>
  <si>
    <t>VİTES KOL MİLİ VECTRA.B</t>
  </si>
  <si>
    <t>758427Y</t>
  </si>
  <si>
    <t>758430Y</t>
  </si>
  <si>
    <t>VİTES KOL MİLİ ASTRA.G</t>
  </si>
  <si>
    <t>758801METTE</t>
  </si>
  <si>
    <t xml:space="preserve">VİTES ARA ÇUBUK ASTRA.G/VECTRA.B/LACETTİ/KALOS/AVEO </t>
  </si>
  <si>
    <t>668M6286</t>
  </si>
  <si>
    <t>758801TOPRAN</t>
  </si>
  <si>
    <t>VİTES ARA ÇUBUK ASTRA.G/VECTRA.B/LACETTİ/KALOS/AVEO</t>
  </si>
  <si>
    <t>VİTES HALATI ASTRA.H M20 6İLERİ</t>
  </si>
  <si>
    <t>758817CAVO</t>
  </si>
  <si>
    <t>7589.G3WPI</t>
  </si>
  <si>
    <t>VİTES KOL KÖRÜĞÜ PARTNER/BERLİNGO/C2/307/207/407</t>
  </si>
  <si>
    <t>758910YTT</t>
  </si>
  <si>
    <t>VİTES PİMİ ASTRA.F/VECTRA.A</t>
  </si>
  <si>
    <t>Y1643</t>
  </si>
  <si>
    <t>758926METTE</t>
  </si>
  <si>
    <t xml:space="preserve">VİTES TARAYICI BURCU CORSA.C/COMBO.C </t>
  </si>
  <si>
    <t>668M6352</t>
  </si>
  <si>
    <t>758926TAP</t>
  </si>
  <si>
    <t>VİTES TARAYICI BURCU CORSA.C/COMBO.C</t>
  </si>
  <si>
    <t>TAP.9199959</t>
  </si>
  <si>
    <t>758947METTE</t>
  </si>
  <si>
    <t>VİTES TAMİR TAKIM CORSA.C/COMBO.C</t>
  </si>
  <si>
    <t>754K4026</t>
  </si>
  <si>
    <t>758947TAP</t>
  </si>
  <si>
    <t>TAP.7458947</t>
  </si>
  <si>
    <t>758947YTT</t>
  </si>
  <si>
    <t>Y1512</t>
  </si>
  <si>
    <t>7591.T1KRAFTVOLL</t>
  </si>
  <si>
    <t>VİTES KOL KÖRÜĞÜ PRT. TEPEE</t>
  </si>
  <si>
    <t>75W80 3LT PHAFF</t>
  </si>
  <si>
    <t>ŞANZUMAN+DİŞLİ YAĞI 75W80 3LT</t>
  </si>
  <si>
    <t>7697394SAGEM</t>
  </si>
  <si>
    <t>DİSTRİBÜTOR KOMPLE SLX DKS</t>
  </si>
  <si>
    <t>7700302106FROWAS</t>
  </si>
  <si>
    <t>ÖN HELEZON YAYI MASTER II/MOVANO A1</t>
  </si>
  <si>
    <t>77272600GLYCO</t>
  </si>
  <si>
    <t>KOL YATAK STD 1.8/2.0 8V/16V</t>
  </si>
  <si>
    <t>71-3626/4 STD</t>
  </si>
  <si>
    <t>77272600KING</t>
  </si>
  <si>
    <t>CR4017AM</t>
  </si>
  <si>
    <t>77272610KOLBEN</t>
  </si>
  <si>
    <t>KOL YATAK 0,25 1.8/2.0 8V/16V</t>
  </si>
  <si>
    <t>77272620KING</t>
  </si>
  <si>
    <t>KOL YATAK 0,50 1.8/2.0 8V/16V</t>
  </si>
  <si>
    <t>CR4017AM0.5</t>
  </si>
  <si>
    <t>77557600KING</t>
  </si>
  <si>
    <t>CR4388CP</t>
  </si>
  <si>
    <t>77558600KING</t>
  </si>
  <si>
    <t>ANA YATAK STD X12XE/Z14XEP/Z12XE/A12XER/A14XER/A14NET</t>
  </si>
  <si>
    <t>MB5422AM</t>
  </si>
  <si>
    <t>77558610KING</t>
  </si>
  <si>
    <t>ANA YATAK 0,25 X12XE/Z14XEP/Z12XE/A12XER/A14XER/A14NET</t>
  </si>
  <si>
    <t>MB5422AM0,25</t>
  </si>
  <si>
    <t>7804.H4GRAMPA</t>
  </si>
  <si>
    <t>ÖN PANJUR TAKIM 206</t>
  </si>
  <si>
    <t>GRM-206-03</t>
  </si>
  <si>
    <t>7804.H5BİTAPART</t>
  </si>
  <si>
    <t>BPE280009</t>
  </si>
  <si>
    <t>ÖN PANJUR İÇ IZGARA 206</t>
  </si>
  <si>
    <t>7810.95LUVİ</t>
  </si>
  <si>
    <t>FAR ALT ÇITA SOL PARTNER/BERLİNGO 97-03</t>
  </si>
  <si>
    <t>7810.96LUVİ</t>
  </si>
  <si>
    <t>FAR ALT ÇITA SAĞ PARTNER/BERLİNGO 97-03</t>
  </si>
  <si>
    <t>7810.C5GRAMPA</t>
  </si>
  <si>
    <t xml:space="preserve">ÖN PANJUR ARMA 206 </t>
  </si>
  <si>
    <t>GRM-206-02</t>
  </si>
  <si>
    <t>78117021A-KALE</t>
  </si>
  <si>
    <t>YAĞ SOĞUTUCU BORA/GOLF</t>
  </si>
  <si>
    <t>7840.J4</t>
  </si>
  <si>
    <t xml:space="preserve">ÇAMURLUK ÖN SOL 206 </t>
  </si>
  <si>
    <t>7840.K8GRAMPA</t>
  </si>
  <si>
    <t>ÇAMURLUK ÖN SOL 307 01-05</t>
  </si>
  <si>
    <t>GRM-307-04</t>
  </si>
  <si>
    <t>7840.Q3PHİRA</t>
  </si>
  <si>
    <t>ÖN ÇAMURLUK SOL PLASTİK C4 04-11</t>
  </si>
  <si>
    <t>C4-04510</t>
  </si>
  <si>
    <t>784018AKD</t>
  </si>
  <si>
    <t>VİTES TOPUZU ASTRA.J/İNSİGNİA.A SİYAJ OTOMATİK</t>
  </si>
  <si>
    <t>OP151100</t>
  </si>
  <si>
    <t>784018KRAFTVOLL</t>
  </si>
  <si>
    <t>784018PİTHAL</t>
  </si>
  <si>
    <t>VİTES TOPUZ İNSİGNİA.A/ASTRA.J +AT DERİ+PARLAK</t>
  </si>
  <si>
    <t>784018P</t>
  </si>
  <si>
    <t>7841.N7GRAMPA</t>
  </si>
  <si>
    <t>ÇAMURLUK ÖN SAĞ 307 01-05</t>
  </si>
  <si>
    <t>GRM-307-05</t>
  </si>
  <si>
    <t>7901.H1TAİWAN</t>
  </si>
  <si>
    <t>PEJ0836003</t>
  </si>
  <si>
    <t>MOTOR KAPUTU 306 97-99</t>
  </si>
  <si>
    <t>TAİWAN</t>
  </si>
  <si>
    <t>7901.K1BİTAPART</t>
  </si>
  <si>
    <t>BPE276005</t>
  </si>
  <si>
    <t>MOTOR  KAPUTU 206 MONTAJ</t>
  </si>
  <si>
    <t>7901.L1İTHAL</t>
  </si>
  <si>
    <t>MOTOR KAPUTU C4 04&gt;</t>
  </si>
  <si>
    <t>7901.R8</t>
  </si>
  <si>
    <t>MOTOR KAPUTU 408</t>
  </si>
  <si>
    <t>7912.E0BİTAPART</t>
  </si>
  <si>
    <t>BPE276011</t>
  </si>
  <si>
    <t>KAPUT MENTEŞESİ SOL PARTNER TEPEE</t>
  </si>
  <si>
    <t>7913.45BİTAPART</t>
  </si>
  <si>
    <t>BPE276012</t>
  </si>
  <si>
    <t>KAPUT MENTEŞESİ SAĞ PARTNER TEPEE</t>
  </si>
  <si>
    <t>7925.15MANUS</t>
  </si>
  <si>
    <t>BAGAJ AMORTİSÖR 307 HB 450N</t>
  </si>
  <si>
    <t>302501RC/H</t>
  </si>
  <si>
    <t>7925.15TUFF</t>
  </si>
  <si>
    <t>BAGAJ AMORTİSÖR 307/CORSA.F</t>
  </si>
  <si>
    <t>TUFFSUPPORT</t>
  </si>
  <si>
    <t>7928.28</t>
  </si>
  <si>
    <t>MOTOR KAPUT DAYAMA ÇUBUGU KLİPSİ BOXER/JUMPER I/II/III</t>
  </si>
  <si>
    <t>7928.43</t>
  </si>
  <si>
    <t>MOTOR KAPUT DEMİR KLİPSİ 208/2008/301/308/C-ELYSEE</t>
  </si>
  <si>
    <t>7937.E9ABRASSE</t>
  </si>
  <si>
    <t>KAPUT AÇMA TELİ PARTNER/BERLİNGO 98-02</t>
  </si>
  <si>
    <t>BRS-7936-PG</t>
  </si>
  <si>
    <t>7E0807221DPOLIPLAST</t>
  </si>
  <si>
    <t>ÖN TAMPON PANJURLU T6 16-19</t>
  </si>
  <si>
    <t>PLS-100.18119</t>
  </si>
  <si>
    <t>7E0807417CPOLIPLAST</t>
  </si>
  <si>
    <t>TAMPON ARKA(PÜTÜRLÜ) TEK KAPI T7 15&gt;&gt;</t>
  </si>
  <si>
    <t>PLS-100.18227</t>
  </si>
  <si>
    <t>7E0919050E-BOSCH</t>
  </si>
  <si>
    <t>YAKIT DEPO ŞAMADIRA KOMPLE T7 16-19 2.0TDİ</t>
  </si>
  <si>
    <t xml:space="preserve">7H0615301DBOSCH </t>
  </si>
  <si>
    <t xml:space="preserve">ÖN FREN DİSKİ TRANSPORTER </t>
  </si>
  <si>
    <t xml:space="preserve">7H0698151DBOSCH </t>
  </si>
  <si>
    <t>ÖN FREN BALATA TRANSPORTER T5/T6/T7</t>
  </si>
  <si>
    <t>7K306AAFEBİ</t>
  </si>
  <si>
    <t>VİTES DEĞİŞTİRME BİLYA YATAĞI TRANSIT/CONNECT</t>
  </si>
  <si>
    <t>806092NİFEA</t>
  </si>
  <si>
    <t>YAKIT DEPO DOLUM BORU VECTRA.B</t>
  </si>
  <si>
    <t>806092RPR</t>
  </si>
  <si>
    <t>R18108</t>
  </si>
  <si>
    <t>806117KRAFTVOLL</t>
  </si>
  <si>
    <t>YAKIT DEPO DOLUM BORU ASTRA.F</t>
  </si>
  <si>
    <t>806117NİFEA</t>
  </si>
  <si>
    <t>806117RPR</t>
  </si>
  <si>
    <t>R18287</t>
  </si>
  <si>
    <t>806117YTT</t>
  </si>
  <si>
    <t>Y10589</t>
  </si>
  <si>
    <t>806137YTT</t>
  </si>
  <si>
    <t>BENZİN DOLUM BORUSU CORSA.C/CORSA.B/TİGRA.A</t>
  </si>
  <si>
    <t>Y11631</t>
  </si>
  <si>
    <t>806641YTT</t>
  </si>
  <si>
    <t>YAKIT DEPO HAVALANDIRMA HORTUM CORSA.B</t>
  </si>
  <si>
    <t>Y11617</t>
  </si>
  <si>
    <t xml:space="preserve">806642ASPART </t>
  </si>
  <si>
    <t>5HOS1331</t>
  </si>
  <si>
    <t>YAKIT DEPO HAVALANDIRMA HORTUM VECTRA.B</t>
  </si>
  <si>
    <t>806642UCPA</t>
  </si>
  <si>
    <t>22H13363</t>
  </si>
  <si>
    <t>806642YTT</t>
  </si>
  <si>
    <t>Y10816</t>
  </si>
  <si>
    <t>DEPO HAVALANDIRMA(KANİSTER) VALFİ A14NET (BORULU)</t>
  </si>
  <si>
    <t>807010BOSCH</t>
  </si>
  <si>
    <t xml:space="preserve">DEPO HAVALANDIRMA(KANİSTER) VALFİ A14NET </t>
  </si>
  <si>
    <t>807788OEM</t>
  </si>
  <si>
    <t>KANİSTER VALFİ BORULU A16LET/A16LER/Z16LET</t>
  </si>
  <si>
    <t>808117TOPRAN</t>
  </si>
  <si>
    <t>BENZİN DEPO İÇ KAPAK VECTRA.B/CORSA.B</t>
  </si>
  <si>
    <t>808199ASPART</t>
  </si>
  <si>
    <t>7TCA1026</t>
  </si>
  <si>
    <t>BENZİN DEPO İÇ KAPAK ASTRA.F/VECTRA.A/CORSA.B</t>
  </si>
  <si>
    <t xml:space="preserve">808203TOPRAN </t>
  </si>
  <si>
    <t>BENZİN DEPO İÇ KAPAK ASTRA.G/H/CORSA.C/ZAFİRA.A/B/VECTRA.C</t>
  </si>
  <si>
    <t>813040UFİ</t>
  </si>
  <si>
    <t>MAZOT FİLTRE KUTUSU KOMPLE ASTRA.H Z13DTH/Z19DTH</t>
  </si>
  <si>
    <t>813058SARDES</t>
  </si>
  <si>
    <t>SF364</t>
  </si>
  <si>
    <t>MAZOT FİLTRESİ MERİVA.A 1.3CDTI</t>
  </si>
  <si>
    <t xml:space="preserve">813059SARDES </t>
  </si>
  <si>
    <t>SF214</t>
  </si>
  <si>
    <t>MAZOT FİLTRE CORSA.D A13DTE/Z13DT</t>
  </si>
  <si>
    <t xml:space="preserve">813059UFİ </t>
  </si>
  <si>
    <t>24ONE02</t>
  </si>
  <si>
    <t xml:space="preserve">813059VOLLER </t>
  </si>
  <si>
    <t>VOL-66851</t>
  </si>
  <si>
    <t>813070EUROFİL</t>
  </si>
  <si>
    <t>MAZOT FİLTRE Z13DT/A13DTE CORSA.D</t>
  </si>
  <si>
    <t>EFF213070</t>
  </si>
  <si>
    <t>813070FİLTRON</t>
  </si>
  <si>
    <t>PP990/2</t>
  </si>
  <si>
    <t>813070KRAFTVOLL</t>
  </si>
  <si>
    <t>813070SARDES</t>
  </si>
  <si>
    <t>SF342</t>
  </si>
  <si>
    <t>813070UFİ</t>
  </si>
  <si>
    <t xml:space="preserve">813070VOLLER </t>
  </si>
  <si>
    <t>VOL-66853</t>
  </si>
  <si>
    <t>MAZOT FİLTRE Z13DT/ASTRA.H/CORSA.C/CAPTİVA</t>
  </si>
  <si>
    <t>813569DELPHİ</t>
  </si>
  <si>
    <t>HDF608</t>
  </si>
  <si>
    <t>813569EUROFIL</t>
  </si>
  <si>
    <t>EFF262340</t>
  </si>
  <si>
    <t>813569PHAFF</t>
  </si>
  <si>
    <t>DF725</t>
  </si>
  <si>
    <t xml:space="preserve">813569SARDES </t>
  </si>
  <si>
    <t>SF127.4</t>
  </si>
  <si>
    <t>813569SİON</t>
  </si>
  <si>
    <t>SM3527</t>
  </si>
  <si>
    <t>813569VALEO</t>
  </si>
  <si>
    <t>8148.XYSPJ</t>
  </si>
  <si>
    <t>DIŞ DİKİZ AYNA SAĞ 206 98-03 MEKANİK</t>
  </si>
  <si>
    <t>E-0898</t>
  </si>
  <si>
    <t>8148.YCART</t>
  </si>
  <si>
    <t>DIŞ DİKİZ AYNA SOL 206 (ASPERİK CAM) MANUEL</t>
  </si>
  <si>
    <t>M012.2039</t>
  </si>
  <si>
    <t>8149.ZGART</t>
  </si>
  <si>
    <t>DIŞ DİKİZ AYNA SOL 207 06&gt;  +ELK+SİNYALLİ</t>
  </si>
  <si>
    <t>M012.2068</t>
  </si>
  <si>
    <t>8149.ZHVİEWMAX</t>
  </si>
  <si>
    <t>DIŞ DİKİZ AYNA SAĞ 207 06&gt;  +ELK+SİNYALLİ</t>
  </si>
  <si>
    <t>VM-6207EHPS R</t>
  </si>
  <si>
    <t>815004AKD</t>
  </si>
  <si>
    <t>BENZİN POMPASI DEPO DIŞI VECTRA.A</t>
  </si>
  <si>
    <t>BENZİN POMPA</t>
  </si>
  <si>
    <t>OP137106</t>
  </si>
  <si>
    <t>815012DELPHİ</t>
  </si>
  <si>
    <t>BENZİN POMPASI CORSA.B/ASTRA.F</t>
  </si>
  <si>
    <t>FE0438-12B1</t>
  </si>
  <si>
    <t>815012MARELLİ</t>
  </si>
  <si>
    <t>815019AKD</t>
  </si>
  <si>
    <t>BENZİN POMPASI VECTRA.B/A</t>
  </si>
  <si>
    <t>OP137101</t>
  </si>
  <si>
    <t>815019DELPHİ</t>
  </si>
  <si>
    <t>BENZİN POMPASI VECTRA.B/VECTRA.A</t>
  </si>
  <si>
    <t>FE0435-12B1</t>
  </si>
  <si>
    <t>815019KRAFTVOLL</t>
  </si>
  <si>
    <t>815019SAGEM</t>
  </si>
  <si>
    <t>S30113</t>
  </si>
  <si>
    <t>815037ACHR</t>
  </si>
  <si>
    <t>BENZİN POMPA ASTRA.G/VECTRA.C/CORSA.C</t>
  </si>
  <si>
    <t>ACHR</t>
  </si>
  <si>
    <t>815037AKD</t>
  </si>
  <si>
    <t>OP137102</t>
  </si>
  <si>
    <t>815037BOSCH</t>
  </si>
  <si>
    <t>815037DELPHİ</t>
  </si>
  <si>
    <t>FE0580-12B1</t>
  </si>
  <si>
    <t>815037DELPHİ-0451</t>
  </si>
  <si>
    <t>FE0451-12B1</t>
  </si>
  <si>
    <t xml:space="preserve">815037HELLA </t>
  </si>
  <si>
    <t>8TF358.106-561</t>
  </si>
  <si>
    <t>815037HOFFER</t>
  </si>
  <si>
    <t>815037SAGEM</t>
  </si>
  <si>
    <t>815164YTT</t>
  </si>
  <si>
    <t>DEPO ŞAMADIRA LASTİK CORSA.D</t>
  </si>
  <si>
    <t>Y1325</t>
  </si>
  <si>
    <t>8152.40LUVİ</t>
  </si>
  <si>
    <t>DİKİZ AYNA KAPAGI SOL 206</t>
  </si>
  <si>
    <t>8152.41LUVİ</t>
  </si>
  <si>
    <t>DİKİZ AYNA KAPAGI SAĞ 206</t>
  </si>
  <si>
    <t>8153.HLSPJ</t>
  </si>
  <si>
    <t>DIŞ DİKİZ AYNA SOL MEKANİK PARTNER/BERLİNGO M49 96-08</t>
  </si>
  <si>
    <t>E-0415</t>
  </si>
  <si>
    <t>8153.HNVİEWMAX</t>
  </si>
  <si>
    <t>DIŞ DİKİZ AYNA SOL PARTNER 02-08 ELEKTRİKLİ</t>
  </si>
  <si>
    <t>VM118EHL</t>
  </si>
  <si>
    <t>8153.JKSPJ</t>
  </si>
  <si>
    <t>DIŞ DİKİZ AYNA SOL PARTNER 02-08 MEKANİK+ISITMALI</t>
  </si>
  <si>
    <t>E-0971</t>
  </si>
  <si>
    <t>8153.JNSPJ</t>
  </si>
  <si>
    <t>DIŞ DİKİZ AYNA SAĞ PARTNER 02-08 +ELEK.+ASTARLI</t>
  </si>
  <si>
    <t>E-0974</t>
  </si>
  <si>
    <t>8153.VFART</t>
  </si>
  <si>
    <t>DIŞ DİKİZ AYNA SAĞ BİPPER/NEMO/FİORİNO MANUEL</t>
  </si>
  <si>
    <t>M001.1045</t>
  </si>
  <si>
    <t>8153.VGART</t>
  </si>
  <si>
    <t>DIŞ DİKİZ AYNA SOL +ELK+ISITMA+ASTARLI KAPAK BİPPER/NEMO/FİORİNO</t>
  </si>
  <si>
    <t>M001.1390</t>
  </si>
  <si>
    <t>8153.VJERAYNA</t>
  </si>
  <si>
    <t>DIŞ DİKİZ AYNA SAĞ BİPPER/NEMO/FİORİNO +ELEK+ISITMA</t>
  </si>
  <si>
    <t>ERAYNA</t>
  </si>
  <si>
    <t>A-1045E</t>
  </si>
  <si>
    <t>815510İTHAL</t>
  </si>
  <si>
    <t xml:space="preserve">YAKIT BASINÇ REGÜLATÖR VECTRA.B X20XEV </t>
  </si>
  <si>
    <t>815510Y</t>
  </si>
  <si>
    <t>815520BOSCH</t>
  </si>
  <si>
    <t>YAKI BASINÇ REGÜLATÖRÜ ASTRA.G/CROSA.C/VECTRA.C (DEPOİÇİ)</t>
  </si>
  <si>
    <t>815520Y</t>
  </si>
  <si>
    <t>815910KRAFTVOLL</t>
  </si>
  <si>
    <t>YAKIT DEPO ŞAMADIRA CONTA ASTRA.G/CORSA.C/ZAFİRA.A</t>
  </si>
  <si>
    <t>815910YTT</t>
  </si>
  <si>
    <t>Y1326</t>
  </si>
  <si>
    <t>816007BOSCH</t>
  </si>
  <si>
    <t>YAKIT DEPO ŞAMADIRA ALT POMPA CORSA.C Z12XE/Z12XEP/Z14XEP//VECTRA.C Z16XE/Z16XEP</t>
  </si>
  <si>
    <t>816007DELPHİ</t>
  </si>
  <si>
    <t>FE0491-12B1</t>
  </si>
  <si>
    <t>816070VALEO</t>
  </si>
  <si>
    <t>BENZİN OTOMATİĞİ 18SV VECTRA.A</t>
  </si>
  <si>
    <t>817042WINTECH</t>
  </si>
  <si>
    <t>WIN0500619</t>
  </si>
  <si>
    <t>ENJEKTÖR DÖNÜŞ HORTUM Z19DTH/A20DTH</t>
  </si>
  <si>
    <t>817158PIERBURG</t>
  </si>
  <si>
    <t xml:space="preserve">GAZ KELEBEGİ Z16XE ASTRA.G/VECTRA.C </t>
  </si>
  <si>
    <t>7.14319.00.0</t>
  </si>
  <si>
    <t>817253HELLUX</t>
  </si>
  <si>
    <t>ROLANTİ MOTOR ASTRA.F/CORSA.B 1.4/1.6 8V</t>
  </si>
  <si>
    <t>HLA.2503</t>
  </si>
  <si>
    <t>817254TOPRAN</t>
  </si>
  <si>
    <t>ROLANTİ MOTOR ASTRA.F/CORSA.B 1.4 8V C14NZ</t>
  </si>
  <si>
    <t>817329İBRAS</t>
  </si>
  <si>
    <t>ENJEKTÖR GERİ DÖNÜŞ HORTUM Z13DT</t>
  </si>
  <si>
    <t>817329RPR</t>
  </si>
  <si>
    <t>R11707</t>
  </si>
  <si>
    <t>817329WİNTECH</t>
  </si>
  <si>
    <t>WIN0500603</t>
  </si>
  <si>
    <t>817329YTT</t>
  </si>
  <si>
    <t>Y11748</t>
  </si>
  <si>
    <t xml:space="preserve">817384ASPART </t>
  </si>
  <si>
    <t>5IHO1025</t>
  </si>
  <si>
    <t xml:space="preserve">ENJEKTÖR KOVAN Y17DT </t>
  </si>
  <si>
    <t xml:space="preserve">817384METTE </t>
  </si>
  <si>
    <t>ENJEKTÖR KOVAN Y17DT ORİNGLİ</t>
  </si>
  <si>
    <t>651D5141</t>
  </si>
  <si>
    <t>817402AKD</t>
  </si>
  <si>
    <t>BENZİN ENJEKTÖRÜ Z14XE/Z16XE</t>
  </si>
  <si>
    <t>817441BOSCH</t>
  </si>
  <si>
    <t>BENZİN ENJEKTÖR ASTRA.F/VECTRA.B X16XEL</t>
  </si>
  <si>
    <t>817455METTE</t>
  </si>
  <si>
    <t xml:space="preserve">ENJEKTÖR X20XEV </t>
  </si>
  <si>
    <t>651D5026</t>
  </si>
  <si>
    <t>817456AKD</t>
  </si>
  <si>
    <t>ENJEKTÖR Z18XE</t>
  </si>
  <si>
    <t>817637METTE</t>
  </si>
  <si>
    <t>KARBĞRATÖR DİYAFRAMI ASTRA.F/CORSA.B  1.2/1.4 8V</t>
  </si>
  <si>
    <t>651D5083</t>
  </si>
  <si>
    <t>818513KRAFTVOLL</t>
  </si>
  <si>
    <t>BENZİN FİLTRESİ ASTRA.F/VECTRA.A/CORSA.B</t>
  </si>
  <si>
    <t>818513PHAFF</t>
  </si>
  <si>
    <t>DF784</t>
  </si>
  <si>
    <t xml:space="preserve">818513SASRDES </t>
  </si>
  <si>
    <t>SF106</t>
  </si>
  <si>
    <t xml:space="preserve">818513VOLLER </t>
  </si>
  <si>
    <t>VOL-66857</t>
  </si>
  <si>
    <t>818531DELPHİ</t>
  </si>
  <si>
    <t>MAZOT FİLTRE Y17DT/X20DTH</t>
  </si>
  <si>
    <t>HDF513</t>
  </si>
  <si>
    <t>818531MANDO</t>
  </si>
  <si>
    <t>MMF035111</t>
  </si>
  <si>
    <t>818531SARDES</t>
  </si>
  <si>
    <t>SF109</t>
  </si>
  <si>
    <t xml:space="preserve">818531VALEO </t>
  </si>
  <si>
    <t xml:space="preserve">MAZOT FİLTRE Y17DT/X20DTH  </t>
  </si>
  <si>
    <t xml:space="preserve">818531WUNDER </t>
  </si>
  <si>
    <t>WB303</t>
  </si>
  <si>
    <t>818568ERP</t>
  </si>
  <si>
    <t>BENZİN FİLTRE CORSA.C/ASTRA.G/VECTRA.C</t>
  </si>
  <si>
    <t>E145086</t>
  </si>
  <si>
    <t>818568FİLTRON</t>
  </si>
  <si>
    <t>PP905</t>
  </si>
  <si>
    <t>818568KRAFTVOLL</t>
  </si>
  <si>
    <t>818568PHAFF</t>
  </si>
  <si>
    <t>DF783</t>
  </si>
  <si>
    <t xml:space="preserve">818568SARDES </t>
  </si>
  <si>
    <t>SF107</t>
  </si>
  <si>
    <t xml:space="preserve">818568VOLLER </t>
  </si>
  <si>
    <t>VOL-66850</t>
  </si>
  <si>
    <t>8200193992MGA</t>
  </si>
  <si>
    <t>DİREKSİYON POMPASI MASTER II 2.5DCI/3.0DCI 03&gt;</t>
  </si>
  <si>
    <t>8200895223MGA</t>
  </si>
  <si>
    <t>DİREKSİYON KUTUSU HİDROLİK MASTER II 2.5DCİ G9U</t>
  </si>
  <si>
    <t>BENZİN DEPO İÇ POMPA HORTUM ASTRA.G/CORSA.C/VECTRA.C</t>
  </si>
  <si>
    <t>820483Y</t>
  </si>
  <si>
    <t>ENJEKTÖR HORTUM SETİ ASTRA.H Z13DTHASTRA.J/AVEO/CORSA.D A13DTE/DTC</t>
  </si>
  <si>
    <t>820689NİFEA</t>
  </si>
  <si>
    <t>YAKIT BORUSU CORSA.D A13DTE/A13DTC/Z13DTH</t>
  </si>
  <si>
    <t>820716Y</t>
  </si>
  <si>
    <t>ENJEKTÖR HORTUM SETİ Z13D EURO4</t>
  </si>
  <si>
    <t>825016BOSCH</t>
  </si>
  <si>
    <t xml:space="preserve">GAZ KELEBEĞİ A14NET </t>
  </si>
  <si>
    <t>825027ASPART</t>
  </si>
  <si>
    <t>GAZ KELEBEK HORTUM A16XER MOKKA</t>
  </si>
  <si>
    <t>825484DELPHİ</t>
  </si>
  <si>
    <t>GAZ KELEBEK POTANSİYOMETRE ASTRA.G/VECTRA.B X16XEL</t>
  </si>
  <si>
    <t>SS10425-12B1</t>
  </si>
  <si>
    <t>825484MARELLİ</t>
  </si>
  <si>
    <t xml:space="preserve">826001AKD </t>
  </si>
  <si>
    <t>AKD 55574685</t>
  </si>
  <si>
    <t>GAZ KELEBEK HORTUM A16XER/A16LET</t>
  </si>
  <si>
    <t xml:space="preserve">826001ASPART </t>
  </si>
  <si>
    <t>5HOS1341</t>
  </si>
  <si>
    <t>826001KRAFTVOLL</t>
  </si>
  <si>
    <t>826001WİNTECH</t>
  </si>
  <si>
    <t>WIN0500600</t>
  </si>
  <si>
    <t>826001YTT</t>
  </si>
  <si>
    <t>Y1737</t>
  </si>
  <si>
    <t>8265.JJWPI</t>
  </si>
  <si>
    <t>KALORİFER MUZUL BİPPER/NEMO/FİORİNO</t>
  </si>
  <si>
    <t>PB5461</t>
  </si>
  <si>
    <t>826550MARELLİ</t>
  </si>
  <si>
    <t>ROLANTİ MOTOR X14XE/X16XE</t>
  </si>
  <si>
    <t>826550MGA</t>
  </si>
  <si>
    <t>826550OEM</t>
  </si>
  <si>
    <t>DELCO</t>
  </si>
  <si>
    <t>826550PIERBURG</t>
  </si>
  <si>
    <t>7.05432.11.0</t>
  </si>
  <si>
    <t>826550THRONE</t>
  </si>
  <si>
    <t>THRONE</t>
  </si>
  <si>
    <t>826924BOSCH</t>
  </si>
  <si>
    <t>GAZ KELEBEK POTANSİYOMETRE C20NE/X20XEV</t>
  </si>
  <si>
    <t>8320.78</t>
  </si>
  <si>
    <t>TAVAN ÇITASI SAĞ 206/GTI</t>
  </si>
  <si>
    <t>833205TAP</t>
  </si>
  <si>
    <t>BENZİN DİNLENDİRME TANKI VECTRA.A/ASTRA.F</t>
  </si>
  <si>
    <t>TAP.833205</t>
  </si>
  <si>
    <t>833205YTT</t>
  </si>
  <si>
    <t>Y1629</t>
  </si>
  <si>
    <t>834125EUROFIL</t>
  </si>
  <si>
    <t>HAVA FİLTRESİ İNSİGNİA.A</t>
  </si>
  <si>
    <t>EF234647</t>
  </si>
  <si>
    <t>834125IISI</t>
  </si>
  <si>
    <t>FLH7006</t>
  </si>
  <si>
    <t>834125MANN</t>
  </si>
  <si>
    <t>C29012</t>
  </si>
  <si>
    <t>834125METTE</t>
  </si>
  <si>
    <t>741F7320</t>
  </si>
  <si>
    <t xml:space="preserve">834125SARDES </t>
  </si>
  <si>
    <t>SA2291</t>
  </si>
  <si>
    <t>834125SMF</t>
  </si>
  <si>
    <t>20741HF</t>
  </si>
  <si>
    <t xml:space="preserve">834125VOLLER </t>
  </si>
  <si>
    <t>VOL-66114/1</t>
  </si>
  <si>
    <t>834125WUNDER</t>
  </si>
  <si>
    <t>WH363</t>
  </si>
  <si>
    <t>834126GRAT</t>
  </si>
  <si>
    <t>HAVA FİLTRESİ ASTRA.J/CRUZE A13DTE/A14NET/B16DTH</t>
  </si>
  <si>
    <t>25106S</t>
  </si>
  <si>
    <t>834126LEVRETTÖ</t>
  </si>
  <si>
    <t xml:space="preserve">834126METTE </t>
  </si>
  <si>
    <t>741F7329</t>
  </si>
  <si>
    <t>834126SARDES</t>
  </si>
  <si>
    <t>SA2290</t>
  </si>
  <si>
    <t>834126SMF</t>
  </si>
  <si>
    <t>SMF2136HF</t>
  </si>
  <si>
    <t xml:space="preserve">834126VOLLER </t>
  </si>
  <si>
    <t>VOL-66133/1</t>
  </si>
  <si>
    <t>834126WUNDER</t>
  </si>
  <si>
    <t>WH358</t>
  </si>
  <si>
    <t>834297EUROFIL</t>
  </si>
  <si>
    <t>HAVA FİLTRESİ VECTRA.A</t>
  </si>
  <si>
    <t>EF234297</t>
  </si>
  <si>
    <t>834297IISI</t>
  </si>
  <si>
    <t>FLH7007</t>
  </si>
  <si>
    <t>834297SMF</t>
  </si>
  <si>
    <t>SMF2131HF</t>
  </si>
  <si>
    <t>834316KRAFTVOLL</t>
  </si>
  <si>
    <t>HAVA FİLTRESİ VECTRA.B X20DTH</t>
  </si>
  <si>
    <t>834581FİLTRON</t>
  </si>
  <si>
    <t>HAVA FİLTRESİ CORSA.B</t>
  </si>
  <si>
    <t>AP071</t>
  </si>
  <si>
    <t>834581SARDES</t>
  </si>
  <si>
    <t>SA311</t>
  </si>
  <si>
    <t>834581SMF</t>
  </si>
  <si>
    <t>2021HF</t>
  </si>
  <si>
    <t xml:space="preserve">834581VOLLER </t>
  </si>
  <si>
    <t>VOL-66106</t>
  </si>
  <si>
    <t xml:space="preserve">834622GRAT </t>
  </si>
  <si>
    <t xml:space="preserve">HAVA FİLTRESİ ASTRA.J/CRUZE A16XER </t>
  </si>
  <si>
    <t>GRT-25106</t>
  </si>
  <si>
    <t>834622LEVRETTO</t>
  </si>
  <si>
    <t>834622MANDO</t>
  </si>
  <si>
    <t>EAF00071M</t>
  </si>
  <si>
    <t>834622SİON</t>
  </si>
  <si>
    <t>SH1330</t>
  </si>
  <si>
    <t>834622SMF</t>
  </si>
  <si>
    <t>SMF2245HF</t>
  </si>
  <si>
    <t>834622VOLLER</t>
  </si>
  <si>
    <t>VOL-66132</t>
  </si>
  <si>
    <t>834622WUNDER</t>
  </si>
  <si>
    <t>WH355</t>
  </si>
  <si>
    <t>834762EURORIL</t>
  </si>
  <si>
    <t xml:space="preserve">HAVA FİLTRESİ MOKKA/TRAX </t>
  </si>
  <si>
    <t xml:space="preserve">834762METTE </t>
  </si>
  <si>
    <t>741F7322</t>
  </si>
  <si>
    <t>834762SMF</t>
  </si>
  <si>
    <t>2208HF</t>
  </si>
  <si>
    <t>834762VOLLER</t>
  </si>
  <si>
    <t>VOL-66118</t>
  </si>
  <si>
    <t>834857SMF</t>
  </si>
  <si>
    <t>HAVA FİLTRESİ VECTRA.C 2.8 V6 TURBO BENZİNLİ</t>
  </si>
  <si>
    <t>2135HF</t>
  </si>
  <si>
    <t xml:space="preserve">834976ASPART </t>
  </si>
  <si>
    <t>HAVA FİLTRE TAKOZ ASTRA.F/G/CORSA.C/ZAFİRA.A</t>
  </si>
  <si>
    <t>835148YTT</t>
  </si>
  <si>
    <t xml:space="preserve">TURBO HORTUM MOKKA A14NET SOL ALT </t>
  </si>
  <si>
    <t>Y11744</t>
  </si>
  <si>
    <t>835148YTT-B</t>
  </si>
  <si>
    <t xml:space="preserve">TURBO HORTUM MOKKA A14NET ÜST </t>
  </si>
  <si>
    <t>Y11745</t>
  </si>
  <si>
    <t xml:space="preserve">835269ASPART </t>
  </si>
  <si>
    <t>5HOS1060</t>
  </si>
  <si>
    <t>HAVA FİLTRE KÖRÜĞÜ CORSA.D/E A13DTC/A13DTE</t>
  </si>
  <si>
    <t>835269İBRAS</t>
  </si>
  <si>
    <t>835605METTE</t>
  </si>
  <si>
    <t>HAVA FİLTRESİ ASTRA.F</t>
  </si>
  <si>
    <t>741F7307</t>
  </si>
  <si>
    <t>835605SARDES</t>
  </si>
  <si>
    <t>SA310</t>
  </si>
  <si>
    <t xml:space="preserve">835605VOLLER </t>
  </si>
  <si>
    <t>VOL-66107</t>
  </si>
  <si>
    <t xml:space="preserve">835605WUNDER </t>
  </si>
  <si>
    <t>WH302</t>
  </si>
  <si>
    <t>835615EUROFIL</t>
  </si>
  <si>
    <t>HAVA FİLTRE VECTRA.B</t>
  </si>
  <si>
    <t>EF235615</t>
  </si>
  <si>
    <t xml:space="preserve">835615GRAT </t>
  </si>
  <si>
    <t>GRT-14105</t>
  </si>
  <si>
    <t>835615IISI</t>
  </si>
  <si>
    <t>FLH7008</t>
  </si>
  <si>
    <t xml:space="preserve">835615METTE </t>
  </si>
  <si>
    <t>741F7308</t>
  </si>
  <si>
    <t xml:space="preserve">835615SARDES </t>
  </si>
  <si>
    <t>SA309</t>
  </si>
  <si>
    <t>835615SMF</t>
  </si>
  <si>
    <t>2120HF</t>
  </si>
  <si>
    <t>835615VOLLER</t>
  </si>
  <si>
    <t>VOL-66108</t>
  </si>
  <si>
    <t xml:space="preserve">835615WUNDER </t>
  </si>
  <si>
    <t>WH301</t>
  </si>
  <si>
    <t>835622LEVRETTO</t>
  </si>
  <si>
    <t>HAVA FİLTRESİ ASTRA.G/H</t>
  </si>
  <si>
    <t xml:space="preserve">835622METTE </t>
  </si>
  <si>
    <t>741F7310</t>
  </si>
  <si>
    <t>835622SİON</t>
  </si>
  <si>
    <t>SH1493</t>
  </si>
  <si>
    <t>835622SMF</t>
  </si>
  <si>
    <t>SMF2091HF</t>
  </si>
  <si>
    <t>835622WUNDER</t>
  </si>
  <si>
    <t>WH303</t>
  </si>
  <si>
    <t>835626ERP</t>
  </si>
  <si>
    <t>HAVA FİLTRESİ CORSA.C/COMBO.C/MERİVA.A</t>
  </si>
  <si>
    <t>835626LEVRETTO</t>
  </si>
  <si>
    <t xml:space="preserve">835626METTE </t>
  </si>
  <si>
    <t>741F7311</t>
  </si>
  <si>
    <t>835626PHAFF</t>
  </si>
  <si>
    <t>DH455</t>
  </si>
  <si>
    <t>835626SİON</t>
  </si>
  <si>
    <t>SH1413</t>
  </si>
  <si>
    <t xml:space="preserve">835626VOLLER </t>
  </si>
  <si>
    <t>VOL-66102</t>
  </si>
  <si>
    <t>835626WUNDER</t>
  </si>
  <si>
    <t>WH306</t>
  </si>
  <si>
    <t>835630IISI</t>
  </si>
  <si>
    <t>HAVA FİLTRESİ VECTRA.C</t>
  </si>
  <si>
    <t>FLH7012</t>
  </si>
  <si>
    <t>835630SARDES</t>
  </si>
  <si>
    <t>SA336</t>
  </si>
  <si>
    <t xml:space="preserve">835630VOLLER </t>
  </si>
  <si>
    <t>VOL-66110</t>
  </si>
  <si>
    <t>835630WUNDER</t>
  </si>
  <si>
    <t>WH312</t>
  </si>
  <si>
    <t>835692RPR</t>
  </si>
  <si>
    <t xml:space="preserve">TURBO GİRİŞ HORTUM İNSİGNİA.A A16LET </t>
  </si>
  <si>
    <t>R18495</t>
  </si>
  <si>
    <t>836005BOSCH</t>
  </si>
  <si>
    <t>HAVA DEBİMETRE ASTRA.K B16DTH/CORSA.E A13DTE/ASTRA.J A14NET/CORSA.D A12XER/A14XER</t>
  </si>
  <si>
    <t xml:space="preserve">836050METTE </t>
  </si>
  <si>
    <t>KARBÜRATÖR ÜST KAPAK VECTRA.A 1.8 8V</t>
  </si>
  <si>
    <t>668M6284</t>
  </si>
  <si>
    <t>836176ASPART</t>
  </si>
  <si>
    <t>5HOS1342</t>
  </si>
  <si>
    <t>TURBO GİRİŞ HORTUM ÜST ASTRA.H Z13DTH</t>
  </si>
  <si>
    <t>836176KRAFTVOLL</t>
  </si>
  <si>
    <t>836176YTT</t>
  </si>
  <si>
    <t>Y11630</t>
  </si>
  <si>
    <t>836457BOSCH</t>
  </si>
  <si>
    <t>HAVA DEBİMETRE İNSİGNİA.A/ASTRA.J A16LET/A20DTH</t>
  </si>
  <si>
    <t xml:space="preserve">836569HELLA </t>
  </si>
  <si>
    <t xml:space="preserve">DEBİMETRE X20XEV </t>
  </si>
  <si>
    <t>8ET009142081</t>
  </si>
  <si>
    <t>836592BOSCH</t>
  </si>
  <si>
    <t>DEBİMETRE X20DTH/Y17DT</t>
  </si>
  <si>
    <t>836592SUPSAN</t>
  </si>
  <si>
    <t>AFM0016</t>
  </si>
  <si>
    <t>836635BREMİ</t>
  </si>
  <si>
    <t>DEBİMETRE Z13DT CORSA.C/COMBO.C</t>
  </si>
  <si>
    <t>836639BOSCH</t>
  </si>
  <si>
    <t>DEBİMETRE ASTRA.H/CORSA.D Z13DTH/Z20DM CAPTİVA</t>
  </si>
  <si>
    <t xml:space="preserve">836644BOSCH </t>
  </si>
  <si>
    <t>HAVA DEBİMETRE ASTRA.H Z14XEP/ASTRA.G Z14XEP/CORSA.C Z12XEP-Z14XEP</t>
  </si>
  <si>
    <t>836764DOGRU</t>
  </si>
  <si>
    <t>HAVA FİLTRE HORTUM VECTRA.A 1.8 8V</t>
  </si>
  <si>
    <t>DK90-888</t>
  </si>
  <si>
    <t>836764YTT</t>
  </si>
  <si>
    <t>Y1577</t>
  </si>
  <si>
    <t>836772DOGRU</t>
  </si>
  <si>
    <t>HAVA FİLTRE KÖRÜĞÜ ASTRA.F 1.4/1.6 8V</t>
  </si>
  <si>
    <t>DK90-778</t>
  </si>
  <si>
    <t>836791ASPART</t>
  </si>
  <si>
    <t>5HOS1344</t>
  </si>
  <si>
    <t>HAVA FİLTRE HORTUM VECTRA.B X20XEV(GAZ KELEBEĞİNE GELEN)</t>
  </si>
  <si>
    <t>836791DOGRU</t>
  </si>
  <si>
    <t>HAVA FİLTRE GAZ KELEBEK HORTUM VECTRA.B X20XEV</t>
  </si>
  <si>
    <t>DK90-757</t>
  </si>
  <si>
    <t>836791RPR</t>
  </si>
  <si>
    <t>R18131</t>
  </si>
  <si>
    <t>836791YTT</t>
  </si>
  <si>
    <t>Y1447</t>
  </si>
  <si>
    <t>837102MGA</t>
  </si>
  <si>
    <t xml:space="preserve">ROLANTİ MOTOR X20XEV </t>
  </si>
  <si>
    <t>837102TOPRAN</t>
  </si>
  <si>
    <t>838219İBRAŞ</t>
  </si>
  <si>
    <t>TERMOSTAT HORTUM ASTRA.G/ZAFİRA.A X14XE/X16XE/Z14XE/Z16XE</t>
  </si>
  <si>
    <t>838276ASPART</t>
  </si>
  <si>
    <t>GAZ KELEBEK ARA HORTUM X14XE/X16XE</t>
  </si>
  <si>
    <t>838276DOGRU</t>
  </si>
  <si>
    <t>DK90-764</t>
  </si>
  <si>
    <t>84042102WIN</t>
  </si>
  <si>
    <t>WIN0500623</t>
  </si>
  <si>
    <t>YAKIT GERİ DÖNÜŞ HORTUM İNSİGNİA.A B16DTH</t>
  </si>
  <si>
    <t>84077102AYD</t>
  </si>
  <si>
    <t xml:space="preserve">Z ROT SOL ÖN İNSGİNİ.B </t>
  </si>
  <si>
    <t>96-18409</t>
  </si>
  <si>
    <t>84077103AYD</t>
  </si>
  <si>
    <t>Z ROT SAĞ ÖN İNSGİNİ.B</t>
  </si>
  <si>
    <t>96-18410</t>
  </si>
  <si>
    <t>84119273AYD</t>
  </si>
  <si>
    <t>ARKA DİNGİL DENGE KOLU SOL İNSİGNİA.B</t>
  </si>
  <si>
    <t>88-18473</t>
  </si>
  <si>
    <t>84119274AYD</t>
  </si>
  <si>
    <t>ARKA DİNGİL DENGE KOLU SAĞ İNSİGNİA.B</t>
  </si>
  <si>
    <t>88-18474</t>
  </si>
  <si>
    <t>84120877APETECH</t>
  </si>
  <si>
    <t>ÖN BALATA İNSİGNİA.B 17İNÇ</t>
  </si>
  <si>
    <t>AP2251</t>
  </si>
  <si>
    <t>84120877DELPHİ</t>
  </si>
  <si>
    <t>LP3371</t>
  </si>
  <si>
    <t>84120877MGA</t>
  </si>
  <si>
    <t>MGA55704</t>
  </si>
  <si>
    <t>84120877TRW</t>
  </si>
  <si>
    <t xml:space="preserve">ÖN BALATA İNSİGNİA.B 17İNÇ </t>
  </si>
  <si>
    <t>GDB2185</t>
  </si>
  <si>
    <t>84124408ASPART</t>
  </si>
  <si>
    <t>3BPA1359</t>
  </si>
  <si>
    <t>ÖN FREN BALATA İNSİGNİA.B 17&gt; 142.1mm 16İNÇ ÇAP</t>
  </si>
  <si>
    <t xml:space="preserve">84124408MGA </t>
  </si>
  <si>
    <t>84144881ASPART</t>
  </si>
  <si>
    <t>VİRAJ DEMİR LASTİK ÖN İNSİGNİA.B</t>
  </si>
  <si>
    <t>84186990MANN</t>
  </si>
  <si>
    <t xml:space="preserve">MAZOT FİLTRESİ İNSİGNİA.B B16DTH </t>
  </si>
  <si>
    <t>PU10027/1Z</t>
  </si>
  <si>
    <t>84186990UFİ</t>
  </si>
  <si>
    <t>26E2X02</t>
  </si>
  <si>
    <t>84186990WUNDER</t>
  </si>
  <si>
    <t>MAZOT FİLTRESİ İNSİGNİA.B B16DTH</t>
  </si>
  <si>
    <t>WB357</t>
  </si>
  <si>
    <t>84198832ASPART</t>
  </si>
  <si>
    <t>1CAR1359</t>
  </si>
  <si>
    <t>SALINCAK ÖN SOL İNSİGNİA.B</t>
  </si>
  <si>
    <t>84198832AYD</t>
  </si>
  <si>
    <t>SALINCAK SOL İNSİGNİA.B</t>
  </si>
  <si>
    <t>97-18412</t>
  </si>
  <si>
    <t>84198833ASPART</t>
  </si>
  <si>
    <t>1CAR1358</t>
  </si>
  <si>
    <t>SALINCAK ÖN SAĞ İNSİGNİA.B</t>
  </si>
  <si>
    <t>84240118EXPORT</t>
  </si>
  <si>
    <t>MOTOR TAKOZ SAĞ İNSİGNİA.B B16DTH</t>
  </si>
  <si>
    <t>842736YTT</t>
  </si>
  <si>
    <t>GAZ PEDAL LASTİĞİ ASTRA.F/G/H/VECTRA.B/OMEGA.B</t>
  </si>
  <si>
    <t>Y2083</t>
  </si>
  <si>
    <t>84309091AYD</t>
  </si>
  <si>
    <t>ARKA DENGE KOL ÇUBUGU SOL İNSİGNİA.B</t>
  </si>
  <si>
    <t>88-18568</t>
  </si>
  <si>
    <t>84309092AYD</t>
  </si>
  <si>
    <t>ARKA DENGE KOL ÇUBUGU SAĞ İNSİGNİA.B</t>
  </si>
  <si>
    <t>88-18569</t>
  </si>
  <si>
    <t>84398113WİSCO</t>
  </si>
  <si>
    <t xml:space="preserve">MOTOR TAKOZ SOL İNSİGNİA.B B16DTH </t>
  </si>
  <si>
    <t>2114312-00</t>
  </si>
  <si>
    <t>84454535ASPART</t>
  </si>
  <si>
    <t>1BUS1025</t>
  </si>
  <si>
    <t xml:space="preserve">ARKA DİNGİL FİŞEGİ (AKSONA GELEN)İNSİGNİA.B 22949386 </t>
  </si>
  <si>
    <t>84454535YTT</t>
  </si>
  <si>
    <t>ARKA DİNGİL FİŞEGİ (AKSONA GELEN)İNSİGNİA.B</t>
  </si>
  <si>
    <t>Y20030</t>
  </si>
  <si>
    <t>846000ASPART</t>
  </si>
  <si>
    <t>MOTOR TAKOZ ALT CORSA.C Y17DT/Z12XEP/Z14XEP</t>
  </si>
  <si>
    <t>8ESU1192</t>
  </si>
  <si>
    <t>846000DOGRU</t>
  </si>
  <si>
    <t>DK90-865</t>
  </si>
  <si>
    <t>846000YTT</t>
  </si>
  <si>
    <t>Y1213</t>
  </si>
  <si>
    <t>846034ASPART</t>
  </si>
  <si>
    <t>8ESU1193</t>
  </si>
  <si>
    <t>MOTOR TAKOZ ARKA CORSA.C Z13DT</t>
  </si>
  <si>
    <t xml:space="preserve">846034DOGRU </t>
  </si>
  <si>
    <t>DK90-1051</t>
  </si>
  <si>
    <t>846034KRAFTVOLL</t>
  </si>
  <si>
    <t>846034YTT</t>
  </si>
  <si>
    <t>Y1262</t>
  </si>
  <si>
    <t xml:space="preserve">846836DOGRU </t>
  </si>
  <si>
    <t>MOTOR TAKOZ ARKA CORSA.D Z12XEP/A12XER/A14XER</t>
  </si>
  <si>
    <t>DK90-891</t>
  </si>
  <si>
    <t>846837YTT</t>
  </si>
  <si>
    <t>MOTOR TAKOZ ARKA CORSA.D A12XER/A14XER/Z14XEP(OTOMATİK)</t>
  </si>
  <si>
    <t>Y1320</t>
  </si>
  <si>
    <t>847168CAVO</t>
  </si>
  <si>
    <t>GAZ TELİ ASTRA.G X14XE/X16XEL</t>
  </si>
  <si>
    <t>84782067ASPART</t>
  </si>
  <si>
    <t>3BPA1371</t>
  </si>
  <si>
    <t xml:space="preserve">ÖN FREN BALATA 153.8mm  İNSİGNİA.B 18&gt; 1.5D </t>
  </si>
  <si>
    <t>84782067DELPHİ</t>
  </si>
  <si>
    <t>LP3736</t>
  </si>
  <si>
    <t>848034HELLA</t>
  </si>
  <si>
    <t>GAZ PEDALI İNSİGNİA.A</t>
  </si>
  <si>
    <t>6PV009765-701</t>
  </si>
  <si>
    <t>849196OTOCONTA</t>
  </si>
  <si>
    <t>EMME MANİFOLT CONTA Z14XE/Z16XE</t>
  </si>
  <si>
    <t>849196ROYAL</t>
  </si>
  <si>
    <t>205403P</t>
  </si>
  <si>
    <t>849196VİCTOR</t>
  </si>
  <si>
    <t>71-34294-00</t>
  </si>
  <si>
    <t xml:space="preserve">849199METTE </t>
  </si>
  <si>
    <t xml:space="preserve">EKSOZ MANİFOLT CONTA Z16XEP </t>
  </si>
  <si>
    <t>226C2008</t>
  </si>
  <si>
    <t xml:space="preserve">849213BGA </t>
  </si>
  <si>
    <t>EKSOZ MANİFOLT CONTA X20DTH/X22DTH/Y20DTH</t>
  </si>
  <si>
    <t>MG5549</t>
  </si>
  <si>
    <t xml:space="preserve">849213ELRİNG </t>
  </si>
  <si>
    <t xml:space="preserve">849219VİCTOR </t>
  </si>
  <si>
    <t>EKSOZ MANİFOLT CONTA Z13DT/A13DTE</t>
  </si>
  <si>
    <t>71-36322-00</t>
  </si>
  <si>
    <t>849219Y</t>
  </si>
  <si>
    <t>849226ELRİNG</t>
  </si>
  <si>
    <t>EKSOZ MANİFOLT CONTA A14NET/B14NET</t>
  </si>
  <si>
    <t>849226METTE</t>
  </si>
  <si>
    <t>266C2219</t>
  </si>
  <si>
    <t>849226OTOCONTA</t>
  </si>
  <si>
    <t xml:space="preserve">849261ASPART </t>
  </si>
  <si>
    <t>EMME MANİFOLT A13DTE/A13DTC EURO5</t>
  </si>
  <si>
    <t>849533AKD</t>
  </si>
  <si>
    <t>EKSOZ MANİFOLT CONTA A16XER/B16XER</t>
  </si>
  <si>
    <t>849533ELRİNG</t>
  </si>
  <si>
    <t xml:space="preserve">849533METTE </t>
  </si>
  <si>
    <t>266C2121</t>
  </si>
  <si>
    <t>849533PRESTIGE</t>
  </si>
  <si>
    <t>849533ROYAL</t>
  </si>
  <si>
    <t>305428P</t>
  </si>
  <si>
    <t xml:space="preserve">849533VİCTOR </t>
  </si>
  <si>
    <t>71-38158-00</t>
  </si>
  <si>
    <t>849541ELRİNG</t>
  </si>
  <si>
    <t>EKSOZ MANİFOLT CONTA Z12XEP/Z14XEP ASTRA.H/G/CORSA.C/D/T300 A14XER</t>
  </si>
  <si>
    <t xml:space="preserve">849541METTE </t>
  </si>
  <si>
    <t>266C2207</t>
  </si>
  <si>
    <t>849541OTOCONTA</t>
  </si>
  <si>
    <t>EKSOZ MANİFOLT CONTA A12XER/A14XER/Z14XEP</t>
  </si>
  <si>
    <t>850093BOSCH</t>
  </si>
  <si>
    <t>KANİSTER VALFİ (DEPO HAVALANDIRMA) CORSA.D A12XER/A14XER</t>
  </si>
  <si>
    <t>850096PRESTİGE</t>
  </si>
  <si>
    <t>EMME MANİFOLT CONTA A14NET</t>
  </si>
  <si>
    <t>850351PIERBURG</t>
  </si>
  <si>
    <t>TURBO SELENOİD VALFİ A14NET/A16LET (TURBO ÜSTÜ)</t>
  </si>
  <si>
    <t>7.03833.02.0</t>
  </si>
  <si>
    <t>850510-849196AKD</t>
  </si>
  <si>
    <t>EKSOZ+EMME MANİFOLT CONTA Z14XE/Z16XE</t>
  </si>
  <si>
    <t xml:space="preserve">850510ELRİNG </t>
  </si>
  <si>
    <t>EKSOZ MANİFOLT CONTA Z14XE/Z16XE</t>
  </si>
  <si>
    <t>850510ROYAL</t>
  </si>
  <si>
    <t>516020D</t>
  </si>
  <si>
    <t>850510VİCTOR</t>
  </si>
  <si>
    <t>71-34281-00</t>
  </si>
  <si>
    <t>EGR CONTA Z12XEP/Z14XEP</t>
  </si>
  <si>
    <t>850512ELRİNG</t>
  </si>
  <si>
    <t>850615Y</t>
  </si>
  <si>
    <t>EKSOZ MANİFOLT CONTA 1.2/1.4/1.6 8V</t>
  </si>
  <si>
    <t>850645Y</t>
  </si>
  <si>
    <t>EKSOZ MANİFOLT CONTA 20NE/18V 1.8/2.0 8V</t>
  </si>
  <si>
    <t>850655ROYAL</t>
  </si>
  <si>
    <t xml:space="preserve">EMME MANİFOLT CONTA X20XEV </t>
  </si>
  <si>
    <t>850655Y</t>
  </si>
  <si>
    <t>850656ELRİNG</t>
  </si>
  <si>
    <t>EKSOZ MANİFOLT CONTA X20XEV</t>
  </si>
  <si>
    <t>850656ROYAL</t>
  </si>
  <si>
    <t>850656Y</t>
  </si>
  <si>
    <t>850673ELRİNG</t>
  </si>
  <si>
    <t>EKSOZ MANİFOLT CONTA X12XE/Z12XE/Z12XEP</t>
  </si>
  <si>
    <t>850673PRESTIGE</t>
  </si>
  <si>
    <t>850673VİCTOR</t>
  </si>
  <si>
    <t>71-34157-00</t>
  </si>
  <si>
    <t>850677VİCTOR</t>
  </si>
  <si>
    <t>EKSOZ MANİFOLT CONTA Y17DT</t>
  </si>
  <si>
    <t>71-53144-00</t>
  </si>
  <si>
    <t xml:space="preserve">850692OTOCONTA </t>
  </si>
  <si>
    <t xml:space="preserve">EKSOZ MANİFOLT CONTA COMBO.D A16FDL/A16FDH </t>
  </si>
  <si>
    <t>850736FEBİ</t>
  </si>
  <si>
    <t>EKSOZ MANİFOLD SAPLAMASI BLM.</t>
  </si>
  <si>
    <t>850933KRAFTVOLL</t>
  </si>
  <si>
    <t>EMME MANİFOLT CONTA TAKIM A13TE 1.3EURO5</t>
  </si>
  <si>
    <t xml:space="preserve">850948METTE </t>
  </si>
  <si>
    <t>EMME MANİFOLT CONTA A16XER/B16XER/F14D4</t>
  </si>
  <si>
    <t>266C2122</t>
  </si>
  <si>
    <t>851014PIERBURG</t>
  </si>
  <si>
    <t>TURBO SELENOİD VALF ASTRA.J A13DTE</t>
  </si>
  <si>
    <t>7.03073.01.0</t>
  </si>
  <si>
    <t>851038PIERBURG</t>
  </si>
  <si>
    <t>EGR VALFİ ASTRA.G/CORSA.C/VECTRA.B Z14XE/Z16XE</t>
  </si>
  <si>
    <t>7.24809.10.0</t>
  </si>
  <si>
    <t>851042PIERBURG</t>
  </si>
  <si>
    <t>TURBO SELENOİD VALF İNSİGNİA.A A20DTH</t>
  </si>
  <si>
    <t xml:space="preserve">PİERBURG </t>
  </si>
  <si>
    <t>7.03978.01.0</t>
  </si>
  <si>
    <t>851057PIERBURG</t>
  </si>
  <si>
    <t>7.04423.01.0</t>
  </si>
  <si>
    <t xml:space="preserve">851364FACET </t>
  </si>
  <si>
    <t>EGR VALFİ Z13DT 75HP CORSA./CORSA.D</t>
  </si>
  <si>
    <t>851368PİERBURG</t>
  </si>
  <si>
    <t>EGR VALFİ Z13DTH 90HP</t>
  </si>
  <si>
    <t>7.00020.25.0</t>
  </si>
  <si>
    <t>851593NGK</t>
  </si>
  <si>
    <t>EGR VALFİ Z12XE/Z10XEP/Z12XEP/Z14XEP</t>
  </si>
  <si>
    <t>8544.J5LUVİ</t>
  </si>
  <si>
    <t>ÇAMURLUK BANDI ÖN SOL PARTNER/BERLİNGO M49 03-09</t>
  </si>
  <si>
    <t>8544.J6LUVİ</t>
  </si>
  <si>
    <t>ÇAMURLUK BANDI ÖN SAĞ PARTNER/BERLİNGO M49 03-09</t>
  </si>
  <si>
    <t>8546.R4PLEKSAN</t>
  </si>
  <si>
    <t>SÜRGÜLÜ KAPI BANDI SAĞ PARTNER 06&gt; Y.M</t>
  </si>
  <si>
    <t>8547.N0MGA</t>
  </si>
  <si>
    <t>ARKA ÇAMURLUK BAKALİTİ SOL PARTNER (ADVENTURE)</t>
  </si>
  <si>
    <t>8547.N1MGA</t>
  </si>
  <si>
    <t>ARKA ÇAMURLUK BAKALİTİ SAĞ PARTNER (ADVENTURE)</t>
  </si>
  <si>
    <t>854933BGA</t>
  </si>
  <si>
    <t>EKSOZ BOĞAZ CONTA VECTRA.A/VECTRA.B 1.8./2.0 8V/16V</t>
  </si>
  <si>
    <t>AG0770</t>
  </si>
  <si>
    <t>854933VİCTOR</t>
  </si>
  <si>
    <t>71-25865-00</t>
  </si>
  <si>
    <t>854956AKD</t>
  </si>
  <si>
    <t>EKSOZ BOĞAZ CONTA Y17DT</t>
  </si>
  <si>
    <t>855252BOSCH</t>
  </si>
  <si>
    <t>OKSİJEN SENSÖR ASTRA.J/İNSİGNİA.A A16XER/CORSA.D A12XER/A14XER KONUM2</t>
  </si>
  <si>
    <t>855252DELPHİ</t>
  </si>
  <si>
    <t xml:space="preserve">OKSİJEN SENSÖR KONUM 2 ASTRA.J A14XER/A14NET/A16XER/CORSA.D A12XER/A14XER </t>
  </si>
  <si>
    <t>ES20526-12B1</t>
  </si>
  <si>
    <t>855333DELPHİ</t>
  </si>
  <si>
    <t>OKSİJEN SENSÖR ASTRA.F/VECTRA.B C14NZ</t>
  </si>
  <si>
    <t>ES10966-12B1</t>
  </si>
  <si>
    <t>855356DELPHİ</t>
  </si>
  <si>
    <t>OKSİJEN SENSÖR ASTRA.G/ZAFİRA.A Z18XE P1</t>
  </si>
  <si>
    <t>ES20281-12B1</t>
  </si>
  <si>
    <t>855389DELPHİ</t>
  </si>
  <si>
    <t>OKSİJEN SENSÖR ASTRA.G/ZAFİRA.A Z18XE P2</t>
  </si>
  <si>
    <t>ES20284-12B1</t>
  </si>
  <si>
    <t>855405DELPHİ</t>
  </si>
  <si>
    <t>OKSİJEN SENSÖR Z12XE/Z12XEP/Z14XEP P1</t>
  </si>
  <si>
    <t>ES20314-12B1</t>
  </si>
  <si>
    <t>855429DELPHİ</t>
  </si>
  <si>
    <t>OKSİJEN SENSÖR ASTRA.G/H/VECTRA.C Z16XEP KONUM 2</t>
  </si>
  <si>
    <t>ES10791-12B1</t>
  </si>
  <si>
    <t>855510DELPHİ</t>
  </si>
  <si>
    <t>OKSİJEN SENSÖR ASTRA.G/H/VECTRA.C Z16XEP KONUM 1</t>
  </si>
  <si>
    <t>ES10789-12B1</t>
  </si>
  <si>
    <t>855523DELPHİ</t>
  </si>
  <si>
    <t>OKSİJEN SENSÖR KONUM1 ASTRA.G/VECTRA.C/CORSA.C  Z16XE/Z14XE</t>
  </si>
  <si>
    <t>ES20291-12B1</t>
  </si>
  <si>
    <t xml:space="preserve">855523FAE </t>
  </si>
  <si>
    <t>OKSİJEN SENSÖR Z14XE/Z16XE P1</t>
  </si>
  <si>
    <t xml:space="preserve">855524FAE </t>
  </si>
  <si>
    <t>OKSİJEN SENSÖR Z14XE/Z16XE P2</t>
  </si>
  <si>
    <t>855528DELPHİ</t>
  </si>
  <si>
    <t>OKSİJEN SENSÖR Z12XE/Z12XEP/Z14XEP P2</t>
  </si>
  <si>
    <t>ES21083-12B1</t>
  </si>
  <si>
    <t>855528METTE</t>
  </si>
  <si>
    <t>OKSİJEN SENSÖR CORSA.C Z12XEP/Z14XEP</t>
  </si>
  <si>
    <t>651D5347</t>
  </si>
  <si>
    <t>855530BOSCH</t>
  </si>
  <si>
    <t>OKSİJEN SENSÖR KONUM 1 ASTRA.J/İNSİGNİA.A/MOKKA A16XER</t>
  </si>
  <si>
    <t>855530DELPHİ</t>
  </si>
  <si>
    <t>OKSİJEN SENSÖR ASTRA.J A16XER KONUM1</t>
  </si>
  <si>
    <t>ES20426-12B1</t>
  </si>
  <si>
    <t>855553DELPHİ</t>
  </si>
  <si>
    <t>OKSİJEN SENSÖR KONUM 1 A16XER/Z16XER ASTRA.H/VECTRA.C/ZAFİRA.B</t>
  </si>
  <si>
    <t>ES21116-12B1</t>
  </si>
  <si>
    <t>8565.40BİTAPART</t>
  </si>
  <si>
    <t>BPE309444</t>
  </si>
  <si>
    <t>KAPI BANDI KLİPSİ 207/206</t>
  </si>
  <si>
    <t>8573.79WPI</t>
  </si>
  <si>
    <t>KELEBEK CAMI BAĞLANTI SOMUN TAKIM PARTNER TEPEE/XSARA/SAXO/206</t>
  </si>
  <si>
    <t>857413YTT</t>
  </si>
  <si>
    <t>SEKONDER HAVA HORTUM (EGR ÇIKIŞI) X20XEV VECTRA.B</t>
  </si>
  <si>
    <t>Y11602</t>
  </si>
  <si>
    <t>860067BORGWARNER</t>
  </si>
  <si>
    <t>TURBO KOMPLE Z13DT EURO4 75HP CORSA.C/COMBO.C</t>
  </si>
  <si>
    <t>TURBO ŞARJ ARA CONTA Z13DTH 90HP</t>
  </si>
  <si>
    <t>860083BİRLİK</t>
  </si>
  <si>
    <t>TURBO YAĞ DÖNÜŞ BORU Z13DTH EURO4 90HP</t>
  </si>
  <si>
    <t>BİRLİK</t>
  </si>
  <si>
    <t xml:space="preserve">860083DEKAR </t>
  </si>
  <si>
    <t>TURBO YAĞLAMA BORUSU Z13DTH 90HP</t>
  </si>
  <si>
    <t>DK0405</t>
  </si>
  <si>
    <t>860134BOSCH</t>
  </si>
  <si>
    <t>YAĞ FİLTRESİ A13DTE/A20DTH</t>
  </si>
  <si>
    <t>F026407096</t>
  </si>
  <si>
    <t>860134ERP</t>
  </si>
  <si>
    <t>YAĞ FİLTRE A13DTE/A20DTH</t>
  </si>
  <si>
    <t>860134EUROFIL</t>
  </si>
  <si>
    <t>EFO314974</t>
  </si>
  <si>
    <t>860134FİLTRON</t>
  </si>
  <si>
    <t>OE682/2</t>
  </si>
  <si>
    <t>860134MANDO</t>
  </si>
  <si>
    <t>EEOI0001Y</t>
  </si>
  <si>
    <t>860134SARDES</t>
  </si>
  <si>
    <t>SO1005</t>
  </si>
  <si>
    <t>860134UFİ</t>
  </si>
  <si>
    <t>TURBO ALT ÇIKIŞ CONTA A20DTH</t>
  </si>
  <si>
    <t>860156GARRETT</t>
  </si>
  <si>
    <t>TURBO KOMPLE MANİFOLTLU A14NET/B14NET</t>
  </si>
  <si>
    <t>781504-5014S</t>
  </si>
  <si>
    <t>860163İBRAS</t>
  </si>
  <si>
    <t>TURBO ŞARJ HORTUM METAL KONNEKTÖRÜ A14NET</t>
  </si>
  <si>
    <t xml:space="preserve">860165İBRAS </t>
  </si>
  <si>
    <t xml:space="preserve">TURBO HORTUM SAĞ ASTRA.J/ZAFİRA.C/CASCADA A14NET </t>
  </si>
  <si>
    <t>860179METTE</t>
  </si>
  <si>
    <t>TURBO SU BESLEME BORU A16LET</t>
  </si>
  <si>
    <t>668M6867</t>
  </si>
  <si>
    <t>860408İBRAŞ</t>
  </si>
  <si>
    <t>TURBO HORTUM SAĞ ASTRA.J A13DTE</t>
  </si>
  <si>
    <t>860408YTT</t>
  </si>
  <si>
    <t>TURBO HORTUM SAĞ(EMME)ASTRA.J A13DTE</t>
  </si>
  <si>
    <t>Y10590</t>
  </si>
  <si>
    <t>860415İBRAS</t>
  </si>
  <si>
    <t xml:space="preserve">TURBO ŞARJ YAĞ HORTUM 1.3 EURO5 A13DTE </t>
  </si>
  <si>
    <t>860418YTT</t>
  </si>
  <si>
    <t>TURBO HORTUM EMME (SAĞ) ASTRA.J B16DTH/B16DTL</t>
  </si>
  <si>
    <t>Y11759</t>
  </si>
  <si>
    <t xml:space="preserve">861021MGA </t>
  </si>
  <si>
    <t>TURBO YAĞ DÖNÜŞ HORTUM A13DTE EURO5</t>
  </si>
  <si>
    <t>861037IBRAS</t>
  </si>
  <si>
    <t xml:space="preserve">TURBO SU HORTUM ARA PARÇA İNSİGNİ.A A16XHT </t>
  </si>
  <si>
    <t>861037WİNTECH</t>
  </si>
  <si>
    <t>WIN0500610</t>
  </si>
  <si>
    <t>TURBO SU HORTUM ARA PARÇA İNSİGNİ.A A16XHT</t>
  </si>
  <si>
    <t>EKSOZ BASINÇ SENSÖR A13DTE/A13DTC/Z13DTJ/A20DTH/A17DTC</t>
  </si>
  <si>
    <t>865032ELRİNG</t>
  </si>
  <si>
    <t>EKSOZ MANİFOLT CONTA B16DTH</t>
  </si>
  <si>
    <t>8719.51SAGEM</t>
  </si>
  <si>
    <t xml:space="preserve">BAGAJ KİLİDİ 206 </t>
  </si>
  <si>
    <t>8719.G5SAGEM</t>
  </si>
  <si>
    <t>BAGAJ KİLİDİ MOTORLU 207/308/PARTNER TEPEE/BERLİNGO</t>
  </si>
  <si>
    <t>8731.K4KRAFTVOLL</t>
  </si>
  <si>
    <t>BAGAJ AMORTİSÖR 407 SEDAN</t>
  </si>
  <si>
    <t>8731.V0TURKAS</t>
  </si>
  <si>
    <t>BAGAJ AMORTİSÖR BİPPER/NEMO/FİORİNO</t>
  </si>
  <si>
    <t>S188-01800</t>
  </si>
  <si>
    <t>8731.V8FROWAS</t>
  </si>
  <si>
    <t>BAGAJ AMORTİSÖR C4 HB</t>
  </si>
  <si>
    <t xml:space="preserve">8733.89BİTAPART </t>
  </si>
  <si>
    <t>BPE309234</t>
  </si>
  <si>
    <t>MOTOR KAPUT AYAR TAKOZU 301/308/508/3008/C-ELYSEE/C4 II</t>
  </si>
  <si>
    <t>87393600KING</t>
  </si>
  <si>
    <t>ANA YATAK STD 1.8/2.0/ 8V/16V</t>
  </si>
  <si>
    <t>MB5520AM</t>
  </si>
  <si>
    <t>87393620KING</t>
  </si>
  <si>
    <t>ANA YATAK 0,50 1.8/2.0 8V/16V</t>
  </si>
  <si>
    <t>MB5520AM0.5</t>
  </si>
  <si>
    <t>87409600GLYCO</t>
  </si>
  <si>
    <t>KOL YATAK STD 1.4/1.6 8V/16V A16XER/Z16XEP</t>
  </si>
  <si>
    <t>71-3639/4 STD</t>
  </si>
  <si>
    <t>87409600KING</t>
  </si>
  <si>
    <t>CR418AM</t>
  </si>
  <si>
    <t>87409600KOLBEN</t>
  </si>
  <si>
    <t>87409620GLYCO</t>
  </si>
  <si>
    <t>KOL YATAK 0,50 1.4/1.6 8V/16V A16XER/Z16XEP</t>
  </si>
  <si>
    <t>71-3504/4</t>
  </si>
  <si>
    <t>87409620KING</t>
  </si>
  <si>
    <t>CR418AM0,5</t>
  </si>
  <si>
    <t>87410600GLYCO</t>
  </si>
  <si>
    <t>ANA YATAK STD 1.4/1.6 8V/16V A16XER/Z16XEP</t>
  </si>
  <si>
    <t>H975/5STD</t>
  </si>
  <si>
    <t>87410600KING</t>
  </si>
  <si>
    <t>MB5519AM</t>
  </si>
  <si>
    <t>87410600KOLBEN</t>
  </si>
  <si>
    <t>87410620KING</t>
  </si>
  <si>
    <t>ANA YATAK 0,50 1.4/1.6 8V/16V A16XER/Z16XEP</t>
  </si>
  <si>
    <t>MB5519AM0.5</t>
  </si>
  <si>
    <t>8742.F6ROOT</t>
  </si>
  <si>
    <t>ARKA BAGAJ ÇITASI 206</t>
  </si>
  <si>
    <t>8770706040BNÜRAL</t>
  </si>
  <si>
    <t>PİSTON SEKMAN 69,60mm +0.40 Z13DT 75HP 70mm</t>
  </si>
  <si>
    <t>8770706040B</t>
  </si>
  <si>
    <t>8770706STDB-NÜRAL</t>
  </si>
  <si>
    <t>PİSTON SEKMAN 69,60mm STD Z13DT 75HP</t>
  </si>
  <si>
    <t>8770706STDB</t>
  </si>
  <si>
    <t>8770789040NÜRAL</t>
  </si>
  <si>
    <t>PİSTON SEKMAN 0,40mm Z13DTH 90HP ASTRA.H/CORSA.D</t>
  </si>
  <si>
    <t>8770789040000G</t>
  </si>
  <si>
    <t>87707890801NÜRAL</t>
  </si>
  <si>
    <t>PİSTON SEKMAN 0,80mm Z13DTH 90HP ASTRA.H -0.20KISA</t>
  </si>
  <si>
    <t>8770789STD100GNÜRAL</t>
  </si>
  <si>
    <t>PİSTON SEKMAN STD Z13DTH 90HP ASTRA.H -0.20KISA</t>
  </si>
  <si>
    <t xml:space="preserve">NÜRAL </t>
  </si>
  <si>
    <t>8770789STD100G</t>
  </si>
  <si>
    <t>8770789STDNÜRAL</t>
  </si>
  <si>
    <t xml:space="preserve">PİSTON SEKMAN STD Z13DTH 90HP ASTRA.H </t>
  </si>
  <si>
    <t>8770789STD</t>
  </si>
  <si>
    <t>8770789STDYENMAK</t>
  </si>
  <si>
    <t>YENMAK</t>
  </si>
  <si>
    <t>31-04289-000</t>
  </si>
  <si>
    <t>8771665100NÜRAL</t>
  </si>
  <si>
    <t>PİSTON SEKMAN X20XEV 86,00MM +1,00 MM</t>
  </si>
  <si>
    <t>8771665STD2NÜRAL</t>
  </si>
  <si>
    <t>PİSTON SEKMAN X20XEV STD 86,00MM (-0,40mm KISA)</t>
  </si>
  <si>
    <t>8771665STD200G</t>
  </si>
  <si>
    <t>8771667050KOLBEN</t>
  </si>
  <si>
    <t>PİSTON SEKMAN 73,40mm+0,50mm Z14XEP</t>
  </si>
  <si>
    <t>8771671050NÜRAL</t>
  </si>
  <si>
    <t>PİSTON SEKMAN 79.00mm+0,50 ASTRA.H/ASTRA.J/CRUZE/İNSİGNİA.A A16XER/Z16XER</t>
  </si>
  <si>
    <t>8771671050YENMAK</t>
  </si>
  <si>
    <t>31-04231-050</t>
  </si>
  <si>
    <t>8771671STDNÜRAL</t>
  </si>
  <si>
    <t>PİSTON SEKMAN 79.00mm STD ASTRA.H/ASTRA.J/CRUZE/İNSİGNİA.A A16XER/Z16XER</t>
  </si>
  <si>
    <t>8771671SRD</t>
  </si>
  <si>
    <t>8771672050NÜRAL</t>
  </si>
  <si>
    <t xml:space="preserve">PİSTON SEKMAN Z16XEP 79mm+0,50mm </t>
  </si>
  <si>
    <t>8771673050NÜRAL</t>
  </si>
  <si>
    <t xml:space="preserve">PİSTON SEKMAN Z16XE 79mm+0,50mm  </t>
  </si>
  <si>
    <t xml:space="preserve">87 71673 050 </t>
  </si>
  <si>
    <t>8771673050YENMAK</t>
  </si>
  <si>
    <t>PİSTON SEKMAN Z16XE 79mm+0,50mm</t>
  </si>
  <si>
    <t>31-04215-050</t>
  </si>
  <si>
    <t>8771674050NÜRAL</t>
  </si>
  <si>
    <t>PİSTON SEKMAN 79,00mm+0,50 Y17DT</t>
  </si>
  <si>
    <t>8771674050000G</t>
  </si>
  <si>
    <t>8771683050NÜRAL</t>
  </si>
  <si>
    <t>PİSTON SEKMAN 79.50mm 0,50 X16XE/X16XEL ASTRA.F/G/VECTRA.B</t>
  </si>
  <si>
    <t>877168305000AG</t>
  </si>
  <si>
    <t>8771683STDKOLBEN</t>
  </si>
  <si>
    <t xml:space="preserve">PİSTON SEKMAN 79.00mm STD X16XE/X16XEL ASTRA.F/G/VECTRA.B </t>
  </si>
  <si>
    <t>8771683STDNÜRAL</t>
  </si>
  <si>
    <t>PİSTON SEKMAN 79.00mm STD X16XE/X16XEL ASTRA.F/G/VECTRA.B</t>
  </si>
  <si>
    <t>8771683STD00AG</t>
  </si>
  <si>
    <t>8771782STD200G</t>
  </si>
  <si>
    <t>PİSTON SEKMAN STD 73,70mm DV4 1.4HDİ (0.40 KISA)</t>
  </si>
  <si>
    <t>877180705000GNÜRAL</t>
  </si>
  <si>
    <t>PİSTON SEKMAN 77mm 0,50 EP6CDT</t>
  </si>
  <si>
    <t>877180705000G</t>
  </si>
  <si>
    <t>8772661040NÜRAL</t>
  </si>
  <si>
    <t>PİSTON SEKMAN 69,60mm+0,40mm A13DTE START STOPLU</t>
  </si>
  <si>
    <t>8773450050NÜRAL</t>
  </si>
  <si>
    <t>PİSTON SEKMAN 73,40mm+0,50 A12XER</t>
  </si>
  <si>
    <t>8773451050NÜRAL</t>
  </si>
  <si>
    <t>PİSTON SEKMAN 73,40MM+0,50 Z12XEP</t>
  </si>
  <si>
    <t>8773452STDNÜRAL</t>
  </si>
  <si>
    <t>PİSTON SEKMAN STD 73,40MM A14XER/B14XE</t>
  </si>
  <si>
    <t>8773452STD</t>
  </si>
  <si>
    <t>8773476050KİNG</t>
  </si>
  <si>
    <t>PİSTON SEKMAN 0,50 F14D4 CRUZE DÜZ TEPELİ</t>
  </si>
  <si>
    <t>KİNG</t>
  </si>
  <si>
    <t>18_1010273</t>
  </si>
  <si>
    <t>900015MGA</t>
  </si>
  <si>
    <t>DİREKSİYON KUTUSU CORSA.C/COMBO.C</t>
  </si>
  <si>
    <t>900015SİSMAK</t>
  </si>
  <si>
    <t xml:space="preserve">SİSMAK </t>
  </si>
  <si>
    <t>900015SİSMAK-R</t>
  </si>
  <si>
    <t>DİREKSİYON KUTUSU CORSA.C/COMBO.C (ROTBAŞLI)</t>
  </si>
  <si>
    <t>264411T</t>
  </si>
  <si>
    <t>900015SWAPP</t>
  </si>
  <si>
    <t>900015WİSCO</t>
  </si>
  <si>
    <t>2183072-00</t>
  </si>
  <si>
    <t>900015YAS</t>
  </si>
  <si>
    <t xml:space="preserve">DİREKSİYON KUTUSU CORSA.C/COMBO.C </t>
  </si>
  <si>
    <t>YAS</t>
  </si>
  <si>
    <t>900018SİSMAK</t>
  </si>
  <si>
    <t xml:space="preserve">DİREKSİYON KUTUSU MERİVA.A 03-10 (ELEKTRİKLİ) </t>
  </si>
  <si>
    <t>900020SİSMAK</t>
  </si>
  <si>
    <t>DİREKSİYON KUTUSU EPS 2,86TUR 292D.AÇI CORSA.C/COMBO.C 264414T</t>
  </si>
  <si>
    <t>264414T</t>
  </si>
  <si>
    <t>900032SİSMAK</t>
  </si>
  <si>
    <t>DİREKSİYON KUTUSU CORSA.D (SPOR SASİ HARİÇ) ROTBAŞLI</t>
  </si>
  <si>
    <t>264412T</t>
  </si>
  <si>
    <t>9009257YTT-T</t>
  </si>
  <si>
    <t>DİREKSİYON TAMİR TAKIM CORSA.C/COMBO.C</t>
  </si>
  <si>
    <t>Y2009</t>
  </si>
  <si>
    <t xml:space="preserve">9012039ASPART </t>
  </si>
  <si>
    <t>2CSN1018</t>
  </si>
  <si>
    <t>EKSANTRİK DEVİR SENSÖR X20XEV(KABLO+SOKET)</t>
  </si>
  <si>
    <t>9012039DELPHİ</t>
  </si>
  <si>
    <t>SS11124</t>
  </si>
  <si>
    <t xml:space="preserve">9012039FAE </t>
  </si>
  <si>
    <t>EKSANTRİK DEVİR SENSÖR X20XEV OVAL KABLOLU</t>
  </si>
  <si>
    <t>9012039HELLA</t>
  </si>
  <si>
    <t>6PU012681-011</t>
  </si>
  <si>
    <t>9012039VALEO</t>
  </si>
  <si>
    <t>90276394OEM</t>
  </si>
  <si>
    <t>BAGAJ KİLİDİ ASTRA.F/VECTRA.A</t>
  </si>
  <si>
    <t>902827YTT</t>
  </si>
  <si>
    <t>DİREKSİYON KÖRÜĞÜ CORSA.B/AGİLA.A</t>
  </si>
  <si>
    <t>Y1412</t>
  </si>
  <si>
    <t>902828YTT</t>
  </si>
  <si>
    <t>Y1582</t>
  </si>
  <si>
    <t>DİREKSİYON KÖRÜK VECTRA.A</t>
  </si>
  <si>
    <t>902829YTT</t>
  </si>
  <si>
    <t>DİREKSİYON KÖRÜĞÜ ASTRA.F/VECTRA.A</t>
  </si>
  <si>
    <t>Y1542</t>
  </si>
  <si>
    <t>90354378Y</t>
  </si>
  <si>
    <t>ARKA KRANK KEÇE LACETTİ 1.6 16V</t>
  </si>
  <si>
    <t>BYPASS SU FLANSI X14XE/X16XEL</t>
  </si>
  <si>
    <t>90442235SANTRAL</t>
  </si>
  <si>
    <t>YAKIT DEPOSU ASTRA.F SW BENZİNLİ</t>
  </si>
  <si>
    <t>904511HB0ATURKAS</t>
  </si>
  <si>
    <t>BAGAJ AMORTİSÖR NISSAN MICRA 10&gt;</t>
  </si>
  <si>
    <t>S188-00242</t>
  </si>
  <si>
    <t>ARKA PANEL ALT SACI SOL ASTRA.G</t>
  </si>
  <si>
    <t>ARKA PANEL ALT SACI SAĞ ASTRA.G</t>
  </si>
  <si>
    <t>90523047AKD</t>
  </si>
  <si>
    <t>VİTES HALATI CORSA.B OTOMATİK</t>
  </si>
  <si>
    <t>OP181121</t>
  </si>
  <si>
    <t>90530256KRAFTVOLL</t>
  </si>
  <si>
    <t xml:space="preserve">KALORİFER HORTUM VECTRA.B X20XEV </t>
  </si>
  <si>
    <t>ZİNCİR PALET CİVATA ÜST Z14XEP/A14XER/A14NET</t>
  </si>
  <si>
    <t>90571911ELRİNG</t>
  </si>
  <si>
    <t>ÜST TAKIM CONTA X20DTH/X22DTH</t>
  </si>
  <si>
    <t>9101.AAWPI</t>
  </si>
  <si>
    <t>KAPI KOL PLASTİĞİ  4LÜ TAKIM 207/307/C1/C2/C3</t>
  </si>
  <si>
    <t>9101.E5OMS</t>
  </si>
  <si>
    <t>DIŞ AÇA KOLU SÜRĞÜLÜ KAPI SAĞ BOXER/JUMPER/DUCATO 98-03</t>
  </si>
  <si>
    <t>OMS</t>
  </si>
  <si>
    <t>9101.J4MİTA</t>
  </si>
  <si>
    <t>U 03 310 141</t>
  </si>
  <si>
    <t>DIŞ AÇMA KAPI KOLU ÖN SAĞ PARTNER/BERLİNGO 10&lt;</t>
  </si>
  <si>
    <t xml:space="preserve">MİTA </t>
  </si>
  <si>
    <t>9101.P8KRAFTVOLL</t>
  </si>
  <si>
    <t>KAPI DIŞ AÇMA KOLU ARKA SAĞ (SÜRGÜLÜ) PARTNER &lt;10</t>
  </si>
  <si>
    <t>9101.P8MİTA</t>
  </si>
  <si>
    <t>9101.Q7KRAFTVOLL</t>
  </si>
  <si>
    <t>KAPI DIŞ AÇMA KOLU ARKA SOL (SÜRGÜLÜ) PARTNER &lt;10</t>
  </si>
  <si>
    <t>913653METTE</t>
  </si>
  <si>
    <t>KONTAK KİLİT SETİ VECTRA.B/A/OMEGA.A</t>
  </si>
  <si>
    <t>683D1119</t>
  </si>
  <si>
    <t xml:space="preserve">914028KRAW </t>
  </si>
  <si>
    <t>KONTAK TERMİĞİ ASTRA.J/MERİVA.B/MOKKA/ZAFİRA.C/CRUZE</t>
  </si>
  <si>
    <t>KONTAK TERMİK</t>
  </si>
  <si>
    <t>AN-2386</t>
  </si>
  <si>
    <t>9143.94KRAFTVOLL</t>
  </si>
  <si>
    <t>İÇ AÇMA KOLU ÖN SOL SET(ÇERÇEVELİ) PARTNER//BERLİNGO</t>
  </si>
  <si>
    <t>9143.95BİTAPART</t>
  </si>
  <si>
    <t>BPE285014</t>
  </si>
  <si>
    <t>İÇ AÇMA KOLU ÖN SAĞ (ÇERÇEVELİ) PARTNER/BERLİNGO</t>
  </si>
  <si>
    <t>914495Y</t>
  </si>
  <si>
    <t>KONTAK GÖVDE VECTRA.A</t>
  </si>
  <si>
    <t>914850HELLUX</t>
  </si>
  <si>
    <t>KONTAK TERMİK VECTRA.A/CORSA.B/A (BEYAZ)</t>
  </si>
  <si>
    <t>PRM.300071</t>
  </si>
  <si>
    <t>914850METTE</t>
  </si>
  <si>
    <t>651D5177</t>
  </si>
  <si>
    <t>914850TOPRAN</t>
  </si>
  <si>
    <t>KONTAK TERMİK VECTRA.A/CORSA.B/A</t>
  </si>
  <si>
    <t>914852HELLUX</t>
  </si>
  <si>
    <t>KONTAK TERMİĞİ ASTRA.F/CORSA.A/B VECTRA.A (SİYAH)</t>
  </si>
  <si>
    <t>PRM.300072</t>
  </si>
  <si>
    <t>914856AKD</t>
  </si>
  <si>
    <t>KONTAK TERMİK VECTRA.B/CORSA.B</t>
  </si>
  <si>
    <t>OP109108</t>
  </si>
  <si>
    <t>914856HELLUX</t>
  </si>
  <si>
    <t>PRM.300076</t>
  </si>
  <si>
    <t>914856SAGEM</t>
  </si>
  <si>
    <t>914856TOPRAN</t>
  </si>
  <si>
    <t>914861FEBİ</t>
  </si>
  <si>
    <t>KONTAK TERMİK CORSA.C (SKT)</t>
  </si>
  <si>
    <t>914861METTE</t>
  </si>
  <si>
    <t>651D5129</t>
  </si>
  <si>
    <t>914861SAGEM</t>
  </si>
  <si>
    <t>914861TOPRAN</t>
  </si>
  <si>
    <t>914861Y</t>
  </si>
  <si>
    <t>914863HELLUX</t>
  </si>
  <si>
    <t>KONTAK TERMİĞİ ASTRA.G</t>
  </si>
  <si>
    <t>PRM.300074</t>
  </si>
  <si>
    <t>914863KRAW</t>
  </si>
  <si>
    <t>AN-2383</t>
  </si>
  <si>
    <t xml:space="preserve">914863SWAG </t>
  </si>
  <si>
    <t>914863TOPRAN</t>
  </si>
  <si>
    <t>9158589GAYSAN</t>
  </si>
  <si>
    <t>SUBAP GADY TAKIM X12XE/Z12XE/Z14XE/Z14XEP/A12XER/A14XER/A14NET</t>
  </si>
  <si>
    <t>GT450.02.02</t>
  </si>
  <si>
    <t>9158589GÜNEŞ</t>
  </si>
  <si>
    <t>G0875</t>
  </si>
  <si>
    <t>9158589ÖZGAYD</t>
  </si>
  <si>
    <t>VG2656-2</t>
  </si>
  <si>
    <t>9158589TETİK</t>
  </si>
  <si>
    <t>OPL-111G</t>
  </si>
  <si>
    <t>9164.94WPI</t>
  </si>
  <si>
    <t>KAPI KİLİT KARŞILIĞI (SÜRGÜLÜ VE ARKA) BOXER III/JUMPER III/DUCATO III</t>
  </si>
  <si>
    <t>PCF278</t>
  </si>
  <si>
    <t>9181.C8</t>
  </si>
  <si>
    <t>ÖN KAPI GERGİSİ 206(MONTAJ)</t>
  </si>
  <si>
    <t>9181.P2KİTATECH</t>
  </si>
  <si>
    <t>ÖN KAPI GERGİSİ SAĞ/SOL PARTNER TEPEE/BERLİNGO</t>
  </si>
  <si>
    <t>9181.R1KITATECH</t>
  </si>
  <si>
    <t>ÖN KAPI GERGİ C4 II</t>
  </si>
  <si>
    <t>TERMOSTAT EPİCA/REZZO 2.0 16V/FRONTERA X22SE</t>
  </si>
  <si>
    <t>2113501-00</t>
  </si>
  <si>
    <t>92607660DELPHİ</t>
  </si>
  <si>
    <t>FREN BALATA YAY TAKIMI (KAMAPANA) ASTRA.G/ASTRA.H</t>
  </si>
  <si>
    <t>LY1241</t>
  </si>
  <si>
    <t>93165267BGA</t>
  </si>
  <si>
    <t>SIVI CONTA (GRİ) -60+300 C</t>
  </si>
  <si>
    <t>BGSILC</t>
  </si>
  <si>
    <t>93165267VİCTOR</t>
  </si>
  <si>
    <t>SIVI CONTA (GRİ) -50+320 C  200ML TÜP</t>
  </si>
  <si>
    <t>70-31414-20</t>
  </si>
  <si>
    <t>93171968Y</t>
  </si>
  <si>
    <t>YAZI VECTRA.B</t>
  </si>
  <si>
    <t>YERLİ</t>
  </si>
  <si>
    <t>93177479Y</t>
  </si>
  <si>
    <t>YAĞ KARTER HAVALANDIRMA SEPARETÖRÜ Z13DTH</t>
  </si>
  <si>
    <t>YAĞ SINIRLAYICI VALF Z16XEP/A16XER/A16LET (ALTA GELEN)</t>
  </si>
  <si>
    <t>93180107EXP</t>
  </si>
  <si>
    <t>93189764OEM</t>
  </si>
  <si>
    <t>ŞANZUMAN BEYİN TAMİR KİTİ EASYTRONİC</t>
  </si>
  <si>
    <t>93192030ZYD</t>
  </si>
  <si>
    <t>ARKA DİNGİL ASTRA.H SEDAN 07&gt;</t>
  </si>
  <si>
    <t>OP999520</t>
  </si>
  <si>
    <t>93317147WİSCO</t>
  </si>
  <si>
    <t>KÜLBÜTÖR KAPAĞI+CONTA 1.4 8V (HAVA ÇIKISLI)</t>
  </si>
  <si>
    <t>2113909-00</t>
  </si>
  <si>
    <t>93451622GRAT</t>
  </si>
  <si>
    <t>HAVA FİLTRESİ TRAFIC III 14&gt;/MASTER II/VİVARO.B 15-21/MOVANO 1.6DCİ/1.6CDTİ</t>
  </si>
  <si>
    <t>11136/S</t>
  </si>
  <si>
    <t>93740052GYA</t>
  </si>
  <si>
    <t>MOTOR TAKIM CONTA SPARK/MATİZ/TİCO 0,8CC</t>
  </si>
  <si>
    <t xml:space="preserve">GYA </t>
  </si>
  <si>
    <t>DAX-007</t>
  </si>
  <si>
    <t>93740053MANDO</t>
  </si>
  <si>
    <t xml:space="preserve">TAKIM CONTA FULL MATİZ/SPARK 0,80 cc </t>
  </si>
  <si>
    <t>DN93740053</t>
  </si>
  <si>
    <t>93740205KORE</t>
  </si>
  <si>
    <t>TAKIM CONTA FULL LANOS 1.4/1.5 8V</t>
  </si>
  <si>
    <t>KOREASTAR</t>
  </si>
  <si>
    <t>93740513-KLN-MANDO</t>
  </si>
  <si>
    <t>MOTOR TAKIM CONTA FULL KALOS/AVEO/LACETTİ 1.4/1.6 16V (TEK YAG KANAL KLİNGRİK)</t>
  </si>
  <si>
    <t>DN93740513</t>
  </si>
  <si>
    <t xml:space="preserve">93740513GYA </t>
  </si>
  <si>
    <t xml:space="preserve">MOTOR TAKIM CONTA FULL KALOS/AVEO/LACETTİ 1.4/1.6 16V </t>
  </si>
  <si>
    <t>GY-DAX-005</t>
  </si>
  <si>
    <t>93740513MANDO</t>
  </si>
  <si>
    <t>MOTOR TAKIM CONTA FULL KALOS/AVEO/LACETTİ 1.4/1.6 16V (TEK YAĞ KANAL ÇELİK)</t>
  </si>
  <si>
    <t>DM93740513</t>
  </si>
  <si>
    <t>93740701AYD</t>
  </si>
  <si>
    <t>ROT MİLİ EPİCA/EVANDA</t>
  </si>
  <si>
    <t>95-07505</t>
  </si>
  <si>
    <t>93740722ASPART</t>
  </si>
  <si>
    <t>1TRE1038</t>
  </si>
  <si>
    <t>ROT BAŞI SOL KALOS/AVEO T200/T250/T255</t>
  </si>
  <si>
    <t>93740722AYD</t>
  </si>
  <si>
    <t>91-04994</t>
  </si>
  <si>
    <t>93740722TEKNOROT</t>
  </si>
  <si>
    <t>CH-202</t>
  </si>
  <si>
    <t>93740722VOTTO</t>
  </si>
  <si>
    <t xml:space="preserve">ROT BAŞI SOL KALOS/AVEO T200/T250/T255 </t>
  </si>
  <si>
    <t>VOT-25-01201</t>
  </si>
  <si>
    <t>93740723ASPART</t>
  </si>
  <si>
    <t>1TRE1039</t>
  </si>
  <si>
    <t>ROT BAŞI SAĞ KALOS/AVEO T200/T250/T255</t>
  </si>
  <si>
    <t>93740723AYD</t>
  </si>
  <si>
    <t>91-04995</t>
  </si>
  <si>
    <t>93740723VOTTO</t>
  </si>
  <si>
    <t>VOT-25-01200</t>
  </si>
  <si>
    <t>93742565YTT</t>
  </si>
  <si>
    <t>DİREKSİYON KÖRÜK KALOS/AVEO T200/T250/T255</t>
  </si>
  <si>
    <t>Y3115</t>
  </si>
  <si>
    <t>93742687GYA</t>
  </si>
  <si>
    <t>MOTOR TAKIM CONTA LACETTİ 1.4/1.6 16V (TEK YAĞ KANAL SAC CONTA)</t>
  </si>
  <si>
    <t>DAX-005-2</t>
  </si>
  <si>
    <t>93742687MANDO</t>
  </si>
  <si>
    <t>MOTOR TAKIM CONTA LACETTİ 1.4/1.6 16V (ÇİFT YAĞ KANAL SAC CONTA)</t>
  </si>
  <si>
    <t>DM93742687</t>
  </si>
  <si>
    <t xml:space="preserve">93743434ASPART </t>
  </si>
  <si>
    <t>1BST1020</t>
  </si>
  <si>
    <t xml:space="preserve">DİREKSİYON KÖRÜK CAPTİV/ANTARA </t>
  </si>
  <si>
    <t>93743434KRAFTVOLL</t>
  </si>
  <si>
    <t>93743434YTT</t>
  </si>
  <si>
    <t>Y3160</t>
  </si>
  <si>
    <t>93743595EUROFIL</t>
  </si>
  <si>
    <t>YAĞ FİLTRESİ CAPTİVA/ANTARA C100 2.0D</t>
  </si>
  <si>
    <t>EFO343595</t>
  </si>
  <si>
    <t>93743595FEBİ</t>
  </si>
  <si>
    <t>93743595FİLTRON</t>
  </si>
  <si>
    <t xml:space="preserve">YAĞ FİLTRESİ CAPTİVA/ANTARA C100 2.0D </t>
  </si>
  <si>
    <t>OE648/7</t>
  </si>
  <si>
    <t>93743595MANDO</t>
  </si>
  <si>
    <t>EEOD0002Y</t>
  </si>
  <si>
    <t xml:space="preserve">93743595MEYLE </t>
  </si>
  <si>
    <t>29-143220001</t>
  </si>
  <si>
    <t>93743595PURFLUX</t>
  </si>
  <si>
    <t>L399</t>
  </si>
  <si>
    <t>93743595UFI</t>
  </si>
  <si>
    <t>93743595VALEO</t>
  </si>
  <si>
    <t>93743630-631AKD</t>
  </si>
  <si>
    <t>YAĞ SOĞUTUCU CONTA TAKIM CAPTİVA C100 2.0D</t>
  </si>
  <si>
    <t xml:space="preserve">93744254AKD </t>
  </si>
  <si>
    <t>ÜST KAPAK CONTA CAPTİVA/ANTARA C100 2.0D</t>
  </si>
  <si>
    <t>93745178BOSCH</t>
  </si>
  <si>
    <t xml:space="preserve">TRİGER SET CAPTİVA C100/ANTARA 2.0D </t>
  </si>
  <si>
    <t>93745178GATES</t>
  </si>
  <si>
    <t>TRİGER SET CAPTİVA C100/ANTARA 2.0D</t>
  </si>
  <si>
    <t>K015634XS</t>
  </si>
  <si>
    <t>93745178INA</t>
  </si>
  <si>
    <t xml:space="preserve">YAĞ FİLTRESİ 11&gt; CAPTİVA C140 </t>
  </si>
  <si>
    <t>93745801MANDO</t>
  </si>
  <si>
    <t>YAĞ FİLTRESİ 11&gt; CAPTİVA C140</t>
  </si>
  <si>
    <t>EEOD0005Y</t>
  </si>
  <si>
    <t>93745801SARDES</t>
  </si>
  <si>
    <t>SO1084</t>
  </si>
  <si>
    <t>93866700BRAXIS</t>
  </si>
  <si>
    <t>ÖN FREN DİSKİ 5D296mm TRAFFIC III 14&gt;/VİVARO.B 15-21</t>
  </si>
  <si>
    <t>AE0854</t>
  </si>
  <si>
    <t>SİLİNDİR KAPAK SAPLAMA TAKIM LACETTİ 1.4/1.6 16V</t>
  </si>
  <si>
    <t>94515412SWAPP</t>
  </si>
  <si>
    <t>BİJON SOMUNU LACETTİ/KALOS/AVEO (AÇIK)</t>
  </si>
  <si>
    <t xml:space="preserve">SWAPP </t>
  </si>
  <si>
    <t>94515412YTT</t>
  </si>
  <si>
    <t>Y3142</t>
  </si>
  <si>
    <t>94522003ASPART</t>
  </si>
  <si>
    <t>1DSH1389</t>
  </si>
  <si>
    <t>AKS KOMPLE SAĞ +AT MOKKA/MOKKA.X A14NET/B16DTH</t>
  </si>
  <si>
    <t>94522011ASPART</t>
  </si>
  <si>
    <t>1DSH1390</t>
  </si>
  <si>
    <t>AKS MİLİ KOMPLE SOL +AT MOKKA/MOKKA.X A14NET/B16DTH</t>
  </si>
  <si>
    <t>94530623MTJ</t>
  </si>
  <si>
    <t>TAMPON ÜST VE MARŞBİYEL KLİPSİ CAPTİVA/AVEO/KALOS/LACETTİ</t>
  </si>
  <si>
    <t>94535472ELRİNG</t>
  </si>
  <si>
    <t>ÖN KRANK KEÇE+EKS KEÇE KALOS/AVEO 0.8/1.0/1.2 8V</t>
  </si>
  <si>
    <t>94535473OEM</t>
  </si>
  <si>
    <t>AKS KEÇESİ SOL KALOS/AVEO/SPARK 1.2 8V/16V 0.8 8V</t>
  </si>
  <si>
    <t>94535475CHVOEM</t>
  </si>
  <si>
    <t>ARKA KRANK KEÇE KALOS/AVEO 1.2 8V</t>
  </si>
  <si>
    <t>CHV OEM</t>
  </si>
  <si>
    <t>YEDEK SU DEPO KAPAK LACETTİ/REZZOCAPTİVA/KALOS/AVEO</t>
  </si>
  <si>
    <t>94539597AKD</t>
  </si>
  <si>
    <t>YEDEK SU DEPO KAPAK LACETTİ/REZZO/CAPTİVA/REZZO</t>
  </si>
  <si>
    <t>OP103131</t>
  </si>
  <si>
    <t>94539597ASPART</t>
  </si>
  <si>
    <t>6SCC1017</t>
  </si>
  <si>
    <t>94552588ADLER</t>
  </si>
  <si>
    <t>YEDEK SU DEPOSU CAPTİVA C140</t>
  </si>
  <si>
    <t>ET05129</t>
  </si>
  <si>
    <t xml:space="preserve">SU FİSKİYE MEME ÖN CRUZE </t>
  </si>
  <si>
    <t>94580139SKF</t>
  </si>
  <si>
    <t>TRİGER SET KALOS/AVEO 1.2 8V</t>
  </si>
  <si>
    <t>VKMA 90008</t>
  </si>
  <si>
    <t>94580146TETİK</t>
  </si>
  <si>
    <t>SUBAP TAKIM AVEO/KALOS 1.2 8V/SPARK 0,8CC</t>
  </si>
  <si>
    <t>CHE-111</t>
  </si>
  <si>
    <t>94580182-82.C-MARELLİ</t>
  </si>
  <si>
    <t xml:space="preserve">TERMOSTAT KALOS/AVEO 1.2 8V-16V 82.C </t>
  </si>
  <si>
    <t>94580182MARELLİ</t>
  </si>
  <si>
    <t>TERMOSTAT KALOS/AVEO 1.2 8V-16V 88.C</t>
  </si>
  <si>
    <t>94580313Y</t>
  </si>
  <si>
    <t>AKS KEÇESİ SAĞ KALOS/AVEO/SPARK 1.2 8V/16V 0.8 8V</t>
  </si>
  <si>
    <t>94580413BGA</t>
  </si>
  <si>
    <t>EKSANTRİK KEÇE 1.4/1.6 16V LACETTİ/KALOS/AVEO/REZZO</t>
  </si>
  <si>
    <t>OS5342</t>
  </si>
  <si>
    <t>PRİZDİREK KLAVUZ BORUSU (KEÇESİZ) NEXİA/KALOS/AVEO</t>
  </si>
  <si>
    <t>9464867280ROADMAX</t>
  </si>
  <si>
    <t xml:space="preserve">V KAYIŞ DW8 PARTNER KLİMALI </t>
  </si>
  <si>
    <t xml:space="preserve">V KAYIŞ </t>
  </si>
  <si>
    <t>1685K6</t>
  </si>
  <si>
    <t>948026EPS</t>
  </si>
  <si>
    <t>DİREKSİYON POMPASI VECTRA.A 88-95</t>
  </si>
  <si>
    <t>EPS</t>
  </si>
  <si>
    <t>406D</t>
  </si>
  <si>
    <t>948063HELLA</t>
  </si>
  <si>
    <t>DİREKSİYON POMPA VECTRA.B X20XEV DEPOLU</t>
  </si>
  <si>
    <t>8TL359.000-821</t>
  </si>
  <si>
    <t>948120HELLA</t>
  </si>
  <si>
    <t>DİREKSİYON POMPASI ASTRA.J A16XER//CRUZE A16XER</t>
  </si>
  <si>
    <t>8TL359.000-131</t>
  </si>
  <si>
    <t>948171METTE</t>
  </si>
  <si>
    <t>DİREKSİYON POMPA YAĞ HAZNE VECTRA.B X16XEL(SAGİNAW TİPİ)</t>
  </si>
  <si>
    <t>MTD-683D1123</t>
  </si>
  <si>
    <t>94837389SWAPP</t>
  </si>
  <si>
    <t>BİJON SOMUNU KAPALI CAPTİVA/ANTARA/KALOS/AVEO/LACETTİ</t>
  </si>
  <si>
    <t>94837389Y</t>
  </si>
  <si>
    <t>95015622ASPART</t>
  </si>
  <si>
    <t>1DSH1391</t>
  </si>
  <si>
    <t>AKS MİLİ KOMPLE SAĞ AVEO T300 A13DTC</t>
  </si>
  <si>
    <t>95017035ASPART</t>
  </si>
  <si>
    <t>1CAR1074</t>
  </si>
  <si>
    <t>SALINCAK SOL AVEO T300 12-14</t>
  </si>
  <si>
    <t>95017036ASPART</t>
  </si>
  <si>
    <t>1CAR1073</t>
  </si>
  <si>
    <t>SALINCAK SAĞ AVEO T300 12-14</t>
  </si>
  <si>
    <t>95017036AYD</t>
  </si>
  <si>
    <t xml:space="preserve">SALINCAK SAĞ AVEO T300 12-14 </t>
  </si>
  <si>
    <t>97-10866</t>
  </si>
  <si>
    <t>95019927İTHAL</t>
  </si>
  <si>
    <t>ÖN TAMPON AVEO T300</t>
  </si>
  <si>
    <t>95023056RPR</t>
  </si>
  <si>
    <t>RADYATÖR ÜST HORTUM CRUZE 124HP +AT</t>
  </si>
  <si>
    <t>R38161</t>
  </si>
  <si>
    <t>95023056SWAPP</t>
  </si>
  <si>
    <t>95023056YTT</t>
  </si>
  <si>
    <t>Y3910</t>
  </si>
  <si>
    <t>95032016Y</t>
  </si>
  <si>
    <t>ÖN TAMPON ARMA CRUZE J300/J305 10-14</t>
  </si>
  <si>
    <t>YRL-95032016</t>
  </si>
  <si>
    <t xml:space="preserve">950365GATES </t>
  </si>
  <si>
    <t>V KAYIŞ 10X800 VECTRA.A 1.8/2.0 8V</t>
  </si>
  <si>
    <t>6212MC</t>
  </si>
  <si>
    <t>95048411KRAFTVOLL</t>
  </si>
  <si>
    <t>YEDEK SU DEPO AVEO T300</t>
  </si>
  <si>
    <t>95048411METTE</t>
  </si>
  <si>
    <t>125D5139</t>
  </si>
  <si>
    <t>95080881METTE</t>
  </si>
  <si>
    <t>ÖN PANJUR ALT TAMPON CRUZE J305 13&gt;</t>
  </si>
  <si>
    <t>754K5720</t>
  </si>
  <si>
    <t>95088007METTE</t>
  </si>
  <si>
    <t>ÖN PANJUR ÜST CRUZE J300-J305 13&gt;</t>
  </si>
  <si>
    <t>754K5719</t>
  </si>
  <si>
    <t>95089572METTE</t>
  </si>
  <si>
    <t>ARKA SİLECEK KOMPLE CRUZE HB.</t>
  </si>
  <si>
    <t>977W7095</t>
  </si>
  <si>
    <t>95089572TKMWPİ</t>
  </si>
  <si>
    <t>2945551G</t>
  </si>
  <si>
    <t xml:space="preserve">95107230METTE </t>
  </si>
  <si>
    <t>BAGAJ AÇMA DÜĞMESİ CRUZE KOMPLE</t>
  </si>
  <si>
    <t>754K4325</t>
  </si>
  <si>
    <t>95135912EUROFIL</t>
  </si>
  <si>
    <t>MAZOT FİLTRESİ CAPTİVA C140 2.2 ÇİFTLİ UZUN TİP</t>
  </si>
  <si>
    <t>EFF235912</t>
  </si>
  <si>
    <t>95147588METTE</t>
  </si>
  <si>
    <t>SİS FAR KAPAĞI SAĞ MOKKA 13-16 (NİKELAJLI)</t>
  </si>
  <si>
    <t>754K5377</t>
  </si>
  <si>
    <t>95169827GM</t>
  </si>
  <si>
    <t xml:space="preserve">SİS FARI SAĞ CRUZE </t>
  </si>
  <si>
    <t xml:space="preserve">GM </t>
  </si>
  <si>
    <t>95174479MANDO</t>
  </si>
  <si>
    <t>MAZOT FİLTRESİ CAPTİVA C140 11&gt; ÇİFTLİ KISA TİP</t>
  </si>
  <si>
    <t>MMF030005</t>
  </si>
  <si>
    <t>95174479WUNDER</t>
  </si>
  <si>
    <t>WB353</t>
  </si>
  <si>
    <t>95182748ASPART</t>
  </si>
  <si>
    <t>TURBO HORTUM AVEO T300 A13DTE SOL ALT PARÇA</t>
  </si>
  <si>
    <t>95182748YTT</t>
  </si>
  <si>
    <t>Y3660</t>
  </si>
  <si>
    <t>95211454RPR</t>
  </si>
  <si>
    <t>KALORİFER CIKIS HORTUM KALOS/AVEO T250/T255 1.4 16V</t>
  </si>
  <si>
    <t>R38151</t>
  </si>
  <si>
    <t>GERİ VİTES MÜŞÜR 1.2 8V/16V KALOS/AVEO/SPARK (KABLOLU)</t>
  </si>
  <si>
    <t xml:space="preserve">95218393AYD </t>
  </si>
  <si>
    <t>ROT BAŞI AVEO T300</t>
  </si>
  <si>
    <t>91-10871</t>
  </si>
  <si>
    <t>95227628ASPART</t>
  </si>
  <si>
    <t>AMORTİSÖR ÜST TAKOZ SET AVEO 2011-2013 -T300</t>
  </si>
  <si>
    <t>95227628KORE</t>
  </si>
  <si>
    <t>KORE</t>
  </si>
  <si>
    <t>95227628YTT</t>
  </si>
  <si>
    <t xml:space="preserve">ÖN AMORTİSÖR TAKOZ AVEO T300 </t>
  </si>
  <si>
    <t>Y3159</t>
  </si>
  <si>
    <t>95227751ORİS</t>
  </si>
  <si>
    <t>SU RADYATÖR BRAZİNG +MT KALOS/AVEO T250/T255 1.2 16V 09-11</t>
  </si>
  <si>
    <t>BCH029016</t>
  </si>
  <si>
    <t>95228670AYD</t>
  </si>
  <si>
    <t>ROTİL AVEO T300</t>
  </si>
  <si>
    <t>92-10867</t>
  </si>
  <si>
    <t>95228684KRAFTVOLL</t>
  </si>
  <si>
    <t>DIŞ AKS KAFASI AVEO T300 11&gt; A14XER</t>
  </si>
  <si>
    <t>95228738ASPART</t>
  </si>
  <si>
    <t>1JKD1094</t>
  </si>
  <si>
    <t>DIŞ AKS KAFASI AVEO T300 A13DTE</t>
  </si>
  <si>
    <t xml:space="preserve">95228810SİLBAK </t>
  </si>
  <si>
    <t>ÖN SİLECEK TAKIM AVEO T300/PARTNER/BERLİNGO/G.PUNTO/LİNEA</t>
  </si>
  <si>
    <t>SB2615B</t>
  </si>
  <si>
    <t>95231012MANDO</t>
  </si>
  <si>
    <t>MPD36</t>
  </si>
  <si>
    <t>ÖN BALATA AVEO T300 14’’INC.</t>
  </si>
  <si>
    <t xml:space="preserve">95231012MEYLE </t>
  </si>
  <si>
    <t>ÖN FREN BALATA 142mm AVEO T300 14INÇ</t>
  </si>
  <si>
    <t>95275366ZYD</t>
  </si>
  <si>
    <t>ÖN KAPI BANDI SAĞ MOKKA/TRAX</t>
  </si>
  <si>
    <t>OP-999615</t>
  </si>
  <si>
    <t>95275448ISAM</t>
  </si>
  <si>
    <t>ÇAMURLUK AĞIZ BAKALİTİ ÖN SOL MOKKA 13-16/MOKKA.X 17-19</t>
  </si>
  <si>
    <t>ÇAMURLUK AĞIZ BAKALİTİ ÖN SAĞ MOKKA 13-16/MOKKA.X 17-19</t>
  </si>
  <si>
    <t>95297065METTE</t>
  </si>
  <si>
    <t>ÖN TAMPON CRUZE 12&gt; ÜÇGEN SİSLİ J305</t>
  </si>
  <si>
    <t>754K5721</t>
  </si>
  <si>
    <t xml:space="preserve">FAR ANAHTARI MOKKA </t>
  </si>
  <si>
    <t>95316624İBRAS</t>
  </si>
  <si>
    <t xml:space="preserve">RADYATÖR ÜST HORTUM AVEO T300 A12XER/A14XER </t>
  </si>
  <si>
    <t>95319189CM</t>
  </si>
  <si>
    <t>AMORTİSÖR DARBE TAKOZ ÖN MOKKA/MOKKA.X</t>
  </si>
  <si>
    <t>95328893METTE</t>
  </si>
  <si>
    <t xml:space="preserve">ÖN TAMPON AYAĞI SOL CRUZE J300/J305 10-14 </t>
  </si>
  <si>
    <t>754K5732</t>
  </si>
  <si>
    <t>95328893Y</t>
  </si>
  <si>
    <t xml:space="preserve">ÖN TAMPON AYAGI SOL CRUZE </t>
  </si>
  <si>
    <t>95328893ZYD</t>
  </si>
  <si>
    <t>ÖN TAMPON AYAĞI SOL CRUZE J300/J305 10-14</t>
  </si>
  <si>
    <t>CH999375</t>
  </si>
  <si>
    <t>95328894METTE</t>
  </si>
  <si>
    <t xml:space="preserve">ÖN TAMPON AYAĞI SAĞ CRUZE J300/J305 10-14 </t>
  </si>
  <si>
    <t>754K5733</t>
  </si>
  <si>
    <t>95328894ZYD</t>
  </si>
  <si>
    <t>ÖN TAMPON AYAĞI SAĞ CRUZE J300/J305 10-14</t>
  </si>
  <si>
    <t>CH999383</t>
  </si>
  <si>
    <t>95355806ASPART</t>
  </si>
  <si>
    <t>6HOS1365</t>
  </si>
  <si>
    <t>RADYATÖR ÜST HORTUM ASTRA.J B16DTH OTOMATİK</t>
  </si>
  <si>
    <t>95355806İBRAS</t>
  </si>
  <si>
    <t>95355806UCPA</t>
  </si>
  <si>
    <t xml:space="preserve">RADYATÖR ÜST HORTUM ASTRA.J B16DTH OTOMATİK </t>
  </si>
  <si>
    <t>22H133576</t>
  </si>
  <si>
    <t>95371558İBRAS</t>
  </si>
  <si>
    <t>TURBO HORTUM MOKKA B16DTH SOL ALT(A17DTS)</t>
  </si>
  <si>
    <t>95382386AKD</t>
  </si>
  <si>
    <t>YAKIT DEPO ŞAMANDIRA POMPASI TEK CAPTİVA/ANTRA C100 2.0D</t>
  </si>
  <si>
    <t>OP137103</t>
  </si>
  <si>
    <t>95383819İBRAS</t>
  </si>
  <si>
    <t>TURBO HORTUM SOL CAPTİVA C140 (DÜZ OLAN)</t>
  </si>
  <si>
    <t>95389388İBRAS</t>
  </si>
  <si>
    <t>RADYATÖR ÜST HORTUM CRUZE 124HP</t>
  </si>
  <si>
    <t>95389388RPR</t>
  </si>
  <si>
    <t>R38117</t>
  </si>
  <si>
    <t>95390883İBRAS</t>
  </si>
  <si>
    <t>KALORİFER GİRİŞ HORTUM CRUZE A16XER</t>
  </si>
  <si>
    <t>95390883YTT</t>
  </si>
  <si>
    <t xml:space="preserve">KALORİFER GİRİŞ HORTUM CRUZE </t>
  </si>
  <si>
    <t>Y3640</t>
  </si>
  <si>
    <t>95390887İBRAS</t>
  </si>
  <si>
    <t>KALORİFER ÇIKIŞ HORTUM CRUZE A16XER</t>
  </si>
  <si>
    <t>95390887YTT</t>
  </si>
  <si>
    <t>Y3639</t>
  </si>
  <si>
    <t>RADYATÖR ALT HORTUM CRUZE A16XER</t>
  </si>
  <si>
    <t>95390894İBRAŞ</t>
  </si>
  <si>
    <t>RADYATÖR ALT HORTUM CRUZE 1.6 16V</t>
  </si>
  <si>
    <t>95390894SWAPP</t>
  </si>
  <si>
    <t>95390894YTT</t>
  </si>
  <si>
    <t xml:space="preserve">RADYATÖR ALT HORTUM CRUZE 1.6 16V  </t>
  </si>
  <si>
    <t>Y3633</t>
  </si>
  <si>
    <t xml:space="preserve">95405220ASPART </t>
  </si>
  <si>
    <t>8ESU1207</t>
  </si>
  <si>
    <t>MOTOR TAKOZ SAĞ AVEO 12&gt; T300</t>
  </si>
  <si>
    <t>95405220KORE</t>
  </si>
  <si>
    <t xml:space="preserve">MOTOR TAKOZ SAĞ AVEO 12&gt; T300 </t>
  </si>
  <si>
    <t xml:space="preserve">95405608ASPART </t>
  </si>
  <si>
    <t>5HOS1401</t>
  </si>
  <si>
    <t>TURBO GİRİŞ HORTUM C140 CAPTİVA</t>
  </si>
  <si>
    <t>95421857TONGYANG</t>
  </si>
  <si>
    <t>MOTOR KAPUTU CRUZE J300/J305 10&gt;&gt;</t>
  </si>
  <si>
    <t>CV20110A</t>
  </si>
  <si>
    <t>95459429YTT</t>
  </si>
  <si>
    <t>YEDEK SU DEPO HORTUM CRUZE A16XER</t>
  </si>
  <si>
    <t>Y3622</t>
  </si>
  <si>
    <t>95460095ORİS</t>
  </si>
  <si>
    <t>BOP527016</t>
  </si>
  <si>
    <t>SU RADYATÖR MOKKA/AVEO T300/TRAX A16XER</t>
  </si>
  <si>
    <t>95460675TAIWAN</t>
  </si>
  <si>
    <t>ARKA TAMPON AVEO SEDAN 12-13</t>
  </si>
  <si>
    <t>95462002İTHAL</t>
  </si>
  <si>
    <t>ÖN TAMPON AYAĞI SOL AVEO T300</t>
  </si>
  <si>
    <t>95462003İTHAL</t>
  </si>
  <si>
    <t>ÖN TAMPON AYAĞI SAĞ AVEO T300</t>
  </si>
  <si>
    <t>95463563DOGRU</t>
  </si>
  <si>
    <t>MOTOR TAKOZ ARKA AVEO T300</t>
  </si>
  <si>
    <t>DK90-1198</t>
  </si>
  <si>
    <t>95470875ASPART</t>
  </si>
  <si>
    <t>TURBO HORTUM AVEO T300 A13DTE SAĞ ALT</t>
  </si>
  <si>
    <t>95477363ASPART</t>
  </si>
  <si>
    <t>3HOS1516</t>
  </si>
  <si>
    <t xml:space="preserve">ÖN FREN HORTUMU SOL CAPTİVA/ANTARA </t>
  </si>
  <si>
    <t>95477363KRAFTVOLL</t>
  </si>
  <si>
    <t xml:space="preserve">FREN HORTUM ARKA SOL CAPTİVA </t>
  </si>
  <si>
    <t>95477364ASPART</t>
  </si>
  <si>
    <t>3HOS1517</t>
  </si>
  <si>
    <t xml:space="preserve">ÖN FREN HORTUMU SAĞ CAPTİVA/ANTARA </t>
  </si>
  <si>
    <t>95479597SİLBAK</t>
  </si>
  <si>
    <t>ÖN SİLECEK TAKIM CAPTİVA C100-C140/ANTARA (METAL)</t>
  </si>
  <si>
    <t>SS94TP</t>
  </si>
  <si>
    <t>95488870PRAKSSIS</t>
  </si>
  <si>
    <t xml:space="preserve">Z ROT ÖN SOL CAPTİVA/ANTARA </t>
  </si>
  <si>
    <t>CH-408</t>
  </si>
  <si>
    <t>95488870SWAPP</t>
  </si>
  <si>
    <t xml:space="preserve">Z ROT ÖN SOL CAPTİVA/ANTARA  </t>
  </si>
  <si>
    <t>550-05656</t>
  </si>
  <si>
    <t>95488871AYD</t>
  </si>
  <si>
    <t xml:space="preserve">Z ROT ÖN SAĞ CAPTİVA/ANTARA </t>
  </si>
  <si>
    <t>96-05655</t>
  </si>
  <si>
    <t>95488871PRAKSSIS</t>
  </si>
  <si>
    <t>CH-409</t>
  </si>
  <si>
    <t>95488871SWAPP</t>
  </si>
  <si>
    <t>50-05655</t>
  </si>
  <si>
    <t>95492092ASPART</t>
  </si>
  <si>
    <t>1WHU1156</t>
  </si>
  <si>
    <t xml:space="preserve">ÖN TEKER PORYA KALOS/AVEO T200/T250/T255 </t>
  </si>
  <si>
    <t>95492092FORMPART</t>
  </si>
  <si>
    <t xml:space="preserve">ÖN TEKER PORYA KALOS/AVEO T200/T250/T255  </t>
  </si>
  <si>
    <t>56498001/S</t>
  </si>
  <si>
    <t>95493722ASPART</t>
  </si>
  <si>
    <t>4GMO1017</t>
  </si>
  <si>
    <t xml:space="preserve">MOTOR TAKOZ ARKA AVEO T300/MOKKA </t>
  </si>
  <si>
    <t>95493722KORE</t>
  </si>
  <si>
    <t>MOTOR TAKOZ ARKA AVEO T300/MOKKA</t>
  </si>
  <si>
    <t>95493722KRAFTVOLL</t>
  </si>
  <si>
    <t>95493722OEM</t>
  </si>
  <si>
    <t>95493722YTT</t>
  </si>
  <si>
    <t>Y3166</t>
  </si>
  <si>
    <t>95517359KRAFTVOLL</t>
  </si>
  <si>
    <t>POLEN FİLTRESİ TRAFIC III/VİVARO.B 15-21</t>
  </si>
  <si>
    <t>95518304MGA</t>
  </si>
  <si>
    <t xml:space="preserve">ÖN BALATA TRAFIC III 14&gt;/VİVARO.B 15-21 </t>
  </si>
  <si>
    <t>95518831LUK</t>
  </si>
  <si>
    <t>DEBRİYAJ SETİ A14NET ASTRA.J/İNSİGNİA.A/MOKKA</t>
  </si>
  <si>
    <t>ZİNCİR SETİ B16DTH 11PARÇA</t>
  </si>
  <si>
    <t>95528472-5PARÇASET</t>
  </si>
  <si>
    <t>ZİNCİR SET B16DTH 5 PARÇA</t>
  </si>
  <si>
    <t>95528735BOSCH</t>
  </si>
  <si>
    <t>ATEŞLEME BUJİ A12XER/A14XER/B14XER PLATİNUM/İRİDYUM</t>
  </si>
  <si>
    <t>95599922SİLBAK</t>
  </si>
  <si>
    <t>ÖN SİLECEK TAKIM GRANDLAND.X</t>
  </si>
  <si>
    <t>SB2817C</t>
  </si>
  <si>
    <t>95828235METTE</t>
  </si>
  <si>
    <t>FAR SAĞ CRUZE J300 (SİYAH KENAR)</t>
  </si>
  <si>
    <t>293L3157</t>
  </si>
  <si>
    <t>95917154ASPART</t>
  </si>
  <si>
    <t>1SAB1430</t>
  </si>
  <si>
    <t>ÖN AMORTİSÖR SOL AVEO 11&gt; T300</t>
  </si>
  <si>
    <t>95917154DOCTOR</t>
  </si>
  <si>
    <t xml:space="preserve">ÖN AMORTİSÖR SOL AVEO 11&gt; T300 </t>
  </si>
  <si>
    <t>DOCTOR</t>
  </si>
  <si>
    <t>95917155ASPART</t>
  </si>
  <si>
    <t>ÖN AMORTİSÖR SAĞ AVEO 11&gt; T300</t>
  </si>
  <si>
    <t>95917155DOCTOR</t>
  </si>
  <si>
    <t xml:space="preserve">ÖN AMORTİSÖR SAĞ AVEO 11&gt; T300 </t>
  </si>
  <si>
    <t xml:space="preserve">95920451İBRAS </t>
  </si>
  <si>
    <t>TURBO GİRİŞ HORTUM AVEO T300</t>
  </si>
  <si>
    <t>95941670AYD</t>
  </si>
  <si>
    <t xml:space="preserve">Z ROT AVEO T300 11&gt;&gt;   </t>
  </si>
  <si>
    <t>96-10863</t>
  </si>
  <si>
    <t>95941670KAPİM</t>
  </si>
  <si>
    <t>Z ROT AVEO T300 11&gt;&gt;</t>
  </si>
  <si>
    <t>95941670KRAFTVOLL</t>
  </si>
  <si>
    <t xml:space="preserve">Z ROT AVEO T300 11&gt;&gt;  </t>
  </si>
  <si>
    <t>95947829FROWAS</t>
  </si>
  <si>
    <t>Z ROT SPARK M300 10&gt;</t>
  </si>
  <si>
    <t xml:space="preserve">95948811ASPART </t>
  </si>
  <si>
    <t xml:space="preserve">ÖN AMORTİSÖR SOL CAPTİVA/ANTARA </t>
  </si>
  <si>
    <t>1SAB1432</t>
  </si>
  <si>
    <t xml:space="preserve">95948812ASPART </t>
  </si>
  <si>
    <t xml:space="preserve">ÖN AMORTİSÖR SAĞ CAPTİVA/ANTARA </t>
  </si>
  <si>
    <t>1SAB1433</t>
  </si>
  <si>
    <t>95949302MANDO</t>
  </si>
  <si>
    <t>YAKIT DEPO ŞAMANDIRASI KOMPLE LACETTİ</t>
  </si>
  <si>
    <t>EFPD0009D</t>
  </si>
  <si>
    <t xml:space="preserve">95950470İBRAS </t>
  </si>
  <si>
    <t>RADYATÖR ALT HORTUM KALOS/AVEO T250/T255 1.4 16V</t>
  </si>
  <si>
    <t>95950470RPR</t>
  </si>
  <si>
    <t>R38109</t>
  </si>
  <si>
    <t>95950470YTT</t>
  </si>
  <si>
    <t>Y3628</t>
  </si>
  <si>
    <t>95952929AYD</t>
  </si>
  <si>
    <t>ROT MİLİ T300/MOKKA 365mm(ELEKR.DİR.)</t>
  </si>
  <si>
    <t>95-10872</t>
  </si>
  <si>
    <t>95952929FROWAS</t>
  </si>
  <si>
    <t xml:space="preserve">ROT MİLİ T300/MOKKA 365mm(ELEKR.DİR.) </t>
  </si>
  <si>
    <t>95952929KAPİM</t>
  </si>
  <si>
    <t>ROT MİLİ T300/MOKKA 365mm</t>
  </si>
  <si>
    <t>95965224METTE</t>
  </si>
  <si>
    <t>STOP LAMBASI DIŞ SAĞ CRUZE SEDAN</t>
  </si>
  <si>
    <t>293L3275</t>
  </si>
  <si>
    <t>95994975OEM</t>
  </si>
  <si>
    <t>GÜNEŞLİK AYAĞI ASTRA.J/CRUZE/ZAFİRA.C/SPARK M300</t>
  </si>
  <si>
    <t>9605306580FROWAS</t>
  </si>
  <si>
    <t>SU KOLLEKTÖRÜ PEUGEOT</t>
  </si>
  <si>
    <t>96061907TEKNOROT</t>
  </si>
  <si>
    <t>ROT MİLİ LACETTİ</t>
  </si>
  <si>
    <t xml:space="preserve">TRKNOROT </t>
  </si>
  <si>
    <t>CH-303</t>
  </si>
  <si>
    <t>96103034GAYSAN</t>
  </si>
  <si>
    <t>GAYD TAKIM LACETTİ/KALOS/AVEO 1.4/1.6 16V</t>
  </si>
  <si>
    <t>GT135.02.01</t>
  </si>
  <si>
    <t>96129839FORMPART</t>
  </si>
  <si>
    <t>Z ROT ÖN LANOS 1991-2001</t>
  </si>
  <si>
    <t>96133096METTE</t>
  </si>
  <si>
    <t>AMORTİSÖR ALT RULMAN HELEZON YATAGI LANOS/ESPERO</t>
  </si>
  <si>
    <t>267A7143</t>
  </si>
  <si>
    <t>TERMOSTAT ORİNG F16D3 LACETTİ/KALOS/AVEO/REZZO</t>
  </si>
  <si>
    <t>96143402İBRAS</t>
  </si>
  <si>
    <t>KALORİFER HORTUM LANOS</t>
  </si>
  <si>
    <t xml:space="preserve">96180071İBRAS </t>
  </si>
  <si>
    <t>DEVİRDAİM ARKA BORU LACETTİ/KALOS/AVEO 1.4/1.6 16V</t>
  </si>
  <si>
    <t>96182260KALE</t>
  </si>
  <si>
    <t>SU RADYATÖR BRAZİNG LANOS 1.2İ/1.5İ/1.6 +AT</t>
  </si>
  <si>
    <t>96182260ORİS</t>
  </si>
  <si>
    <t>BCH000016</t>
  </si>
  <si>
    <t>96182279WAGENBURG</t>
  </si>
  <si>
    <t>YEDEK SU DEPOSU LANOS</t>
  </si>
  <si>
    <t>96182634FAE</t>
  </si>
  <si>
    <t>HARARET MÜŞÜR LACETTİ//ASTRA.G/VECTRA.C Z22SE</t>
  </si>
  <si>
    <t>96182695ERP</t>
  </si>
  <si>
    <t>DEBRİYAJ SETİ EVANDA/REZZO 2.0 16V</t>
  </si>
  <si>
    <t>96182934GÜNEŞ</t>
  </si>
  <si>
    <t>SUBAP TAKIM LANOS 1.5 8V</t>
  </si>
  <si>
    <t>6906-6907</t>
  </si>
  <si>
    <t>96184353VOLMERK</t>
  </si>
  <si>
    <t>VOLANT CRUZE/MOKKA/MOKKA.X/TRAX A16XER</t>
  </si>
  <si>
    <t>OP418</t>
  </si>
  <si>
    <t xml:space="preserve">96190708METTE </t>
  </si>
  <si>
    <t xml:space="preserve">KİLOMETRE SENSÖR LACETTİ/KALOS/AVEO 03-12 </t>
  </si>
  <si>
    <t>651D5248</t>
  </si>
  <si>
    <t>96218397FORMPART</t>
  </si>
  <si>
    <t>SALINCAK SOL LANOS</t>
  </si>
  <si>
    <t>96218398FORMPART</t>
  </si>
  <si>
    <t>SALINCAK SAĞ LANOS</t>
  </si>
  <si>
    <t>96238726KRAW</t>
  </si>
  <si>
    <t>KONTAK TERMİĞİ KALOS/AVEO/LACETTİ/DAEWOO</t>
  </si>
  <si>
    <t>AN-2385</t>
  </si>
  <si>
    <t>96239408ABA</t>
  </si>
  <si>
    <t xml:space="preserve">V KAYIŞ 4PK668 KALOS/AVEO T250/T255 1.2 8V </t>
  </si>
  <si>
    <t>4PK668</t>
  </si>
  <si>
    <t>96239408CONTİ</t>
  </si>
  <si>
    <t>V KAYIŞ 4PK668 KALOS/AVEO T250/T255 1.2 8V</t>
  </si>
  <si>
    <t>4PK665</t>
  </si>
  <si>
    <t>96239408GMB</t>
  </si>
  <si>
    <t>4PK0668</t>
  </si>
  <si>
    <t>96245178BOSCH</t>
  </si>
  <si>
    <t>ÖN FREN BALATA LACETTİ/NUBİRA</t>
  </si>
  <si>
    <t>96245178MEYLE</t>
  </si>
  <si>
    <t xml:space="preserve">ÖN FREN BALATA LACETTİ/NUBİRA </t>
  </si>
  <si>
    <t>96245309YTT</t>
  </si>
  <si>
    <t xml:space="preserve">AKS KÖRÜĞÜ DIŞ KALOS/AVEO 1.2/CAPTİVA </t>
  </si>
  <si>
    <t>Y3113</t>
  </si>
  <si>
    <t>96253542DELPHİ</t>
  </si>
  <si>
    <t xml:space="preserve">KRANK DEVİR SENSÖR KALOS/AVEO/LACETTİ 1.4/1.6 16V  </t>
  </si>
  <si>
    <t>SS10894</t>
  </si>
  <si>
    <t xml:space="preserve">96253542FAE </t>
  </si>
  <si>
    <t>KRANK DEVİR SENSÖR KALOS/AVEO/LACETTİ 1.4/1.6 16V</t>
  </si>
  <si>
    <t>96253544HELLA</t>
  </si>
  <si>
    <t>EKSANTRİK DEVİR SENSÖR LACETTİ/KALOS/AVEO F14D3/F16D3 1.4/1.6 16V</t>
  </si>
  <si>
    <t>6PU009168-581</t>
  </si>
  <si>
    <t>96253551HERTH+BUSS</t>
  </si>
  <si>
    <t>HARARET MÜŞÜR (SİYAH) 08&gt; AVEO/KALOS/SPARK</t>
  </si>
  <si>
    <t>J5620900</t>
  </si>
  <si>
    <t>96253555BREMİ</t>
  </si>
  <si>
    <t>ATEŞLEME BOBİN KALOS/AVEO 1.2/1.4 8V/16V</t>
  </si>
  <si>
    <t>96263897EUROFIL</t>
  </si>
  <si>
    <t>HAVA FİLTRESİ REZZO</t>
  </si>
  <si>
    <t>EF263897</t>
  </si>
  <si>
    <t xml:space="preserve">96273608İBRAS </t>
  </si>
  <si>
    <t>ARKA BAKALİT BORU LACETTİ/KALOS/AVEO 1.4/1.6 16V</t>
  </si>
  <si>
    <t>96273608RPR</t>
  </si>
  <si>
    <t>R38110/P</t>
  </si>
  <si>
    <t>96282726MARELLİ</t>
  </si>
  <si>
    <t>TERMOSTAT METAL KALOS/AVEO/LACETTİ  1.4/1.6 16V</t>
  </si>
  <si>
    <t>MO0096TE</t>
  </si>
  <si>
    <t>96282726VERNET</t>
  </si>
  <si>
    <t>TERMOSTAT KALOS/AVEO 1.4/1.6 16V</t>
  </si>
  <si>
    <t>TH6502P.88J</t>
  </si>
  <si>
    <t>96286828AKD</t>
  </si>
  <si>
    <t>DEBRİYAJ RULMAN LACETTİ 1.4/1.6 16V</t>
  </si>
  <si>
    <t>OP113113</t>
  </si>
  <si>
    <t>96286828BOSCH</t>
  </si>
  <si>
    <t>DEBRİYAJ RULMAN LACETTİ</t>
  </si>
  <si>
    <t>96286828SACHS</t>
  </si>
  <si>
    <t>96288956DODUCO</t>
  </si>
  <si>
    <t xml:space="preserve">BUJİ KABLOSU KALOS/AVEO 1.2 8V </t>
  </si>
  <si>
    <t>96288956KRAFTVOLL</t>
  </si>
  <si>
    <t>BUJİ KABLOSU KALOS/AVEO 1.2 8V</t>
  </si>
  <si>
    <t>96288956MANDO</t>
  </si>
  <si>
    <t>EWTD00011H</t>
  </si>
  <si>
    <t>96291306BREMİ</t>
  </si>
  <si>
    <t>BUJİ KABLO TAKIM SPARK M200 05&gt; 0.8 3SİLİNDİR</t>
  </si>
  <si>
    <t>3A00/174</t>
  </si>
  <si>
    <t>96291306MANDO</t>
  </si>
  <si>
    <t>EWTD00010H</t>
  </si>
  <si>
    <t>96293075DELPHİ</t>
  </si>
  <si>
    <t>DEBRİYAJ ALT MERKEZ KALOS/AVEO T200/T250/T255</t>
  </si>
  <si>
    <t>LL80159</t>
  </si>
  <si>
    <t>96300222AYD</t>
  </si>
  <si>
    <t>Z ROT ARKA LACETTİ/NUBİRA R+L</t>
  </si>
  <si>
    <t>96-02108</t>
  </si>
  <si>
    <t>96305387GLOBAL</t>
  </si>
  <si>
    <t>BUJİ KABLO TAKIM 1.4 8V T200 AVEO/KALOS</t>
  </si>
  <si>
    <t>96305387HELLUX</t>
  </si>
  <si>
    <t>HBK.3376</t>
  </si>
  <si>
    <t>96305387MANDO</t>
  </si>
  <si>
    <t>EWTD00003H</t>
  </si>
  <si>
    <t>96316634FAG</t>
  </si>
  <si>
    <t>ARKA TEKER RULMAN SPARK M200/M250</t>
  </si>
  <si>
    <t>713 6251 20</t>
  </si>
  <si>
    <t>96316634METTE</t>
  </si>
  <si>
    <t>ARKA TEKER RULMAN TAKIM SPARK M100/M200 98-10</t>
  </si>
  <si>
    <t>409P1261</t>
  </si>
  <si>
    <t>96317980WİSCO</t>
  </si>
  <si>
    <t>2113454*00</t>
  </si>
  <si>
    <t>TERMOSTAT YUVASI KALOS/AVEO T200/T250 1.2 8V</t>
  </si>
  <si>
    <t>96325175AKD</t>
  </si>
  <si>
    <t>ÜST KAPAK CONTA KALOS/AVEO T200/T250/T255 1.2 8V</t>
  </si>
  <si>
    <t>96325246FENİX</t>
  </si>
  <si>
    <t>FN2389</t>
  </si>
  <si>
    <t>YAĞ POMPASI KALOS/AVEO/SPARK 1.2 8V/0,80CC</t>
  </si>
  <si>
    <t xml:space="preserve">FENİX </t>
  </si>
  <si>
    <t>96325867HELLA</t>
  </si>
  <si>
    <t xml:space="preserve">EKSANTRİK SENSÖR 1.2 8V KALOS/AVEO </t>
  </si>
  <si>
    <t>6PU009168-371</t>
  </si>
  <si>
    <t>96325867VALEO</t>
  </si>
  <si>
    <t>96325868VALEO</t>
  </si>
  <si>
    <t>KRANK DEVİR SENSÖR KALOS/AVEO T200/T250 1.2 8V</t>
  </si>
  <si>
    <t>9632675080SAGEM</t>
  </si>
  <si>
    <t>DİREKSİYON POMPA MÜŞÜR 307/206/406</t>
  </si>
  <si>
    <t>96328591OEM</t>
  </si>
  <si>
    <t xml:space="preserve">MOTOR TAKOZ SAĞ EVANDA </t>
  </si>
  <si>
    <t>MOTOR SEVEN</t>
  </si>
  <si>
    <t>96328597OEM</t>
  </si>
  <si>
    <t>MOTOR TAKOZ SOL EVANDA (ŞANZUMAN)</t>
  </si>
  <si>
    <t>96328612OEM</t>
  </si>
  <si>
    <t>MOTOR TAKOZ ÖN EVANDA</t>
  </si>
  <si>
    <t>96328864GROS</t>
  </si>
  <si>
    <t>RADYATÖR ÜST HORTUM EVANDA/EPİCA 2.0 16V</t>
  </si>
  <si>
    <t>T30615</t>
  </si>
  <si>
    <t>96332250METTE</t>
  </si>
  <si>
    <t>GAZ KELEBEK BOĞAZI KALOS T200 1.2 8V/AVEO T200/T250 1.2 8V 03-08</t>
  </si>
  <si>
    <t>651D5412</t>
  </si>
  <si>
    <t>9633283880YTT</t>
  </si>
  <si>
    <t>DEPO ŞAMADIRA KAPAK SOMUN 307/C4/206/C2/C3 (CONTALI)</t>
  </si>
  <si>
    <t>Y32567</t>
  </si>
  <si>
    <t>96335719SARDES</t>
  </si>
  <si>
    <t>BENZİN FİLTRE LACETTİ/KALOS/AVEO</t>
  </si>
  <si>
    <t>SF183/1</t>
  </si>
  <si>
    <t>96343030ERP</t>
  </si>
  <si>
    <t>DEBRİYAJ SETİ KALOS/AVEO 1.2 8V/16V</t>
  </si>
  <si>
    <t>96343030ERP-1</t>
  </si>
  <si>
    <t xml:space="preserve">EBRİYAJ SETİ KALOS/AVEO 1.2 8V/16V </t>
  </si>
  <si>
    <t>96348780MGA</t>
  </si>
  <si>
    <t>AKS KOMPLE SOL KALOS 1.2 8V 03-08</t>
  </si>
  <si>
    <t>96348781KRAFTVOLL</t>
  </si>
  <si>
    <t>AKS KOMPLE SAĞ KALOS/AVEO 1.2 16V/8V</t>
  </si>
  <si>
    <t>96348781MGA</t>
  </si>
  <si>
    <t xml:space="preserve">AKS KOMPLE SAĞ KALOS 1.2 8V 03-08 </t>
  </si>
  <si>
    <t>96348782KRAFTVOLL</t>
  </si>
  <si>
    <t>AKS KOMPLE SOL KALOS/AVEO 1.2 16V/8V</t>
  </si>
  <si>
    <t>96348790MGA</t>
  </si>
  <si>
    <t>DIŞ AKS KAFASI KALOS T200 03-08/AVEO T200/T250/T255 1.4</t>
  </si>
  <si>
    <t>96350161ELRİNG</t>
  </si>
  <si>
    <t xml:space="preserve">ÖN KRANK KEÇE 1.4/1.6 16V LACETTİ/KALOS/AVEO T250/T255 </t>
  </si>
  <si>
    <t>96350161SKT</t>
  </si>
  <si>
    <t>ÖN KRANK KEÇE 1.4/1.6 16V LACETTİ/KALOS/AVEO T250/T255</t>
  </si>
  <si>
    <t>96350161Y</t>
  </si>
  <si>
    <t>ÖN KRANK KEÇE LACETTİ/REZZOKALOS/AVEO 1.4/1.6 16V</t>
  </si>
  <si>
    <t>96350550MICHELIN</t>
  </si>
  <si>
    <t xml:space="preserve">TRİGER SETİ LACETTİ/KALOS/AVEO/REZZO 1.4/1.6 16V </t>
  </si>
  <si>
    <t>FM010419</t>
  </si>
  <si>
    <t>96350550SKF</t>
  </si>
  <si>
    <t>TRİGER SETİ LACETTİ/KALOS/AVEO/REZZO 1.4/1.6 16V</t>
  </si>
  <si>
    <t>VKMA 90000</t>
  </si>
  <si>
    <t>9635057280ABRASSE</t>
  </si>
  <si>
    <t>KİLOMETRE HIZ SENSÖR PARTNER/BERLİNGO 2.0HDİ DW10//SAXO/306/307</t>
  </si>
  <si>
    <t>BRS-616070-PG</t>
  </si>
  <si>
    <t>9635057280SAGEM</t>
  </si>
  <si>
    <t>96352178İTHAL</t>
  </si>
  <si>
    <t>KRANK MİLİ SPARK/MATİZ 0,80cc</t>
  </si>
  <si>
    <t>96352644WİSCO</t>
  </si>
  <si>
    <t>SU DAĞITICI FLANŞ KALOS/AVEO T200 1.4 8V (METAL)</t>
  </si>
  <si>
    <t>2113447-00</t>
  </si>
  <si>
    <t xml:space="preserve">96352650DOLZ </t>
  </si>
  <si>
    <t xml:space="preserve">DEVİRDAİM 1.4/1.6 16V LACETTİ/REZZO/KALOS/AVEO </t>
  </si>
  <si>
    <t>D211</t>
  </si>
  <si>
    <t xml:space="preserve">96352650GRAF </t>
  </si>
  <si>
    <t>PA696</t>
  </si>
  <si>
    <t>96352650KALE</t>
  </si>
  <si>
    <t>96352650LUCAS</t>
  </si>
  <si>
    <t>LWP4118M</t>
  </si>
  <si>
    <t>96352650MANDO</t>
  </si>
  <si>
    <t>MWP2006</t>
  </si>
  <si>
    <t xml:space="preserve">96352740AKD </t>
  </si>
  <si>
    <t>KRANK DİŞLİ LACETTİ/REZZO/AVEO/KALOS 1.4/1.6 16V</t>
  </si>
  <si>
    <t>OP112108</t>
  </si>
  <si>
    <t>96352965KRASS</t>
  </si>
  <si>
    <t>TRİGER SETİ SPARK M100/M200 0,8CC (107DİŞ) 98-09</t>
  </si>
  <si>
    <t>KRASS</t>
  </si>
  <si>
    <t>3603-05</t>
  </si>
  <si>
    <t>ÜST KAPAK CONTA KALOS/AVEO/LACETTİ/REZZO 1.4/1.6 16V</t>
  </si>
  <si>
    <t xml:space="preserve">96353002AKD </t>
  </si>
  <si>
    <t>96353002BGA</t>
  </si>
  <si>
    <t>RC8321</t>
  </si>
  <si>
    <t>96353002CORTECO</t>
  </si>
  <si>
    <t>440001P</t>
  </si>
  <si>
    <t>9635913ÖZGAYD</t>
  </si>
  <si>
    <t>GAYD TAKIM LANOS 1.4/1.5 8V</t>
  </si>
  <si>
    <t>TVG2685</t>
  </si>
  <si>
    <t>9636777180ÜNÜVAR</t>
  </si>
  <si>
    <t>HARARET MÜŞÜR 1.4/1.6 YEŞİL TU5JP4</t>
  </si>
  <si>
    <t>9602-2</t>
  </si>
  <si>
    <t>9637024080GMB</t>
  </si>
  <si>
    <t xml:space="preserve">V KAYIŞ GERGİ RULMAN DW8 1.9D/TU3J 1.4 8V </t>
  </si>
  <si>
    <t>GT A0010</t>
  </si>
  <si>
    <t>9637024080WAGENBURG</t>
  </si>
  <si>
    <t>V KAYIŞ GERGİ RULMAN DW8 1.9D/TU3J 1.4 8V</t>
  </si>
  <si>
    <t>FI.323</t>
  </si>
  <si>
    <t>96378802ELRİNG</t>
  </si>
  <si>
    <t>SİLİNDİR KAPAK CONTA LACETTİ/KALOS/AVEO 1.4/1.6 16V(TEK YAĞ KANAL)</t>
  </si>
  <si>
    <t>96378802KOREA</t>
  </si>
  <si>
    <t>KGHD-012</t>
  </si>
  <si>
    <t>96378805MANDO</t>
  </si>
  <si>
    <t>EKSOZ MANİFOLT CONTA LACETTİ/KALOS/AVEO 1.4/1.6 16V</t>
  </si>
  <si>
    <t>DNP96378805</t>
  </si>
  <si>
    <t>96386780SAGEM</t>
  </si>
  <si>
    <t>S200129</t>
  </si>
  <si>
    <t>ENJEKTÖR KALOS/AVEO 1.4 16V</t>
  </si>
  <si>
    <t>FAR SİNYAL KOLU LACETTİ (SİSLİ)</t>
  </si>
  <si>
    <t>96387724WAGENBURG</t>
  </si>
  <si>
    <t>ARKA STOP SOL DIŞ LACETTİ HB. 04&gt;</t>
  </si>
  <si>
    <t>LCT04-7302</t>
  </si>
  <si>
    <t>96391433KORE</t>
  </si>
  <si>
    <t>SİLİNDİR KAPAK CONTA KALOS/AVEO/LANOS 1.4 8V</t>
  </si>
  <si>
    <t>96391553YTT</t>
  </si>
  <si>
    <t>DIŞ AKS KÖRÜĞÜ KALOS/AVEO 1.4 8V/1.4 16V // LACETTİ 1.4/1.6 16V</t>
  </si>
  <si>
    <t>Y3111</t>
  </si>
  <si>
    <t>96391875ASPART</t>
  </si>
  <si>
    <t>1ISA1044</t>
  </si>
  <si>
    <t>Z ROT KALOS/AVEO T250/T255/NUBİRA</t>
  </si>
  <si>
    <t>96391875AYD</t>
  </si>
  <si>
    <t>96-03043</t>
  </si>
  <si>
    <t>96391875KRAFTVOLL</t>
  </si>
  <si>
    <t xml:space="preserve">Z ROT KALOS/AVEO T250/T255/NUBİRA </t>
  </si>
  <si>
    <t>96391875TEKNOROT</t>
  </si>
  <si>
    <t>DA-311</t>
  </si>
  <si>
    <t>96391875VOTTO</t>
  </si>
  <si>
    <t>VOT-25-01400</t>
  </si>
  <si>
    <t>9639381480FACET</t>
  </si>
  <si>
    <t>EMME MANİFOLT BASINÇ SENSÖR TU3JP/TU5J</t>
  </si>
  <si>
    <t>96403099AYD</t>
  </si>
  <si>
    <t>Z ROT SOL LACETTİ</t>
  </si>
  <si>
    <t>96-05190</t>
  </si>
  <si>
    <t>96403100AYD</t>
  </si>
  <si>
    <t>Z ROT SAĞ LACETTİ</t>
  </si>
  <si>
    <t>96-05191</t>
  </si>
  <si>
    <t>9640469680HERTH+BUSS</t>
  </si>
  <si>
    <t>KIZDIRMA RÖLESİ DV4 1.4HDİ 206/307/107/C2/C3/BİPPER/NEMO</t>
  </si>
  <si>
    <t>96405129ASPART</t>
  </si>
  <si>
    <t>3BPA1221</t>
  </si>
  <si>
    <t>ÖN FREN BALATA LACETTİ 04&gt;</t>
  </si>
  <si>
    <t>96407485AYD</t>
  </si>
  <si>
    <t>ROT BAŞI SOL LACETTİ</t>
  </si>
  <si>
    <t>96-05188</t>
  </si>
  <si>
    <t>96407486AYD</t>
  </si>
  <si>
    <t>ROT BAŞI SAĞ LACETTİ</t>
  </si>
  <si>
    <t>91-05189</t>
  </si>
  <si>
    <t>96407677ASPART</t>
  </si>
  <si>
    <t>6TCO1047</t>
  </si>
  <si>
    <t>TERMOSTAT LACETTİ 1.4/1.6 16V (METAL) 87D</t>
  </si>
  <si>
    <t>96407677WİSCO</t>
  </si>
  <si>
    <t>TERMOSTAT KALOS/AVEO T200/T250 1.4 16V (METAL)</t>
  </si>
  <si>
    <t>2113448-00</t>
  </si>
  <si>
    <t>96407749METTE</t>
  </si>
  <si>
    <t>ARKA FREN HORTUM KALOS/AVEO T200/T250/T255</t>
  </si>
  <si>
    <t>466H6238</t>
  </si>
  <si>
    <t>96408134AKD</t>
  </si>
  <si>
    <t>YAĞ MÜŞÜRÜ KALOS/AVEO/SPARK 1.2 16V/8V</t>
  </si>
  <si>
    <t>OP106115</t>
  </si>
  <si>
    <t>96408154İTHAL</t>
  </si>
  <si>
    <t>FAR SOL (SARI SİNYALLİ) KALOS SEDAN-HB. 05-</t>
  </si>
  <si>
    <t>96408154METTE</t>
  </si>
  <si>
    <t xml:space="preserve">FAR SOL (SARI SİNYALLİ) KALOS SEDAN-HB. 05- </t>
  </si>
  <si>
    <t>293L3278</t>
  </si>
  <si>
    <t>96408155İTHAL</t>
  </si>
  <si>
    <t>FAR SAĞ (SARI SİNYALLİ) KALOS SEDAN-HB. 05-</t>
  </si>
  <si>
    <t>96408155METTE</t>
  </si>
  <si>
    <t xml:space="preserve">FAR SAĞ (SARI SİNYALLİ) KALOS SEDAN-HB. 05- </t>
  </si>
  <si>
    <t>293L3279</t>
  </si>
  <si>
    <t>96410116DJPARTS</t>
  </si>
  <si>
    <t>ARKA AMORTİSÖR KALOS T200 03-08/AVEO T200/T250/T255</t>
  </si>
  <si>
    <t>DS1364GT</t>
  </si>
  <si>
    <t>96410116VOTTO</t>
  </si>
  <si>
    <t xml:space="preserve">ARKA AMORTİSÖR KALOS T200 03-08/AVEO T200/T250/T255 </t>
  </si>
  <si>
    <t>VOT-A-1425G</t>
  </si>
  <si>
    <t>96413748METTE</t>
  </si>
  <si>
    <t>DİREKSİYON YAĞ HAZNESİ KAPAKLI KALOS/AVEO T200/T250 03-08</t>
  </si>
  <si>
    <t>683R6238</t>
  </si>
  <si>
    <t xml:space="preserve">96415063ASPART </t>
  </si>
  <si>
    <t>1CAR1078</t>
  </si>
  <si>
    <t>SALINCAK SOL LACETTİ</t>
  </si>
  <si>
    <t>96415063AYD</t>
  </si>
  <si>
    <t>97-05193</t>
  </si>
  <si>
    <t>96415064ASPART</t>
  </si>
  <si>
    <t>1CAR1077</t>
  </si>
  <si>
    <t>SALINCAK SAĞ LACETTİ</t>
  </si>
  <si>
    <t>96415064AYD</t>
  </si>
  <si>
    <t>97-05194</t>
  </si>
  <si>
    <t>9641553880HERTH+BUSS</t>
  </si>
  <si>
    <t>SİLECEK SU MOTOR 407/307/C5 X7</t>
  </si>
  <si>
    <t>96416294FİXON</t>
  </si>
  <si>
    <t>DEVİRDAİM KOMPLE KÜTÜKLÜ  KALOS/AVEO/SPARK M300 1.2 16V</t>
  </si>
  <si>
    <t>96416331ABA</t>
  </si>
  <si>
    <t>V KAYIŞ GERGİ RULMAN AVEO/KALOS/SPARK 1.2 16V</t>
  </si>
  <si>
    <t>96416398ELRİNG</t>
  </si>
  <si>
    <t>ARKA KRANK KEÇE KALOS/AVEO/SPARK 1.2 16V</t>
  </si>
  <si>
    <t>96416399ELRİNG</t>
  </si>
  <si>
    <t>ÖN KRANK KEÇE KALOS/AVEO/SPARK 1.2 16V</t>
  </si>
  <si>
    <t>96418831METTE</t>
  </si>
  <si>
    <t>FREN ANA MERKEZ LACETTİ J200 03-11 DEPOLU+MÜŞÜRLÜ</t>
  </si>
  <si>
    <t>987B3746</t>
  </si>
  <si>
    <t>96419957FACET</t>
  </si>
  <si>
    <t>OKSİJEN SENSÖR KALOS/AVEO 1.2 8V KONUM1</t>
  </si>
  <si>
    <t>YEDEK SU DEPO KAPAK LACETTİ/KALOS/AVEO/REZZO/CAPTİVA</t>
  </si>
  <si>
    <t xml:space="preserve">96423429VERNET </t>
  </si>
  <si>
    <t>OKSİJEN SENSÖR KALOS/AVEO 1.2 8V KONUM2</t>
  </si>
  <si>
    <t>LS140727</t>
  </si>
  <si>
    <t>96439858YTT</t>
  </si>
  <si>
    <t>HAVA FİLTRE KÖRÜĞÜ KALOS/AVEO T250/T255 1.4 16V</t>
  </si>
  <si>
    <t>Y3136</t>
  </si>
  <si>
    <t>96439859ADLER</t>
  </si>
  <si>
    <t>HAVA FİLTRE HORTUM (MÜŞÜRLÜ) KALOS T200 05-08 1.4 16V//AVEO T200-T255 1.4 16V</t>
  </si>
  <si>
    <t>96440146ELRİNG</t>
  </si>
  <si>
    <t>SUBAP LASTİK CAPTİVA C100 2.0D/ANTARA 2.0D</t>
  </si>
  <si>
    <t>96440157AKD</t>
  </si>
  <si>
    <t>EKSANTRİK MİLİ CAPTİVA C100/ANTARA 2.0D</t>
  </si>
  <si>
    <t>OP123106</t>
  </si>
  <si>
    <t>96440161ELRİNG</t>
  </si>
  <si>
    <t>EKSANTRİK KEÇE CAPTİVA C100 2.0D/ANTARA 2.0D</t>
  </si>
  <si>
    <t>96440164PAYEN</t>
  </si>
  <si>
    <t>SİLİNDİR KAPAK CONTA CAPTİVA C100/ANTARA 2.0D 1.2mm 2ÇENTİK</t>
  </si>
  <si>
    <t>AH5700</t>
  </si>
  <si>
    <t>96440165AKD</t>
  </si>
  <si>
    <t>SİLİNDİR KAPAK CONTA CAPTİVA C100/ANTARA 2.0D 1.3mm 3ÇENTİK</t>
  </si>
  <si>
    <t>96440165TK-AKD</t>
  </si>
  <si>
    <t>MOTOR TAKIM CONTA FULL CAPTİVA C100/ANTARA 2,0D 3ÇENTİK CONTA</t>
  </si>
  <si>
    <t>96440165TK</t>
  </si>
  <si>
    <t>96440191BGA</t>
  </si>
  <si>
    <t>HOROZ EMME CAPTİVA C100/ANTARA 2.0D</t>
  </si>
  <si>
    <t>RA3940</t>
  </si>
  <si>
    <t>96440192BGA</t>
  </si>
  <si>
    <t>HOROZ EKSOZ CAPTİVA C100/ANTARA 2.0D</t>
  </si>
  <si>
    <t>RA3939</t>
  </si>
  <si>
    <t>96440307KORE</t>
  </si>
  <si>
    <t>KORE 96440307</t>
  </si>
  <si>
    <t>ENJEKTÖR KEÇE CAPTİVA C100</t>
  </si>
  <si>
    <t xml:space="preserve">96440307METTE </t>
  </si>
  <si>
    <t>266C2107</t>
  </si>
  <si>
    <t>ENJEKTÖR TAPASI 2.0D C100 CAPTİVA/ANTARA</t>
  </si>
  <si>
    <t>96440364ELRİNG</t>
  </si>
  <si>
    <t xml:space="preserve">EKSOZ MANİFOLT CONTA C100 2.0D CAPTİVA/ANTARA </t>
  </si>
  <si>
    <t xml:space="preserve">96440379ELRİNG </t>
  </si>
  <si>
    <t xml:space="preserve">EMME MANİFOLT CONTA C100 CAPTİVA/ANTARA 2.0CDTİ Z20DM </t>
  </si>
  <si>
    <t>96440407VERNET</t>
  </si>
  <si>
    <t>TERMOSTAT CAPTİVA/ANTARA 2.0D Z20DM</t>
  </si>
  <si>
    <t>TH7185.80J</t>
  </si>
  <si>
    <t>96440411Y</t>
  </si>
  <si>
    <t xml:space="preserve">TERMOSTAT CONTA CAPTİVA C100/ANTARA </t>
  </si>
  <si>
    <t>96440417ASPART</t>
  </si>
  <si>
    <t>8DGP1270</t>
  </si>
  <si>
    <t>V KAYIŞ GERGİ RULMAN CAPTİVA C100</t>
  </si>
  <si>
    <t>96440419AKD</t>
  </si>
  <si>
    <t>V KAYIŞ GERGİ KOMPLE CAPTİVA C100/ANTARA/EPİCA/CRUZE 2.0D</t>
  </si>
  <si>
    <t>OP115110</t>
  </si>
  <si>
    <t>96440419ASPART</t>
  </si>
  <si>
    <t>8TLV1136</t>
  </si>
  <si>
    <t>96440419MOCA</t>
  </si>
  <si>
    <t>BT7054</t>
  </si>
  <si>
    <t>96440878Y+CA</t>
  </si>
  <si>
    <t>POLEN FİLTRESİ CAPTİVA/ANTARA +CA</t>
  </si>
  <si>
    <t>SMP-1604 PK</t>
  </si>
  <si>
    <t>SU RADYATÖR KALOS/AVEO T200/T250/T255 1.4 16V +AT</t>
  </si>
  <si>
    <t>96444919MANDO</t>
  </si>
  <si>
    <t>AMORTİSÖR TAKOZ RULMANLI SOL LANOS</t>
  </si>
  <si>
    <t>96446176TRW</t>
  </si>
  <si>
    <t>ÖN BALATA LANOS/MATİZ/SPARK M100-M200</t>
  </si>
  <si>
    <t>GDB3195</t>
  </si>
  <si>
    <t>96446922PRAKSSIS</t>
  </si>
  <si>
    <t>SİLİNDİR KAPAĞI LACETTİ/KALOS/AVEO ÇİFT YAĞ KANAL 1.4/1.6 16V</t>
  </si>
  <si>
    <t>PRA-362304</t>
  </si>
  <si>
    <t>96447642DELPHİ</t>
  </si>
  <si>
    <t>YAKIT DEPO ŞAMANDIRA KALOS/AVEO T200 1.2 8V</t>
  </si>
  <si>
    <t>FG2387-12B1</t>
  </si>
  <si>
    <t>96450249AUTOLİTE</t>
  </si>
  <si>
    <t xml:space="preserve">BUJİ KABLOSU TAKIM LACETTİ 1.4/1.6 16V </t>
  </si>
  <si>
    <t>AUTOLİTE</t>
  </si>
  <si>
    <t>ACH-88131</t>
  </si>
  <si>
    <t>96450249AUTOLUX</t>
  </si>
  <si>
    <t>BUJİ KABLOSU TAKIM LACETTİ 1.4/1.6 16V</t>
  </si>
  <si>
    <t>AUTOLUX</t>
  </si>
  <si>
    <t>ALX2069</t>
  </si>
  <si>
    <t>96450249GLOBAL</t>
  </si>
  <si>
    <t>GL-249</t>
  </si>
  <si>
    <t>96450249HELLUX</t>
  </si>
  <si>
    <t>HBK.3378</t>
  </si>
  <si>
    <t>96450249MGA</t>
  </si>
  <si>
    <t>96451751FORMPART</t>
  </si>
  <si>
    <t>ARKA TEKER PORYA LACETTİ/EVANDA/EPİCA</t>
  </si>
  <si>
    <t>56498010/S</t>
  </si>
  <si>
    <t>96453420CADİC</t>
  </si>
  <si>
    <t xml:space="preserve">ATEŞLEME BOBİN LACETTİ 1.4/1.6 16V </t>
  </si>
  <si>
    <t>96453420DENSO</t>
  </si>
  <si>
    <t>ATEŞLEME BOBİN LACETTİ 1.4/1.6 16V</t>
  </si>
  <si>
    <t>DIC-0117</t>
  </si>
  <si>
    <t>96453420KRAFTVOLL</t>
  </si>
  <si>
    <t>96457360FORMPART</t>
  </si>
  <si>
    <t>ARKA AMORTİSÖR TAKOZ ARKA LACETTİ</t>
  </si>
  <si>
    <t>20407387/S</t>
  </si>
  <si>
    <t>96457360YTT</t>
  </si>
  <si>
    <t>AMORTİSÖR ÜST TAKOZ ARKA LACETTİ</t>
  </si>
  <si>
    <t>Y3117</t>
  </si>
  <si>
    <t>96458084SPJ</t>
  </si>
  <si>
    <t>DIŞ DİKİZ AYNA SAĞ AVEO HB. 05-08 MANUEL</t>
  </si>
  <si>
    <t>E-5222</t>
  </si>
  <si>
    <t>96460002AKD</t>
  </si>
  <si>
    <t>TERMOSTAT LACETTİ 1.4/1.6 16V</t>
  </si>
  <si>
    <t>OP143111</t>
  </si>
  <si>
    <t>96460002ASPART</t>
  </si>
  <si>
    <t>6TCO1119</t>
  </si>
  <si>
    <t xml:space="preserve">TERMOSTAT LACETTİ 1.4/1.6 16V </t>
  </si>
  <si>
    <t>96460002MECARM</t>
  </si>
  <si>
    <t>MECARM</t>
  </si>
  <si>
    <t>96460002VERNET</t>
  </si>
  <si>
    <t>TH7111.87J</t>
  </si>
  <si>
    <t>96462709KORE</t>
  </si>
  <si>
    <t>İÇ AÇMA KOLU ÖN-ARKA KROM SOL KALOS/AVEO T200/T250 HB-SEDAN</t>
  </si>
  <si>
    <t>96462710KORE</t>
  </si>
  <si>
    <t>İÇ AÇMA KOLU ÖN-ARKA KROM SAĞ KALOS/AVEO T200/T250 HB-SEDAN</t>
  </si>
  <si>
    <t xml:space="preserve">96464000BOSCH </t>
  </si>
  <si>
    <t>ATEŞLEME BUJİ KALOS/AVEO/SPARK 1.2 16V/1.0 16V</t>
  </si>
  <si>
    <t>96464000CHAMPION</t>
  </si>
  <si>
    <t>OE199</t>
  </si>
  <si>
    <t>96464786YILPAR</t>
  </si>
  <si>
    <t>YAĞ SOĞUTUCU SU ÇIKIŞ HORTUM C100 2.0D CAPTİVA/ANTARA</t>
  </si>
  <si>
    <t>Y-18842</t>
  </si>
  <si>
    <t>96468826SACHS</t>
  </si>
  <si>
    <t xml:space="preserve">DEBRİYAJ SETİ 1.6 16V LACETTİ///KALOS/AVEO 1.4 16V </t>
  </si>
  <si>
    <t>96468863WİSCO</t>
  </si>
  <si>
    <t>DİREKSİYON KUTUSU AVEO T250/T255 06&gt; HİDROLİK</t>
  </si>
  <si>
    <t>2183068-00</t>
  </si>
  <si>
    <t>96471274KRAFTVOLL</t>
  </si>
  <si>
    <t>ÖN FREN DİSKİ KALOS/AVEO T200/T250/T255</t>
  </si>
  <si>
    <t xml:space="preserve">96471775VEKA </t>
  </si>
  <si>
    <t>ARKA TEKER RULMAN KALOS/AVEO T200/250/255</t>
  </si>
  <si>
    <t>96473221DELPHİ</t>
  </si>
  <si>
    <t>ABS SENSÖR ÖN SOL KALOS/AVEO T200/T250/T255</t>
  </si>
  <si>
    <t>SS20089</t>
  </si>
  <si>
    <t>96473229BOSCH</t>
  </si>
  <si>
    <t>ARKA KAMPANA BALATA KALOS/AVEO</t>
  </si>
  <si>
    <t>96473229FERODO</t>
  </si>
  <si>
    <t>FSB4173</t>
  </si>
  <si>
    <t>96473229KRAFTVOLL</t>
  </si>
  <si>
    <t>96473698ASPART</t>
  </si>
  <si>
    <t>8RCO1064</t>
  </si>
  <si>
    <t>KÜLBÜTÖR KAPAĞI LACETTİ/KALOS/AVEO T200/T255 1.4/1.6 16V</t>
  </si>
  <si>
    <t>96475027DELPHİ</t>
  </si>
  <si>
    <t>ÖN BALATA EPİCA</t>
  </si>
  <si>
    <t>LP2183</t>
  </si>
  <si>
    <t>96475475FRT</t>
  </si>
  <si>
    <t>SU RADYATÖR EVANDA 2.0 16V BRAZİNG +AT</t>
  </si>
  <si>
    <t>96476298-050KING</t>
  </si>
  <si>
    <t>PİSTON SEKMAN 0,50 F14D4 CRUZE 79,50mm</t>
  </si>
  <si>
    <t>96476979BERU</t>
  </si>
  <si>
    <t>ATEŞLEME BOBİN CRUZE/KALOS/AVEO 1.4 16V/1.6 16V</t>
  </si>
  <si>
    <t>ZS571</t>
  </si>
  <si>
    <t>96476979DELPHİ</t>
  </si>
  <si>
    <t>CE01840-12B1A</t>
  </si>
  <si>
    <t>GAZ KELEBEK BOĞAZI AVEO T250/T255 1.4 16V 08&gt;</t>
  </si>
  <si>
    <t>9647880980ŞAHİN</t>
  </si>
  <si>
    <t>KOL BURCU DV4/DV6 1.4HDİ</t>
  </si>
  <si>
    <t>KB4046L004S</t>
  </si>
  <si>
    <t>96481323ZYD</t>
  </si>
  <si>
    <t>ÖN TAMPON TAŞIYICI KALOS/AVEO T200 03&gt;</t>
  </si>
  <si>
    <t>CH999038</t>
  </si>
  <si>
    <t>96481330İTHAL</t>
  </si>
  <si>
    <t>ÖN TAMPON KALOS SEDAN/AVEO HB 2006-2008</t>
  </si>
  <si>
    <t>96489845Y</t>
  </si>
  <si>
    <t>AKS KAFASI İÇ LACETTİ/KALOS/AVEO</t>
  </si>
  <si>
    <t>96495969AKD</t>
  </si>
  <si>
    <t>YAKI DEPO ŞAMANDIRA LACETTİ 1.4/1.6 16V</t>
  </si>
  <si>
    <t>OP137107</t>
  </si>
  <si>
    <t>9649675880ABA</t>
  </si>
  <si>
    <t xml:space="preserve">V KAYIŞ RULMAN 1.6/1.4 16V +AC      </t>
  </si>
  <si>
    <t>9649675880BMS</t>
  </si>
  <si>
    <t>BMS 271</t>
  </si>
  <si>
    <t>V KAYIŞ RULMAN 1.6/1.4 16V +AC</t>
  </si>
  <si>
    <t>96496763BRAXIS</t>
  </si>
  <si>
    <t>ARKA BALATA EPİCA/EVANDA</t>
  </si>
  <si>
    <t>AA0488</t>
  </si>
  <si>
    <t>96496852OEM</t>
  </si>
  <si>
    <t>MOTOR TAKOZ ARKA (TRAVESTEKİ) EVANDA</t>
  </si>
  <si>
    <t>96498005FORMPART</t>
  </si>
  <si>
    <t>ÖN TEKER PORYA EPİCA 5BİJON</t>
  </si>
  <si>
    <t xml:space="preserve">56498005/S </t>
  </si>
  <si>
    <t>96503395BOSCH</t>
  </si>
  <si>
    <t>ATEŞLEME BUJİ KALOS/AVEO 1.4 8V/ASTRA.F C14SE</t>
  </si>
  <si>
    <t>96503395DENSO</t>
  </si>
  <si>
    <t>ATEŞLEME BUJİ 1.2/1.4 8V  T200 KALOS/AVEO</t>
  </si>
  <si>
    <t>W16EPR-U</t>
  </si>
  <si>
    <t>96518531ERP</t>
  </si>
  <si>
    <t>DEBRİYAJ SETİ SPARK/MATİZ/TİCO 0,800CC</t>
  </si>
  <si>
    <t>96534545BRAXIS</t>
  </si>
  <si>
    <t>ÖN FREN HORTUM KALOS/AVEO T200/T250/T255</t>
  </si>
  <si>
    <t>AH0513</t>
  </si>
  <si>
    <t>96534545SWAPP</t>
  </si>
  <si>
    <t>96534653ASPART</t>
  </si>
  <si>
    <t>3BPA1194</t>
  </si>
  <si>
    <t>ÖN FREN BALATA KALOS/AVEO T200/T250/T255</t>
  </si>
  <si>
    <t>96534653AYD</t>
  </si>
  <si>
    <t>11-60135A</t>
  </si>
  <si>
    <t>96534653BOSCH</t>
  </si>
  <si>
    <t>96534653DELPHİ</t>
  </si>
  <si>
    <t>LP1895</t>
  </si>
  <si>
    <t>96534653DJPARTS</t>
  </si>
  <si>
    <t xml:space="preserve">ÖN FREN BALATA KALOS/AVEO T200/T250/T255 </t>
  </si>
  <si>
    <t>BP1111</t>
  </si>
  <si>
    <t>96534653LPR</t>
  </si>
  <si>
    <t>96534653MANDO</t>
  </si>
  <si>
    <t>MPD16</t>
  </si>
  <si>
    <t>96534653MGA</t>
  </si>
  <si>
    <t>96535010FEBİ</t>
  </si>
  <si>
    <t>AMORTİSÖR TAKOZ RULMAN KALOS/AVEO T200/T255</t>
  </si>
  <si>
    <t>96535010LEMFÖRDER</t>
  </si>
  <si>
    <t xml:space="preserve">AMORTİSÖR TAKOZ RULMAN KALOS/AVEO T200/T255 </t>
  </si>
  <si>
    <t>96535066SWAG</t>
  </si>
  <si>
    <t>MOTOR BEŞİK BURCU ARKA KALOS/AVEO T200/T250/T255</t>
  </si>
  <si>
    <t>96535069PRAKSSIS</t>
  </si>
  <si>
    <t>MOTOR BEŞİK BURCU ÖN KALOS/AVEO T200/T250/T255</t>
  </si>
  <si>
    <t>PRA-360614</t>
  </si>
  <si>
    <t>96535069YTT</t>
  </si>
  <si>
    <t>Y3675</t>
  </si>
  <si>
    <t>96535081ASPART</t>
  </si>
  <si>
    <t>1CAR1072</t>
  </si>
  <si>
    <t xml:space="preserve">SALINCAK SOL KALOS/AVEO T200/T250/T255  </t>
  </si>
  <si>
    <t xml:space="preserve">96535081AYD </t>
  </si>
  <si>
    <t>SALINCAK SOL KALOS/AVEO T200/T250/T255</t>
  </si>
  <si>
    <t>97-04996</t>
  </si>
  <si>
    <t>96535081KAPİM</t>
  </si>
  <si>
    <t>96535081SWAPP</t>
  </si>
  <si>
    <t xml:space="preserve">SALINCAK SOL KALOS/AVEO T200/T250/T255   </t>
  </si>
  <si>
    <t>60-04996</t>
  </si>
  <si>
    <t>96535081VOTTO</t>
  </si>
  <si>
    <t>25-01501</t>
  </si>
  <si>
    <t>96535082ASPART</t>
  </si>
  <si>
    <t>1CAR1071</t>
  </si>
  <si>
    <t xml:space="preserve">SALINCAK SAĞ KALOS/AVEO T200/T250/T255  </t>
  </si>
  <si>
    <t>96535082AYD</t>
  </si>
  <si>
    <t xml:space="preserve">SALINCAK SAĞ KALOS/AVEO T200/T250/T255 </t>
  </si>
  <si>
    <t>97-04997</t>
  </si>
  <si>
    <t>96535082KAPİM</t>
  </si>
  <si>
    <t>96535082TEKNOROT</t>
  </si>
  <si>
    <t>CH-208</t>
  </si>
  <si>
    <t>96535082VOTTO</t>
  </si>
  <si>
    <t>VOT-25-01500</t>
  </si>
  <si>
    <t>9653522780SNR</t>
  </si>
  <si>
    <t>V KAYIŞ GERGİ KOMPLE DW8 1.9D/BOXER 2.0/2.2HDİ</t>
  </si>
  <si>
    <t>GA359.98</t>
  </si>
  <si>
    <t>9653522980ALT</t>
  </si>
  <si>
    <t>V KAYIŞ GERGİ KOMPLE DW8</t>
  </si>
  <si>
    <t>9653528780SKT</t>
  </si>
  <si>
    <t>EKSANTRİK KEÇE ET3J4/TU3JP 1.4 16V 206/207/307/C3/C4</t>
  </si>
  <si>
    <t>96535300AYD</t>
  </si>
  <si>
    <t>ROT MİLİ KALOS/AVEO T200/250/255</t>
  </si>
  <si>
    <t>95-05412</t>
  </si>
  <si>
    <t>96535300VOTTO</t>
  </si>
  <si>
    <t>VOT-25-01300</t>
  </si>
  <si>
    <t>96535402YTT</t>
  </si>
  <si>
    <t xml:space="preserve">ŞANZUMAN ALT TAKOZ KALOS/AVEO </t>
  </si>
  <si>
    <t>Y3123</t>
  </si>
  <si>
    <t>96535429RPR</t>
  </si>
  <si>
    <t>MOTOR TAKOZ SAĞ KALOS/AVEO T200/T250/T255 1.4 8V/16V</t>
  </si>
  <si>
    <t>R52509</t>
  </si>
  <si>
    <t>96536525NRF</t>
  </si>
  <si>
    <t>SU RADYATÖR BRAZİNG AVEO/KALOS 04&gt; 1.4 16V MANUEL</t>
  </si>
  <si>
    <t>96536532RPR</t>
  </si>
  <si>
    <t>RADYATÖR ÜST HORTUM KALOS/AVEO T200/T250 1.4</t>
  </si>
  <si>
    <t>R38106</t>
  </si>
  <si>
    <t>96536532SWAPP</t>
  </si>
  <si>
    <t xml:space="preserve">RADYATÖR ÜST HORTUM KALOS/AVEO 1.4 16V </t>
  </si>
  <si>
    <t>96536532YTT</t>
  </si>
  <si>
    <t>RADYATÖR ÜST HORTUM KALOS/AVEO 1.4 16V</t>
  </si>
  <si>
    <t>Y3603</t>
  </si>
  <si>
    <t>96536542KAUTEK</t>
  </si>
  <si>
    <t>RADYATÖR ALT HORTUM 1.2 8V KALOS/AVEO T200/T250</t>
  </si>
  <si>
    <t>CH-RH010</t>
  </si>
  <si>
    <t>96536542YTT</t>
  </si>
  <si>
    <t>Y3617</t>
  </si>
  <si>
    <t>96536598GROS</t>
  </si>
  <si>
    <t xml:space="preserve">RADYATÖR ALT HORTUM KALOS/AVEO 1.4/1.6 8V/16V </t>
  </si>
  <si>
    <t>T30604</t>
  </si>
  <si>
    <t xml:space="preserve">96536598İBRAS </t>
  </si>
  <si>
    <t>RADYATÖR ALT HORTUM KALOS/AVEO 1.4/1.6 8V/16V</t>
  </si>
  <si>
    <t>96536598RPR</t>
  </si>
  <si>
    <t>R38105</t>
  </si>
  <si>
    <t>96536639YTT</t>
  </si>
  <si>
    <t>RADYATÖR ÜST HORTUM KALOS/AVEO T200 1.2 8V</t>
  </si>
  <si>
    <t>Y3605</t>
  </si>
  <si>
    <t>96536666VEKA</t>
  </si>
  <si>
    <t>RADYATÖR FAN MOTOR DAVLUMBAZLI KALOS/AVEO T200/T250 1.2 8V</t>
  </si>
  <si>
    <t>VKA-25-1601</t>
  </si>
  <si>
    <t>96536696ENK</t>
  </si>
  <si>
    <t>HAVA FİLTRE KALOS/AVEO T250/T255</t>
  </si>
  <si>
    <t>ENK</t>
  </si>
  <si>
    <t>96536696EUROFIL</t>
  </si>
  <si>
    <t>EF236696</t>
  </si>
  <si>
    <t>96536696FİLTRON</t>
  </si>
  <si>
    <t xml:space="preserve">HAVA FİLTRE KALOS/AVEO T250/T255 </t>
  </si>
  <si>
    <t>AP082/5</t>
  </si>
  <si>
    <t>96536696MANDO</t>
  </si>
  <si>
    <t>EAF00001M</t>
  </si>
  <si>
    <t>96536696SARDES</t>
  </si>
  <si>
    <t>SA447</t>
  </si>
  <si>
    <t>96536696SİON</t>
  </si>
  <si>
    <t>SH1257</t>
  </si>
  <si>
    <t>96536696SMF</t>
  </si>
  <si>
    <t>SMF8049PJ</t>
  </si>
  <si>
    <t xml:space="preserve">96536696VOLLER </t>
  </si>
  <si>
    <t>VOL-67104</t>
  </si>
  <si>
    <t>96536714YTT</t>
  </si>
  <si>
    <t xml:space="preserve">HAVA FİLTRE KÖRÜĞÜ 1.2 8V KALOS/AVEO T250/T255 </t>
  </si>
  <si>
    <t>Y3137</t>
  </si>
  <si>
    <t xml:space="preserve">96537170SARDES </t>
  </si>
  <si>
    <t>SF183</t>
  </si>
  <si>
    <t>BENZİN FİLTRESİ KALOS/AVEO/LACETTİ/REZZO</t>
  </si>
  <si>
    <t>96537170VOLLER</t>
  </si>
  <si>
    <t>VOL-67707</t>
  </si>
  <si>
    <t xml:space="preserve">BENZİN FİLTRESİ KALOS/AVEO/LACETTİ/REZZO </t>
  </si>
  <si>
    <t>96538061ROOT</t>
  </si>
  <si>
    <t>VİTES KOL KÖRÜĞÜ KALOS/AVEO T200/T250/T255</t>
  </si>
  <si>
    <t>96539649Y</t>
  </si>
  <si>
    <t xml:space="preserve">POLEN FİLTRESİ KALOS/AVEO </t>
  </si>
  <si>
    <t>SMP-1603</t>
  </si>
  <si>
    <t>96539649Y-KARE</t>
  </si>
  <si>
    <t>POLEN FİLTRESİ KALOS/AVEO</t>
  </si>
  <si>
    <t>SMP-1606</t>
  </si>
  <si>
    <t>DÖRTLÜ FLAŞÖR DÜĞMESİ KALOS/AVEO T200</t>
  </si>
  <si>
    <t>96541631CYS</t>
  </si>
  <si>
    <t>DIŞ AÇMA KOLU ÖN SOL AVEO T200/T250/T255//KALOS T200 03-08</t>
  </si>
  <si>
    <t>CYS</t>
  </si>
  <si>
    <t>96541631KORE</t>
  </si>
  <si>
    <t>DIŞ AÇMA KOLU ÖN SOL AVEO T200/T250/T255/KALOS T200</t>
  </si>
  <si>
    <t>96541632CYS</t>
  </si>
  <si>
    <t xml:space="preserve">DIŞ AÇMA KOLU ÖN SAĞ AVEO T200/T250/T255//KALOS T200 03-08 </t>
  </si>
  <si>
    <t>96543073TK-METTE</t>
  </si>
  <si>
    <t>ARKA SİLECEK KOMPLE KALOS/AVEO T200/T250/T255</t>
  </si>
  <si>
    <t>977W7025</t>
  </si>
  <si>
    <t>KAPI İÇ AÇMA KOLU ÖN/ARKA SOL LACETTİ</t>
  </si>
  <si>
    <t>96548064İTHAL</t>
  </si>
  <si>
    <t>KAPI İÇ AÇMA KOLU ÖN/ARKA SAĞ LACETTİ</t>
  </si>
  <si>
    <t xml:space="preserve">96549921ASPART </t>
  </si>
  <si>
    <t>96549921 ASP</t>
  </si>
  <si>
    <t xml:space="preserve">AMORTİSÖR ÜST TAKOZ ÖN LACETTİ </t>
  </si>
  <si>
    <t>96549921RPR</t>
  </si>
  <si>
    <t>AMORTİSÖR ÜST TAKOZ ÖN LACETTİ</t>
  </si>
  <si>
    <t>R52037</t>
  </si>
  <si>
    <t>96550232YTT</t>
  </si>
  <si>
    <t>MOTOR TAKOZ SOL LACETTİ</t>
  </si>
  <si>
    <t>Y3108</t>
  </si>
  <si>
    <t>96550235PRAKSSIS</t>
  </si>
  <si>
    <t>MOTOR TAKOZ SAĞ ÜST LACETTTİ</t>
  </si>
  <si>
    <t>PRA-360507</t>
  </si>
  <si>
    <t>96553249GROS</t>
  </si>
  <si>
    <t xml:space="preserve">RADYATÖR ALT HORTUM LACETTİ </t>
  </si>
  <si>
    <t>T30608</t>
  </si>
  <si>
    <t>96553249İBRAS</t>
  </si>
  <si>
    <t>RADYATÖR ALT HORTUM LACETTİ</t>
  </si>
  <si>
    <t>96553267ASPART</t>
  </si>
  <si>
    <t>RADYATÖR ÜST HORTUM LACETTİ/NUBİRA 1.6 16V</t>
  </si>
  <si>
    <t>96553267YTT</t>
  </si>
  <si>
    <t xml:space="preserve">RADYATÖR ÜST HORTUM LACETTİ/NUBİRA 1.6 16V </t>
  </si>
  <si>
    <t>Y3609</t>
  </si>
  <si>
    <t>96553422NRF</t>
  </si>
  <si>
    <t>SU RADYATÖR BRAZİNG LACETTİ/NUBİRA 1.4/1.6 16V</t>
  </si>
  <si>
    <t>96553450ENK</t>
  </si>
  <si>
    <t>HAVA FİLTRESİ LACETTİ</t>
  </si>
  <si>
    <t xml:space="preserve">96553450FİLTRON </t>
  </si>
  <si>
    <t>AP082/6</t>
  </si>
  <si>
    <t>96553450SARDES</t>
  </si>
  <si>
    <t>SA448</t>
  </si>
  <si>
    <t>96553450SİON</t>
  </si>
  <si>
    <t xml:space="preserve">HAVA FİLTRESİ LACETTİ </t>
  </si>
  <si>
    <t>SH1255</t>
  </si>
  <si>
    <t>96554378Y</t>
  </si>
  <si>
    <t>POLEN FİLTRESİ LACETTİ/NUBİRA</t>
  </si>
  <si>
    <t>96565412BLUEPRİNT</t>
  </si>
  <si>
    <t xml:space="preserve">YAĞ FİLTRESİ KALOS/AVEO T250/T255 1.2 8V </t>
  </si>
  <si>
    <t>ADG02110</t>
  </si>
  <si>
    <t>96565412BOSCH</t>
  </si>
  <si>
    <t>96565412EUROFIL</t>
  </si>
  <si>
    <t>YAĞ FİLTRESİ KALOS/AVEO T250/T255 1.2 8V</t>
  </si>
  <si>
    <t>EFO370765</t>
  </si>
  <si>
    <t>9657083380UCPA</t>
  </si>
  <si>
    <t>15H15345</t>
  </si>
  <si>
    <t>TURBO HAVA GİRİŞ BORU (SUSTURUCU) DV6 1.6HDİ 110HP C5/407/FOCUS/S40/V50</t>
  </si>
  <si>
    <t>96586887DJPARTS</t>
  </si>
  <si>
    <t>ÖN AMORTİSÖR SOL KALOS/AVEO T200/T250/T255</t>
  </si>
  <si>
    <t>DS1363GS</t>
  </si>
  <si>
    <t>96586887MARELLİ</t>
  </si>
  <si>
    <t>96586887MAYSAN</t>
  </si>
  <si>
    <t xml:space="preserve">ÖN AMORTİSÖR SOL KALOS/AVEO T200/T250/T255 </t>
  </si>
  <si>
    <t>PS9412701</t>
  </si>
  <si>
    <t>96586887VOTTO</t>
  </si>
  <si>
    <t>VOT-A-1426G</t>
  </si>
  <si>
    <t>96586888DJPARTS</t>
  </si>
  <si>
    <t xml:space="preserve">ÖN AMORTİSÖR SAĞ KALOS/AVEO T200/T250/T255 </t>
  </si>
  <si>
    <t>DS1362GS</t>
  </si>
  <si>
    <t>96586888MARELLİ</t>
  </si>
  <si>
    <t>ÖN AMORTİSÖR SAĞ KALOS/AVEO T200/T250/T255</t>
  </si>
  <si>
    <t>96586888MAYSAN</t>
  </si>
  <si>
    <t>PS9412703</t>
  </si>
  <si>
    <t>96586888VOTTO</t>
  </si>
  <si>
    <t>VOT-A-1424G</t>
  </si>
  <si>
    <t>96605602XTAEM</t>
  </si>
  <si>
    <t>FAR SİNYAL KOLU PARTNER/207/307</t>
  </si>
  <si>
    <t>AEM</t>
  </si>
  <si>
    <t>21 2651</t>
  </si>
  <si>
    <t>96610562BANDO</t>
  </si>
  <si>
    <t>V KAYIŞ 4PK949 KALOS/AVEO T200/T250/T255 1.2 8V</t>
  </si>
  <si>
    <t>4PK950</t>
  </si>
  <si>
    <t>96610562ECO</t>
  </si>
  <si>
    <t>96610562ROADMAX</t>
  </si>
  <si>
    <t xml:space="preserve">V KAYIŞ 4PK949 KALOS/AVEO T200/T250/T255 1.2 8V </t>
  </si>
  <si>
    <t>948K4</t>
  </si>
  <si>
    <t>96610574BGA</t>
  </si>
  <si>
    <t>TERMOSTAT KALOS/AVEO 1.2 8V/16V//SPARK 0,8CC &lt;2011 88c</t>
  </si>
  <si>
    <t>CT5512K</t>
  </si>
  <si>
    <t>96610574WUPPEN</t>
  </si>
  <si>
    <t>WP360203</t>
  </si>
  <si>
    <t>96615460ROOT</t>
  </si>
  <si>
    <t xml:space="preserve">VİTES KOL KÖRÜĞÜ LACETTİ </t>
  </si>
  <si>
    <t>96618857METTE</t>
  </si>
  <si>
    <t>ÖN PANJUR KROMLU KALOS T200 05-08</t>
  </si>
  <si>
    <t>754K5780</t>
  </si>
  <si>
    <t>9662240180FROWAS</t>
  </si>
  <si>
    <t>RADYATÖR FAN REZİSTANSI (MAVİ) 301/308/3008/5008/TEPEE/BERLİNGO</t>
  </si>
  <si>
    <t>96624721FORMPART</t>
  </si>
  <si>
    <t>AKS KOMPLE SAĞ CAPTİVA C100 2.0D +AT</t>
  </si>
  <si>
    <t xml:space="preserve">56380011/S </t>
  </si>
  <si>
    <t xml:space="preserve">96625873AYD </t>
  </si>
  <si>
    <t xml:space="preserve">FREN DİSKİ ARKA CAPTİVA/ANTARA </t>
  </si>
  <si>
    <t>10-50536</t>
  </si>
  <si>
    <t>96625948ASPART</t>
  </si>
  <si>
    <t>3BDI1069</t>
  </si>
  <si>
    <t>ÖN FREN DİSKİ CAPTİVA/ANTARA 5D296mm</t>
  </si>
  <si>
    <t>96626070ASPART</t>
  </si>
  <si>
    <t>3BPA1243</t>
  </si>
  <si>
    <t xml:space="preserve">ÖN BALATA CAPTİVA/ANTARA  </t>
  </si>
  <si>
    <t>96626070BOGAP</t>
  </si>
  <si>
    <t xml:space="preserve">ÖN BALATA CAPTİVA/ANTARA </t>
  </si>
  <si>
    <t>BOGAP</t>
  </si>
  <si>
    <t>L8210142</t>
  </si>
  <si>
    <t>96626070DELPHİ</t>
  </si>
  <si>
    <t>LP1987</t>
  </si>
  <si>
    <t>96626070MGA</t>
  </si>
  <si>
    <t>96626076DELPHİ</t>
  </si>
  <si>
    <t xml:space="preserve">ARKA BALATA CAPTİVA/ANTARA </t>
  </si>
  <si>
    <t>LP1988</t>
  </si>
  <si>
    <t>96626076Hİ-Q</t>
  </si>
  <si>
    <t>Hİ-Q</t>
  </si>
  <si>
    <t>SP1205</t>
  </si>
  <si>
    <t>96626076VALEO</t>
  </si>
  <si>
    <t xml:space="preserve">ARKA BALATA CAPTİVA/ANTARA  </t>
  </si>
  <si>
    <t>96626150AYD</t>
  </si>
  <si>
    <t xml:space="preserve">Z ROT ARKA CAPTİVA/ANTARA </t>
  </si>
  <si>
    <t>96-05657</t>
  </si>
  <si>
    <t>96626215İTHAL</t>
  </si>
  <si>
    <t>ARKA AMORTİSÖR CAPTİVA/ANTARA</t>
  </si>
  <si>
    <t>96626251RPR</t>
  </si>
  <si>
    <t>VİRAJ DEMİR LASTİK ÖN CAPTİVA/ANTARA C100</t>
  </si>
  <si>
    <t>R54125</t>
  </si>
  <si>
    <t>96626331MGA</t>
  </si>
  <si>
    <t>AMORTİSÖR RULMAN CAPTİVA/ANTARA</t>
  </si>
  <si>
    <t>96626339VEKA</t>
  </si>
  <si>
    <t>ÖN TEKER PORYA CAPTİVA/ANTARA</t>
  </si>
  <si>
    <t>44-1603</t>
  </si>
  <si>
    <t xml:space="preserve">96626439ASPART </t>
  </si>
  <si>
    <t>ARKA TEKER PORYA CAPTİVA/ANTARA</t>
  </si>
  <si>
    <t>1WHU1159</t>
  </si>
  <si>
    <t>96626439Y</t>
  </si>
  <si>
    <t xml:space="preserve">ARKA TEKER PORYA CAPTİVA/ANTARA </t>
  </si>
  <si>
    <t>ETC</t>
  </si>
  <si>
    <t>ETC H0426</t>
  </si>
  <si>
    <t>96626667RB-AYD</t>
  </si>
  <si>
    <t xml:space="preserve">ROT BAŞI CAPTİVA/ANTARA </t>
  </si>
  <si>
    <t>91-05650</t>
  </si>
  <si>
    <t>96626667RK-AYD</t>
  </si>
  <si>
    <t xml:space="preserve">ROT MİLİ CAPTİVA/ANTARA </t>
  </si>
  <si>
    <t>95-05651</t>
  </si>
  <si>
    <t>96626667RK-VOTTO</t>
  </si>
  <si>
    <t xml:space="preserve">ROT MİLİ CAPTİVA/ANTARA  </t>
  </si>
  <si>
    <t>VOT-25-04300</t>
  </si>
  <si>
    <t>96626667VOTTO</t>
  </si>
  <si>
    <t xml:space="preserve">ROT BAŞI CAPTİVA/ANTARA  </t>
  </si>
  <si>
    <t>VOT-25-04200</t>
  </si>
  <si>
    <t>96626772ASPART</t>
  </si>
  <si>
    <t>8ESU1211</t>
  </si>
  <si>
    <t>MOTOR TAKOZ SAĞ CAPTİVA C100/ANTARA 2.0D</t>
  </si>
  <si>
    <t>96626810Y</t>
  </si>
  <si>
    <t>MOTOR TAKOZ ÖN CAPTİVA C100 2.0D</t>
  </si>
  <si>
    <t xml:space="preserve">96626824METTE </t>
  </si>
  <si>
    <t>MOTOR TAKOZ ARKA CAPTİVA C100/ANTARA</t>
  </si>
  <si>
    <t>668M6270</t>
  </si>
  <si>
    <t>96628890ENKFİLTER</t>
  </si>
  <si>
    <t>HAVA FİLTRE CAPTİVA C100/ANTARA</t>
  </si>
  <si>
    <t>96628890EUROFIL</t>
  </si>
  <si>
    <t>EF228890</t>
  </si>
  <si>
    <t>96628890FİLTRON</t>
  </si>
  <si>
    <t>HAVA FİLTRESİ CAPTİVA C100/ANTARA</t>
  </si>
  <si>
    <t>AP109/3</t>
  </si>
  <si>
    <t>96628890FROWAS</t>
  </si>
  <si>
    <t xml:space="preserve">HAVA FİLTRESİ CAPTİVA C100/ANTARA </t>
  </si>
  <si>
    <t>96628890IISI</t>
  </si>
  <si>
    <t>FLH7016</t>
  </si>
  <si>
    <t>96628890KRAFTVOLL</t>
  </si>
  <si>
    <t>96628890METTE</t>
  </si>
  <si>
    <t>741F7331</t>
  </si>
  <si>
    <t>96628890SARDES</t>
  </si>
  <si>
    <t>SA2054</t>
  </si>
  <si>
    <t>96628890WUNDER</t>
  </si>
  <si>
    <t>WH353</t>
  </si>
  <si>
    <t>96628961ASPART</t>
  </si>
  <si>
    <t>5SHO1047</t>
  </si>
  <si>
    <t>HAVA FİLTRE KÖRÜĞÜ UZUN CAPTİVA C100/ANTARA</t>
  </si>
  <si>
    <t>96628976KRAFTVOLL</t>
  </si>
  <si>
    <t>TURBO HORTUM SOL CAPTİVA C140 (UC TARAF)</t>
  </si>
  <si>
    <t>96628976SWAPP</t>
  </si>
  <si>
    <t xml:space="preserve">TURBO HORTUM SOL CAPTİVA C140 (UC TARAF) </t>
  </si>
  <si>
    <t>96628979İBRAS</t>
  </si>
  <si>
    <t xml:space="preserve">TURBO HORTUM SAĞ ALT CAPTİVA C100/ANTARA </t>
  </si>
  <si>
    <t>96628979YTT</t>
  </si>
  <si>
    <t>TURBO HORTUM SAĞ ALT CAPTİVA C100/ANTARA</t>
  </si>
  <si>
    <t>Y3624</t>
  </si>
  <si>
    <t>96628983YTT</t>
  </si>
  <si>
    <t>HAVA FİLTRE HORTUM CAPTİVA ALT</t>
  </si>
  <si>
    <t>Y3635</t>
  </si>
  <si>
    <t>96629082ASPART</t>
  </si>
  <si>
    <t>6HOS1665</t>
  </si>
  <si>
    <t>RADYATÖR ALT HORTUM CAPTİVA C100/ANTARA 2.0D</t>
  </si>
  <si>
    <t>96629118İBRAS</t>
  </si>
  <si>
    <t>DEVİRDAİM ARKA ARA HORTUM CAPTİVA C100 2.0D</t>
  </si>
  <si>
    <t>96629454UFİ</t>
  </si>
  <si>
    <t>MAZOT FİLTRE KABI CAPTİVA C100/ANTARA 2.0D</t>
  </si>
  <si>
    <t>55.163.00</t>
  </si>
  <si>
    <t>96629596YILPAR</t>
  </si>
  <si>
    <t>KALORİFER ÇIKIŞ HORTUM CAPTİVA C100/ANTARA</t>
  </si>
  <si>
    <t>Y18838</t>
  </si>
  <si>
    <t>96639910KRAFTVOLL</t>
  </si>
  <si>
    <t>ARKA Z ROT EPİCA 05-11</t>
  </si>
  <si>
    <t>96650804İTHAL</t>
  </si>
  <si>
    <t>STOP LAMBASI SOL AVEO T250/T255  HB.</t>
  </si>
  <si>
    <t>96652667VALEO</t>
  </si>
  <si>
    <t>DEBRİYAJ ÜST MERKEZ KALOS T200 03-08/LANOS 97-01</t>
  </si>
  <si>
    <t>96653239ASPART</t>
  </si>
  <si>
    <t>1SBE1074</t>
  </si>
  <si>
    <t>AMORTİSÖR ÜST TAKOZ TAKVİYELİ T200/T250/T255 KALOS/AVEO</t>
  </si>
  <si>
    <t>96653239DOGRU</t>
  </si>
  <si>
    <t>DK90-3010</t>
  </si>
  <si>
    <t>96653239YTT</t>
  </si>
  <si>
    <t>Y3158</t>
  </si>
  <si>
    <t>ANA YATAK STD KALOS/AVEO 1.2 8V/SPARK 0,80cc</t>
  </si>
  <si>
    <t>KFM</t>
  </si>
  <si>
    <t>KOL YATAK STD KALOS 1.2 8V/AVEO 1.2 16V// SPARK 0,8CC</t>
  </si>
  <si>
    <t>96659547PARKSSIS</t>
  </si>
  <si>
    <t>SİLİNDİR KAPAĞI SPARK 0.8CC</t>
  </si>
  <si>
    <t>96661301WPI</t>
  </si>
  <si>
    <t>ARKA SİLECEK KOMPLE CAPTİVA/ANTARA</t>
  </si>
  <si>
    <t>96666219FİXON</t>
  </si>
  <si>
    <t>DEVİRDAİM KALOS 1.2 8V/AVEO 1.2 8V/SPARK 0,80CC</t>
  </si>
  <si>
    <t>FXS-28500010</t>
  </si>
  <si>
    <t>96666227OEM</t>
  </si>
  <si>
    <t>SU GİRİŞ FLANŞI KALOS/AVEO 1.2 16V//SPARK M200 0.8/1.0</t>
  </si>
  <si>
    <t xml:space="preserve">96682253S1SACHS </t>
  </si>
  <si>
    <t>ÖN AMORTİSÖR TOZ KÖRÜĞÜ+DARBE TAKOZ SETİ MOKKA/MOKKA.X</t>
  </si>
  <si>
    <t>96694767METTE</t>
  </si>
  <si>
    <t>SİS KAPAĞI SOL AVEO T300</t>
  </si>
  <si>
    <t>754K5745</t>
  </si>
  <si>
    <t xml:space="preserve">9670367680ASPART </t>
  </si>
  <si>
    <t>1WHU1066</t>
  </si>
  <si>
    <t>ÖN PORYA 16&gt; 308/3008/RİFTER/18&gt;C4/BERLİNGO/GRANDLAND.X/COMBO.E</t>
  </si>
  <si>
    <t xml:space="preserve">9670367680MGA </t>
  </si>
  <si>
    <t>9670771480AYD</t>
  </si>
  <si>
    <t>SALINCAK SAĞ 208 12&gt;//DS3 12&gt;</t>
  </si>
  <si>
    <t>97-11166</t>
  </si>
  <si>
    <t>9670771480FROWAS</t>
  </si>
  <si>
    <t>9670771480KAPİM</t>
  </si>
  <si>
    <t>19-70557</t>
  </si>
  <si>
    <t>9670771480VOTTO</t>
  </si>
  <si>
    <t>12-24501</t>
  </si>
  <si>
    <t>9670772080AYD</t>
  </si>
  <si>
    <t>SALINCAK SOL 208 12&gt;//DS3 12&gt;</t>
  </si>
  <si>
    <t>97-11165</t>
  </si>
  <si>
    <t>9670772080FROWAS</t>
  </si>
  <si>
    <t>9670772080KAPİM</t>
  </si>
  <si>
    <t>19-70556</t>
  </si>
  <si>
    <t>9671573180DJPARTS</t>
  </si>
  <si>
    <t>AKS KOMPLE SOL 301/C-ELYSEE 1.6HDİ/1.2VTİ EB2</t>
  </si>
  <si>
    <t>VD1022</t>
  </si>
  <si>
    <t>9671573280DJPARTS</t>
  </si>
  <si>
    <t>AKS KOMPLE SAĞ 301/C-ELYSEE 1.6HDİ/1.2VTİ EB2</t>
  </si>
  <si>
    <t>VD1023</t>
  </si>
  <si>
    <t>9671813380CAVO</t>
  </si>
  <si>
    <t>EL FREN TELİ SA-SOL 208 (KAMPANA TİP)</t>
  </si>
  <si>
    <t>9672348780ABA</t>
  </si>
  <si>
    <t xml:space="preserve">V KAYIŞ 6PK1020 DV6C EURO6 120HP </t>
  </si>
  <si>
    <t>6PK1020</t>
  </si>
  <si>
    <t>9672348780ECO</t>
  </si>
  <si>
    <t>V KAYIŞ 6PK1020 DV6C EURO6 120HP</t>
  </si>
  <si>
    <t>6PK1019</t>
  </si>
  <si>
    <t>FAP DEPOSU MOTORLU 5008/PRT.TEPEE/BERLİNGO/C5/DS5 (SIVI YOK)</t>
  </si>
  <si>
    <t>9672732380WINTECH</t>
  </si>
  <si>
    <t>WIN0500196</t>
  </si>
  <si>
    <t>YAKIT BORUSU 208/2008/C3/DS3 1.2 EB2/EB2F</t>
  </si>
  <si>
    <t>9673629480ERP</t>
  </si>
  <si>
    <t>KLİMA RADYATÖR 308 II/3008 II 16&gt;/508 18&gt;/EXPERT DV5/DV10/C4 GRAND PCS.</t>
  </si>
  <si>
    <t>MOTOR TAKOZ SOL 14&gt;&gt; 308/3008/5008/BERLİNGO/RİFTER/COMBO.E</t>
  </si>
  <si>
    <t>9673768480ÜÇEL</t>
  </si>
  <si>
    <t>9673768780KRAFTVOLL</t>
  </si>
  <si>
    <t>ÇAMURLUK DAVLUMBAZ ÖN SAĞ 208 12-20</t>
  </si>
  <si>
    <t xml:space="preserve">SU FAN REZİSTASNI 308/3008/508/5008/TEPEE/RİFTER/COMBO.E </t>
  </si>
  <si>
    <t>9673999980HERTH+BUSS</t>
  </si>
  <si>
    <t>DEBRİYAJ ALT MERKEZ 308/C4.PİCASSO</t>
  </si>
  <si>
    <t>9674414480CAVO</t>
  </si>
  <si>
    <t>6002 300</t>
  </si>
  <si>
    <t>EL FREN TELİ  301/C-ELYSEE SAĞ/SOL TEKLİ</t>
  </si>
  <si>
    <t>9674665480DJ</t>
  </si>
  <si>
    <t>ARKA AMORTİSÖR 301/C-ELYSEE</t>
  </si>
  <si>
    <t>DS3791GT</t>
  </si>
  <si>
    <t>9674665480KRAFTVOLL</t>
  </si>
  <si>
    <t xml:space="preserve">ARKA AMORTİSÖR 301/C-ELYSEE </t>
  </si>
  <si>
    <t>9674665480OPTİMAL</t>
  </si>
  <si>
    <t xml:space="preserve">ARKA AMORTİSÖR 301/C-ELYSEE  </t>
  </si>
  <si>
    <t>A5025G</t>
  </si>
  <si>
    <t>9674665480SACHS</t>
  </si>
  <si>
    <t xml:space="preserve">9674693880FACET </t>
  </si>
  <si>
    <t>YAĞ MÜŞÜR DV6 1.6HDİ EURO5</t>
  </si>
  <si>
    <t>9674725580EUROFIL</t>
  </si>
  <si>
    <t>HAVA FİLTRESİ EB12 1.2 CORSA.F/301/C-ELYSEE/208/308</t>
  </si>
  <si>
    <t>EF225580</t>
  </si>
  <si>
    <t>9674725580SARDES</t>
  </si>
  <si>
    <t>SA2556</t>
  </si>
  <si>
    <t>9674725580SMF</t>
  </si>
  <si>
    <t>SMF2132HF</t>
  </si>
  <si>
    <t>9674725580WUNDER</t>
  </si>
  <si>
    <t>HAVA FİLTRE EB2 1.2 12V 1.2VTİ</t>
  </si>
  <si>
    <t>WH529</t>
  </si>
  <si>
    <t>9674788980Y</t>
  </si>
  <si>
    <t>MOTOR KAPUTU 301 13&gt; (E.M)</t>
  </si>
  <si>
    <t>9674790780Y</t>
  </si>
  <si>
    <t>ÖN ÇAMURLUK SOL 301 13&gt;</t>
  </si>
  <si>
    <t>9674809080DEPO</t>
  </si>
  <si>
    <t>STOP LAMBASI SOL C-ELYSEE 13&gt;</t>
  </si>
  <si>
    <t>552-1944L-LD-UE</t>
  </si>
  <si>
    <t>RADYATÖR ALT HORTUM 301/C-ELYSEE</t>
  </si>
  <si>
    <t>9674994280BOSCH</t>
  </si>
  <si>
    <t>KLİMA RADYATÖR 301/C-ELYSEE 1.2/1.6 DV6 EURO5</t>
  </si>
  <si>
    <t>1986AD2082</t>
  </si>
  <si>
    <t>9675028880AYD</t>
  </si>
  <si>
    <t>SALINCAK SAĞ 301/C-ELYSEE</t>
  </si>
  <si>
    <t>97-11159</t>
  </si>
  <si>
    <t>9675028880KAPİM</t>
  </si>
  <si>
    <t>19-70559</t>
  </si>
  <si>
    <t>9675028880TEKNOROT</t>
  </si>
  <si>
    <t>CI-408</t>
  </si>
  <si>
    <t>9675028880VOTTO</t>
  </si>
  <si>
    <t>12-22501</t>
  </si>
  <si>
    <t>9675031880AYD</t>
  </si>
  <si>
    <t>SALINCAK SOL 301/C-ELYSEE</t>
  </si>
  <si>
    <t>97-11158</t>
  </si>
  <si>
    <t>9675031880KAPİM</t>
  </si>
  <si>
    <t>19-70558</t>
  </si>
  <si>
    <t>9675031880VOTTO</t>
  </si>
  <si>
    <t>12-22500</t>
  </si>
  <si>
    <t>9675081780SAGEM</t>
  </si>
  <si>
    <t>YAĞ POMPA ELEKTROVANA</t>
  </si>
  <si>
    <t>9675139080-1-AYFAR</t>
  </si>
  <si>
    <t xml:space="preserve">FAR SOL 301 12-16 </t>
  </si>
  <si>
    <t>9675139080AYFAR</t>
  </si>
  <si>
    <t>FAR SOL MOTORLU 301 12-16 +DRL</t>
  </si>
  <si>
    <t>9675139080BİTAPART</t>
  </si>
  <si>
    <t>BPE350062</t>
  </si>
  <si>
    <t>9675140080WAGENBURG</t>
  </si>
  <si>
    <t>FAR SOL ELEKTRİKLİ AYAR KUMANDALI DRL ÖZELLİKLİ C-ELYSEE</t>
  </si>
  <si>
    <t>HC-M43-01L</t>
  </si>
  <si>
    <t>9675202477BRUCKE</t>
  </si>
  <si>
    <t>PARK SENSÖR 208/2008/301/308/508/ EXPERT YAN</t>
  </si>
  <si>
    <t>9675202477KRAW</t>
  </si>
  <si>
    <t>PARK SENSÖR ÖN  208/2008/308/C4/GRANDLAND.X</t>
  </si>
  <si>
    <t>9675390980DELPHİ</t>
  </si>
  <si>
    <t>ATEŞLEME BOBİN 1.2 EB2</t>
  </si>
  <si>
    <t>GN10584-12B1</t>
  </si>
  <si>
    <t>9675627980KALE</t>
  </si>
  <si>
    <t>İNTERCOOL ASTRA.L/GRANDLAND.X/308 II/RİFTER/3008 II</t>
  </si>
  <si>
    <t>9675680980ABRASSE</t>
  </si>
  <si>
    <t>KIZDIRMA BUJİ BOXER III/JUMPER III 4.4V EURO5 2.2HDİ //TRANSİT V347</t>
  </si>
  <si>
    <t>BRS059</t>
  </si>
  <si>
    <t>9675747980METTE</t>
  </si>
  <si>
    <t>SU RADYATÖR BRAZİNG 14&gt;308/3008/508/5008/ASTRA.L/COMBO.E/GRANDLAND/ZAFİRA LİFE/VİVARO.C</t>
  </si>
  <si>
    <t>124R50043</t>
  </si>
  <si>
    <t xml:space="preserve">9675849380FROW </t>
  </si>
  <si>
    <t>TERMOSTAT EB2DTS 130HP 1.2 VTİ 1.2 12V</t>
  </si>
  <si>
    <t>9675874180ROADMAX</t>
  </si>
  <si>
    <t xml:space="preserve">DEVİRDAİM KAYIŞ 1.2THP EB2 </t>
  </si>
  <si>
    <t>738K3</t>
  </si>
  <si>
    <t>YEDEK SU DEPO HORTUM 1.6HDİ DV6C EURO5 301/C-ELYSEE</t>
  </si>
  <si>
    <t>BAGAJ AÇMA BUTONU 208/2008/308/3008/5008/C4/C4 CACTUS/C4 PCS/GRANDLAND.X</t>
  </si>
  <si>
    <t>9676054080FROWAS</t>
  </si>
  <si>
    <t>AKÜ ALT TABLASI 301/C-ELYSEE</t>
  </si>
  <si>
    <t>TERMOSTAT EB2 1.2 12V 208/2008/301</t>
  </si>
  <si>
    <t>9676409580FROW</t>
  </si>
  <si>
    <t>96765876ZD</t>
  </si>
  <si>
    <t>DÖRTLÜ FLAŞÖR DÜĞME 301</t>
  </si>
  <si>
    <t>YEDEK SU DEPO HORTUM İNCE TİP 10&gt;3008</t>
  </si>
  <si>
    <t>9676650780WIN</t>
  </si>
  <si>
    <t>WIN0500302</t>
  </si>
  <si>
    <t>9676736880HILEKS</t>
  </si>
  <si>
    <t>ÇAMURLUK DAVLUMBAZ ÖN SAĞ 301/C-ELYSEE</t>
  </si>
  <si>
    <t>P301R</t>
  </si>
  <si>
    <t>9676736980HILEKS</t>
  </si>
  <si>
    <t>ÇAMURLUK DAVLUMBAZ ÖN SOL 301/C-ELYSEE</t>
  </si>
  <si>
    <t>P301L</t>
  </si>
  <si>
    <t>9676736980KRAFTVOLL</t>
  </si>
  <si>
    <t xml:space="preserve">ÇAMURLUK DAVLUMBAZ ÖN SOL 301/C-ELYSEE </t>
  </si>
  <si>
    <t>9676780580RPR</t>
  </si>
  <si>
    <t>MOTOR TAKOZ SAĞ EB2 1.2THP 208/2008/308 II/C-ELYSEE/C3 II/C3 III/C4 CACTUS/DS3</t>
  </si>
  <si>
    <t>R52307</t>
  </si>
  <si>
    <t>MAZOT FİLTRE SU MÜŞÜRÜ 1.6HDİ DV6FC EURO6/DV5C 1.5BLUHDİ EURO6</t>
  </si>
  <si>
    <t>9676906880WAGENBURG</t>
  </si>
  <si>
    <t>ÖN TAMPON DEMİRİ 301/C-ELYSEE</t>
  </si>
  <si>
    <t>9676946780LUVI</t>
  </si>
  <si>
    <t>ÖN TAMPON ORTA IZGARA 301 13&gt;</t>
  </si>
  <si>
    <t>LUVI</t>
  </si>
  <si>
    <t>9676954580BİTAPART</t>
  </si>
  <si>
    <t>BPE309128</t>
  </si>
  <si>
    <t>ÖN PANEL ÜST BAKALİT 301 E.M</t>
  </si>
  <si>
    <t>9677035280LUVİ</t>
  </si>
  <si>
    <t>KAPUT MENTEŞE MANDALI 301/C-ELYSEE</t>
  </si>
  <si>
    <t>9677066680SVAC</t>
  </si>
  <si>
    <t>ÖN FREN HORTUMU SAĞ 301/C-ELYSEE</t>
  </si>
  <si>
    <t>60-0145</t>
  </si>
  <si>
    <t>9677093080K&amp;B</t>
  </si>
  <si>
    <t>DEBİMETRE DV6 115HP EURO5/2.0HDİ BOXER III EURO6</t>
  </si>
  <si>
    <t>KB13182</t>
  </si>
  <si>
    <t>YEDEK SU DEPO HORTUM 11&gt; 1.5/1.6/2.0BLUEHDİ</t>
  </si>
  <si>
    <t>SİLİNDİR KAPAK CONTA 1.4 8V TU3A/TU3JP</t>
  </si>
  <si>
    <t>9677855380CORTECO</t>
  </si>
  <si>
    <t>ÜST KAPAK CONTA EB2 1.2THP</t>
  </si>
  <si>
    <t>440531P</t>
  </si>
  <si>
    <t>9677855380ELRİNG</t>
  </si>
  <si>
    <t>9677855380GOETZE</t>
  </si>
  <si>
    <t xml:space="preserve">ÜST KAPAK CONTA EB2 1.2THP </t>
  </si>
  <si>
    <t>DEBRİYAJ RULMAN 10&gt;DV6/EB2DTS/EP6CDT 207/208/308/3008/508/5008/C3/C4/DS4/DS5/CROSSLAND.X/GRANDLAND.X</t>
  </si>
  <si>
    <t>9677933380FTE</t>
  </si>
  <si>
    <t>ZA2407.4.6</t>
  </si>
  <si>
    <t>9678048880INA</t>
  </si>
  <si>
    <t>ALTERNATÖR KASNAĞI DV6TED4 1.6HDİ //2.0HDİ</t>
  </si>
  <si>
    <t>BAGAJ ARMA VE PEUGEOT YAZI PARTNER TEPEE</t>
  </si>
  <si>
    <t>9678117580ABRASSE</t>
  </si>
  <si>
    <t>ÖN AMORTİSÖR SAĞ 301 12&gt;/C-ELYSEE 12&gt;</t>
  </si>
  <si>
    <t>BRS-5556GR</t>
  </si>
  <si>
    <t>9678117580DJPARTS</t>
  </si>
  <si>
    <t xml:space="preserve">ÖN AMORTİSÖR SAĞ 301 12&gt;/C-ELYSEE 12&gt; </t>
  </si>
  <si>
    <t>DS3278GS</t>
  </si>
  <si>
    <t>9678117580MOTORTEC</t>
  </si>
  <si>
    <t>9678117580OPTİMAL</t>
  </si>
  <si>
    <t>A3204GR</t>
  </si>
  <si>
    <t>9678117580VOTTO</t>
  </si>
  <si>
    <t>VOT-A-1200G</t>
  </si>
  <si>
    <t>9678125880FROW</t>
  </si>
  <si>
    <t>YEDEK SU DEPOSU ASTRA.L/GRANDLAND.X 1.2</t>
  </si>
  <si>
    <t>9678126080VEMA</t>
  </si>
  <si>
    <t>YEDEK SU DEPOSU RİFTER/COMBO.E/ASTRA.L/GRANDLAND.X/C5 AİR./DV5R/1.5BLUEHDİ/EP6FADT</t>
  </si>
  <si>
    <t>9678175780SVAC</t>
  </si>
  <si>
    <t>ÖN FREN HORTUMU SOL 301/C-ELYSEE</t>
  </si>
  <si>
    <t>60-0146</t>
  </si>
  <si>
    <t>PARTNER YAZI PARTNER TEPEE 08&gt;</t>
  </si>
  <si>
    <t>9678311280KAPİM</t>
  </si>
  <si>
    <t>SALINCAK SAĞ KOMPLE 13&gt;308 II // 14&gt; C4 PİCASSO</t>
  </si>
  <si>
    <t>9678311380KAPİM</t>
  </si>
  <si>
    <t>SALINCAK SOL KOMPLE 13&gt;308 II // 14&gt; C4 PİCASSO</t>
  </si>
  <si>
    <t>9678414380ABRASSE</t>
  </si>
  <si>
    <t>ÖN HELEZON YAY 301/C-ELYSEE</t>
  </si>
  <si>
    <t>BRS-5003-PG</t>
  </si>
  <si>
    <t>AMORTİSÖR TOZ KÖRÜĞÜ 3008/5008 II</t>
  </si>
  <si>
    <t>9678792080Y</t>
  </si>
  <si>
    <t>POLEN FİLTRE 301/C-ELYSEE ÇİFTLİ</t>
  </si>
  <si>
    <t>SMP-1156Ç</t>
  </si>
  <si>
    <t>9678823080DJ</t>
  </si>
  <si>
    <t>ARKA AMORTİSÖR 208 12&gt;</t>
  </si>
  <si>
    <t>DS3788GT</t>
  </si>
  <si>
    <t>96800089VALEO</t>
  </si>
  <si>
    <t>ARKA BALATA LACETTİ (KISA KULAK)</t>
  </si>
  <si>
    <t>96801271BGA</t>
  </si>
  <si>
    <t>LİFTER CAPTİVA C100/ANTARA 2.0D</t>
  </si>
  <si>
    <t>HL5380</t>
  </si>
  <si>
    <t>96806010AKD</t>
  </si>
  <si>
    <t>HAVA SICAKLIK SENSÖR KALOS/AVEO T255 1.4 16V</t>
  </si>
  <si>
    <t>OP126120</t>
  </si>
  <si>
    <t>96806010FROWAS</t>
  </si>
  <si>
    <t xml:space="preserve">HAVA SICAKLIK SENSÖR KALOS/AVEO T255 1.4 16V </t>
  </si>
  <si>
    <t>96806979YTT</t>
  </si>
  <si>
    <t>RADYATÖR ÜST HORTUM KALOS/AVEO 1.2 16V</t>
  </si>
  <si>
    <t>Y3620</t>
  </si>
  <si>
    <t>96806980YTT</t>
  </si>
  <si>
    <t>RADYATÖR ALT HORTUM KALOS/AVEO T250/T255 1.2 16V</t>
  </si>
  <si>
    <t>Y3621</t>
  </si>
  <si>
    <t>HAVA FİLTRE KUTUSU KOMPLE AVEO T255</t>
  </si>
  <si>
    <t>96808459Y</t>
  </si>
  <si>
    <t>DEVİRDAİM HORTUM KALOS/AVEO 1.2 16V</t>
  </si>
  <si>
    <t>96809676DOGRU</t>
  </si>
  <si>
    <t xml:space="preserve">SALINCAK BURCU BÜYÜK CAPTİVA </t>
  </si>
  <si>
    <t>DK90-3013</t>
  </si>
  <si>
    <t>96810752RPR</t>
  </si>
  <si>
    <t>VİRAJ DEMİR LASTİK ARKA CAPTİVA/ANTARA</t>
  </si>
  <si>
    <t>R54126</t>
  </si>
  <si>
    <t>96810843MGA</t>
  </si>
  <si>
    <t>RADYATÖR ÜST HORTUM AVEO/KALOS 1.4 16V 09&gt;</t>
  </si>
  <si>
    <t>96810843RPR</t>
  </si>
  <si>
    <t>R38107</t>
  </si>
  <si>
    <t>96810843YTT</t>
  </si>
  <si>
    <t>Y3631</t>
  </si>
  <si>
    <t>96813397METTE</t>
  </si>
  <si>
    <t>HAVA FİLTRE HORTUM AVEO T250/T255 1.2 16V</t>
  </si>
  <si>
    <t>668M6385</t>
  </si>
  <si>
    <t>96813425Y</t>
  </si>
  <si>
    <t>YEDEK SU DEPO LACETTİ</t>
  </si>
  <si>
    <t>96814870Y</t>
  </si>
  <si>
    <t>SİLİNDİR KAPAK SU FLANŞ 1.4/1.6 16V LACETTİ/KALOS/AVEO</t>
  </si>
  <si>
    <t>96814910TAP</t>
  </si>
  <si>
    <t>AHTAPOT HORTUM KALOS/AVEO 1.2 8V</t>
  </si>
  <si>
    <t>TAP.96814910</t>
  </si>
  <si>
    <t>96814910Y</t>
  </si>
  <si>
    <t>96815490CYS</t>
  </si>
  <si>
    <t>HARARET MÜŞÜR KALOS/AVEO 1.2 8V</t>
  </si>
  <si>
    <t>96817889Y</t>
  </si>
  <si>
    <t>SU RADYATÖRÜ AVEO 1.2 16V 2009-2011 (BRAZING) +AT</t>
  </si>
  <si>
    <t>96819161ASPART</t>
  </si>
  <si>
    <t>1CAR1331</t>
  </si>
  <si>
    <t>SALINCAK SOL CAPTİVA C100/ANTARA</t>
  </si>
  <si>
    <t>96819161AYD</t>
  </si>
  <si>
    <t>97-05654</t>
  </si>
  <si>
    <t>96819162ASPART</t>
  </si>
  <si>
    <t>1CAR1330</t>
  </si>
  <si>
    <t>SALINCAK SAĞ CAPTİVA C100/ANTARA</t>
  </si>
  <si>
    <t>96819162KAPİM</t>
  </si>
  <si>
    <t xml:space="preserve">SALINCAK SAĞ CAPTİVA C100 </t>
  </si>
  <si>
    <t>18-70157</t>
  </si>
  <si>
    <t>96819162KRAFTVOLL</t>
  </si>
  <si>
    <t>96827723FİLTRON</t>
  </si>
  <si>
    <t>HAVA FİLTRESİ SPARK M300</t>
  </si>
  <si>
    <t>96828234METTE</t>
  </si>
  <si>
    <t>FAR SOL CRUZE J300 (SİYAH KENAR)</t>
  </si>
  <si>
    <t>293L3158</t>
  </si>
  <si>
    <t>96829535KALE</t>
  </si>
  <si>
    <t>RADYATÖR FAN MOTOR DAVLUMBAZLI CAPTİVA C100/ANTARA 2.0D</t>
  </si>
  <si>
    <t xml:space="preserve">96829741SACHS </t>
  </si>
  <si>
    <t>DEBRİYAJ SET CRUZE/LACETTİ/MOKKA A16XER</t>
  </si>
  <si>
    <t>96830937METTE</t>
  </si>
  <si>
    <t>STOP SOL CAPTİVA C100 (BEYAZ ŞEFFAF)</t>
  </si>
  <si>
    <t>293L3405</t>
  </si>
  <si>
    <t>96831062İTHAL</t>
  </si>
  <si>
    <t>FAR SAĞ AVEO T300 12&gt;</t>
  </si>
  <si>
    <t>96831841CYS</t>
  </si>
  <si>
    <t>DIŞ DİKİZ AYNA SOL ELEKTRİKLİ CRUZE J300 09&gt;&gt;</t>
  </si>
  <si>
    <t>96831841Y</t>
  </si>
  <si>
    <t>DIŞ DİKİ AYNA SOL CRUZE ELEKTRİKLİ</t>
  </si>
  <si>
    <t>96832585AKD</t>
  </si>
  <si>
    <t xml:space="preserve">DEBRİYAJ RULMAN CRUZE </t>
  </si>
  <si>
    <t>OP113108</t>
  </si>
  <si>
    <t>96832585FTE</t>
  </si>
  <si>
    <t>DEBRİYAJ RULMAN CRUZE</t>
  </si>
  <si>
    <t>ZA34055.3.1</t>
  </si>
  <si>
    <t xml:space="preserve">96832585SACHS </t>
  </si>
  <si>
    <t>96834082KALE</t>
  </si>
  <si>
    <t>KLİMA RADYATÖR KALOS/AVEO T200/T250 1.2 8V</t>
  </si>
  <si>
    <t xml:space="preserve">96837836METTE </t>
  </si>
  <si>
    <t>YEDEK SU DEPOSU CAPTİVA C100/ANTARA</t>
  </si>
  <si>
    <t>125D5144</t>
  </si>
  <si>
    <t>96840122Y</t>
  </si>
  <si>
    <t>SUBAP LASTİK 1.4/1.6 16V KALOS/AVEO/LACETTİ/REZZO</t>
  </si>
  <si>
    <t>96853909WİSCO</t>
  </si>
  <si>
    <t xml:space="preserve">ARKA AMORTİSÖR TAKOZ SOL AVEO T300 </t>
  </si>
  <si>
    <t>2193030-00</t>
  </si>
  <si>
    <t>96853910WİSCO</t>
  </si>
  <si>
    <t>ARKA AMORTİSÖR TAKOZ SAĞ AVEO T300</t>
  </si>
  <si>
    <t>2193031-00</t>
  </si>
  <si>
    <t>96859498CYS</t>
  </si>
  <si>
    <t>VİRAJ DEMİR LASTİĞİ ÖN EPİCA</t>
  </si>
  <si>
    <t>96861986İBRAS</t>
  </si>
  <si>
    <t xml:space="preserve">KALORİFER GİRİŞ HORTUM CAPTİVA C100/ANTARA </t>
  </si>
  <si>
    <t>96861986YILPAR</t>
  </si>
  <si>
    <t>Y18839</t>
  </si>
  <si>
    <t>96861986YTT</t>
  </si>
  <si>
    <t>KALORİFER GİRİŞ HORTUM 2.0D CAPTİVA/ANTARA</t>
  </si>
  <si>
    <t>Y3641</t>
  </si>
  <si>
    <t>96868477ASPART</t>
  </si>
  <si>
    <t>V KAYIŞ GERGİ RULMANI ÜST CAPTIVA C140 Z22D</t>
  </si>
  <si>
    <t>96870493MGA</t>
  </si>
  <si>
    <t xml:space="preserve">AKS TAŞIYICI AKSON SOL KALOS/AVEO ABSLİ 04-11 64mm </t>
  </si>
  <si>
    <t>96870493SWAPP</t>
  </si>
  <si>
    <t>96874570KRAW</t>
  </si>
  <si>
    <t>FREN PEDAL MÜŞÜRÜ AVEO/KALOS/LACETTİ/REZZO</t>
  </si>
  <si>
    <t>AN-2353</t>
  </si>
  <si>
    <t>96874571OEM</t>
  </si>
  <si>
    <t>FREN PEDAL MÜŞÜR LACETTİ/KALOS T200 03-08/AVEO T200/T250/T255/SPARK M200/M300</t>
  </si>
  <si>
    <t>COE</t>
  </si>
  <si>
    <t>96874571WİSCO</t>
  </si>
  <si>
    <t>2283105-00</t>
  </si>
  <si>
    <t>9687602180BOSCH</t>
  </si>
  <si>
    <t>ÖN FREN DİSKİ 5D302mm MOKKA.B/FRONTERA.C/CORSA.F EV.///307cc/207cc 1.6THP</t>
  </si>
  <si>
    <t>9688031280OTOCONTA</t>
  </si>
  <si>
    <t>KATALİZÖR CONTA EB2 1.2</t>
  </si>
  <si>
    <t>9688031280ROYAL</t>
  </si>
  <si>
    <t xml:space="preserve">KATALİZÖR CONTA EB2 1.2 </t>
  </si>
  <si>
    <t>96896007SUPSAN</t>
  </si>
  <si>
    <t>SUBAP TAKIM LACETTİ/KALOS/AVEO 1.4/1.6 16V</t>
  </si>
  <si>
    <t>TV-40652-40653</t>
  </si>
  <si>
    <t>96896007TETİK</t>
  </si>
  <si>
    <t>CHE-109</t>
  </si>
  <si>
    <t>96896403BLUEPRİNT</t>
  </si>
  <si>
    <t>MAZOT FİLTRESİ T300/MOKKA/TRAX</t>
  </si>
  <si>
    <t>ADG02372</t>
  </si>
  <si>
    <t>96896403GRAT</t>
  </si>
  <si>
    <t xml:space="preserve">MAZOT FİLTRESİ T300/MOKKA/TRAX </t>
  </si>
  <si>
    <t>GRT-14306</t>
  </si>
  <si>
    <t>96896403KRAFTVOLL</t>
  </si>
  <si>
    <t>96896403MANDO</t>
  </si>
  <si>
    <t>MMF030042</t>
  </si>
  <si>
    <t>96896403MANN</t>
  </si>
  <si>
    <t>PU7012Z</t>
  </si>
  <si>
    <t>96896403SARDES</t>
  </si>
  <si>
    <t>SF384</t>
  </si>
  <si>
    <t>96896403VOLLER</t>
  </si>
  <si>
    <t>VOL-66863/4</t>
  </si>
  <si>
    <t>96897428ASPART</t>
  </si>
  <si>
    <t>8RCO1069</t>
  </si>
  <si>
    <t>KÜLBÜTÖR KAPAĞI LACETTİ/KALOS/AVEO T200/T255 1.4/1.6 16V (YAN ÇIKIŞSIZ)</t>
  </si>
  <si>
    <t>96899976KORE</t>
  </si>
  <si>
    <t>DEBRİYAJ TELİ AVEO 2009-2011</t>
  </si>
  <si>
    <t xml:space="preserve">96930818KALE </t>
  </si>
  <si>
    <t xml:space="preserve">YEDEK SU DEPO KALOS/AVEO T250/T255 </t>
  </si>
  <si>
    <t>96930818KRAFTVOLL</t>
  </si>
  <si>
    <t>YEDEK SU DEPO KALOS/AVEO T250/T255</t>
  </si>
  <si>
    <t xml:space="preserve">96930818METTE </t>
  </si>
  <si>
    <t>125D5113</t>
  </si>
  <si>
    <t>96940890METTE</t>
  </si>
  <si>
    <t>BAGAJ AÇMA BUTONU AVEO T300</t>
  </si>
  <si>
    <t>754K4924</t>
  </si>
  <si>
    <t>96940954MANUS</t>
  </si>
  <si>
    <t>BAGAJ AMORTİSÖR LACETTİ HB 440mm</t>
  </si>
  <si>
    <t>96942180ORİS</t>
  </si>
  <si>
    <t>SU RADYATÖR BRAZİNG KALOS/AVEO T250/T255 09-11 1.4 16V +AT</t>
  </si>
  <si>
    <t>BCH032026</t>
  </si>
  <si>
    <t>96943781WAXELL</t>
  </si>
  <si>
    <t>ARKA AMORTİSÖR SOL EPİCA</t>
  </si>
  <si>
    <t>96943782WAXELL</t>
  </si>
  <si>
    <t>ARKA AMORTİSÖR SAĞ EPİCA</t>
  </si>
  <si>
    <t>WAXELL</t>
  </si>
  <si>
    <t>96950990EUROFIL</t>
  </si>
  <si>
    <t>HAVA FİLTRESİ AVEO T300 11--</t>
  </si>
  <si>
    <t>EF250990</t>
  </si>
  <si>
    <t>96950990METTE</t>
  </si>
  <si>
    <t>741F7336</t>
  </si>
  <si>
    <t>96950990SARDES</t>
  </si>
  <si>
    <t>SA2523</t>
  </si>
  <si>
    <t>96950990SMF</t>
  </si>
  <si>
    <t>2186HF</t>
  </si>
  <si>
    <t>96950990VOLLER</t>
  </si>
  <si>
    <t>VOL-67100</t>
  </si>
  <si>
    <t>96951455Y</t>
  </si>
  <si>
    <t>SUBAP TAKIM CAPTİVA C100 2.0D/ANTARA 2.0D</t>
  </si>
  <si>
    <t>UZAKDOĞU</t>
  </si>
  <si>
    <t>96951454-455</t>
  </si>
  <si>
    <t>96951465DELPHİ</t>
  </si>
  <si>
    <t>OKSİJEN SENSÖR KALOS/AVEO T200/T255 09-11 1.4 16V</t>
  </si>
  <si>
    <t>ES20144-12B1</t>
  </si>
  <si>
    <t>96951465FAE</t>
  </si>
  <si>
    <t>OKSİJEN SENSÖR KALOS/AVEO T200/T255 09-11 1.4 16V KONUM 1</t>
  </si>
  <si>
    <t>96958193İBRAS</t>
  </si>
  <si>
    <t>RADYATÖR ÜST HORTUM AVEO T300 A13DTE</t>
  </si>
  <si>
    <t>96958197İBRAS</t>
  </si>
  <si>
    <t xml:space="preserve">RADYATÖR ALT HORTUM AVEO T300 A12XER/A14XER </t>
  </si>
  <si>
    <t>96958204İBRAS</t>
  </si>
  <si>
    <t>YEDEK SU DEPO ALT HORTUM (RADYATÖRE) AVEO T300 A13DTE</t>
  </si>
  <si>
    <t>96958215YILPAR</t>
  </si>
  <si>
    <t>KALORİFER ÇIKIŞ HORTUM AVEO T300 1.2/1.4 16V</t>
  </si>
  <si>
    <t>Y18854</t>
  </si>
  <si>
    <t>96963220MANDO</t>
  </si>
  <si>
    <t>SİLİNDİR KAPAK CONTA (ÇİFT YAĞ KANALLI) 1.4/1.6 16V KALOS/AVEO/LACETTİ/REZZO</t>
  </si>
  <si>
    <t>EGHMD00008</t>
  </si>
  <si>
    <t>96963220Y</t>
  </si>
  <si>
    <t>SİLİNDİR KAPAK CONTA (ÇİFT YAĞ KANAL) 1.4/1.6 16V LACETTİ/KALOS/AVEO</t>
  </si>
  <si>
    <t>96970076KRAFTVOLL</t>
  </si>
  <si>
    <t>SALINCAK ÖN SAĞ EPİCA 05-11</t>
  </si>
  <si>
    <t>96970077KRAFTVOLL</t>
  </si>
  <si>
    <t>SALINCAK ÖN SOL EPİCA 05-11</t>
  </si>
  <si>
    <t xml:space="preserve">ÖN TAMPON CRUZE J300 10-12 </t>
  </si>
  <si>
    <t>96981088İTHAL</t>
  </si>
  <si>
    <t>ÖN TAMPON CRUZE J300 10-12</t>
  </si>
  <si>
    <t>96981088METTE</t>
  </si>
  <si>
    <t>754K5728</t>
  </si>
  <si>
    <t xml:space="preserve">96981093METTE </t>
  </si>
  <si>
    <t>ÖN PANJUR ALT CRUZE J300/J305 10-14</t>
  </si>
  <si>
    <t>754K5725</t>
  </si>
  <si>
    <t>96981100METTE</t>
  </si>
  <si>
    <t>ÖN PANJUR ÜST CRUZE J300/J305 10-14</t>
  </si>
  <si>
    <t>754K5724</t>
  </si>
  <si>
    <t>96981698KRAFVOLL</t>
  </si>
  <si>
    <t>ÇAMURLUK DAVLUMBAZ ÖN SAĞ CRUZE</t>
  </si>
  <si>
    <t>96984145GLOBAL</t>
  </si>
  <si>
    <t>BUJİ KABLO TAKIM AVEO/KALOS/SPARK 1.2 16V</t>
  </si>
  <si>
    <t>GL-3072</t>
  </si>
  <si>
    <t>96984992AKD</t>
  </si>
  <si>
    <t>VİTES KOL KÖRÜĞÜ NİKELAJ ÇITALI CRUZE</t>
  </si>
  <si>
    <t>OP150116</t>
  </si>
  <si>
    <t>96985730EUROFİL</t>
  </si>
  <si>
    <t xml:space="preserve">YAĞ FİLTRESİ KALOS/AVEO 1.2 </t>
  </si>
  <si>
    <t>EFO385730</t>
  </si>
  <si>
    <t>96985730FİLTRON</t>
  </si>
  <si>
    <t xml:space="preserve">YAĞ FİLTRESİ KALOS/AVEO 1.2  </t>
  </si>
  <si>
    <t>OP564/1</t>
  </si>
  <si>
    <t>96985730MOTOEC</t>
  </si>
  <si>
    <t>YAĞ FİLTRESİ KALOS/AVEO 1.2</t>
  </si>
  <si>
    <t>MOTOEC</t>
  </si>
  <si>
    <t>96985730UFİ</t>
  </si>
  <si>
    <t xml:space="preserve">96985730VALEO </t>
  </si>
  <si>
    <t>96989017ABA</t>
  </si>
  <si>
    <t>V KAYIŞ 6PK2065 CAPTİVA C100 2.0D</t>
  </si>
  <si>
    <t>6PK2063</t>
  </si>
  <si>
    <t>96989017BOSCH</t>
  </si>
  <si>
    <t>96990678ABA</t>
  </si>
  <si>
    <t xml:space="preserve">V KAYIŞ 6PK1873 KALOS/AVEO 1.4 16V/VECTRA.A 1.8/2.0 8V  </t>
  </si>
  <si>
    <t>6PK1873</t>
  </si>
  <si>
    <t>96990678BANDO</t>
  </si>
  <si>
    <t xml:space="preserve">V KAYIŞ 6PK1873 KALOS/AVEO 1.4 16V/VECTRA.A 1.8/2.0 8V </t>
  </si>
  <si>
    <t>6PK1875</t>
  </si>
  <si>
    <t>96990678BOSCH</t>
  </si>
  <si>
    <t>V KAYIŞ 6PK1873 KALOS/AVEO 1.4 16V</t>
  </si>
  <si>
    <t>96990678GATES</t>
  </si>
  <si>
    <t>V KAYIŞ 6PK1873 KALOS/AVEO 1.4 16V/VECTRA.A 1.8/2.0 8V</t>
  </si>
  <si>
    <t>96990678ROADMAX</t>
  </si>
  <si>
    <t>1873K6</t>
  </si>
  <si>
    <t>9701687000PLEKSAN</t>
  </si>
  <si>
    <t>DEPO ŞAMANDIRA KAPAĞI</t>
  </si>
  <si>
    <t>PARTİKÜL KATKI SIVISI 1 LT</t>
  </si>
  <si>
    <t>PRO</t>
  </si>
  <si>
    <t>9800097580KRAFTVOLL</t>
  </si>
  <si>
    <t>HAVA FİLTRESİ DW10FC 2.0BLUEHDİ EXPERT/VİVARO/JUMPY</t>
  </si>
  <si>
    <t>9800097580SARDES</t>
  </si>
  <si>
    <t>SA2823</t>
  </si>
  <si>
    <t>9800097580SİON</t>
  </si>
  <si>
    <t>SH1809</t>
  </si>
  <si>
    <t>9800097580VOLLER</t>
  </si>
  <si>
    <t xml:space="preserve">HAVA FİLTRESİ DW10FC 2.0BLUEHDİ EXPERT/VİVARO/JUMPY </t>
  </si>
  <si>
    <t>VOL-64133/1</t>
  </si>
  <si>
    <t>FREN VAKUM POMPA CONTA DW10FU 2.0HDİ EURO6</t>
  </si>
  <si>
    <t>PARK SENSÖR YAN GRANDLAND.X</t>
  </si>
  <si>
    <t>9800479780ASPART</t>
  </si>
  <si>
    <t>1SBE1123</t>
  </si>
  <si>
    <t xml:space="preserve">AMORTİSÖR ÜST TAKOZ 14&gt; 308/3008/GRANDLAND.X/COMBO.E/RİFTER/DS7/C4 GRANDPCS. </t>
  </si>
  <si>
    <t>9800479780ASPART-TK</t>
  </si>
  <si>
    <t>1SBE1122</t>
  </si>
  <si>
    <t>AMORTİSÖR ÜST TAKOZ RULMANLI 14&gt; 308/3008/GRANDLAND.X/COMBO.E/RİFTER/DS7/C4 GRANDPCS.</t>
  </si>
  <si>
    <t>9800479780CM</t>
  </si>
  <si>
    <t>9800479780ERASTECH</t>
  </si>
  <si>
    <t>9800480380GMY</t>
  </si>
  <si>
    <t>AMORTİSÖR RULMANI 14&gt;308/3008/5008/GRANDLAND.X/COMBO.E/RİFTER</t>
  </si>
  <si>
    <t>G11108-B</t>
  </si>
  <si>
    <t>9800480380SNR</t>
  </si>
  <si>
    <t>M259.12</t>
  </si>
  <si>
    <t>9800534080ABA</t>
  </si>
  <si>
    <t>V KAYIŞ 6PK893</t>
  </si>
  <si>
    <t>6PK893</t>
  </si>
  <si>
    <t>9800534080ROADMAX</t>
  </si>
  <si>
    <t>893K6</t>
  </si>
  <si>
    <t>9800777280KALE</t>
  </si>
  <si>
    <t>YEDEK SU DEPO 12&gt; 301/207/208/1007/C-ELYSEE/C3/CROSSLAND.X</t>
  </si>
  <si>
    <t xml:space="preserve">KALE  </t>
  </si>
  <si>
    <t>9800777280SPK-K</t>
  </si>
  <si>
    <t>YEDEK SU DEPO 12&gt; 301/207/208/1007/C-ELYSEE/C3/CROSSLAND.X KAPAKLI</t>
  </si>
  <si>
    <t>229-K</t>
  </si>
  <si>
    <t>9800777280SWAPP</t>
  </si>
  <si>
    <t xml:space="preserve">9800777280ÜÇEL </t>
  </si>
  <si>
    <t>9800916180VALEO</t>
  </si>
  <si>
    <t>STOP SOL C4 CACTUS 14&gt;</t>
  </si>
  <si>
    <t>EGSOZ MANİFOLT CONTA BOXER III/EXPERT 4 DW10FU 2.0HDİ/2.2HDİ EURO6</t>
  </si>
  <si>
    <t>9800943180ELRİNG</t>
  </si>
  <si>
    <t xml:space="preserve">EKSOZ MANİFOLT CONTA EXPERT IV/ZAFİRA LİFE/VİVARO/BOXER III 2.0HDİ/2.2HDİ EURO6 DW10FU/DW12RU </t>
  </si>
  <si>
    <t>YAĞ KARTERİ DW10FE 2.0HDİ EURO6 EXPERT IV/JUMPY 16&gt;</t>
  </si>
  <si>
    <t>DEBRİYAJ ÜST MERKEZ 301/C-ELYSEE BE4R</t>
  </si>
  <si>
    <t>9801280680İBRAS</t>
  </si>
  <si>
    <t>TURBO HORTUM 1.6HDİ DV6TED4 06&gt; 207/208/301/2008/3008/5008/C3/C4/C-ELYSEE/DS3</t>
  </si>
  <si>
    <t>9801280680SWAPP</t>
  </si>
  <si>
    <t>9801280680YTT</t>
  </si>
  <si>
    <t>TURBO HORTUM GRANDLAND 1.5/1.6D//CROSSLAND 1.5/1.6D//301/208/2008/C3/C4 DV6</t>
  </si>
  <si>
    <t>Y32165</t>
  </si>
  <si>
    <t>MAZOT FİLTRE 1.6BLUEHDİ EURO6 DV6FC 120HP</t>
  </si>
  <si>
    <t>9801366680DELPHİ</t>
  </si>
  <si>
    <t>HDF892</t>
  </si>
  <si>
    <t>9801366680ERP</t>
  </si>
  <si>
    <t>MAZOT FİLTRESİ DV6 EURO6 120HP</t>
  </si>
  <si>
    <t>9801366680EUROFİL</t>
  </si>
  <si>
    <t>EFF272152</t>
  </si>
  <si>
    <t>9801366680METTE</t>
  </si>
  <si>
    <t>741F7613</t>
  </si>
  <si>
    <t>9801366680WUNDER</t>
  </si>
  <si>
    <t>WB406Z</t>
  </si>
  <si>
    <t>9801573380VALEO</t>
  </si>
  <si>
    <t>DEVİRDAİM EP6CDT/EP6FADT</t>
  </si>
  <si>
    <t>9801666680MGA</t>
  </si>
  <si>
    <t>RADYATÖR FAN MOTOR DAVLUMBAZLI 301/C-ELYSEE/207/208/2008/CROSSLAND.X 1.2/1.5D/1.6D</t>
  </si>
  <si>
    <t>VAKUM POMPA CONTA EB2 1.2 110 HP</t>
  </si>
  <si>
    <t>9801737680OTOCONTA</t>
  </si>
  <si>
    <t>TERMOSTAT CONTA DB2 1.2 12V</t>
  </si>
  <si>
    <t>SELENOİD VALF DV6 EURO5 301/308/C4/C-ELYSEE</t>
  </si>
  <si>
    <t>9802144580VOTTO</t>
  </si>
  <si>
    <t>ÖN AMORTİSÖR SOL 208 47MM 12&gt;</t>
  </si>
  <si>
    <t>VOT-A-1280G</t>
  </si>
  <si>
    <t>9802144680VOTTO</t>
  </si>
  <si>
    <t>ÖN AMORTİSÖR SAĞ 208 47MM 12&gt;</t>
  </si>
  <si>
    <t>VOT-A-1278G</t>
  </si>
  <si>
    <t>9802348680LEV</t>
  </si>
  <si>
    <t>HAVA FİLTRE DV6FD/DV6FC EURO6 BLUEHDİ/CROSSLAND.X/208/2008/3008/5008</t>
  </si>
  <si>
    <t>9802348680METTE</t>
  </si>
  <si>
    <t>741F7385</t>
  </si>
  <si>
    <t>9802348680SMF</t>
  </si>
  <si>
    <t>2154HF</t>
  </si>
  <si>
    <t>9802348680VOLLER</t>
  </si>
  <si>
    <t>VOL-64125/1</t>
  </si>
  <si>
    <t>YÜKSEK BASINÇ POMPA TUŞU EB2/1.2THP</t>
  </si>
  <si>
    <t>ENJEKTÖR KOMPLE DV6C EURO5 (SIEMENS) 1.6HDİ 8V</t>
  </si>
  <si>
    <t>9802595980ELRİNG</t>
  </si>
  <si>
    <t>ÜST KAPAK CONTA B12XHT/EB2DT/EB2DTS/EB2DTSD/EB2DTM</t>
  </si>
  <si>
    <t>9803288780SKT</t>
  </si>
  <si>
    <t>KIZDIRMA RÖLESİ DV5R 1.5BLUEHDİ</t>
  </si>
  <si>
    <t>9803299780HERTH&amp;BUSS</t>
  </si>
  <si>
    <t xml:space="preserve">KIZDIRMA RÖLESİ DV5R 1.5BLUEHDİ </t>
  </si>
  <si>
    <t>HERTH&amp;BUSS</t>
  </si>
  <si>
    <t>9803434080AYD</t>
  </si>
  <si>
    <t xml:space="preserve">ALT ROTİL 13&gt;GRANDLAND.X/COMBO.E/RİFTER/308/508/3008/5008/C4/C5 AİR. </t>
  </si>
  <si>
    <t>92-14870</t>
  </si>
  <si>
    <t>9803434080KAPİM</t>
  </si>
  <si>
    <t>ALT ROTİL 13&gt;GRANDLAND.X/COMBO.E/RİFTER/308/508/3008/5008/C4/C5 AİR.</t>
  </si>
  <si>
    <t>9803442480ASPART</t>
  </si>
  <si>
    <t>6WPU1220</t>
  </si>
  <si>
    <t>DEVİRDAİM EB2 1.2 12V CROSSLAND.X/CORSA.F/MOKKA.B/208/301/2008/C-ELYSEE</t>
  </si>
  <si>
    <t>9803442480LUCAS</t>
  </si>
  <si>
    <t>LWP9401M</t>
  </si>
  <si>
    <t>SİLİNDİR KAPAK CONTA EP6CDT/EP6FADT</t>
  </si>
  <si>
    <t>9803673380ELRİNG</t>
  </si>
  <si>
    <t>SİLİNDİR KAPAK CONTA EP6CDT</t>
  </si>
  <si>
    <t>9803757280BANDO</t>
  </si>
  <si>
    <t xml:space="preserve">V KAYIŞ 6PK1005 DV6C 1.6HDİ EURO6 </t>
  </si>
  <si>
    <t>6PK1005(EPDM)</t>
  </si>
  <si>
    <t>9803757280BOSCH</t>
  </si>
  <si>
    <t>9803757280DAYCO</t>
  </si>
  <si>
    <t>6PK1005</t>
  </si>
  <si>
    <t>9803900780HELLA</t>
  </si>
  <si>
    <t>TURBO İNTERCOOL 207/208/2008/308/301/C-ELYSEE</t>
  </si>
  <si>
    <t>8ML366340-621</t>
  </si>
  <si>
    <t>9803918180AYD</t>
  </si>
  <si>
    <t>ÖN FREN DİSKİ 5D283mm 308 14&gt;//COMBO.E/GRANDLAND.X/ASTRA.L</t>
  </si>
  <si>
    <t>10-50447</t>
  </si>
  <si>
    <t>9803918180BOSCH</t>
  </si>
  <si>
    <t>9803918580ELRİNG</t>
  </si>
  <si>
    <t>EMME MANİFOLT CONTA EB2/ 1.2THP</t>
  </si>
  <si>
    <t>9803966380VEKA</t>
  </si>
  <si>
    <t>AKS KOMPLE SAĞ 301/C-ELYSEE EB2 1.2 BENZİNLİ</t>
  </si>
  <si>
    <t>PE-8055</t>
  </si>
  <si>
    <t>9804021880BİTAPART</t>
  </si>
  <si>
    <t>BPE379075</t>
  </si>
  <si>
    <t>VAKUM POMPA FİBERİ DV6 1.6HDİ EURO5/EURO6</t>
  </si>
  <si>
    <t>9804021880DEKAR</t>
  </si>
  <si>
    <t>DK5080</t>
  </si>
  <si>
    <t>9804163380Y</t>
  </si>
  <si>
    <t>POLEN FİLTRESİ 308 II 13&gt;//DS3 13&gt;&gt;</t>
  </si>
  <si>
    <t>9804163480Y</t>
  </si>
  <si>
    <t>POLEN FİLTRE 308 13&gt;&gt;</t>
  </si>
  <si>
    <t>9804208380FROW</t>
  </si>
  <si>
    <t>DEVİRDAİM ARKA BORU DV6FD</t>
  </si>
  <si>
    <t>9804315380HERTH+BUSS</t>
  </si>
  <si>
    <t>TERMOSTAT ARA GÖVDE KABLO DEMETİ EP6/EPCDT</t>
  </si>
  <si>
    <t>9804617380ELRİNG</t>
  </si>
  <si>
    <t>SİLİNDİR KAPAK CONTA B12XHT/EB2DT/EB2DTS/EB2DTSD/EB2DTM</t>
  </si>
  <si>
    <t>9804830880DJ</t>
  </si>
  <si>
    <t>ÖN AMORTİSÖR SAĞ 208 12&gt; 47mm</t>
  </si>
  <si>
    <t>DS3821GS</t>
  </si>
  <si>
    <t>9804830880OPTİMAL</t>
  </si>
  <si>
    <t xml:space="preserve">ÖN AMORTİSÖR SAĞ 208 12&gt; 47mm </t>
  </si>
  <si>
    <t>A3212GR</t>
  </si>
  <si>
    <t>9804831180DJ</t>
  </si>
  <si>
    <t>ÖN AMORTİSÖR SOL 208 12&gt; 47mm</t>
  </si>
  <si>
    <t>DS3822GS</t>
  </si>
  <si>
    <t>9804831180OPTİMAL</t>
  </si>
  <si>
    <t xml:space="preserve">ÖN AMORTİSÖR SOL 208 12&gt; 47mm  </t>
  </si>
  <si>
    <t>A3212GL</t>
  </si>
  <si>
    <t xml:space="preserve">ATEŞLEME BUJİ EP6CDT 1.6THP </t>
  </si>
  <si>
    <t>5960.L0</t>
  </si>
  <si>
    <t>9805021880BOSCH</t>
  </si>
  <si>
    <t>ATEŞLEME BUJİ EP6CDT 1.6THP</t>
  </si>
  <si>
    <t>9805260180KRAFTVOLL</t>
  </si>
  <si>
    <t>ÖN FREN DİSKİ 5D304mm EXPERT/JUMPY/VİVARO.C/SPACETOURER 21&gt;</t>
  </si>
  <si>
    <t>9805260180TDF</t>
  </si>
  <si>
    <t xml:space="preserve">ÖN FREN DİSKİ 5D304mm EXPERT/JUMPY/VİVARO.C/SPACETOURER 21&gt; </t>
  </si>
  <si>
    <t>TDF2146</t>
  </si>
  <si>
    <t>9805519980ÜÇEL</t>
  </si>
  <si>
    <t>AMORTİSÖR TAKOZ+RULMAN 16&gt; EXPERT/JUMPY/TRAVELLER/ZAFİRA LİFE/VİVARO.C</t>
  </si>
  <si>
    <t>9805552080EUROFİL</t>
  </si>
  <si>
    <t>HAVA FİLTRESİ 13&gt; 1.2THP 110-130HP</t>
  </si>
  <si>
    <t>EF235980</t>
  </si>
  <si>
    <t>9805552080GRAT</t>
  </si>
  <si>
    <t>GRT-12112</t>
  </si>
  <si>
    <t>9805552080METTE</t>
  </si>
  <si>
    <t>741F7945</t>
  </si>
  <si>
    <t>9805552080SARDES</t>
  </si>
  <si>
    <t>SA2710</t>
  </si>
  <si>
    <t xml:space="preserve">HAVA FİLTRESİ 13&gt; 1.2THP 110-130HP </t>
  </si>
  <si>
    <t>9805552080SİON</t>
  </si>
  <si>
    <t>SH1356</t>
  </si>
  <si>
    <t xml:space="preserve">9805552080SMF </t>
  </si>
  <si>
    <t>SMF2178HF</t>
  </si>
  <si>
    <t>9805552080WUNDER</t>
  </si>
  <si>
    <t>WH525</t>
  </si>
  <si>
    <t>9805572080MEHA</t>
  </si>
  <si>
    <t>MH13008</t>
  </si>
  <si>
    <t>AMORTİSÖR TAKOZ RULMANI 14&gt;308/3008/5008/GRANDLAND.X</t>
  </si>
  <si>
    <t>9805572080ÜÇEL</t>
  </si>
  <si>
    <t>9805572080YTT</t>
  </si>
  <si>
    <t>Y23172</t>
  </si>
  <si>
    <t>9805615080KRAFTVOLL</t>
  </si>
  <si>
    <t>ÇAMURLUK DAVLUMBAZI ÖN SAĞ C4 CACTUS</t>
  </si>
  <si>
    <t>9805615480KRAFTVOLL</t>
  </si>
  <si>
    <t>ÇAMURLUK DAVLUMBAZI ÖN SOL C4 CACTUS</t>
  </si>
  <si>
    <t>9806007480INA</t>
  </si>
  <si>
    <t>ALTERNATÖR KASNAGI  13&gt;208/301/308/2008/C3 EB2 1.2</t>
  </si>
  <si>
    <t>9806306580WAGENBURG</t>
  </si>
  <si>
    <t>FAR SAĞ MOTORLU PARTNER TEPEE</t>
  </si>
  <si>
    <t>HC-BLG-01R</t>
  </si>
  <si>
    <t>ŞANZUMAN YAĞ SOĞUTUCU CONTA EAT8</t>
  </si>
  <si>
    <t>MOTOR TAKOZ SOL DV6FD/DV5RD 207/208/301/308</t>
  </si>
  <si>
    <t>9806658980MEHA</t>
  </si>
  <si>
    <t>MH13156</t>
  </si>
  <si>
    <t xml:space="preserve">MOTOR TAKOZ SOL DV6FD/DV5RD 207/208/301/308 </t>
  </si>
  <si>
    <t>9806699780MGA</t>
  </si>
  <si>
    <t>AKS KOMPLE SAĞ (TEK PARÇA) 308 II/3008/RİFTER/COMBO.E/ASTRA.L</t>
  </si>
  <si>
    <t>AKS KEÇESİ SAĞ BOXER III 06&gt;/DUCATO</t>
  </si>
  <si>
    <t>9806793080FROW</t>
  </si>
  <si>
    <t>DEVİRDAİM SU BORU 1.2 12V EB2</t>
  </si>
  <si>
    <t xml:space="preserve">STOP LAMBASI SAĞ EXPERT/TRAVELLER </t>
  </si>
  <si>
    <t>9808243080İTHAL</t>
  </si>
  <si>
    <t>STOP LAMBASI SAĞ EXPERT/TRAVELLER</t>
  </si>
  <si>
    <t xml:space="preserve">9808243180MARS </t>
  </si>
  <si>
    <t>STOP LAMBASI SOL EXPERT IV/JUMPY IV/VİVARO 16&gt;</t>
  </si>
  <si>
    <t>9808646980FACET</t>
  </si>
  <si>
    <t xml:space="preserve">TERMOSTAT 208/308/3008/508/5008/C5 X7 EP6/EP6CDT </t>
  </si>
  <si>
    <t>98086647080FROWAS</t>
  </si>
  <si>
    <t>TERMOSTAT 207/208/308/3008/5008/C4/DS3/DS4 EP6/EP6CDT</t>
  </si>
  <si>
    <t>9808771480ABRASSE</t>
  </si>
  <si>
    <t>AKS KOMPLE SOL 3008/5008/508/GRANDLAND.X/C5 AIRCROSS//EAT6/EAT8//BOY:662mm</t>
  </si>
  <si>
    <t>PG-1601</t>
  </si>
  <si>
    <t>9809088180ERP</t>
  </si>
  <si>
    <t>KIZDIRMA BUJİ DV5 1.5BLUEHDİ</t>
  </si>
  <si>
    <t xml:space="preserve">9809532380BOSCH </t>
  </si>
  <si>
    <t>YAĞ FİLTRESİ 2.0BLUEHDİ/2.2BLUEHDİ DW10F/DW12R</t>
  </si>
  <si>
    <t>F026407268</t>
  </si>
  <si>
    <t>9809532380ERP</t>
  </si>
  <si>
    <t xml:space="preserve">YAĞ FİLTRESİ 2.0BLUEHDİ/2.2BLUEHDİ DW10F/DW12R </t>
  </si>
  <si>
    <t>9809532380SARDES</t>
  </si>
  <si>
    <t>SO1196</t>
  </si>
  <si>
    <t xml:space="preserve">9810048680FACET </t>
  </si>
  <si>
    <t>HARARET MÜŞÜR EP6/EP6CDT/EP3</t>
  </si>
  <si>
    <t>P9810698080</t>
  </si>
  <si>
    <t xml:space="preserve">KRANK DİŞLİ DV4/DV6 </t>
  </si>
  <si>
    <t>9810698080BİT</t>
  </si>
  <si>
    <t>BPE260115</t>
  </si>
  <si>
    <t>9810705180MONROE</t>
  </si>
  <si>
    <t>ÖN AMORTİSÖR SAĞ C4 CACTUS 14&gt; (OESpectrum) 47mm</t>
  </si>
  <si>
    <t>742267SP</t>
  </si>
  <si>
    <t>9810705180SACHS</t>
  </si>
  <si>
    <t>ÖN AMORTİSÖR SAĞ C4 CACTUS 14&gt; 47mm</t>
  </si>
  <si>
    <t>9810705280MONROE</t>
  </si>
  <si>
    <t>ÖN AMORTİSÖR SOL C4 CACTUS (OESpectrum) 47mm</t>
  </si>
  <si>
    <t>742268SP</t>
  </si>
  <si>
    <t>9810705280SACHS</t>
  </si>
  <si>
    <t xml:space="preserve">ÖN AMORTİSÖR SOL C4 CACTUS 14&gt; 47mm </t>
  </si>
  <si>
    <t>9810916880KALE</t>
  </si>
  <si>
    <t>TERMOSTAT EP6/EP3 207/208/308/2008/3008/5008</t>
  </si>
  <si>
    <t>9810916980ASPART</t>
  </si>
  <si>
    <t>6TCO1065</t>
  </si>
  <si>
    <t xml:space="preserve">TERMOSTAT 207/308/3008/5008/DS3/C4 EP6/E6CDT/MINI  </t>
  </si>
  <si>
    <t xml:space="preserve">9810916980VERNET </t>
  </si>
  <si>
    <t>TERMOSTAT 207/308/3008/5008/DS3/C4 EP6/E6CDT/MINI</t>
  </si>
  <si>
    <t>TE7136.105J</t>
  </si>
  <si>
    <t>ABS SENSÖR ARKA ASTRA.L/GRANDLAND/MOKKA.B/3008/308/5008/RIFTER/C5 AIRCROSS</t>
  </si>
  <si>
    <t>KÜLBÜTÖR KAPAĞI EB2 1.2 301/208/2008/CROSSLAND.X</t>
  </si>
  <si>
    <t>9811176480ABRASSE</t>
  </si>
  <si>
    <t>AKS KOMPLE SAĞ 3008/5008/508/GRANDLAND.X/C5 AIRCROSS//EAT6/EAT8//BOY:933mm</t>
  </si>
  <si>
    <t>PG-1600</t>
  </si>
  <si>
    <t>9811333380BİTAPART</t>
  </si>
  <si>
    <t>BPE354014</t>
  </si>
  <si>
    <t>SİS FARI SAĞ+SOL LED 308/508/3008</t>
  </si>
  <si>
    <t>TURBO SELENOİD VALFİ DV6FC/DV6FD 1.6HDİ EURO5/EURO6</t>
  </si>
  <si>
    <t>9811786680GB</t>
  </si>
  <si>
    <t>MOTOR TAKOZ ALT 17&gt; 208/2008/308/3008/508/5008/RİFTER/COMBO.E/PROACE/EXPERT</t>
  </si>
  <si>
    <t>308116A</t>
  </si>
  <si>
    <t>9811908380İTHAL</t>
  </si>
  <si>
    <t>HAVA FİLTRE HORTUM EP6CDT 1.6THP</t>
  </si>
  <si>
    <t>AKS KOMPLE SOL GRANDLAND.X/3008/5008/C5 AIRCROSS AT.</t>
  </si>
  <si>
    <t>EGR ELEKTROVANA SELENOİD DV5RE/DV5RC 1.5BLUEHDİ</t>
  </si>
  <si>
    <t>KATALİZATÖR MÜŞÜR 1.2 EB2ADT/1.6THP EP6FADT (FARK BASINÇ)</t>
  </si>
  <si>
    <t>9812113780TAP</t>
  </si>
  <si>
    <t>TERMOSTAT DV5R 1.5D 100HP/130HP</t>
  </si>
  <si>
    <t>9812113780TUNCH</t>
  </si>
  <si>
    <t>TT3027</t>
  </si>
  <si>
    <t>TERMOSTAT KOMPLE 1.2PRUTECH EB2ADT</t>
  </si>
  <si>
    <t>9812131480K&amp;B</t>
  </si>
  <si>
    <t xml:space="preserve">TERMOSTAT KOMPLE 1.2PRUTECH EB2ADT </t>
  </si>
  <si>
    <t>YEDEK SU DEPO HORTUM DV5R 308/3008/5008</t>
  </si>
  <si>
    <t>9812442980NİFEA</t>
  </si>
  <si>
    <t>9812716380MEHA</t>
  </si>
  <si>
    <t>MH13030</t>
  </si>
  <si>
    <t>MOTOR TAKOZ (HİDROLİK) SAĞ DV5R/ 301/208/CROSSLAND.X</t>
  </si>
  <si>
    <t>KRANK MİLİ DV6C EURO5DV6TED/DV6TED4/DV6ATED4</t>
  </si>
  <si>
    <t>DEBRİYAJ ÜST MERKEZ 301/C-ELYSEE</t>
  </si>
  <si>
    <t>DEBRİYAJ ALT MERKEZ 301/C-ELYSEE/2008</t>
  </si>
  <si>
    <t>9813021980Y</t>
  </si>
  <si>
    <t>TERMOSTAT CONTA DV5R 1.5HDİ</t>
  </si>
  <si>
    <t>EGR SOĞUTUCU KOMPLE DV5R 1.5BLUEHDİ</t>
  </si>
  <si>
    <t>9813055180FROWAS</t>
  </si>
  <si>
    <t>EGR CONTASI DV5R 1.5BLUEHDİ</t>
  </si>
  <si>
    <t>9813665780SWAG</t>
  </si>
  <si>
    <t>AMORTİSÖR DARBE TAKOZ ÖN 16&gt;308/3008/508/5008/PARTNER/C4</t>
  </si>
  <si>
    <t>9813908180BANDO</t>
  </si>
  <si>
    <t>V KAYIŞ 6PK1155 DV5/DV5R 1.5HDİ</t>
  </si>
  <si>
    <t>6PK1155EPDM</t>
  </si>
  <si>
    <t>HAVA FİLTRE 1.5HDİ DV5 CROSSLAND.X/COR.F/AST.L/3008/5008/2008/208/C3/C4</t>
  </si>
  <si>
    <t>9813908880EUROFIL</t>
  </si>
  <si>
    <t>EF208880</t>
  </si>
  <si>
    <t>9813908880LEVRETTÖ</t>
  </si>
  <si>
    <t>9813908880METTE</t>
  </si>
  <si>
    <t>741F7941</t>
  </si>
  <si>
    <t>9813908880PHAFF</t>
  </si>
  <si>
    <t>DH596</t>
  </si>
  <si>
    <t>9813908880SARDES</t>
  </si>
  <si>
    <t>SA2822</t>
  </si>
  <si>
    <t>9813908880SİON</t>
  </si>
  <si>
    <t>SH1806</t>
  </si>
  <si>
    <t>9813908880VOLLER</t>
  </si>
  <si>
    <t>VOL-66134/1</t>
  </si>
  <si>
    <t xml:space="preserve">9813908880WUNDER </t>
  </si>
  <si>
    <t>WH524</t>
  </si>
  <si>
    <t>9814237680Y</t>
  </si>
  <si>
    <t>POLEN FİLTRE 301/C-ELYSEE TEK KARE</t>
  </si>
  <si>
    <t>9814294180BİTAPART</t>
  </si>
  <si>
    <t>BPE259035</t>
  </si>
  <si>
    <t>YAĞ SOĞUTUCU ORİNG SET İÇ-DIŞ DV5 1.5BLUEHDİ</t>
  </si>
  <si>
    <t>ENJEKTÖR RAMPA MÜŞÜR BOXER III 2.0HDİ-2.2HDİ EURO6//308/3008 2.0HDİ DW10C/DW10FU/DW12RU</t>
  </si>
  <si>
    <t>9814639380ELRİNG</t>
  </si>
  <si>
    <t>TRİGER KAPAK CONTASI EB2 1.2THP</t>
  </si>
  <si>
    <t>9814762880S1ELRİNG</t>
  </si>
  <si>
    <t>ÜST TAKIM CONTA  1.2 EB2ADT/EB2ADTD/EB2ADTXM/EB2ADTX</t>
  </si>
  <si>
    <t>9815014380BGA</t>
  </si>
  <si>
    <t>SALINCAK SAĞ RİFTER/COMBO.E/508/DS7/DS4</t>
  </si>
  <si>
    <t>TRC14001</t>
  </si>
  <si>
    <t xml:space="preserve">9815014680BGA </t>
  </si>
  <si>
    <t>SALINCAK SOL RİFTER/COMBO.E/508/DS7/DS4</t>
  </si>
  <si>
    <t>TRC14000</t>
  </si>
  <si>
    <t>9815106780EUROFİL</t>
  </si>
  <si>
    <t xml:space="preserve">POLEN FİLTRESİ CROSSLAND.X/C3 AİRCROSS 17&gt; +CA </t>
  </si>
  <si>
    <t>EFC547011</t>
  </si>
  <si>
    <t>9815106780Y</t>
  </si>
  <si>
    <t>POLEN FİLTRESİ CROSSLAND.X/C3 AİRCROSS 17&gt;</t>
  </si>
  <si>
    <t>SMP-1211</t>
  </si>
  <si>
    <t>9815106780Y+CA</t>
  </si>
  <si>
    <t>SMP-1211-K</t>
  </si>
  <si>
    <t>9815636380KRAFTVOLL</t>
  </si>
  <si>
    <t>AKS KOMPLE SOL +AT 3008/308 II/RİFTER/COMBO.E/C5 AİRCROSS 1.5HDİ DV5</t>
  </si>
  <si>
    <t>PARTİKÜL FAP DEPOSU KOMPLE MOTORLU 208/2008/301/C-ELYSEE/C3/C4 CACTUS</t>
  </si>
  <si>
    <t>YAKIT DEPO ŞAMANDIRA KOMPLE CROSSLAND.X EB2D 1.2</t>
  </si>
  <si>
    <t>9816027680TAIWAN</t>
  </si>
  <si>
    <t>ÖN PANJUR NİKELAJI 301 Y.M 2017&gt;</t>
  </si>
  <si>
    <t>TRİGER ZİNCİR PALETİ ORTA ÜST EP6CDT</t>
  </si>
  <si>
    <t>9816267280ELRİNG</t>
  </si>
  <si>
    <t>EKSOZ MANİFOLT CONTA 1.5BLUEHDİ DV5R</t>
  </si>
  <si>
    <t>9816482780ORAN</t>
  </si>
  <si>
    <t>ÖN ÇAMURLUK SOL COMBO.E/RİFTER/BERLİNGO</t>
  </si>
  <si>
    <t>9816484780BİTAPART</t>
  </si>
  <si>
    <t>BPE276023</t>
  </si>
  <si>
    <t>MOTOR KAPUT MENTEŞESİ SAĞ COMBO.E/RİFTER/BERLİNGO/DOBLO</t>
  </si>
  <si>
    <t>9816485080BİTAPART</t>
  </si>
  <si>
    <t>BPE276022</t>
  </si>
  <si>
    <t>MOTOR KAPUT MENTEŞESİ SOL COMBO.E/RİFTER/BERLİNGO/DOBLO</t>
  </si>
  <si>
    <t>98166194XT-PULO</t>
  </si>
  <si>
    <t>ÇAMURLUK AĞIZ BAKALİT ÖN SOL RİFTER 2018&gt;</t>
  </si>
  <si>
    <t>PULO</t>
  </si>
  <si>
    <t>PH-RF183</t>
  </si>
  <si>
    <t>98167918ZDBİTAPART</t>
  </si>
  <si>
    <t>BPE387055</t>
  </si>
  <si>
    <t>ÖN CAM DÜĞME ÇERÇEVESİ SAĞ RİFTER/COMBO.E/PROACE</t>
  </si>
  <si>
    <t>98167923ZDBİTAPART</t>
  </si>
  <si>
    <t>BPE387054</t>
  </si>
  <si>
    <t>ÖN CAM DÜĞME ÇERÇEVESİ SOL 4LÜ RİFTER/COMBO.E/PROACE</t>
  </si>
  <si>
    <t>9816825580VALEO</t>
  </si>
  <si>
    <t xml:space="preserve">FAR SOL COMBO.E 18&gt; HALOJEN </t>
  </si>
  <si>
    <t>9816865480AYD</t>
  </si>
  <si>
    <t>SALINCAK SAĞ 17&gt; 3008/5008/GRANDLAND.X/C5 AİRCORSS/RİFTER/COMBO.E</t>
  </si>
  <si>
    <t>97-18011</t>
  </si>
  <si>
    <t>9816865480KAPİM</t>
  </si>
  <si>
    <t>SALINCAK SAĞ ROTİLSİZ 17&gt; 3008/5008/GRANDLAND.X/C5 AİRCORSS</t>
  </si>
  <si>
    <t>9816865480KAPİMSAN</t>
  </si>
  <si>
    <t xml:space="preserve">SALINCAK SAĞ 17&gt; 3008/5008/GRANDLAND.X/C5 AİRCORSS/RİFTER/COMBO.E </t>
  </si>
  <si>
    <t>9816865480KRAFTVOLL</t>
  </si>
  <si>
    <t>9816865580KAPİM</t>
  </si>
  <si>
    <t xml:space="preserve">SALINCAK SOL ROTİLSİZ 17&gt; 3008/5008/GRANDLAND.X/C5 AİRCORSS </t>
  </si>
  <si>
    <t>9816865580KAPİMSAN</t>
  </si>
  <si>
    <t>SALINCAK SOL 17&gt; 3008/5008/GRANDLAND.X/C5 AİRCORSS/RİFTER/COMBO.E</t>
  </si>
  <si>
    <t>9816865580KRAFTVOLL</t>
  </si>
  <si>
    <t>9816865580TEKNOROT</t>
  </si>
  <si>
    <t>P-699</t>
  </si>
  <si>
    <t>98169897XTTURSAN</t>
  </si>
  <si>
    <t>DIŞ DİKİZ AYNASI SAĞ +ELK RİFTER/BERLİNGO/COMBO.E/PROACE</t>
  </si>
  <si>
    <t>GOLDT R2399</t>
  </si>
  <si>
    <t>98169929XTTURSAN</t>
  </si>
  <si>
    <t>DIŞ DİKİZ AYNASI SOL +ELK+KATLANIR RİFTER/BERLİNGO/COMBO.E/PROACE</t>
  </si>
  <si>
    <t xml:space="preserve">TURSAN </t>
  </si>
  <si>
    <t>T2404</t>
  </si>
  <si>
    <t>9817256080SİON</t>
  </si>
  <si>
    <t>MAZOT FİLTRESİ EXPERT III/JUMPY III/ZAFİRA LİFE DV5R 1.5BLUEHDİ</t>
  </si>
  <si>
    <t>SM3583</t>
  </si>
  <si>
    <t>STOP LAMBASI SOL 301 Y.M 17&gt;</t>
  </si>
  <si>
    <t>9817416680NİFEA</t>
  </si>
  <si>
    <t>TURBO HORTUM CONTA 1.2 EB2ADTS 208/2008/308/3008/508/5008/MOKKA.B/</t>
  </si>
  <si>
    <t>KÜLBÜTÖR KAPAK CONTA 1.2 EB2ADT TURBOLU</t>
  </si>
  <si>
    <t>9817643380CORTECO</t>
  </si>
  <si>
    <t xml:space="preserve">KÜLBÜTÖR KAPAK CONTA 1.2 EB2ADT TURBOLU </t>
  </si>
  <si>
    <t>KRANK DİŞLİ ALT DV5R 1.5BLUHDİ</t>
  </si>
  <si>
    <t xml:space="preserve">YAĞ FİLTRESİ EP6/EP6CDT/EP6FADT/TU5JP4/DW10/DW12  </t>
  </si>
  <si>
    <t>9819219180ABRASSE</t>
  </si>
  <si>
    <t>ÖN AMORTİSÖR SOL 301 12&gt;/C-ELYSEE 12&gt;</t>
  </si>
  <si>
    <t>BRS-5557GL</t>
  </si>
  <si>
    <t>9819219180DJPARTS</t>
  </si>
  <si>
    <t xml:space="preserve">ÖN AMORTİSÖR SOL 301 12&gt;/C-ELYSEE 12&gt;  </t>
  </si>
  <si>
    <t>DS3279GS</t>
  </si>
  <si>
    <t>9819219180MOTORTEC</t>
  </si>
  <si>
    <t>9819219180OPTİMAL</t>
  </si>
  <si>
    <t xml:space="preserve">ÖN AMORTİSÖR SOL 301 12&gt;/C-ELYSEE 12&gt; </t>
  </si>
  <si>
    <t>A3204GL</t>
  </si>
  <si>
    <t>9819219180VOTTO</t>
  </si>
  <si>
    <t>VOT-A-1202G</t>
  </si>
  <si>
    <t>9819235880ASPART</t>
  </si>
  <si>
    <t>2TLW1188</t>
  </si>
  <si>
    <t>STOP LAMBASI SOL (ÇİFT KAPI) COMBO.E/RİFTER/BERLİNGO/DOBLO</t>
  </si>
  <si>
    <t>STOP LAMBASI SOL COMBO.E/DOBLO/RİFTER</t>
  </si>
  <si>
    <t>9819649280ASPART</t>
  </si>
  <si>
    <t>2TLW1186</t>
  </si>
  <si>
    <t>STOP SOL RİFTER/COMBO.E/DOBLO/PROACE</t>
  </si>
  <si>
    <t>ÖN AMORTİSÖR SOL 3008/5008/GRANDLAND.X 17&gt;</t>
  </si>
  <si>
    <t>9819718680DJPARTS</t>
  </si>
  <si>
    <t>ÖN AMORTİSÖR SAĞ-SOL 2017&gt;&gt; 3008/5008/GRANDLAND</t>
  </si>
  <si>
    <t>DS9337GS</t>
  </si>
  <si>
    <t>9819833280BOSCH</t>
  </si>
  <si>
    <t>V KAYIŞ 6PK1070 1.2THP EB2</t>
  </si>
  <si>
    <t>9819833380BOSCH</t>
  </si>
  <si>
    <t xml:space="preserve">V KAYIŞ 6PK1045 EB2 1.2THP </t>
  </si>
  <si>
    <t>9819833380GMB</t>
  </si>
  <si>
    <t xml:space="preserve">V KAYIŞ 6PK1045 EB2 1.2THP  </t>
  </si>
  <si>
    <t>6PK1045</t>
  </si>
  <si>
    <t>LİFTER DV5R 1.5BLUEHDİ</t>
  </si>
  <si>
    <t>9819917580INA</t>
  </si>
  <si>
    <t xml:space="preserve">LİFTER DV5R 1.5BLUEHDİ </t>
  </si>
  <si>
    <t>EKSANTRİK DİŞLİ DV5/DV5R 1.5BLUEHDİ</t>
  </si>
  <si>
    <t>9820100780SWAPP</t>
  </si>
  <si>
    <t>TURBO HORTUM RİFTER/BERLİNGO/COMBO.E/3008/5008/308/3008 DV5 1.5BLUEHDİ</t>
  </si>
  <si>
    <t>9820100780YTT</t>
  </si>
  <si>
    <t>Y32209</t>
  </si>
  <si>
    <t>MAZOT FİLTRE 1.5BLUEHDİ 208/301/3008/5008/MOKKA 21&gt;/COMBO.E/2008/308/ZAFİRA 10&gt;</t>
  </si>
  <si>
    <t>9820226380BOSCH</t>
  </si>
  <si>
    <t>F026402359</t>
  </si>
  <si>
    <t>9820226380ERP</t>
  </si>
  <si>
    <t>9820226380EURO</t>
  </si>
  <si>
    <t>MAZOT FİLTRE 1.5BLUEHDİ 208/301/3008/5008/MOKKA 21&gt;/COMBO.E</t>
  </si>
  <si>
    <t>EFF226380</t>
  </si>
  <si>
    <t>9820226380FROWAS</t>
  </si>
  <si>
    <t>9820226380LUCAS</t>
  </si>
  <si>
    <t>LFDE277</t>
  </si>
  <si>
    <t>9820226380PHAFF</t>
  </si>
  <si>
    <t>DF720</t>
  </si>
  <si>
    <t>9820226380SARDES</t>
  </si>
  <si>
    <t>SF6146</t>
  </si>
  <si>
    <t>9820226380SİON</t>
  </si>
  <si>
    <t>SM3548</t>
  </si>
  <si>
    <t>9820297580ÜÇEL</t>
  </si>
  <si>
    <t>MOTOR TAKOZ SAĞ DV5R 1.5BLUEHDİ 17&gt; 3008/5008/508/RİFTER/COMBO.E/C5 AIRCROSS</t>
  </si>
  <si>
    <t>9820297580YTT</t>
  </si>
  <si>
    <t>Y23007</t>
  </si>
  <si>
    <t>9820309280SİLBAK</t>
  </si>
  <si>
    <t xml:space="preserve">SİLECEK ÖN TAKIM RİFTER/COMBO.E/BERLİNGO/PROACE </t>
  </si>
  <si>
    <t>SİLBAK</t>
  </si>
  <si>
    <t>SB2417C</t>
  </si>
  <si>
    <t>9820309280VALEO</t>
  </si>
  <si>
    <t>SİLECEK ÖN TAKIM RİFTER/COMBO.E/BERLİNGO/PROACE</t>
  </si>
  <si>
    <t>9820326080SACHS</t>
  </si>
  <si>
    <t>ÖN AMORTİSÖR SAĞ 2008 13-19  51mm</t>
  </si>
  <si>
    <t>9820326180SACHS</t>
  </si>
  <si>
    <t>ÖN AMORTİSÖR SOL 2008 13-19  51mm</t>
  </si>
  <si>
    <t>9820327780SACHS</t>
  </si>
  <si>
    <t>ÖN AMORTİSÖR SAĞ 2008 1.2PRUTECH 13-19</t>
  </si>
  <si>
    <t>9820327880SACHS</t>
  </si>
  <si>
    <t>ÖN AMORTİSÖR SOL 2008 1.2PRUTECH 13-19</t>
  </si>
  <si>
    <t>9820364080SACHS</t>
  </si>
  <si>
    <t>ÖN AMORTİSÖR SAĞ/SOL RİFTER/COMBO.E/PROACE//308 14&gt;/C4 PİCS.</t>
  </si>
  <si>
    <t>9820471180MOCA</t>
  </si>
  <si>
    <t>AKS SAĞ KOMPLE 3008 II//COMBO.E/RİFTER 1.5BLUEHDİ</t>
  </si>
  <si>
    <t>CAX7644A</t>
  </si>
  <si>
    <t>9820471280BİTAPART</t>
  </si>
  <si>
    <t>BPE431009</t>
  </si>
  <si>
    <t>AKS SOL KOMPLE 3008 II 1.2//COMBO.E/RİFTER 1.5BLUEHDİ/</t>
  </si>
  <si>
    <t>9820471280MOCA</t>
  </si>
  <si>
    <t>CAX7643A</t>
  </si>
  <si>
    <t>TURBO HORTUM RADYATÖR EXPERT IV//TRAVELLER-JUMPY IV//SPACETOURER</t>
  </si>
  <si>
    <t>9820554880ASPART</t>
  </si>
  <si>
    <t>2TLW1187</t>
  </si>
  <si>
    <t>STOP LAMBASI SAĞ (ÇİFT KAPI) COMBO.E/RİFTER/BERLİNGO/DOBLO</t>
  </si>
  <si>
    <t>9820555080ASPART</t>
  </si>
  <si>
    <t>2TLW1185</t>
  </si>
  <si>
    <t>STOP SAĞ RİFTER/COMBO.E/DOBLO/PROACE</t>
  </si>
  <si>
    <t>9820961080ELRİNG</t>
  </si>
  <si>
    <t>ÖN KRANK KEÇE DV5 1.5BLUEHDİ</t>
  </si>
  <si>
    <t>9820978780ELRİNG</t>
  </si>
  <si>
    <t>ARKA KRANK KEÇE DV5R 1.5BLUEHDİ/EP6/EP6CDT/EB2</t>
  </si>
  <si>
    <t>9821673680DNK</t>
  </si>
  <si>
    <t>ÖN TAMPON DEMİRİ RİFTER/COMBO.E/PROACE/DOBLO</t>
  </si>
  <si>
    <t>YAĞ KARTER CONTA EB2DT (FİLTREYE GELEN)</t>
  </si>
  <si>
    <t>ENJEKTÖR 1.2 EB2ADT/EB2DTS</t>
  </si>
  <si>
    <t>9822715980OEM</t>
  </si>
  <si>
    <t>K&amp;B27943</t>
  </si>
  <si>
    <t>9822827080PIERBURG</t>
  </si>
  <si>
    <t>ZİNCİR SET FULL VANOSLU EP6/EP6CDT</t>
  </si>
  <si>
    <t>EKSANTRİK ZİNCİRİ EP6CDT</t>
  </si>
  <si>
    <t xml:space="preserve">YAĞ SOĞUTUCU KOMPLE 1.5BLUEHDİ DV5R </t>
  </si>
  <si>
    <t>9823897880NİFEA</t>
  </si>
  <si>
    <t>ENJEKTÖR GERİ DÖNÜŞ BORU DV6C EURO6 120HP</t>
  </si>
  <si>
    <t>9823897880WIN</t>
  </si>
  <si>
    <t>WIN0500299</t>
  </si>
  <si>
    <t>ENJEKTÖR GERİ DÖNÜŞ HORTUM 16&gt;1.6HDİ</t>
  </si>
  <si>
    <t>P9823920080</t>
  </si>
  <si>
    <t>EKSANTİRİK KEÇE DV5R 1.5BLUEHDİ</t>
  </si>
  <si>
    <t>9823920080ELRİNG</t>
  </si>
  <si>
    <t xml:space="preserve">EKSANTİRİK KEÇE DV5R 1.5BLUEHDİ </t>
  </si>
  <si>
    <t>9823920080SKT</t>
  </si>
  <si>
    <t>TURBO YAĞLAMA BORUSU EP6CDT</t>
  </si>
  <si>
    <t>YEDEK SU DEPO DV5RD 1.5HDİ 208/2008/CORSA.F</t>
  </si>
  <si>
    <t>RADYATÖR ÜST HORTUM 1.2PRUTECH CORSA.F/MOKKA 20&gt;/208/2008 19&gt;/C4 III/C4 X/DS3/</t>
  </si>
  <si>
    <t>MOTOR TAKOZ SOL 208/2008/C4/MOKKA/CORSA.F 1.5 DV5R EB2ADTS</t>
  </si>
  <si>
    <t>9824344480ÜÇEL</t>
  </si>
  <si>
    <t>MOTOR TAKOZ SAĞ 208/2008/308/3008/5008/C4X/MOKKA/CORSA.F EB2 1.2</t>
  </si>
  <si>
    <t>9824346380NİFEA</t>
  </si>
  <si>
    <t>YEDEK SU DEPO HORTUM (RADYATÖRE) 1.2PRUTECH CORSA.F/MOKKA.B 20&gt;/C4X/208/2008 19&gt;</t>
  </si>
  <si>
    <t>9824346380WINTECH</t>
  </si>
  <si>
    <t>WIN0500377</t>
  </si>
  <si>
    <t>KALORİFER HORTUM ALT CORSA.F/208/2008 1.2</t>
  </si>
  <si>
    <t>9824483480İBRAS</t>
  </si>
  <si>
    <t>9824493680ELRİNG</t>
  </si>
  <si>
    <t>SİLİNDİR KAPAK CONTA 2Ç. 1.25mm DV5/DV5RD/D15DT/F15DTH</t>
  </si>
  <si>
    <t>9824493780ELRİNG</t>
  </si>
  <si>
    <t>SİLİNDİR KAPAK CONTA 3Ç. 1.30mm DV5/DV5RD/D15DT/F15DTH/</t>
  </si>
  <si>
    <t>9824493880ELRİNG</t>
  </si>
  <si>
    <t>SİLİNDİR KAPAK CONTA 1Ç. 1.35mm DV5/DV5RD/D15DT/F15DTH/</t>
  </si>
  <si>
    <t xml:space="preserve">9824493980ELRİNG </t>
  </si>
  <si>
    <t>SİLİNDİR KAPAK CONTA 4Ç. 1.40mm DV5/DV5RD/D15DT/F15DTH/</t>
  </si>
  <si>
    <t>9824494080ELRİNG</t>
  </si>
  <si>
    <t>SİLİNDİR KAPAK CONTA 5Ç. 1.45mm DV5/DV5RD/D15DT/F15DTH/</t>
  </si>
  <si>
    <t>KALORİFER GİRİŞ HORTUM CORSA.F/208/2008 1.2</t>
  </si>
  <si>
    <t>9824652580AYD</t>
  </si>
  <si>
    <t>Z ROT CORSA.F/208/2008/DS3 CROSBACK 18&gt;</t>
  </si>
  <si>
    <t>96-24032</t>
  </si>
  <si>
    <t>9824652580KAPİM</t>
  </si>
  <si>
    <t>18-02748</t>
  </si>
  <si>
    <t>9824652580TEKNOROT</t>
  </si>
  <si>
    <t xml:space="preserve">Z ROT CORSA.F/208/2008/DS3 CROSBACK 18&gt;  </t>
  </si>
  <si>
    <t>O-1016</t>
  </si>
  <si>
    <t>9824652580VOTTO</t>
  </si>
  <si>
    <t xml:space="preserve">Z ROT CORSA.F/208/2008/DS3 CROSBACK 18&gt; </t>
  </si>
  <si>
    <t>VOT-12-22103</t>
  </si>
  <si>
    <t>CİVATA M6X100</t>
  </si>
  <si>
    <t>ÇAMURLUK ÜST BAKALİT SAĞ RİFTER</t>
  </si>
  <si>
    <t>9826219880DJ</t>
  </si>
  <si>
    <t>ÖN AMORTİSÖR SAĞ  301 16&gt;</t>
  </si>
  <si>
    <t>DS9300GS</t>
  </si>
  <si>
    <t>9826219880VEKA</t>
  </si>
  <si>
    <t xml:space="preserve">ÖN AMORTİSÖR SAĞ  301 18&gt; </t>
  </si>
  <si>
    <t>9826219980DJ</t>
  </si>
  <si>
    <t>ÖN AMORTİSÖR SOL  301 16&gt;</t>
  </si>
  <si>
    <t>DS9299GS</t>
  </si>
  <si>
    <t>9826219980VEKA</t>
  </si>
  <si>
    <t xml:space="preserve">ÖN AMORTİSÖR SOL  301 18&gt; </t>
  </si>
  <si>
    <t xml:space="preserve">9826243180MAHER </t>
  </si>
  <si>
    <t>ARKA AMORTİSÖR RİFTER/COMBO.E/BERLİNGO/PROACE</t>
  </si>
  <si>
    <t>MHR-31606</t>
  </si>
  <si>
    <t>9827238180VOTTO</t>
  </si>
  <si>
    <t>ÖN AMORTİSÖR SAĞ CROSSLAND.X/C3 AİRCROSS/2008 17&gt;</t>
  </si>
  <si>
    <t>VOT-A-1458G</t>
  </si>
  <si>
    <t>9827238980VOTTO</t>
  </si>
  <si>
    <t xml:space="preserve">ÖN AMORTİSÖR SOL CROSSLAND.X/C3 AİRCROSS/2008 17&gt; </t>
  </si>
  <si>
    <t>VOT-A1456G</t>
  </si>
  <si>
    <t>TURBO YAĞLAMA VİDASI (İÇİ FİLTRELİ) EB2/EP6</t>
  </si>
  <si>
    <t>KÜLBÜTÖR KAPAGI DV5/DV5R 1.5BLUEHDİ</t>
  </si>
  <si>
    <t>9827747580BGA</t>
  </si>
  <si>
    <t>ŞANZUMAN YAĞ SOĞUTUCU AT8</t>
  </si>
  <si>
    <t>CO6705</t>
  </si>
  <si>
    <t>9827747580FROWAS</t>
  </si>
  <si>
    <t xml:space="preserve">ŞANZUMAN YAĞ SOĞUTUCU AT8 </t>
  </si>
  <si>
    <t>9827752980KALE</t>
  </si>
  <si>
    <t>RADYATÖR FAN MOTOR KOMPLE 208/2008/3008/CORSA.F DV5R/EB2</t>
  </si>
  <si>
    <t>FAN REZİSTANSI 301/C-ELYSEE</t>
  </si>
  <si>
    <t xml:space="preserve">9828224880MEYLE </t>
  </si>
  <si>
    <t>AMORTİSÖR RULMAN CORSA.F/MOKKA.B/2008/208/C4 X/</t>
  </si>
  <si>
    <t>11-14 412 0001</t>
  </si>
  <si>
    <t xml:space="preserve">EKSANTRİK MİLİ EMME 8mm DV5R 1.5BLUEHDİ </t>
  </si>
  <si>
    <t xml:space="preserve">EKSANTRİK MİLİ EKSOZ 8mm DV5R 1.5BLUEHDİ </t>
  </si>
  <si>
    <t>ENJEKTÖR 208/2008/301/308/508/5008/RİFTER/COMBO.E 1.5BLUEHDİ</t>
  </si>
  <si>
    <t>STOP SAĞ DIŞ CORSA.F LEDLİ</t>
  </si>
  <si>
    <t>EGR VALFİ DV5R 1.5BLUEHDİ</t>
  </si>
  <si>
    <t>YAĞ KARTERİ EB2/1.2THP</t>
  </si>
  <si>
    <t>9829898980SANTRAL</t>
  </si>
  <si>
    <t xml:space="preserve">YAĞ KARTERİ EB2/1.2THP </t>
  </si>
  <si>
    <t>OS101</t>
  </si>
  <si>
    <t>FAN REZİSTANSI 307/308/407/C4 DV6 1.6HDİ</t>
  </si>
  <si>
    <t>P9830146880</t>
  </si>
  <si>
    <t xml:space="preserve">EKSANTRİK ZİNCİRİ 8mm DV5R 1.5BLUEHDİ </t>
  </si>
  <si>
    <t xml:space="preserve">EKSANTRİK ZİNCİRİ GERGİSİ 8mm DV5R 1.5BLUEHDİ </t>
  </si>
  <si>
    <t>9830512680LUVİ</t>
  </si>
  <si>
    <t>ÖN PANEL ORTA RIFTER/BERLİNGO/COMBO.E/PROACE/DOBLO</t>
  </si>
  <si>
    <t>9830521680BİTAPART</t>
  </si>
  <si>
    <t>BPE309288</t>
  </si>
  <si>
    <t>ÖN PANEL YAN BAĞLANTI AYAK SAĞ RİFTER/COMBO.E/PROACE</t>
  </si>
  <si>
    <t>9830522280BİTAPART</t>
  </si>
  <si>
    <t>BPE309287</t>
  </si>
  <si>
    <t>ÖN PANEL YAN BAĞLANTI AYAK SOL RİFTER/COMBO.E/PROACE</t>
  </si>
  <si>
    <t>P9830580480</t>
  </si>
  <si>
    <t xml:space="preserve">EKSANTRİK MİLİ KAPAĞI 8mm DV5R 1.5BLUEHDİ </t>
  </si>
  <si>
    <t>YAĞ ÇUBUĞU EP6CDT</t>
  </si>
  <si>
    <t>9831088580ORJİN</t>
  </si>
  <si>
    <t>ROTİL ALT (KISA) RİFTER/BERLİNGO/COMBO.E/PROACE</t>
  </si>
  <si>
    <t>9831127080ABRASSE</t>
  </si>
  <si>
    <t>HOROZ DW10FUD/DW12RU 2.0HDİ/2.2HDİ EURO6</t>
  </si>
  <si>
    <t>BRS-0903H1-PG</t>
  </si>
  <si>
    <t>9831626480AYD</t>
  </si>
  <si>
    <t>SALINCAK SOL CORSA.F/208 19&gt;</t>
  </si>
  <si>
    <t>97-24026</t>
  </si>
  <si>
    <t>PİSTON YAĞLAMA MEMESİ EP6CDT/EB2</t>
  </si>
  <si>
    <t>BAGAJ KAPAGI KİLİT TELİ SAĞ ÜST COMBO.E/RİFTER/PROACE</t>
  </si>
  <si>
    <t>TURBO SELENOİD BOXER III/JUMPER III/3008/5008 DW12RU 2.2HDİ EURO6</t>
  </si>
  <si>
    <t>ANA YATAK STD EP6CDT (ÜST-YARIM)</t>
  </si>
  <si>
    <t>ANA YATAK STD EP6CDT (ALT-YARIM)</t>
  </si>
  <si>
    <t xml:space="preserve">EGR VALFİ 1.6HDİ EURO6 </t>
  </si>
  <si>
    <t>9833306180SACHS</t>
  </si>
  <si>
    <t>ÖN AMORTİSÖE SAĞ/SOL 19&gt; RİFTER/BERLİNGO/COMBO.E</t>
  </si>
  <si>
    <t>319 877</t>
  </si>
  <si>
    <t>9833350880Y</t>
  </si>
  <si>
    <t>POLEN FİLTRESİ 20&gt; 208/2008/C3/CORSA.F/MOKKA B/C/C4 III</t>
  </si>
  <si>
    <t>SMP-1212</t>
  </si>
  <si>
    <t>9833350880Y+CA</t>
  </si>
  <si>
    <t>POLEN FİLTRESİ KARBONLU 20&gt; 208/2008/C3/CORSA.F/MOKKA B/C/C4 III</t>
  </si>
  <si>
    <t>DEBRİYAJ TELİ PARTNER DV6 07&gt; Y.M</t>
  </si>
  <si>
    <t>98341733XT</t>
  </si>
  <si>
    <t xml:space="preserve">ÇAMURLUK AĞIZ BAKALİTİ ÖN SOL MOKKA.B </t>
  </si>
  <si>
    <t>DEVİRDAİM ARKA BORU EB2ADTS 1.2 TURBO</t>
  </si>
  <si>
    <t>98347052XT</t>
  </si>
  <si>
    <t>ÖN CAM SİLECEK ALT KAPLAMA SOL GRANDLAND.X</t>
  </si>
  <si>
    <t>ÖN TAMPON ALT IZGARA ORTA KAPAK MOKKA.B</t>
  </si>
  <si>
    <t xml:space="preserve">TURBO KOMPLE EB2ADT  (BOŞALTMA VALFLİ) </t>
  </si>
  <si>
    <t>9836834880FROWAS</t>
  </si>
  <si>
    <t>DEVİRDAİM KOMPLE DV5R 1.5BLUEHDİ (ARKA PLASTİK DAHİL)</t>
  </si>
  <si>
    <t>9836842480AYD</t>
  </si>
  <si>
    <t>Z ROT SAĞ CORSA.F/208 (50KWH ZKX ELEKTİRKLİ)</t>
  </si>
  <si>
    <t>96-25658</t>
  </si>
  <si>
    <t>9836849580AYD</t>
  </si>
  <si>
    <t>Z ROT SOL CORSA.F/208 (50KWH ZKX ELEKTİRKLİ)</t>
  </si>
  <si>
    <t>96-25657E</t>
  </si>
  <si>
    <t>BAGAJ KAPAĞI CORSA.F 20&gt;</t>
  </si>
  <si>
    <t>MOTOR KAPUTU MOKKA.B</t>
  </si>
  <si>
    <t>RADYATÖR ALT HORTUM +AT 208/2008/CORSA.F 1.2 EB2ADTS</t>
  </si>
  <si>
    <t>9838207180FEBİ</t>
  </si>
  <si>
    <t>AMORTİSÖR TAKOZ CORSA.F/MOKKA.B/2008/208/C4 X/</t>
  </si>
  <si>
    <t>9838520180KALE</t>
  </si>
  <si>
    <t>SU RADYATÖR BRAZİNG 1.5BLUEHDİ 508/3008/C5 AIRCROSS/GRANDLAND.X/ASTRA.L</t>
  </si>
  <si>
    <t xml:space="preserve">YAĞ SOĞUTUCU EB2ADTS </t>
  </si>
  <si>
    <t>98398850XT</t>
  </si>
  <si>
    <t>ARKA KAPI KAPLAMASI SAĞ 3008 2024&gt;</t>
  </si>
  <si>
    <t>9842467480TETİK</t>
  </si>
  <si>
    <t>SUBAP TAKIM DV5 1.5BLUEHDİ</t>
  </si>
  <si>
    <t>OPL-145</t>
  </si>
  <si>
    <t xml:space="preserve">9844264780TEKNOROT </t>
  </si>
  <si>
    <t>Z ROT 308/3008/508/5008/DS7/RİFTER/C5 AIRCROSS</t>
  </si>
  <si>
    <t>CI-667</t>
  </si>
  <si>
    <t>9844585580FROWAS</t>
  </si>
  <si>
    <t>ENJEKTÖR DÖNÜŞ BORU DW10FC/DW12RUD 2.0HDİ/2.2HDİ EURO6</t>
  </si>
  <si>
    <t xml:space="preserve">TURBO KOMPLE EB2ADT  (BOŞALTMA VALF YOK) </t>
  </si>
  <si>
    <t>SALINCAK SOL GRANDLAND.X ROTİLSİZ</t>
  </si>
  <si>
    <t>9846913380SPL</t>
  </si>
  <si>
    <t>KARTER MUHAFAZA ENJEKSİYON ORJİNAL TİP RIFTER/COMBO.E/3008/5008/C5 AİRCROSS</t>
  </si>
  <si>
    <t>SPL</t>
  </si>
  <si>
    <t>1133K</t>
  </si>
  <si>
    <t>FAN REZİSTANSI 206/307/308/508/PARTNER TEPEE 1.6HDİ DV6</t>
  </si>
  <si>
    <t>9849189680ABRASSE</t>
  </si>
  <si>
    <t>KÜLBÜTÖR KAPAĞI EB2 1.2THP 308/3008/508/5008/RİFTER/CROSSLAN.X/GRANDLAND.X</t>
  </si>
  <si>
    <t>BRS-78580-PG</t>
  </si>
  <si>
    <t>9849443980ABRASSE</t>
  </si>
  <si>
    <t>TERMOSTAT 3008/5008/BOXER III 16&gt;/EXPERT 4 DW10FUD 2.0HDİ EURO6</t>
  </si>
  <si>
    <t>BRS-43980-PG</t>
  </si>
  <si>
    <t>9850364680ABRASSE</t>
  </si>
  <si>
    <t xml:space="preserve">TERMOSTAT DV6FC/DV6FD 1.6HDİ EURO6 120HP </t>
  </si>
  <si>
    <t>BRS-64680-PG</t>
  </si>
  <si>
    <t>9850364680OES</t>
  </si>
  <si>
    <t>TERMOSTAT DV6FC/DV6FD 1.6HDİ EURO6 120HP</t>
  </si>
  <si>
    <t>T150.03</t>
  </si>
  <si>
    <t>ÖN FAR SOL LED CORSA.F MAKYAJLI 2023&gt;&gt;</t>
  </si>
  <si>
    <t>ÖN FAR SAĞ LED CORSA.F MAKYAJLI 2023&gt;&gt;</t>
  </si>
  <si>
    <t>ATEŞLEME BUJİ EB2ADTS 1.2 130HP/136HP HYBRIT</t>
  </si>
  <si>
    <t>9863013680BOSCH</t>
  </si>
  <si>
    <t>ATEŞLEME BUJİ İRİDİUM 1.2THP EB2ADTD/EB2DTS CORSA.F/2008/5008</t>
  </si>
  <si>
    <t>ÇAMURLUK DAVLUMBAZ SOL ARKA RİFTER/COMBO.E</t>
  </si>
  <si>
    <t>98711013200MANN</t>
  </si>
  <si>
    <t>HAVA FİLTRESİ PORSCHE BOXTER 04-12/CAYMAN 06-13</t>
  </si>
  <si>
    <t>C31002</t>
  </si>
  <si>
    <t>A0041597503NGK</t>
  </si>
  <si>
    <t>ATEŞLEME BUJİSİ 270/274/282 MERCEDES</t>
  </si>
  <si>
    <t>A2105010615SWAG</t>
  </si>
  <si>
    <t>YEDEK SU DEPO KAPAK W176 12-18/W246 12-18/W203 00-07/W204 07-14</t>
  </si>
  <si>
    <t>A2303300325VALEO</t>
  </si>
  <si>
    <t>ÖN TEKER RULMAN SET (KEÇE İLE) C219 04-10/W211 02-08/S211 03-09/R230 06-12</t>
  </si>
  <si>
    <t>A2465000049MAHLE</t>
  </si>
  <si>
    <t>YEDEK SU DEPO X156 13&gt;/W176 13-18/W246 11-18/C117 13-18</t>
  </si>
  <si>
    <t>CRT65000S</t>
  </si>
  <si>
    <t>A2469810006SKF</t>
  </si>
  <si>
    <t>ÖN TEKER RULMAN W176/W246/W242/ CLA/A/B SERİSİ</t>
  </si>
  <si>
    <t>VKBC 20084</t>
  </si>
  <si>
    <t>A2709060500BOSCH</t>
  </si>
  <si>
    <t>ATEŞLEME BOBİN 270/274 MOTOR M.BENZ</t>
  </si>
  <si>
    <t>ANTİFRİZGOODYEAR</t>
  </si>
  <si>
    <t>ANTİFRİZ 1 LT G12</t>
  </si>
  <si>
    <t>AV6Q6008SKT</t>
  </si>
  <si>
    <t>TAKIM CONTA FULL DV6/DV6C EURO5 1.5TDCİ SKT KEÇELİ</t>
  </si>
  <si>
    <t>AV6Q6008Y</t>
  </si>
  <si>
    <t>MOTOR TAKIM CONTA DV6/DV6C EURO5 1.5TDCİ</t>
  </si>
  <si>
    <t>B36615186AİBRAS</t>
  </si>
  <si>
    <t>RADYATÖR ÜST HORTUM MAZDA 323 1.6</t>
  </si>
  <si>
    <t>C3ARKA</t>
  </si>
  <si>
    <t>ARKA SİLECEK KOMPLE C3 II 09-16</t>
  </si>
  <si>
    <t>CR4363SI-STD</t>
  </si>
  <si>
    <t>KOL YATAK STD Z22SE/A20NHT (SILVERLINE)</t>
  </si>
  <si>
    <t>CR4363SI</t>
  </si>
  <si>
    <t>DEXRON III-GRAT</t>
  </si>
  <si>
    <t>ATF 3 DEXRON III 1LİTRE</t>
  </si>
  <si>
    <t>GRT-600031</t>
  </si>
  <si>
    <t>DNK-KMCH104</t>
  </si>
  <si>
    <t xml:space="preserve">KARTER MUHAFAZA SACI CAPTİVA/ANTARA </t>
  </si>
  <si>
    <t>DV5RTAKIMCONTA</t>
  </si>
  <si>
    <t>MOTOR TAKIM CONTA DV5RC/DV5RD/DV5RE</t>
  </si>
  <si>
    <t>REEL</t>
  </si>
  <si>
    <t>JX6Q6008</t>
  </si>
  <si>
    <t>F01M101456SAGEM</t>
  </si>
  <si>
    <t>MAZOT POMPA TAMİR TAKIM Z13DT/Z13DTH</t>
  </si>
  <si>
    <t>GAYD 1.4-6HDİEURO5</t>
  </si>
  <si>
    <t>GAYD TAKIM DV4/DV6 EURO5</t>
  </si>
  <si>
    <t>ALBAGA</t>
  </si>
  <si>
    <t>28013S36</t>
  </si>
  <si>
    <t>GAYDX20XEV</t>
  </si>
  <si>
    <t>ABG 24 072 F85</t>
  </si>
  <si>
    <t>SUBAP GAYDI X20XEV</t>
  </si>
  <si>
    <t>GAYDX20XEV-TETİK</t>
  </si>
  <si>
    <t>GAYD X20XEV</t>
  </si>
  <si>
    <t>OPL-131GMO</t>
  </si>
  <si>
    <t>GAYDY17DTTETİK</t>
  </si>
  <si>
    <t>GAYD TAKIM Y17DT/Z17DTH</t>
  </si>
  <si>
    <t>OPL-114G</t>
  </si>
  <si>
    <t>GAYDZ13DT</t>
  </si>
  <si>
    <t>SUBAP GAYDI Z13DT/A13DTE</t>
  </si>
  <si>
    <t>OPL-107G</t>
  </si>
  <si>
    <t>GÖMLEK DW10</t>
  </si>
  <si>
    <t>GÖMLEK TAKIM STD 85,00 MM DW10 2.0D 8V/16V 2.0HDİ</t>
  </si>
  <si>
    <t xml:space="preserve">KONEKS </t>
  </si>
  <si>
    <t>GT450.06.02GAYSAN</t>
  </si>
  <si>
    <t>SUBAP GAYDI KISA A16XER</t>
  </si>
  <si>
    <t>GT450.06.02</t>
  </si>
  <si>
    <t>H10 12V NİKEN</t>
  </si>
  <si>
    <t>LED ZENON 12V H10  ECO SERİES</t>
  </si>
  <si>
    <t>NİKEN</t>
  </si>
  <si>
    <t>JDE37128BOSCH</t>
  </si>
  <si>
    <t>YAĞ FİLTRESİ RANGEROVER DİSCOVERY SPORT/VELAR 1.5/2.0D</t>
  </si>
  <si>
    <t>F026407275</t>
  </si>
  <si>
    <t>JV8 MAHLE</t>
  </si>
  <si>
    <t>SIVI CONTA JV8 GRİ +RTV</t>
  </si>
  <si>
    <t>JV8</t>
  </si>
  <si>
    <t>KELEPÇE KISA9</t>
  </si>
  <si>
    <t>S02</t>
  </si>
  <si>
    <t>AKS KÖRÜĞÜ KELEPÇESİ 9mm KISA TİP</t>
  </si>
  <si>
    <t>KELEPÇE UZUN9</t>
  </si>
  <si>
    <t>S01</t>
  </si>
  <si>
    <t>AKS KÖRÜĞÜ KELEPÇESİ 9mm UZUN TİP</t>
  </si>
  <si>
    <t>LR029078BOSCH</t>
  </si>
  <si>
    <t>HAVA FİLTRESİ FREELANDER II/RANGE ROVER EVOQUE</t>
  </si>
  <si>
    <t>F026400324</t>
  </si>
  <si>
    <t>LR039621SARDES</t>
  </si>
  <si>
    <t>SCA765</t>
  </si>
  <si>
    <t>POLEN FİLTRESİ +CA FREELANDER 2 /RANGE ROVER EVOQU</t>
  </si>
  <si>
    <t>LR110409AYD</t>
  </si>
  <si>
    <t>ÖN BALATA 177,2mm RANGE ROVER SPORT 14&gt;// DISCOVERY 5 17&gt;//</t>
  </si>
  <si>
    <t>60399A</t>
  </si>
  <si>
    <t>LTRL472868LUKOİL</t>
  </si>
  <si>
    <t>ŞANZUMAN YAĞI DEXRON6 (KIRMIZI)</t>
  </si>
  <si>
    <t>LUK OİL</t>
  </si>
  <si>
    <t>LTRL472868</t>
  </si>
  <si>
    <t>M32ŞANZUMAN</t>
  </si>
  <si>
    <t xml:space="preserve">M32 ŞANZUMAN 6İLERİ RULMAN SETİ </t>
  </si>
  <si>
    <t>MB5413CP-STD</t>
  </si>
  <si>
    <t>ANA YATAK STD Z22SE/A20NHT</t>
  </si>
  <si>
    <t>MB5413CP</t>
  </si>
  <si>
    <t>P55567067OEM</t>
  </si>
  <si>
    <t>PXM-RN14</t>
  </si>
  <si>
    <t>PASPAS TAKIMI MEGANE 4 16&gt; 3D X-MAT</t>
  </si>
  <si>
    <t>PERFLEX</t>
  </si>
  <si>
    <t>ST00004</t>
  </si>
  <si>
    <t>STOP LAMBASI SAĞ CORSA.B GSI</t>
  </si>
  <si>
    <t>442-1921R-U</t>
  </si>
  <si>
    <t>ST00007</t>
  </si>
  <si>
    <t>AKS KEÇE SOL C3/C4/C5/206/306/307</t>
  </si>
  <si>
    <t>ST00019</t>
  </si>
  <si>
    <t>ST00026</t>
  </si>
  <si>
    <t>GAYD 1.4/1.8/2.0 8V</t>
  </si>
  <si>
    <t>VG1951</t>
  </si>
  <si>
    <t>ST00029</t>
  </si>
  <si>
    <t>ST00031</t>
  </si>
  <si>
    <t>ST00032</t>
  </si>
  <si>
    <t>ST00033</t>
  </si>
  <si>
    <t xml:space="preserve">test </t>
  </si>
  <si>
    <t>ST00035</t>
  </si>
  <si>
    <t>ST00039</t>
  </si>
  <si>
    <t>ST00042</t>
  </si>
  <si>
    <t>TOTAL MAVİ 3LT</t>
  </si>
  <si>
    <t>ANTFRİZ MAVİ 3LT</t>
  </si>
  <si>
    <t>TOTAL</t>
  </si>
  <si>
    <t>TW197AM</t>
  </si>
  <si>
    <t>GEZİ AY(AY YATAK) Z13DT/A13DTE</t>
  </si>
  <si>
    <t>TW197AM-ŞAHİN</t>
  </si>
  <si>
    <t>AY1019SA001</t>
  </si>
  <si>
    <t>V759886280WİSCO</t>
  </si>
  <si>
    <t xml:space="preserve">MOTOR ÜST KAPAK EP6CDT </t>
  </si>
  <si>
    <t>3114350-00</t>
  </si>
  <si>
    <t>V761689580ELRİNG</t>
  </si>
  <si>
    <t>EKSOZ MANİFOLT CONTA EP6CDT/EP6FDT/EP6CDTM</t>
  </si>
  <si>
    <t>V764737680PİERBURG</t>
  </si>
  <si>
    <t>YAĞ POMPASI EP6CDT/EP6FADT</t>
  </si>
  <si>
    <t>7.07919.33.0</t>
  </si>
  <si>
    <t>V861706980</t>
  </si>
  <si>
    <t>TURBO YAĞ GERİ DÖNÜŞ HORTUM EP6CDT/EP6FA</t>
  </si>
  <si>
    <t>VİTES KOL MİLİ</t>
  </si>
  <si>
    <t>VİTES KOL MİLİ ASTRA.H 5İLERİ</t>
  </si>
  <si>
    <t>754K5844</t>
  </si>
  <si>
    <t>YP00020480ROOT</t>
  </si>
  <si>
    <t>ÖN TAMPON BRAKETİ SOL GRANDLAND.X</t>
  </si>
  <si>
    <t>YP00024180</t>
  </si>
  <si>
    <t>SİS KAPAGI SOL SİSLİ GRANDLAND.X</t>
  </si>
  <si>
    <t>YP00024380</t>
  </si>
  <si>
    <t>ÖN TAMPON İÇ VE PANEL KAPLAMASI GRANDLAND.X</t>
  </si>
  <si>
    <t>YP00026680ROOT</t>
  </si>
  <si>
    <t>ÖN TAMPON BRAKETİ SAĞ GRANDLAND.X</t>
  </si>
  <si>
    <t>YP00026780</t>
  </si>
  <si>
    <t>ÖN TAMPON YAN DODİK SOL GRANDLAND.X</t>
  </si>
  <si>
    <t>YP00028180</t>
  </si>
  <si>
    <t>TAMPON ALT DEFLEKTÖRÜ GRANDLAND.X</t>
  </si>
  <si>
    <t>YP000308XT</t>
  </si>
  <si>
    <t>ÇAMURLUK AĞIZ BAKALİTİ ÖN SOL GRANDLAND.X</t>
  </si>
  <si>
    <t>YP00031280</t>
  </si>
  <si>
    <t>DİKİZ AYNASI KOMPLE SOL GRANDLAND.X</t>
  </si>
  <si>
    <t>YP00039780</t>
  </si>
  <si>
    <t>SİS KAPAĞI ÖN SOL (RADARLI) GRANDLAND.X</t>
  </si>
  <si>
    <t>YP00042080</t>
  </si>
  <si>
    <t>SİS ÇERÇEVE KAPAK KÜÇÜK ÖN SOL GRANDLAND.X</t>
  </si>
  <si>
    <t>YP00066680</t>
  </si>
  <si>
    <t>SU FİSKİYE MEME HORTUM SETİ GRANDLAND.X</t>
  </si>
  <si>
    <t>YP00099380</t>
  </si>
  <si>
    <t>SİS KAPAK NİKELAJI ÖN SOL GRANDLAND.X</t>
  </si>
  <si>
    <t>YP00119780</t>
  </si>
  <si>
    <t>ÖN SOL KAPI GRANDLAND.X 18&gt;</t>
  </si>
  <si>
    <t>YP00137780</t>
  </si>
  <si>
    <t>SİLECEK HORTUM SET GRANDLAND.X</t>
  </si>
  <si>
    <t>YP00152980BOSCH</t>
  </si>
  <si>
    <t>ARKA SİLECEK SÜPÜRGESİ GRANDLAND.X/3008/DS7/C4 GRAND PCS./308 SW</t>
  </si>
  <si>
    <t>YQ00849580</t>
  </si>
  <si>
    <t>JANT KAPAĞI CORSSLAND 21&gt;</t>
  </si>
  <si>
    <t>YQ00978380</t>
  </si>
  <si>
    <t>DEVİRDAİM+TERMOSTAT KÜTÜKLÜ KOMPLE F15DVH ASTRA.K/İNSİGNİA.B</t>
  </si>
  <si>
    <t>YR00084380</t>
  </si>
  <si>
    <t>PYR00084380</t>
  </si>
  <si>
    <t>ÖN AMORTİSÖR SOL İNSİGNİA.B</t>
  </si>
  <si>
    <t>YR00084380MONROE</t>
  </si>
  <si>
    <t xml:space="preserve">ÖN AMORTİSÖR SOL İNSİGNİA.B  </t>
  </si>
  <si>
    <t>G8708</t>
  </si>
  <si>
    <t>YR00084480</t>
  </si>
  <si>
    <t xml:space="preserve">ÖN AMORTİSÖR SAĞ İNSİGNİA.B </t>
  </si>
  <si>
    <t>YR00084480MONROE</t>
  </si>
  <si>
    <t>G8707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</si>
</sst>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D9325-2CC8-4DF4-8714-C53A7EAF3362}">
  <dimension ref="A1:M8795"/>
  <sheetViews>
    <sheetView tabSelected="1" workbookViewId="0">
      <selection activeCell="G1" sqref="G1:G1048576"/>
    </sheetView>
  </sheetViews>
  <sheetFormatPr defaultRowHeight="15" x14ac:dyDescent="0.25"/>
  <cols>
    <col min="1" max="1" width="21.140625" customWidth="1"/>
    <col min="2" max="2" width="109.140625" bestFit="1" customWidth="1"/>
    <col min="4" max="4" width="23.42578125" bestFit="1" customWidth="1"/>
    <col min="5" max="5" width="9.42578125" bestFit="1" customWidth="1"/>
    <col min="9" max="9" width="9.140625" style="2"/>
    <col min="10" max="10" width="23" style="2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t="s">
        <v>10</v>
      </c>
      <c r="L1" t="s">
        <v>11</v>
      </c>
      <c r="M1" t="s">
        <v>12</v>
      </c>
    </row>
    <row r="2" spans="1:13" x14ac:dyDescent="0.25">
      <c r="A2" t="str">
        <f>"0024.84SARDES"</f>
        <v>0024.84SARDES</v>
      </c>
      <c r="B2" t="s">
        <v>13</v>
      </c>
      <c r="C2" t="s">
        <v>14</v>
      </c>
      <c r="D2" t="s">
        <v>15</v>
      </c>
      <c r="F2">
        <v>2</v>
      </c>
      <c r="G2" t="s">
        <v>16</v>
      </c>
      <c r="H2">
        <v>0</v>
      </c>
      <c r="I2" s="2" t="s">
        <v>17</v>
      </c>
      <c r="J2" s="2" t="s">
        <v>18</v>
      </c>
      <c r="K2">
        <v>20</v>
      </c>
      <c r="L2">
        <v>20</v>
      </c>
      <c r="M2">
        <v>20</v>
      </c>
    </row>
    <row r="3" spans="1:13" x14ac:dyDescent="0.25">
      <c r="A3" t="str">
        <f>"0111.ATKONEKS-SET"</f>
        <v>0111.ATKONEKS-SET</v>
      </c>
      <c r="B3" t="s">
        <v>19</v>
      </c>
      <c r="C3" t="s">
        <v>20</v>
      </c>
      <c r="D3" t="s">
        <v>21</v>
      </c>
      <c r="F3">
        <v>0</v>
      </c>
      <c r="G3" t="s">
        <v>22</v>
      </c>
      <c r="H3">
        <v>0</v>
      </c>
      <c r="I3" s="2" t="s">
        <v>23</v>
      </c>
      <c r="J3" s="2" t="s">
        <v>24</v>
      </c>
      <c r="K3">
        <v>20</v>
      </c>
      <c r="L3">
        <v>20</v>
      </c>
      <c r="M3">
        <v>20</v>
      </c>
    </row>
    <row r="4" spans="1:13" x14ac:dyDescent="0.25">
      <c r="A4" t="str">
        <f>"0112.76OTOCONTA"</f>
        <v>0112.76OTOCONTA</v>
      </c>
      <c r="B4" t="s">
        <v>25</v>
      </c>
      <c r="C4" t="s">
        <v>20</v>
      </c>
      <c r="D4" t="s">
        <v>26</v>
      </c>
      <c r="G4" t="s">
        <v>16</v>
      </c>
      <c r="H4">
        <v>0</v>
      </c>
      <c r="I4" s="2" t="s">
        <v>27</v>
      </c>
      <c r="J4" s="2">
        <v>40102505</v>
      </c>
      <c r="K4">
        <v>20</v>
      </c>
      <c r="L4">
        <v>20</v>
      </c>
      <c r="M4">
        <v>20</v>
      </c>
    </row>
    <row r="5" spans="1:13" x14ac:dyDescent="0.25">
      <c r="A5" t="str">
        <f>"0113.92GLYCO"</f>
        <v>0113.92GLYCO</v>
      </c>
      <c r="B5" t="s">
        <v>28</v>
      </c>
      <c r="C5" t="s">
        <v>20</v>
      </c>
      <c r="F5">
        <v>1</v>
      </c>
      <c r="G5" t="s">
        <v>16</v>
      </c>
      <c r="H5">
        <v>0</v>
      </c>
      <c r="I5" s="2" t="s">
        <v>29</v>
      </c>
      <c r="J5" s="2" t="s">
        <v>30</v>
      </c>
      <c r="K5">
        <v>20</v>
      </c>
      <c r="L5">
        <v>20</v>
      </c>
      <c r="M5">
        <v>20</v>
      </c>
    </row>
    <row r="6" spans="1:13" x14ac:dyDescent="0.25">
      <c r="A6" t="str">
        <f>"0113.93KING"</f>
        <v>0113.93KING</v>
      </c>
      <c r="B6" t="s">
        <v>31</v>
      </c>
      <c r="C6" t="s">
        <v>20</v>
      </c>
      <c r="G6" t="s">
        <v>16</v>
      </c>
      <c r="H6">
        <v>0</v>
      </c>
      <c r="I6" s="2" t="s">
        <v>32</v>
      </c>
      <c r="J6" s="2" t="s">
        <v>33</v>
      </c>
      <c r="K6">
        <v>20</v>
      </c>
      <c r="L6">
        <v>20</v>
      </c>
      <c r="M6">
        <v>20</v>
      </c>
    </row>
    <row r="7" spans="1:13" x14ac:dyDescent="0.25">
      <c r="A7" t="str">
        <f>"0113.E6KING"</f>
        <v>0113.E6KING</v>
      </c>
      <c r="B7" t="s">
        <v>34</v>
      </c>
      <c r="C7" t="s">
        <v>20</v>
      </c>
      <c r="G7" t="s">
        <v>16</v>
      </c>
      <c r="H7">
        <v>0</v>
      </c>
      <c r="I7" s="2" t="s">
        <v>35</v>
      </c>
      <c r="J7" s="2" t="s">
        <v>36</v>
      </c>
      <c r="K7">
        <v>20</v>
      </c>
      <c r="L7">
        <v>20</v>
      </c>
      <c r="M7">
        <v>20</v>
      </c>
    </row>
    <row r="8" spans="1:13" x14ac:dyDescent="0.25">
      <c r="A8" t="str">
        <f>"0113.T5KING "</f>
        <v xml:space="preserve">0113.T5KING </v>
      </c>
      <c r="B8" t="s">
        <v>37</v>
      </c>
      <c r="C8" t="s">
        <v>20</v>
      </c>
      <c r="F8">
        <v>1</v>
      </c>
      <c r="G8" t="s">
        <v>16</v>
      </c>
      <c r="H8">
        <v>0</v>
      </c>
      <c r="I8" s="2" t="s">
        <v>35</v>
      </c>
      <c r="J8" s="2" t="s">
        <v>38</v>
      </c>
      <c r="K8">
        <v>20</v>
      </c>
      <c r="L8">
        <v>20</v>
      </c>
      <c r="M8">
        <v>20</v>
      </c>
    </row>
    <row r="9" spans="1:13" x14ac:dyDescent="0.25">
      <c r="A9" t="str">
        <f>"0113.W3KOLBEN"</f>
        <v>0113.W3KOLBEN</v>
      </c>
      <c r="B9" t="s">
        <v>39</v>
      </c>
      <c r="C9" t="s">
        <v>20</v>
      </c>
      <c r="F9">
        <v>1</v>
      </c>
      <c r="G9" t="s">
        <v>16</v>
      </c>
      <c r="H9">
        <v>0</v>
      </c>
      <c r="I9" s="2" t="s">
        <v>40</v>
      </c>
      <c r="J9" s="2">
        <v>37206600</v>
      </c>
      <c r="K9">
        <v>20</v>
      </c>
      <c r="L9">
        <v>20</v>
      </c>
      <c r="M9">
        <v>20</v>
      </c>
    </row>
    <row r="10" spans="1:13" x14ac:dyDescent="0.25">
      <c r="A10" t="str">
        <f>"0118.95KING"</f>
        <v>0118.95KING</v>
      </c>
      <c r="B10" t="s">
        <v>41</v>
      </c>
      <c r="C10" t="s">
        <v>20</v>
      </c>
      <c r="G10" t="s">
        <v>16</v>
      </c>
      <c r="H10">
        <v>0</v>
      </c>
      <c r="I10" s="2" t="s">
        <v>35</v>
      </c>
      <c r="J10" s="2" t="s">
        <v>42</v>
      </c>
      <c r="K10">
        <v>20</v>
      </c>
      <c r="L10">
        <v>20</v>
      </c>
      <c r="M10">
        <v>20</v>
      </c>
    </row>
    <row r="11" spans="1:13" x14ac:dyDescent="0.25">
      <c r="A11" t="str">
        <f>"0118.97KING"</f>
        <v>0118.97KING</v>
      </c>
      <c r="B11" t="s">
        <v>43</v>
      </c>
      <c r="C11" t="s">
        <v>20</v>
      </c>
      <c r="F11">
        <v>1</v>
      </c>
      <c r="G11" t="s">
        <v>16</v>
      </c>
      <c r="H11">
        <v>0</v>
      </c>
      <c r="I11" s="2" t="s">
        <v>35</v>
      </c>
      <c r="K11">
        <v>20</v>
      </c>
      <c r="L11">
        <v>20</v>
      </c>
      <c r="M11">
        <v>20</v>
      </c>
    </row>
    <row r="12" spans="1:13" x14ac:dyDescent="0.25">
      <c r="A12" t="str">
        <f>"0118.F4GLYCO"</f>
        <v>0118.F4GLYCO</v>
      </c>
      <c r="B12" t="s">
        <v>44</v>
      </c>
      <c r="C12" t="s">
        <v>20</v>
      </c>
      <c r="F12">
        <v>1</v>
      </c>
      <c r="G12" t="s">
        <v>16</v>
      </c>
      <c r="H12">
        <v>0</v>
      </c>
      <c r="I12" s="2" t="s">
        <v>29</v>
      </c>
      <c r="J12" s="2" t="s">
        <v>45</v>
      </c>
      <c r="K12">
        <v>20</v>
      </c>
      <c r="L12">
        <v>20</v>
      </c>
      <c r="M12">
        <v>20</v>
      </c>
    </row>
    <row r="13" spans="1:13" x14ac:dyDescent="0.25">
      <c r="A13" t="str">
        <f>"0118.F9KING"</f>
        <v>0118.F9KING</v>
      </c>
      <c r="B13" t="s">
        <v>46</v>
      </c>
      <c r="C13" t="s">
        <v>20</v>
      </c>
      <c r="F13">
        <v>1</v>
      </c>
      <c r="G13" t="s">
        <v>16</v>
      </c>
      <c r="H13">
        <v>0</v>
      </c>
      <c r="I13" s="2" t="s">
        <v>35</v>
      </c>
      <c r="J13" s="2" t="s">
        <v>47</v>
      </c>
      <c r="K13">
        <v>20</v>
      </c>
      <c r="L13">
        <v>20</v>
      </c>
      <c r="M13">
        <v>20</v>
      </c>
    </row>
    <row r="14" spans="1:13" x14ac:dyDescent="0.25">
      <c r="A14" t="str">
        <f>"0118.G3KING"</f>
        <v>0118.G3KING</v>
      </c>
      <c r="B14" t="s">
        <v>48</v>
      </c>
      <c r="C14" t="s">
        <v>20</v>
      </c>
      <c r="F14">
        <v>1</v>
      </c>
      <c r="G14" t="s">
        <v>16</v>
      </c>
      <c r="H14">
        <v>0</v>
      </c>
      <c r="I14" s="2" t="s">
        <v>35</v>
      </c>
      <c r="J14" s="2" t="s">
        <v>49</v>
      </c>
      <c r="K14">
        <v>20</v>
      </c>
      <c r="L14">
        <v>20</v>
      </c>
      <c r="M14">
        <v>20</v>
      </c>
    </row>
    <row r="15" spans="1:13" x14ac:dyDescent="0.25">
      <c r="A15" t="str">
        <f>"0118.G4"</f>
        <v>0118.G4</v>
      </c>
      <c r="B15" t="s">
        <v>50</v>
      </c>
      <c r="C15" t="s">
        <v>20</v>
      </c>
      <c r="G15" t="s">
        <v>16</v>
      </c>
      <c r="H15">
        <v>0</v>
      </c>
      <c r="I15" s="2" t="s">
        <v>51</v>
      </c>
      <c r="J15" s="2" t="str">
        <f>"0118.G4"</f>
        <v>0118.G4</v>
      </c>
      <c r="K15">
        <v>20</v>
      </c>
      <c r="L15">
        <v>20</v>
      </c>
      <c r="M15">
        <v>20</v>
      </c>
    </row>
    <row r="16" spans="1:13" x14ac:dyDescent="0.25">
      <c r="A16" t="str">
        <f>"0118.G4-BMW"</f>
        <v>0118.G4-BMW</v>
      </c>
      <c r="B16" t="s">
        <v>50</v>
      </c>
      <c r="C16" t="s">
        <v>20</v>
      </c>
      <c r="F16">
        <v>0</v>
      </c>
      <c r="G16" t="s">
        <v>16</v>
      </c>
      <c r="H16">
        <v>0</v>
      </c>
      <c r="I16" s="2" t="s">
        <v>52</v>
      </c>
      <c r="J16" s="2" t="s">
        <v>53</v>
      </c>
      <c r="K16">
        <v>20</v>
      </c>
      <c r="L16">
        <v>20</v>
      </c>
      <c r="M16">
        <v>20</v>
      </c>
    </row>
    <row r="17" spans="1:13" x14ac:dyDescent="0.25">
      <c r="A17" t="str">
        <f>"0127.40"</f>
        <v>0127.40</v>
      </c>
      <c r="B17" t="s">
        <v>54</v>
      </c>
      <c r="C17" t="s">
        <v>20</v>
      </c>
      <c r="D17" t="s">
        <v>26</v>
      </c>
      <c r="G17" t="s">
        <v>16</v>
      </c>
      <c r="H17">
        <v>0</v>
      </c>
      <c r="I17" s="2" t="s">
        <v>55</v>
      </c>
      <c r="J17" s="2" t="str">
        <f>"0127.40"</f>
        <v>0127.40</v>
      </c>
      <c r="K17">
        <v>20</v>
      </c>
      <c r="L17">
        <v>20</v>
      </c>
      <c r="M17">
        <v>20</v>
      </c>
    </row>
    <row r="18" spans="1:13" x14ac:dyDescent="0.25">
      <c r="A18" t="str">
        <f>"0127.43SKT"</f>
        <v>0127.43SKT</v>
      </c>
      <c r="B18" t="s">
        <v>56</v>
      </c>
      <c r="C18" t="s">
        <v>20</v>
      </c>
      <c r="D18" t="s">
        <v>26</v>
      </c>
      <c r="F18">
        <v>2</v>
      </c>
      <c r="G18" t="s">
        <v>16</v>
      </c>
      <c r="H18">
        <v>0</v>
      </c>
      <c r="I18" s="2" t="s">
        <v>57</v>
      </c>
      <c r="J18" s="2" t="s">
        <v>58</v>
      </c>
      <c r="K18">
        <v>20</v>
      </c>
      <c r="L18">
        <v>20</v>
      </c>
      <c r="M18">
        <v>20</v>
      </c>
    </row>
    <row r="19" spans="1:13" x14ac:dyDescent="0.25">
      <c r="A19" t="str">
        <f>"0127.45SKT"</f>
        <v>0127.45SKT</v>
      </c>
      <c r="B19" t="s">
        <v>59</v>
      </c>
      <c r="C19" t="s">
        <v>20</v>
      </c>
      <c r="D19" t="s">
        <v>26</v>
      </c>
      <c r="G19" t="s">
        <v>16</v>
      </c>
      <c r="H19">
        <v>0</v>
      </c>
      <c r="I19" s="2" t="s">
        <v>57</v>
      </c>
      <c r="J19" s="2" t="s">
        <v>60</v>
      </c>
      <c r="K19">
        <v>20</v>
      </c>
      <c r="L19">
        <v>20</v>
      </c>
      <c r="M19">
        <v>20</v>
      </c>
    </row>
    <row r="20" spans="1:13" x14ac:dyDescent="0.25">
      <c r="A20" t="str">
        <f>"0135.EHOTOCONTA"</f>
        <v>0135.EHOTOCONTA</v>
      </c>
      <c r="B20" t="s">
        <v>61</v>
      </c>
      <c r="C20" t="s">
        <v>20</v>
      </c>
      <c r="D20" t="s">
        <v>26</v>
      </c>
      <c r="F20">
        <v>1</v>
      </c>
      <c r="G20" t="s">
        <v>16</v>
      </c>
      <c r="H20">
        <v>0</v>
      </c>
      <c r="I20" s="2" t="s">
        <v>27</v>
      </c>
      <c r="J20" s="2">
        <v>42200002</v>
      </c>
      <c r="K20">
        <v>20</v>
      </c>
      <c r="L20">
        <v>20</v>
      </c>
      <c r="M20">
        <v>20</v>
      </c>
    </row>
    <row r="21" spans="1:13" x14ac:dyDescent="0.25">
      <c r="A21" t="str">
        <f>"0135.JY"</f>
        <v>0135.JY</v>
      </c>
      <c r="B21" t="s">
        <v>62</v>
      </c>
      <c r="C21" t="s">
        <v>20</v>
      </c>
      <c r="G21" t="s">
        <v>16</v>
      </c>
      <c r="H21">
        <v>0</v>
      </c>
      <c r="I21" s="2" t="s">
        <v>55</v>
      </c>
      <c r="J21" s="2" t="str">
        <f>"0135.JY"</f>
        <v>0135.JY</v>
      </c>
      <c r="K21">
        <v>20</v>
      </c>
      <c r="L21">
        <v>20</v>
      </c>
      <c r="M21">
        <v>20</v>
      </c>
    </row>
    <row r="22" spans="1:13" x14ac:dyDescent="0.25">
      <c r="A22" t="str">
        <f>"0137.42KRAFTVOLL"</f>
        <v>0137.42KRAFTVOLL</v>
      </c>
      <c r="B22" t="s">
        <v>63</v>
      </c>
      <c r="C22" t="s">
        <v>20</v>
      </c>
      <c r="F22">
        <v>1</v>
      </c>
      <c r="G22" t="s">
        <v>16</v>
      </c>
      <c r="H22">
        <v>0</v>
      </c>
      <c r="I22" s="2" t="s">
        <v>64</v>
      </c>
      <c r="J22" s="2">
        <v>21031353</v>
      </c>
      <c r="K22">
        <v>20</v>
      </c>
      <c r="L22">
        <v>20</v>
      </c>
      <c r="M22">
        <v>20</v>
      </c>
    </row>
    <row r="23" spans="1:13" x14ac:dyDescent="0.25">
      <c r="A23" t="str">
        <f>"0162.18"</f>
        <v>0162.18</v>
      </c>
      <c r="B23" t="s">
        <v>65</v>
      </c>
      <c r="C23" t="s">
        <v>20</v>
      </c>
      <c r="F23">
        <v>4</v>
      </c>
      <c r="G23" t="s">
        <v>16</v>
      </c>
      <c r="H23">
        <v>0</v>
      </c>
      <c r="I23" s="2" t="s">
        <v>55</v>
      </c>
      <c r="J23" s="2" t="str">
        <f>"0162.18"</f>
        <v>0162.18</v>
      </c>
      <c r="K23">
        <v>20</v>
      </c>
      <c r="L23">
        <v>20</v>
      </c>
      <c r="M23">
        <v>20</v>
      </c>
    </row>
    <row r="24" spans="1:13" x14ac:dyDescent="0.25">
      <c r="A24" t="str">
        <f>"0167.82"</f>
        <v>0167.82</v>
      </c>
      <c r="B24" t="s">
        <v>66</v>
      </c>
      <c r="C24" t="s">
        <v>20</v>
      </c>
      <c r="F24">
        <v>10</v>
      </c>
      <c r="G24" t="s">
        <v>16</v>
      </c>
      <c r="H24">
        <v>0</v>
      </c>
      <c r="I24" s="2" t="s">
        <v>51</v>
      </c>
      <c r="J24" s="2" t="str">
        <f>"0167.82"</f>
        <v>0167.82</v>
      </c>
      <c r="K24">
        <v>20</v>
      </c>
      <c r="L24">
        <v>20</v>
      </c>
      <c r="M24">
        <v>20</v>
      </c>
    </row>
    <row r="25" spans="1:13" x14ac:dyDescent="0.25">
      <c r="A25" t="str">
        <f>"0167.82BİT"</f>
        <v>0167.82BİT</v>
      </c>
      <c r="B25" t="s">
        <v>68</v>
      </c>
      <c r="C25" t="s">
        <v>20</v>
      </c>
      <c r="F25">
        <v>10</v>
      </c>
      <c r="G25" t="s">
        <v>16</v>
      </c>
      <c r="H25">
        <v>0</v>
      </c>
      <c r="I25" s="2" t="s">
        <v>69</v>
      </c>
      <c r="J25" s="2" t="s">
        <v>67</v>
      </c>
      <c r="K25">
        <v>20</v>
      </c>
      <c r="L25">
        <v>20</v>
      </c>
      <c r="M25">
        <v>20</v>
      </c>
    </row>
    <row r="26" spans="1:13" x14ac:dyDescent="0.25">
      <c r="A26" t="str">
        <f>"0197.AVSKT"</f>
        <v>0197.AVSKT</v>
      </c>
      <c r="B26" t="s">
        <v>70</v>
      </c>
      <c r="C26" t="s">
        <v>20</v>
      </c>
      <c r="D26" t="s">
        <v>26</v>
      </c>
      <c r="F26">
        <v>1</v>
      </c>
      <c r="G26" t="s">
        <v>16</v>
      </c>
      <c r="H26">
        <v>0</v>
      </c>
      <c r="K26">
        <v>20</v>
      </c>
      <c r="L26">
        <v>20</v>
      </c>
      <c r="M26">
        <v>20</v>
      </c>
    </row>
    <row r="27" spans="1:13" x14ac:dyDescent="0.25">
      <c r="A27" t="str">
        <f>"0197.AVY"</f>
        <v>0197.AVY</v>
      </c>
      <c r="B27" t="s">
        <v>71</v>
      </c>
      <c r="C27" t="s">
        <v>20</v>
      </c>
      <c r="D27" t="s">
        <v>26</v>
      </c>
      <c r="F27">
        <v>1</v>
      </c>
      <c r="G27" t="s">
        <v>16</v>
      </c>
      <c r="H27">
        <v>0</v>
      </c>
      <c r="K27">
        <v>20</v>
      </c>
      <c r="L27">
        <v>20</v>
      </c>
      <c r="M27">
        <v>20</v>
      </c>
    </row>
    <row r="28" spans="1:13" x14ac:dyDescent="0.25">
      <c r="A28" t="str">
        <f>"0197.H8"</f>
        <v>0197.H8</v>
      </c>
      <c r="B28" t="s">
        <v>72</v>
      </c>
      <c r="C28" t="s">
        <v>20</v>
      </c>
      <c r="D28" t="s">
        <v>26</v>
      </c>
      <c r="F28">
        <v>1</v>
      </c>
      <c r="G28" t="s">
        <v>16</v>
      </c>
      <c r="H28">
        <v>0</v>
      </c>
      <c r="I28" s="2" t="s">
        <v>73</v>
      </c>
      <c r="J28" s="2">
        <v>83417406</v>
      </c>
      <c r="K28">
        <v>20</v>
      </c>
      <c r="L28">
        <v>20</v>
      </c>
      <c r="M28">
        <v>20</v>
      </c>
    </row>
    <row r="29" spans="1:13" x14ac:dyDescent="0.25">
      <c r="A29" t="str">
        <f>"0197.H8GOETZE"</f>
        <v>0197.H8GOETZE</v>
      </c>
      <c r="B29" t="s">
        <v>74</v>
      </c>
      <c r="C29" t="s">
        <v>20</v>
      </c>
      <c r="D29" t="s">
        <v>26</v>
      </c>
      <c r="F29">
        <v>1</v>
      </c>
      <c r="G29" t="s">
        <v>16</v>
      </c>
      <c r="H29">
        <v>0</v>
      </c>
      <c r="I29" s="2" t="s">
        <v>75</v>
      </c>
      <c r="J29" s="2" t="str">
        <f>"02-36975-04"</f>
        <v>02-36975-04</v>
      </c>
      <c r="K29">
        <v>20</v>
      </c>
      <c r="L29">
        <v>20</v>
      </c>
      <c r="M29">
        <v>20</v>
      </c>
    </row>
    <row r="30" spans="1:13" x14ac:dyDescent="0.25">
      <c r="A30" t="str">
        <f>"0197.H8Y"</f>
        <v>0197.H8Y</v>
      </c>
      <c r="B30" t="s">
        <v>76</v>
      </c>
      <c r="C30" t="s">
        <v>20</v>
      </c>
      <c r="D30" t="s">
        <v>26</v>
      </c>
      <c r="F30">
        <v>1</v>
      </c>
      <c r="G30" t="s">
        <v>16</v>
      </c>
      <c r="H30">
        <v>0</v>
      </c>
      <c r="K30">
        <v>20</v>
      </c>
      <c r="L30">
        <v>20</v>
      </c>
      <c r="M30">
        <v>20</v>
      </c>
    </row>
    <row r="31" spans="1:13" x14ac:dyDescent="0.25">
      <c r="A31" t="str">
        <f>"0197.J1CORTECO"</f>
        <v>0197.J1CORTECO</v>
      </c>
      <c r="B31" t="s">
        <v>77</v>
      </c>
      <c r="C31" t="s">
        <v>20</v>
      </c>
      <c r="D31" t="s">
        <v>26</v>
      </c>
      <c r="F31">
        <v>2</v>
      </c>
      <c r="G31" t="s">
        <v>16</v>
      </c>
      <c r="H31">
        <v>0</v>
      </c>
      <c r="I31" s="2" t="s">
        <v>73</v>
      </c>
      <c r="J31" s="2" t="s">
        <v>78</v>
      </c>
      <c r="K31">
        <v>20</v>
      </c>
      <c r="L31">
        <v>20</v>
      </c>
      <c r="M31">
        <v>20</v>
      </c>
    </row>
    <row r="32" spans="1:13" x14ac:dyDescent="0.25">
      <c r="A32" t="str">
        <f>"0197.X3VİCTOR"</f>
        <v>0197.X3VİCTOR</v>
      </c>
      <c r="B32" t="s">
        <v>79</v>
      </c>
      <c r="C32" t="s">
        <v>20</v>
      </c>
      <c r="D32" t="s">
        <v>26</v>
      </c>
      <c r="G32" t="s">
        <v>16</v>
      </c>
      <c r="H32">
        <v>0</v>
      </c>
      <c r="I32" s="2" t="s">
        <v>80</v>
      </c>
      <c r="J32" s="2" t="str">
        <f>"01-34398-01"</f>
        <v>01-34398-01</v>
      </c>
      <c r="K32">
        <v>20</v>
      </c>
      <c r="L32">
        <v>20</v>
      </c>
      <c r="M32">
        <v>20</v>
      </c>
    </row>
    <row r="33" spans="1:13" x14ac:dyDescent="0.25">
      <c r="A33" t="str">
        <f>"0197.X6GOETZE"</f>
        <v>0197.X6GOETZE</v>
      </c>
      <c r="B33" t="s">
        <v>81</v>
      </c>
      <c r="C33" t="s">
        <v>20</v>
      </c>
      <c r="D33" t="s">
        <v>26</v>
      </c>
      <c r="F33">
        <v>1</v>
      </c>
      <c r="G33" t="s">
        <v>16</v>
      </c>
      <c r="H33">
        <v>0</v>
      </c>
      <c r="I33" s="2" t="s">
        <v>82</v>
      </c>
      <c r="K33">
        <v>20</v>
      </c>
      <c r="L33">
        <v>20</v>
      </c>
      <c r="M33">
        <v>20</v>
      </c>
    </row>
    <row r="34" spans="1:13" x14ac:dyDescent="0.25">
      <c r="A34" t="str">
        <f>"0197.X6VC"</f>
        <v>0197.X6VC</v>
      </c>
      <c r="B34" t="s">
        <v>81</v>
      </c>
      <c r="C34" t="s">
        <v>20</v>
      </c>
      <c r="D34" t="s">
        <v>26</v>
      </c>
      <c r="G34" t="s">
        <v>16</v>
      </c>
      <c r="H34">
        <v>0</v>
      </c>
      <c r="K34">
        <v>20</v>
      </c>
      <c r="L34">
        <v>20</v>
      </c>
      <c r="M34">
        <v>20</v>
      </c>
    </row>
    <row r="35" spans="1:13" x14ac:dyDescent="0.25">
      <c r="A35" t="str">
        <f>"0197.X6VİCTOR"</f>
        <v>0197.X6VİCTOR</v>
      </c>
      <c r="B35" t="s">
        <v>81</v>
      </c>
      <c r="C35" t="s">
        <v>20</v>
      </c>
      <c r="D35" t="s">
        <v>26</v>
      </c>
      <c r="F35">
        <v>1</v>
      </c>
      <c r="G35" t="s">
        <v>16</v>
      </c>
      <c r="H35">
        <v>0</v>
      </c>
      <c r="I35" s="2" t="s">
        <v>83</v>
      </c>
      <c r="J35" s="2" t="str">
        <f>"01-34356-01"</f>
        <v>01-34356-01</v>
      </c>
      <c r="K35">
        <v>20</v>
      </c>
      <c r="L35">
        <v>20</v>
      </c>
      <c r="M35">
        <v>20</v>
      </c>
    </row>
    <row r="36" spans="1:13" x14ac:dyDescent="0.25">
      <c r="A36" t="str">
        <f>"02-36975-58GOETZE"</f>
        <v>02-36975-58GOETZE</v>
      </c>
      <c r="B36" t="s">
        <v>84</v>
      </c>
      <c r="C36" t="s">
        <v>20</v>
      </c>
      <c r="D36" t="s">
        <v>26</v>
      </c>
      <c r="F36">
        <v>1</v>
      </c>
      <c r="G36" t="s">
        <v>16</v>
      </c>
      <c r="H36">
        <v>0</v>
      </c>
      <c r="I36" s="2" t="s">
        <v>82</v>
      </c>
      <c r="J36" s="2" t="str">
        <f>"02-36975-58"</f>
        <v>02-36975-58</v>
      </c>
      <c r="K36">
        <v>20</v>
      </c>
      <c r="L36">
        <v>20</v>
      </c>
      <c r="M36">
        <v>20</v>
      </c>
    </row>
    <row r="37" spans="1:13" x14ac:dyDescent="0.25">
      <c r="A37" t="str">
        <f>"0200.ACOEM"</f>
        <v>0200.ACOEM</v>
      </c>
      <c r="B37" t="s">
        <v>85</v>
      </c>
      <c r="C37" t="s">
        <v>20</v>
      </c>
      <c r="F37">
        <v>0</v>
      </c>
      <c r="G37" t="s">
        <v>16</v>
      </c>
      <c r="H37">
        <v>0</v>
      </c>
      <c r="I37" s="2" t="s">
        <v>51</v>
      </c>
      <c r="J37" s="2" t="str">
        <f>"0200.AC"</f>
        <v>0200.AC</v>
      </c>
      <c r="K37">
        <v>20</v>
      </c>
      <c r="L37">
        <v>20</v>
      </c>
      <c r="M37">
        <v>20</v>
      </c>
    </row>
    <row r="38" spans="1:13" x14ac:dyDescent="0.25">
      <c r="A38" t="str">
        <f>"0200.W3ABRASSE"</f>
        <v>0200.W3ABRASSE</v>
      </c>
      <c r="B38" t="s">
        <v>86</v>
      </c>
      <c r="C38" t="s">
        <v>20</v>
      </c>
      <c r="F38">
        <v>1</v>
      </c>
      <c r="G38" t="s">
        <v>16</v>
      </c>
      <c r="H38">
        <v>0</v>
      </c>
      <c r="I38" s="2" t="s">
        <v>87</v>
      </c>
      <c r="J38" s="2" t="s">
        <v>88</v>
      </c>
      <c r="K38">
        <v>20</v>
      </c>
      <c r="L38">
        <v>20</v>
      </c>
      <c r="M38">
        <v>20</v>
      </c>
    </row>
    <row r="39" spans="1:13" x14ac:dyDescent="0.25">
      <c r="A39" t="str">
        <f>"0204.83VİCTOR"</f>
        <v>0204.83VİCTOR</v>
      </c>
      <c r="B39" t="s">
        <v>89</v>
      </c>
      <c r="C39" t="s">
        <v>20</v>
      </c>
      <c r="F39">
        <v>1</v>
      </c>
      <c r="G39" t="s">
        <v>16</v>
      </c>
      <c r="H39">
        <v>0</v>
      </c>
      <c r="I39" s="2" t="s">
        <v>83</v>
      </c>
      <c r="J39" s="2" t="s">
        <v>90</v>
      </c>
      <c r="K39">
        <v>20</v>
      </c>
      <c r="L39">
        <v>20</v>
      </c>
      <c r="M39">
        <v>20</v>
      </c>
    </row>
    <row r="40" spans="1:13" x14ac:dyDescent="0.25">
      <c r="A40" t="str">
        <f>"0204.97CORTECO"</f>
        <v>0204.97CORTECO</v>
      </c>
      <c r="B40" t="s">
        <v>91</v>
      </c>
      <c r="C40" t="s">
        <v>20</v>
      </c>
      <c r="F40">
        <v>1</v>
      </c>
      <c r="G40" t="s">
        <v>16</v>
      </c>
      <c r="H40">
        <v>0</v>
      </c>
      <c r="I40" s="2" t="s">
        <v>92</v>
      </c>
      <c r="J40" s="2">
        <v>82016248</v>
      </c>
      <c r="K40">
        <v>20</v>
      </c>
      <c r="L40">
        <v>20</v>
      </c>
      <c r="M40">
        <v>20</v>
      </c>
    </row>
    <row r="41" spans="1:13" x14ac:dyDescent="0.25">
      <c r="A41" t="str">
        <f>"0204.97VİCTOR"</f>
        <v>0204.97VİCTOR</v>
      </c>
      <c r="B41" t="s">
        <v>91</v>
      </c>
      <c r="C41" t="s">
        <v>20</v>
      </c>
      <c r="F41">
        <v>1</v>
      </c>
      <c r="G41" t="s">
        <v>16</v>
      </c>
      <c r="H41">
        <v>0</v>
      </c>
      <c r="I41" s="2" t="s">
        <v>83</v>
      </c>
      <c r="J41" s="2" t="s">
        <v>93</v>
      </c>
      <c r="K41">
        <v>20</v>
      </c>
      <c r="L41">
        <v>20</v>
      </c>
      <c r="M41">
        <v>20</v>
      </c>
    </row>
    <row r="42" spans="1:13" x14ac:dyDescent="0.25">
      <c r="A42" t="str">
        <f>"0204.A5"</f>
        <v>0204.A5</v>
      </c>
      <c r="B42" t="s">
        <v>94</v>
      </c>
      <c r="C42" t="s">
        <v>20</v>
      </c>
      <c r="F42">
        <v>0</v>
      </c>
      <c r="G42" t="s">
        <v>16</v>
      </c>
      <c r="H42">
        <v>0</v>
      </c>
      <c r="I42" s="2" t="s">
        <v>55</v>
      </c>
      <c r="J42" s="2" t="str">
        <f>"0204.A5"</f>
        <v>0204.A5</v>
      </c>
      <c r="K42">
        <v>20</v>
      </c>
      <c r="L42">
        <v>20</v>
      </c>
      <c r="M42">
        <v>20</v>
      </c>
    </row>
    <row r="43" spans="1:13" x14ac:dyDescent="0.25">
      <c r="A43" t="str">
        <f>"0209.1ECORTECO"</f>
        <v>0209.1ECORTECO</v>
      </c>
      <c r="B43" t="s">
        <v>95</v>
      </c>
      <c r="C43" t="s">
        <v>20</v>
      </c>
      <c r="D43" t="s">
        <v>26</v>
      </c>
      <c r="G43" t="s">
        <v>16</v>
      </c>
      <c r="H43">
        <v>0</v>
      </c>
      <c r="I43" s="2" t="s">
        <v>73</v>
      </c>
      <c r="J43" s="2">
        <v>83415013</v>
      </c>
      <c r="K43">
        <v>20</v>
      </c>
      <c r="L43">
        <v>20</v>
      </c>
      <c r="M43">
        <v>20</v>
      </c>
    </row>
    <row r="44" spans="1:13" x14ac:dyDescent="0.25">
      <c r="A44" t="str">
        <f>"0209.ACELRİNG "</f>
        <v xml:space="preserve">0209.ACELRİNG </v>
      </c>
      <c r="B44" t="s">
        <v>96</v>
      </c>
      <c r="C44" t="s">
        <v>20</v>
      </c>
      <c r="D44" t="s">
        <v>26</v>
      </c>
      <c r="G44" t="s">
        <v>16</v>
      </c>
      <c r="H44">
        <v>0</v>
      </c>
      <c r="I44" s="2" t="s">
        <v>97</v>
      </c>
      <c r="J44" s="3">
        <v>100400</v>
      </c>
      <c r="K44">
        <v>20</v>
      </c>
      <c r="L44">
        <v>20</v>
      </c>
      <c r="M44">
        <v>20</v>
      </c>
    </row>
    <row r="45" spans="1:13" x14ac:dyDescent="0.25">
      <c r="A45" t="str">
        <f>"0209.AEELRİNG "</f>
        <v xml:space="preserve">0209.AEELRİNG </v>
      </c>
      <c r="B45" t="s">
        <v>98</v>
      </c>
      <c r="C45" t="s">
        <v>20</v>
      </c>
      <c r="D45" t="s">
        <v>26</v>
      </c>
      <c r="G45" t="s">
        <v>16</v>
      </c>
      <c r="H45">
        <v>0</v>
      </c>
      <c r="I45" s="2" t="s">
        <v>99</v>
      </c>
      <c r="J45" s="3">
        <v>100410</v>
      </c>
      <c r="K45">
        <v>20</v>
      </c>
      <c r="L45">
        <v>20</v>
      </c>
      <c r="M45">
        <v>20</v>
      </c>
    </row>
    <row r="46" spans="1:13" x14ac:dyDescent="0.25">
      <c r="A46" t="str">
        <f>"0209.AH"</f>
        <v>0209.AH</v>
      </c>
      <c r="B46" t="s">
        <v>100</v>
      </c>
      <c r="C46" t="s">
        <v>20</v>
      </c>
      <c r="D46" t="s">
        <v>26</v>
      </c>
      <c r="F46">
        <v>1</v>
      </c>
      <c r="G46" t="s">
        <v>16</v>
      </c>
      <c r="H46">
        <v>0</v>
      </c>
      <c r="I46" s="2" t="s">
        <v>55</v>
      </c>
      <c r="J46" s="2" t="str">
        <f>"0209.AH"</f>
        <v>0209.AH</v>
      </c>
      <c r="K46">
        <v>20</v>
      </c>
      <c r="L46">
        <v>20</v>
      </c>
      <c r="M46">
        <v>20</v>
      </c>
    </row>
    <row r="47" spans="1:13" x14ac:dyDescent="0.25">
      <c r="A47" t="str">
        <f>"0209.AHELRİNG"</f>
        <v>0209.AHELRİNG</v>
      </c>
      <c r="B47" t="s">
        <v>100</v>
      </c>
      <c r="C47" t="s">
        <v>20</v>
      </c>
      <c r="D47" t="s">
        <v>26</v>
      </c>
      <c r="G47" t="s">
        <v>16</v>
      </c>
      <c r="H47">
        <v>0</v>
      </c>
      <c r="I47" s="2" t="s">
        <v>99</v>
      </c>
      <c r="J47" s="3">
        <v>100440</v>
      </c>
      <c r="K47">
        <v>20</v>
      </c>
      <c r="L47">
        <v>20</v>
      </c>
      <c r="M47">
        <v>20</v>
      </c>
    </row>
    <row r="48" spans="1:13" x14ac:dyDescent="0.25">
      <c r="A48" t="str">
        <f>"0209.CF"</f>
        <v>0209.CF</v>
      </c>
      <c r="B48" t="s">
        <v>101</v>
      </c>
      <c r="C48" t="s">
        <v>20</v>
      </c>
      <c r="D48" t="s">
        <v>26</v>
      </c>
      <c r="F48">
        <v>1</v>
      </c>
      <c r="G48" t="s">
        <v>16</v>
      </c>
      <c r="H48">
        <v>0</v>
      </c>
      <c r="I48" s="2" t="s">
        <v>55</v>
      </c>
      <c r="J48" s="2" t="str">
        <f>"0209.CF"</f>
        <v>0209.CF</v>
      </c>
      <c r="K48">
        <v>20</v>
      </c>
      <c r="L48">
        <v>20</v>
      </c>
      <c r="M48">
        <v>20</v>
      </c>
    </row>
    <row r="49" spans="1:13" x14ac:dyDescent="0.25">
      <c r="A49" t="str">
        <f>"0209.CG"</f>
        <v>0209.CG</v>
      </c>
      <c r="B49" t="s">
        <v>102</v>
      </c>
      <c r="C49" t="s">
        <v>20</v>
      </c>
      <c r="D49" t="s">
        <v>26</v>
      </c>
      <c r="F49">
        <v>1</v>
      </c>
      <c r="G49" t="s">
        <v>16</v>
      </c>
      <c r="H49">
        <v>0</v>
      </c>
      <c r="I49" s="2" t="s">
        <v>55</v>
      </c>
      <c r="J49" s="2" t="str">
        <f>"0209.CG"</f>
        <v>0209.CG</v>
      </c>
      <c r="K49">
        <v>20</v>
      </c>
      <c r="L49">
        <v>20</v>
      </c>
      <c r="M49">
        <v>20</v>
      </c>
    </row>
    <row r="50" spans="1:13" x14ac:dyDescent="0.25">
      <c r="A50" t="str">
        <f>"0209.CJPAYEN"</f>
        <v>0209.CJPAYEN</v>
      </c>
      <c r="B50" t="s">
        <v>103</v>
      </c>
      <c r="C50" t="s">
        <v>20</v>
      </c>
      <c r="D50" t="s">
        <v>26</v>
      </c>
      <c r="G50" t="s">
        <v>16</v>
      </c>
      <c r="H50">
        <v>0</v>
      </c>
      <c r="I50" s="2" t="s">
        <v>104</v>
      </c>
      <c r="J50" s="2" t="s">
        <v>105</v>
      </c>
      <c r="K50">
        <v>20</v>
      </c>
      <c r="L50">
        <v>20</v>
      </c>
      <c r="M50">
        <v>20</v>
      </c>
    </row>
    <row r="51" spans="1:13" x14ac:dyDescent="0.25">
      <c r="A51" t="str">
        <f>"0209.EW"</f>
        <v>0209.EW</v>
      </c>
      <c r="B51" t="s">
        <v>106</v>
      </c>
      <c r="C51" t="s">
        <v>20</v>
      </c>
      <c r="D51" t="s">
        <v>26</v>
      </c>
      <c r="F51">
        <v>1</v>
      </c>
      <c r="G51" t="s">
        <v>16</v>
      </c>
      <c r="H51">
        <v>0</v>
      </c>
      <c r="I51" s="2" t="s">
        <v>51</v>
      </c>
      <c r="J51" s="2" t="str">
        <f>"0209.EW"</f>
        <v>0209.EW</v>
      </c>
      <c r="K51">
        <v>20</v>
      </c>
      <c r="L51">
        <v>20</v>
      </c>
      <c r="M51">
        <v>20</v>
      </c>
    </row>
    <row r="52" spans="1:13" x14ac:dyDescent="0.25">
      <c r="A52" t="str">
        <f>"0209.EWFROWAS"</f>
        <v>0209.EWFROWAS</v>
      </c>
      <c r="B52" t="s">
        <v>107</v>
      </c>
      <c r="C52" t="s">
        <v>20</v>
      </c>
      <c r="D52" t="s">
        <v>26</v>
      </c>
      <c r="F52">
        <v>1</v>
      </c>
      <c r="G52" t="s">
        <v>16</v>
      </c>
      <c r="H52">
        <v>0</v>
      </c>
      <c r="I52" s="2" t="s">
        <v>108</v>
      </c>
      <c r="J52" s="3">
        <v>2551533004</v>
      </c>
      <c r="K52">
        <v>20</v>
      </c>
      <c r="L52">
        <v>20</v>
      </c>
      <c r="M52">
        <v>20</v>
      </c>
    </row>
    <row r="53" spans="1:13" x14ac:dyDescent="0.25">
      <c r="A53" t="str">
        <f>"0209.GG"</f>
        <v>0209.GG</v>
      </c>
      <c r="B53" t="s">
        <v>109</v>
      </c>
      <c r="C53" t="s">
        <v>20</v>
      </c>
      <c r="D53" t="s">
        <v>26</v>
      </c>
      <c r="F53">
        <v>1</v>
      </c>
      <c r="G53" t="s">
        <v>16</v>
      </c>
      <c r="H53">
        <v>0</v>
      </c>
      <c r="I53" s="2" t="s">
        <v>55</v>
      </c>
      <c r="J53" s="2" t="str">
        <f>"0209.GG"</f>
        <v>0209.GG</v>
      </c>
      <c r="K53">
        <v>20</v>
      </c>
      <c r="L53">
        <v>20</v>
      </c>
      <c r="M53">
        <v>20</v>
      </c>
    </row>
    <row r="54" spans="1:13" x14ac:dyDescent="0.25">
      <c r="A54" t="str">
        <f>"0209.JNELRİNG"</f>
        <v>0209.JNELRİNG</v>
      </c>
      <c r="B54" t="s">
        <v>110</v>
      </c>
      <c r="C54" t="s">
        <v>20</v>
      </c>
      <c r="D54" t="s">
        <v>26</v>
      </c>
      <c r="F54">
        <v>1</v>
      </c>
      <c r="G54" t="s">
        <v>16</v>
      </c>
      <c r="H54">
        <v>0</v>
      </c>
      <c r="I54" s="2" t="s">
        <v>97</v>
      </c>
      <c r="J54" s="3">
        <v>718311</v>
      </c>
      <c r="K54">
        <v>20</v>
      </c>
      <c r="L54">
        <v>20</v>
      </c>
      <c r="M54">
        <v>20</v>
      </c>
    </row>
    <row r="55" spans="1:13" x14ac:dyDescent="0.25">
      <c r="A55" t="str">
        <f>"0209.JPELRİNG"</f>
        <v>0209.JPELRİNG</v>
      </c>
      <c r="B55" t="s">
        <v>111</v>
      </c>
      <c r="C55" t="s">
        <v>20</v>
      </c>
      <c r="D55" t="s">
        <v>26</v>
      </c>
      <c r="F55">
        <v>1</v>
      </c>
      <c r="G55" t="s">
        <v>16</v>
      </c>
      <c r="H55">
        <v>0</v>
      </c>
      <c r="I55" s="2" t="s">
        <v>99</v>
      </c>
      <c r="J55" s="3">
        <v>718321</v>
      </c>
      <c r="K55">
        <v>20</v>
      </c>
      <c r="L55">
        <v>20</v>
      </c>
      <c r="M55">
        <v>20</v>
      </c>
    </row>
    <row r="56" spans="1:13" x14ac:dyDescent="0.25">
      <c r="A56" t="str">
        <f>"0209.JR"</f>
        <v>0209.JR</v>
      </c>
      <c r="B56" t="s">
        <v>112</v>
      </c>
      <c r="C56" t="s">
        <v>20</v>
      </c>
      <c r="D56" t="s">
        <v>26</v>
      </c>
      <c r="F56">
        <v>1</v>
      </c>
      <c r="G56" t="s">
        <v>16</v>
      </c>
      <c r="H56">
        <v>0</v>
      </c>
      <c r="I56" s="2" t="s">
        <v>55</v>
      </c>
      <c r="J56" s="2">
        <v>1682802380</v>
      </c>
      <c r="K56">
        <v>20</v>
      </c>
      <c r="L56">
        <v>20</v>
      </c>
      <c r="M56">
        <v>20</v>
      </c>
    </row>
    <row r="57" spans="1:13" x14ac:dyDescent="0.25">
      <c r="A57" t="str">
        <f>"0209.JRELRİNG"</f>
        <v>0209.JRELRİNG</v>
      </c>
      <c r="B57" t="s">
        <v>113</v>
      </c>
      <c r="C57" t="s">
        <v>20</v>
      </c>
      <c r="D57" t="s">
        <v>26</v>
      </c>
      <c r="F57">
        <v>0</v>
      </c>
      <c r="G57" t="s">
        <v>16</v>
      </c>
      <c r="H57">
        <v>0</v>
      </c>
      <c r="I57" s="2" t="s">
        <v>97</v>
      </c>
      <c r="J57" s="3">
        <v>718341</v>
      </c>
      <c r="K57">
        <v>20</v>
      </c>
      <c r="L57">
        <v>20</v>
      </c>
      <c r="M57">
        <v>20</v>
      </c>
    </row>
    <row r="58" spans="1:13" x14ac:dyDescent="0.25">
      <c r="A58" t="str">
        <f>"0209.JS"</f>
        <v>0209.JS</v>
      </c>
      <c r="B58" t="s">
        <v>114</v>
      </c>
      <c r="C58" t="s">
        <v>20</v>
      </c>
      <c r="D58" t="s">
        <v>26</v>
      </c>
      <c r="F58">
        <v>1</v>
      </c>
      <c r="G58" t="s">
        <v>16</v>
      </c>
      <c r="H58">
        <v>0</v>
      </c>
      <c r="I58" s="2" t="s">
        <v>51</v>
      </c>
      <c r="J58" s="2" t="str">
        <f>"0209.JS"</f>
        <v>0209.JS</v>
      </c>
      <c r="K58">
        <v>20</v>
      </c>
      <c r="L58">
        <v>20</v>
      </c>
      <c r="M58">
        <v>20</v>
      </c>
    </row>
    <row r="59" spans="1:13" x14ac:dyDescent="0.25">
      <c r="A59" t="str">
        <f>"0209.JSELRİNG"</f>
        <v>0209.JSELRİNG</v>
      </c>
      <c r="B59" t="s">
        <v>114</v>
      </c>
      <c r="C59" t="s">
        <v>20</v>
      </c>
      <c r="D59" t="s">
        <v>26</v>
      </c>
      <c r="F59">
        <v>1</v>
      </c>
      <c r="G59" t="s">
        <v>16</v>
      </c>
      <c r="H59">
        <v>0</v>
      </c>
      <c r="I59" s="2" t="s">
        <v>97</v>
      </c>
      <c r="J59" s="3">
        <v>718351</v>
      </c>
      <c r="K59">
        <v>20</v>
      </c>
      <c r="L59">
        <v>20</v>
      </c>
      <c r="M59">
        <v>20</v>
      </c>
    </row>
    <row r="60" spans="1:13" x14ac:dyDescent="0.25">
      <c r="A60" t="str">
        <f>"0209.W7CORTECO"</f>
        <v>0209.W7CORTECO</v>
      </c>
      <c r="B60" t="s">
        <v>115</v>
      </c>
      <c r="C60" t="s">
        <v>20</v>
      </c>
      <c r="D60" t="s">
        <v>26</v>
      </c>
      <c r="G60" t="s">
        <v>16</v>
      </c>
      <c r="H60">
        <v>0</v>
      </c>
      <c r="I60" s="2" t="s">
        <v>73</v>
      </c>
      <c r="J60" s="2">
        <v>83414645</v>
      </c>
      <c r="K60">
        <v>20</v>
      </c>
      <c r="L60">
        <v>20</v>
      </c>
      <c r="M60">
        <v>20</v>
      </c>
    </row>
    <row r="61" spans="1:13" x14ac:dyDescent="0.25">
      <c r="A61" t="str">
        <f>"0209.W8"</f>
        <v>0209.W8</v>
      </c>
      <c r="B61" t="s">
        <v>116</v>
      </c>
      <c r="C61" t="s">
        <v>20</v>
      </c>
      <c r="D61" t="s">
        <v>26</v>
      </c>
      <c r="F61">
        <v>1</v>
      </c>
      <c r="G61" t="s">
        <v>16</v>
      </c>
      <c r="H61">
        <v>0</v>
      </c>
      <c r="I61" s="2" t="s">
        <v>51</v>
      </c>
      <c r="J61" s="2" t="str">
        <f>"0209.W8"</f>
        <v>0209.W8</v>
      </c>
      <c r="K61">
        <v>20</v>
      </c>
      <c r="L61">
        <v>20</v>
      </c>
      <c r="M61">
        <v>20</v>
      </c>
    </row>
    <row r="62" spans="1:13" x14ac:dyDescent="0.25">
      <c r="A62" t="str">
        <f>"0209.W8CORTECO"</f>
        <v>0209.W8CORTECO</v>
      </c>
      <c r="B62" t="s">
        <v>117</v>
      </c>
      <c r="C62" t="s">
        <v>20</v>
      </c>
      <c r="D62" t="s">
        <v>26</v>
      </c>
      <c r="F62">
        <v>1</v>
      </c>
      <c r="G62" t="s">
        <v>16</v>
      </c>
      <c r="H62">
        <v>0</v>
      </c>
      <c r="I62" s="2" t="s">
        <v>73</v>
      </c>
      <c r="J62" s="2" t="s">
        <v>118</v>
      </c>
      <c r="K62">
        <v>20</v>
      </c>
      <c r="L62">
        <v>20</v>
      </c>
      <c r="M62">
        <v>20</v>
      </c>
    </row>
    <row r="63" spans="1:13" x14ac:dyDescent="0.25">
      <c r="A63" t="str">
        <f>"0209.X2AVORTEX"</f>
        <v>0209.X2AVORTEX</v>
      </c>
      <c r="B63" t="s">
        <v>119</v>
      </c>
      <c r="C63" t="s">
        <v>20</v>
      </c>
      <c r="D63" t="s">
        <v>26</v>
      </c>
      <c r="F63">
        <v>0</v>
      </c>
      <c r="G63" t="s">
        <v>16</v>
      </c>
      <c r="H63">
        <v>0</v>
      </c>
      <c r="I63" s="2" t="s">
        <v>120</v>
      </c>
      <c r="J63" s="2">
        <v>5141013</v>
      </c>
      <c r="K63">
        <v>20</v>
      </c>
      <c r="L63">
        <v>20</v>
      </c>
      <c r="M63">
        <v>20</v>
      </c>
    </row>
    <row r="64" spans="1:13" x14ac:dyDescent="0.25">
      <c r="A64" t="str">
        <f>"0209.X2PAYEN"</f>
        <v>0209.X2PAYEN</v>
      </c>
      <c r="B64" t="s">
        <v>119</v>
      </c>
      <c r="C64" t="s">
        <v>20</v>
      </c>
      <c r="D64" t="s">
        <v>26</v>
      </c>
      <c r="F64">
        <v>1</v>
      </c>
      <c r="G64" t="s">
        <v>16</v>
      </c>
      <c r="H64">
        <v>0</v>
      </c>
      <c r="I64" s="2" t="s">
        <v>104</v>
      </c>
      <c r="J64" s="2" t="s">
        <v>121</v>
      </c>
      <c r="K64">
        <v>20</v>
      </c>
      <c r="L64">
        <v>20</v>
      </c>
      <c r="M64">
        <v>20</v>
      </c>
    </row>
    <row r="65" spans="1:13" x14ac:dyDescent="0.25">
      <c r="A65" t="str">
        <f>"0209.X2SKT"</f>
        <v>0209.X2SKT</v>
      </c>
      <c r="B65" t="s">
        <v>119</v>
      </c>
      <c r="C65" t="s">
        <v>20</v>
      </c>
      <c r="D65" t="s">
        <v>26</v>
      </c>
      <c r="F65">
        <v>2</v>
      </c>
      <c r="G65" t="s">
        <v>16</v>
      </c>
      <c r="H65">
        <v>0</v>
      </c>
      <c r="I65" s="2" t="s">
        <v>57</v>
      </c>
      <c r="J65" s="2" t="s">
        <v>122</v>
      </c>
      <c r="K65">
        <v>20</v>
      </c>
      <c r="L65">
        <v>20</v>
      </c>
      <c r="M65">
        <v>20</v>
      </c>
    </row>
    <row r="66" spans="1:13" x14ac:dyDescent="0.25">
      <c r="A66" t="str">
        <f>"0209.X3"</f>
        <v>0209.X3</v>
      </c>
      <c r="B66" t="s">
        <v>123</v>
      </c>
      <c r="C66" t="s">
        <v>20</v>
      </c>
      <c r="D66" t="s">
        <v>26</v>
      </c>
      <c r="G66" t="s">
        <v>16</v>
      </c>
      <c r="H66">
        <v>0</v>
      </c>
      <c r="I66" s="2" t="s">
        <v>51</v>
      </c>
      <c r="J66" s="2" t="str">
        <f>"0209.X3"</f>
        <v>0209.X3</v>
      </c>
      <c r="K66">
        <v>20</v>
      </c>
      <c r="L66">
        <v>20</v>
      </c>
      <c r="M66">
        <v>20</v>
      </c>
    </row>
    <row r="67" spans="1:13" x14ac:dyDescent="0.25">
      <c r="A67" t="str">
        <f>"0209.X3OTOCONTA"</f>
        <v>0209.X3OTOCONTA</v>
      </c>
      <c r="B67" t="s">
        <v>124</v>
      </c>
      <c r="C67" t="s">
        <v>20</v>
      </c>
      <c r="D67" t="s">
        <v>26</v>
      </c>
      <c r="F67">
        <v>0</v>
      </c>
      <c r="G67" t="s">
        <v>16</v>
      </c>
      <c r="H67">
        <v>0</v>
      </c>
      <c r="I67" s="2" t="s">
        <v>125</v>
      </c>
      <c r="J67" s="2">
        <v>42173007</v>
      </c>
      <c r="K67">
        <v>20</v>
      </c>
      <c r="L67">
        <v>20</v>
      </c>
      <c r="M67">
        <v>20</v>
      </c>
    </row>
    <row r="68" spans="1:13" x14ac:dyDescent="0.25">
      <c r="A68" t="str">
        <f>"0209.X3VİCTOR"</f>
        <v>0209.X3VİCTOR</v>
      </c>
      <c r="B68" t="s">
        <v>124</v>
      </c>
      <c r="C68" t="s">
        <v>20</v>
      </c>
      <c r="D68" t="s">
        <v>26</v>
      </c>
      <c r="G68" t="s">
        <v>16</v>
      </c>
      <c r="H68">
        <v>0</v>
      </c>
      <c r="I68" s="2" t="s">
        <v>80</v>
      </c>
      <c r="J68" s="2" t="s">
        <v>126</v>
      </c>
      <c r="K68">
        <v>20</v>
      </c>
      <c r="L68">
        <v>20</v>
      </c>
      <c r="M68">
        <v>20</v>
      </c>
    </row>
    <row r="69" spans="1:13" x14ac:dyDescent="0.25">
      <c r="A69" t="str">
        <f>"0209.X4"</f>
        <v>0209.X4</v>
      </c>
      <c r="B69" t="s">
        <v>127</v>
      </c>
      <c r="C69" t="s">
        <v>20</v>
      </c>
      <c r="D69" t="s">
        <v>26</v>
      </c>
      <c r="F69">
        <v>1</v>
      </c>
      <c r="G69" t="s">
        <v>16</v>
      </c>
      <c r="H69">
        <v>0</v>
      </c>
      <c r="I69" s="2" t="s">
        <v>51</v>
      </c>
      <c r="J69" s="2" t="str">
        <f>"0209.X4"</f>
        <v>0209.X4</v>
      </c>
      <c r="K69">
        <v>20</v>
      </c>
      <c r="L69">
        <v>20</v>
      </c>
      <c r="M69">
        <v>20</v>
      </c>
    </row>
    <row r="70" spans="1:13" x14ac:dyDescent="0.25">
      <c r="A70" t="str">
        <f>"0209.X4CORTECO"</f>
        <v>0209.X4CORTECO</v>
      </c>
      <c r="B70" t="s">
        <v>127</v>
      </c>
      <c r="C70" t="s">
        <v>20</v>
      </c>
      <c r="D70" t="s">
        <v>26</v>
      </c>
      <c r="F70">
        <v>1</v>
      </c>
      <c r="G70" t="s">
        <v>16</v>
      </c>
      <c r="H70">
        <v>0</v>
      </c>
      <c r="I70" s="2" t="s">
        <v>73</v>
      </c>
      <c r="J70" s="2" t="s">
        <v>128</v>
      </c>
      <c r="K70">
        <v>20</v>
      </c>
      <c r="L70">
        <v>20</v>
      </c>
      <c r="M70">
        <v>20</v>
      </c>
    </row>
    <row r="71" spans="1:13" x14ac:dyDescent="0.25">
      <c r="A71" t="str">
        <f>"0209.X7"</f>
        <v>0209.X7</v>
      </c>
      <c r="B71" t="s">
        <v>129</v>
      </c>
      <c r="C71" t="s">
        <v>20</v>
      </c>
      <c r="D71" t="s">
        <v>26</v>
      </c>
      <c r="F71">
        <v>1</v>
      </c>
      <c r="G71" t="s">
        <v>16</v>
      </c>
      <c r="H71">
        <v>0</v>
      </c>
      <c r="I71" s="2" t="s">
        <v>55</v>
      </c>
      <c r="J71" s="2" t="str">
        <f>"0209.X7"</f>
        <v>0209.X7</v>
      </c>
      <c r="K71">
        <v>20</v>
      </c>
      <c r="L71">
        <v>20</v>
      </c>
      <c r="M71">
        <v>20</v>
      </c>
    </row>
    <row r="72" spans="1:13" x14ac:dyDescent="0.25">
      <c r="A72" t="str">
        <f>"0209.X8"</f>
        <v>0209.X8</v>
      </c>
      <c r="B72" t="s">
        <v>130</v>
      </c>
      <c r="C72" t="s">
        <v>20</v>
      </c>
      <c r="D72" t="s">
        <v>26</v>
      </c>
      <c r="F72">
        <v>1</v>
      </c>
      <c r="G72" t="s">
        <v>16</v>
      </c>
      <c r="H72">
        <v>0</v>
      </c>
      <c r="I72" s="2" t="s">
        <v>55</v>
      </c>
      <c r="J72" s="2" t="str">
        <f>"0209.X8"</f>
        <v>0209.X8</v>
      </c>
      <c r="K72">
        <v>20</v>
      </c>
      <c r="L72">
        <v>20</v>
      </c>
      <c r="M72">
        <v>20</v>
      </c>
    </row>
    <row r="73" spans="1:13" x14ac:dyDescent="0.25">
      <c r="A73" t="str">
        <f>"0209.X9"</f>
        <v>0209.X9</v>
      </c>
      <c r="B73" t="s">
        <v>131</v>
      </c>
      <c r="C73" t="s">
        <v>20</v>
      </c>
      <c r="D73" t="s">
        <v>26</v>
      </c>
      <c r="F73">
        <v>1</v>
      </c>
      <c r="G73" t="s">
        <v>16</v>
      </c>
      <c r="H73">
        <v>0</v>
      </c>
      <c r="I73" s="2" t="s">
        <v>51</v>
      </c>
      <c r="J73" s="2" t="str">
        <f>"0209.X9"</f>
        <v>0209.X9</v>
      </c>
      <c r="K73">
        <v>20</v>
      </c>
      <c r="L73">
        <v>20</v>
      </c>
      <c r="M73">
        <v>20</v>
      </c>
    </row>
    <row r="74" spans="1:13" x14ac:dyDescent="0.25">
      <c r="A74" t="str">
        <f>"0220.60ÖZGAYD"</f>
        <v>0220.60ÖZGAYD</v>
      </c>
      <c r="B74" t="s">
        <v>132</v>
      </c>
      <c r="C74" t="s">
        <v>20</v>
      </c>
      <c r="D74" t="s">
        <v>133</v>
      </c>
      <c r="G74" t="s">
        <v>16</v>
      </c>
      <c r="H74">
        <v>0</v>
      </c>
      <c r="I74" s="2" t="s">
        <v>134</v>
      </c>
      <c r="J74" s="2" t="s">
        <v>135</v>
      </c>
      <c r="K74">
        <v>20</v>
      </c>
      <c r="L74">
        <v>20</v>
      </c>
      <c r="M74">
        <v>20</v>
      </c>
    </row>
    <row r="75" spans="1:13" x14ac:dyDescent="0.25">
      <c r="A75" t="str">
        <f>"0220.A0ÖZGAYD"</f>
        <v>0220.A0ÖZGAYD</v>
      </c>
      <c r="B75" t="s">
        <v>136</v>
      </c>
      <c r="C75" t="s">
        <v>20</v>
      </c>
      <c r="D75" t="s">
        <v>133</v>
      </c>
      <c r="F75">
        <v>1</v>
      </c>
      <c r="G75" t="s">
        <v>22</v>
      </c>
      <c r="H75">
        <v>0</v>
      </c>
      <c r="I75" s="2" t="s">
        <v>134</v>
      </c>
      <c r="J75" s="2" t="s">
        <v>137</v>
      </c>
      <c r="K75">
        <v>20</v>
      </c>
      <c r="L75">
        <v>20</v>
      </c>
      <c r="M75">
        <v>20</v>
      </c>
    </row>
    <row r="76" spans="1:13" x14ac:dyDescent="0.25">
      <c r="A76" t="str">
        <f>"0220.A6SUPSAN"</f>
        <v>0220.A6SUPSAN</v>
      </c>
      <c r="B76" t="s">
        <v>138</v>
      </c>
      <c r="C76" t="s">
        <v>20</v>
      </c>
      <c r="F76">
        <v>1</v>
      </c>
      <c r="G76" t="s">
        <v>16</v>
      </c>
      <c r="H76">
        <v>0</v>
      </c>
      <c r="I76" s="2" t="s">
        <v>139</v>
      </c>
      <c r="J76" s="2" t="s">
        <v>140</v>
      </c>
      <c r="K76">
        <v>20</v>
      </c>
      <c r="L76">
        <v>20</v>
      </c>
      <c r="M76">
        <v>20</v>
      </c>
    </row>
    <row r="77" spans="1:13" x14ac:dyDescent="0.25">
      <c r="A77" t="str">
        <f>"0234.03AKD"</f>
        <v>0234.03AKD</v>
      </c>
      <c r="B77" t="s">
        <v>141</v>
      </c>
      <c r="C77" t="s">
        <v>20</v>
      </c>
      <c r="F77">
        <v>30</v>
      </c>
      <c r="G77" t="s">
        <v>16</v>
      </c>
      <c r="H77">
        <v>0</v>
      </c>
      <c r="I77" s="2" t="s">
        <v>142</v>
      </c>
      <c r="J77" s="2" t="s">
        <v>143</v>
      </c>
      <c r="K77">
        <v>20</v>
      </c>
      <c r="L77">
        <v>20</v>
      </c>
      <c r="M77">
        <v>20</v>
      </c>
    </row>
    <row r="78" spans="1:13" x14ac:dyDescent="0.25">
      <c r="A78" t="str">
        <f>"0234.07"</f>
        <v>0234.07</v>
      </c>
      <c r="B78" t="s">
        <v>144</v>
      </c>
      <c r="C78" t="s">
        <v>20</v>
      </c>
      <c r="F78">
        <v>5</v>
      </c>
      <c r="G78" t="s">
        <v>16</v>
      </c>
      <c r="H78">
        <v>0</v>
      </c>
      <c r="I78" s="2" t="s">
        <v>51</v>
      </c>
      <c r="J78" s="2" t="str">
        <f>"0234.07"</f>
        <v>0234.07</v>
      </c>
      <c r="K78">
        <v>20</v>
      </c>
      <c r="L78">
        <v>20</v>
      </c>
      <c r="M78">
        <v>20</v>
      </c>
    </row>
    <row r="79" spans="1:13" x14ac:dyDescent="0.25">
      <c r="A79" t="str">
        <f>"0234.07BİT"</f>
        <v>0234.07BİT</v>
      </c>
      <c r="B79" t="s">
        <v>144</v>
      </c>
      <c r="C79" t="s">
        <v>20</v>
      </c>
      <c r="F79">
        <v>10</v>
      </c>
      <c r="G79" t="s">
        <v>16</v>
      </c>
      <c r="H79">
        <v>0</v>
      </c>
      <c r="I79" s="2" t="s">
        <v>69</v>
      </c>
      <c r="J79" s="2" t="s">
        <v>145</v>
      </c>
      <c r="K79">
        <v>20</v>
      </c>
      <c r="L79">
        <v>20</v>
      </c>
      <c r="M79">
        <v>20</v>
      </c>
    </row>
    <row r="80" spans="1:13" x14ac:dyDescent="0.25">
      <c r="A80" t="str">
        <f>"0234.42"</f>
        <v>0234.42</v>
      </c>
      <c r="B80" t="s">
        <v>146</v>
      </c>
      <c r="C80" t="s">
        <v>20</v>
      </c>
      <c r="F80">
        <v>4</v>
      </c>
      <c r="G80" t="s">
        <v>16</v>
      </c>
      <c r="H80">
        <v>0</v>
      </c>
      <c r="I80" s="2" t="s">
        <v>51</v>
      </c>
      <c r="J80" s="2" t="str">
        <f>"0234.42"</f>
        <v>0234.42</v>
      </c>
      <c r="K80">
        <v>20</v>
      </c>
      <c r="L80">
        <v>20</v>
      </c>
      <c r="M80">
        <v>20</v>
      </c>
    </row>
    <row r="81" spans="1:13" x14ac:dyDescent="0.25">
      <c r="A81" t="str">
        <f>"0235.27"</f>
        <v>0235.27</v>
      </c>
      <c r="B81" t="s">
        <v>147</v>
      </c>
      <c r="C81" t="s">
        <v>20</v>
      </c>
      <c r="F81">
        <v>2</v>
      </c>
      <c r="G81" t="s">
        <v>16</v>
      </c>
      <c r="H81">
        <v>0</v>
      </c>
      <c r="I81" s="2" t="s">
        <v>55</v>
      </c>
      <c r="J81" s="2" t="str">
        <f>"0235.27"</f>
        <v>0235.27</v>
      </c>
      <c r="K81">
        <v>20</v>
      </c>
      <c r="L81">
        <v>20</v>
      </c>
      <c r="M81">
        <v>20</v>
      </c>
    </row>
    <row r="82" spans="1:13" x14ac:dyDescent="0.25">
      <c r="A82" t="str">
        <f>"0236.44SKT"</f>
        <v>0236.44SKT</v>
      </c>
      <c r="B82" t="s">
        <v>148</v>
      </c>
      <c r="C82" t="s">
        <v>20</v>
      </c>
      <c r="D82" t="s">
        <v>26</v>
      </c>
      <c r="F82">
        <v>1</v>
      </c>
      <c r="G82" t="s">
        <v>16</v>
      </c>
      <c r="H82">
        <v>0</v>
      </c>
      <c r="I82" s="2" t="s">
        <v>57</v>
      </c>
      <c r="J82" s="2" t="str">
        <f>"041287-V"</f>
        <v>041287-V</v>
      </c>
      <c r="K82">
        <v>20</v>
      </c>
      <c r="L82">
        <v>20</v>
      </c>
      <c r="M82">
        <v>20</v>
      </c>
    </row>
    <row r="83" spans="1:13" x14ac:dyDescent="0.25">
      <c r="A83" t="str">
        <f>"0236.75SKT"</f>
        <v>0236.75SKT</v>
      </c>
      <c r="B83" t="s">
        <v>149</v>
      </c>
      <c r="C83" t="s">
        <v>20</v>
      </c>
      <c r="D83" t="s">
        <v>26</v>
      </c>
      <c r="F83">
        <v>3</v>
      </c>
      <c r="G83" t="s">
        <v>16</v>
      </c>
      <c r="H83">
        <v>0</v>
      </c>
      <c r="I83" s="2" t="s">
        <v>57</v>
      </c>
      <c r="J83" s="2" t="str">
        <f>"041151-FP"</f>
        <v>041151-FP</v>
      </c>
      <c r="K83">
        <v>20</v>
      </c>
      <c r="L83">
        <v>20</v>
      </c>
      <c r="M83">
        <v>20</v>
      </c>
    </row>
    <row r="84" spans="1:13" x14ac:dyDescent="0.25">
      <c r="A84" t="str">
        <f>"0242.85"</f>
        <v>0242.85</v>
      </c>
      <c r="B84" t="s">
        <v>150</v>
      </c>
      <c r="C84" t="s">
        <v>151</v>
      </c>
      <c r="D84" t="s">
        <v>152</v>
      </c>
      <c r="F84">
        <v>1</v>
      </c>
      <c r="G84" t="s">
        <v>16</v>
      </c>
      <c r="H84">
        <v>0</v>
      </c>
      <c r="I84" s="2" t="s">
        <v>51</v>
      </c>
      <c r="J84" s="2" t="str">
        <f>"0242.85"</f>
        <v>0242.85</v>
      </c>
      <c r="K84">
        <v>20</v>
      </c>
      <c r="L84">
        <v>20</v>
      </c>
      <c r="M84">
        <v>20</v>
      </c>
    </row>
    <row r="85" spans="1:13" x14ac:dyDescent="0.25">
      <c r="A85" t="str">
        <f>"0243.06"</f>
        <v>0243.06</v>
      </c>
      <c r="B85" t="s">
        <v>153</v>
      </c>
      <c r="C85" t="s">
        <v>20</v>
      </c>
      <c r="F85">
        <v>2</v>
      </c>
      <c r="G85" t="s">
        <v>16</v>
      </c>
      <c r="H85">
        <v>0</v>
      </c>
      <c r="I85" s="2" t="s">
        <v>51</v>
      </c>
      <c r="J85" s="2" t="str">
        <f>"0243.06"</f>
        <v>0243.06</v>
      </c>
      <c r="K85">
        <v>20</v>
      </c>
      <c r="L85">
        <v>20</v>
      </c>
      <c r="M85">
        <v>20</v>
      </c>
    </row>
    <row r="86" spans="1:13" x14ac:dyDescent="0.25">
      <c r="A86" t="str">
        <f>"0248.L1"</f>
        <v>0248.L1</v>
      </c>
      <c r="B86" t="s">
        <v>154</v>
      </c>
      <c r="C86" t="s">
        <v>20</v>
      </c>
      <c r="D86" t="s">
        <v>133</v>
      </c>
      <c r="F86">
        <v>1</v>
      </c>
      <c r="G86" t="s">
        <v>16</v>
      </c>
      <c r="H86">
        <v>0</v>
      </c>
      <c r="I86" s="2" t="s">
        <v>55</v>
      </c>
      <c r="J86" s="2" t="str">
        <f>"0248.L1"</f>
        <v>0248.L1</v>
      </c>
      <c r="K86">
        <v>20</v>
      </c>
      <c r="L86">
        <v>20</v>
      </c>
      <c r="M86">
        <v>20</v>
      </c>
    </row>
    <row r="87" spans="1:13" x14ac:dyDescent="0.25">
      <c r="A87" t="str">
        <f>"0248.L1ABRASSE"</f>
        <v>0248.L1ABRASSE</v>
      </c>
      <c r="B87" t="s">
        <v>154</v>
      </c>
      <c r="C87" t="s">
        <v>20</v>
      </c>
      <c r="F87">
        <v>2</v>
      </c>
      <c r="G87" t="s">
        <v>16</v>
      </c>
      <c r="H87">
        <v>0</v>
      </c>
      <c r="I87" s="2" t="s">
        <v>87</v>
      </c>
      <c r="J87" s="2" t="s">
        <v>155</v>
      </c>
      <c r="K87">
        <v>20</v>
      </c>
      <c r="L87">
        <v>20</v>
      </c>
      <c r="M87">
        <v>20</v>
      </c>
    </row>
    <row r="88" spans="1:13" x14ac:dyDescent="0.25">
      <c r="A88" t="str">
        <f>"0248.L1K&amp;B"</f>
        <v>0248.L1K&amp;B</v>
      </c>
      <c r="B88" t="s">
        <v>154</v>
      </c>
      <c r="C88" t="s">
        <v>20</v>
      </c>
      <c r="F88">
        <v>1</v>
      </c>
      <c r="G88" t="s">
        <v>16</v>
      </c>
      <c r="H88">
        <v>0</v>
      </c>
      <c r="I88" s="2" t="s">
        <v>156</v>
      </c>
      <c r="J88" s="2" t="s">
        <v>157</v>
      </c>
      <c r="K88">
        <v>20</v>
      </c>
      <c r="L88">
        <v>20</v>
      </c>
      <c r="M88">
        <v>20</v>
      </c>
    </row>
    <row r="89" spans="1:13" x14ac:dyDescent="0.25">
      <c r="A89" t="str">
        <f>"0248.L1MAHLE"</f>
        <v>0248.L1MAHLE</v>
      </c>
      <c r="B89" t="s">
        <v>154</v>
      </c>
      <c r="C89" t="s">
        <v>20</v>
      </c>
      <c r="F89">
        <v>2</v>
      </c>
      <c r="G89" t="s">
        <v>16</v>
      </c>
      <c r="H89">
        <v>0</v>
      </c>
      <c r="I89" s="2" t="s">
        <v>158</v>
      </c>
      <c r="J89" s="2" t="s">
        <v>159</v>
      </c>
      <c r="K89">
        <v>20</v>
      </c>
      <c r="L89">
        <v>20</v>
      </c>
      <c r="M89">
        <v>20</v>
      </c>
    </row>
    <row r="90" spans="1:13" x14ac:dyDescent="0.25">
      <c r="A90" t="str">
        <f>"0248.L1Y"</f>
        <v>0248.L1Y</v>
      </c>
      <c r="B90" t="s">
        <v>154</v>
      </c>
      <c r="C90" t="s">
        <v>20</v>
      </c>
      <c r="G90" t="s">
        <v>16</v>
      </c>
      <c r="H90">
        <v>0</v>
      </c>
      <c r="K90">
        <v>20</v>
      </c>
      <c r="L90">
        <v>20</v>
      </c>
      <c r="M90">
        <v>20</v>
      </c>
    </row>
    <row r="91" spans="1:13" x14ac:dyDescent="0.25">
      <c r="A91" t="str">
        <f>"0248.L3MGA"</f>
        <v>0248.L3MGA</v>
      </c>
      <c r="B91" t="s">
        <v>160</v>
      </c>
      <c r="C91" t="s">
        <v>20</v>
      </c>
      <c r="D91" t="s">
        <v>161</v>
      </c>
      <c r="F91">
        <v>0</v>
      </c>
      <c r="G91" t="s">
        <v>16</v>
      </c>
      <c r="H91">
        <v>0</v>
      </c>
      <c r="I91" s="2" t="s">
        <v>162</v>
      </c>
      <c r="J91" s="2">
        <v>43000</v>
      </c>
      <c r="K91">
        <v>20</v>
      </c>
      <c r="L91">
        <v>20</v>
      </c>
      <c r="M91">
        <v>20</v>
      </c>
    </row>
    <row r="92" spans="1:13" x14ac:dyDescent="0.25">
      <c r="A92" t="str">
        <f>"0248.L7FROWAS"</f>
        <v>0248.L7FROWAS</v>
      </c>
      <c r="B92" t="s">
        <v>163</v>
      </c>
      <c r="C92" t="s">
        <v>20</v>
      </c>
      <c r="F92">
        <v>1</v>
      </c>
      <c r="G92" t="s">
        <v>16</v>
      </c>
      <c r="H92">
        <v>0</v>
      </c>
      <c r="I92" s="2" t="s">
        <v>108</v>
      </c>
      <c r="J92" s="3">
        <v>2581561004</v>
      </c>
      <c r="K92">
        <v>20</v>
      </c>
      <c r="L92">
        <v>20</v>
      </c>
      <c r="M92">
        <v>20</v>
      </c>
    </row>
    <row r="93" spans="1:13" x14ac:dyDescent="0.25">
      <c r="A93" t="str">
        <f>"0248.Q5TOPRAN"</f>
        <v>0248.Q5TOPRAN</v>
      </c>
      <c r="B93" t="s">
        <v>164</v>
      </c>
      <c r="C93" t="s">
        <v>20</v>
      </c>
      <c r="F93">
        <v>1</v>
      </c>
      <c r="G93" t="s">
        <v>16</v>
      </c>
      <c r="H93">
        <v>0</v>
      </c>
      <c r="I93" s="2" t="s">
        <v>165</v>
      </c>
      <c r="J93" s="2">
        <v>724158</v>
      </c>
      <c r="K93">
        <v>20</v>
      </c>
      <c r="L93">
        <v>20</v>
      </c>
      <c r="M93">
        <v>20</v>
      </c>
    </row>
    <row r="94" spans="1:13" x14ac:dyDescent="0.25">
      <c r="A94" t="str">
        <f>"0248.S0"</f>
        <v>0248.S0</v>
      </c>
      <c r="B94" t="s">
        <v>166</v>
      </c>
      <c r="C94" t="s">
        <v>20</v>
      </c>
      <c r="F94">
        <v>1</v>
      </c>
      <c r="G94" t="s">
        <v>16</v>
      </c>
      <c r="H94">
        <v>0</v>
      </c>
      <c r="I94" s="2" t="s">
        <v>55</v>
      </c>
      <c r="J94" s="2" t="str">
        <f>"0248.S0"</f>
        <v>0248.S0</v>
      </c>
      <c r="K94">
        <v>20</v>
      </c>
      <c r="L94">
        <v>20</v>
      </c>
      <c r="M94">
        <v>20</v>
      </c>
    </row>
    <row r="95" spans="1:13" x14ac:dyDescent="0.25">
      <c r="A95" t="str">
        <f>"0248.S0ABRASSE"</f>
        <v>0248.S0ABRASSE</v>
      </c>
      <c r="B95" t="s">
        <v>166</v>
      </c>
      <c r="C95" t="s">
        <v>20</v>
      </c>
      <c r="F95">
        <v>1</v>
      </c>
      <c r="G95" t="s">
        <v>16</v>
      </c>
      <c r="H95">
        <v>0</v>
      </c>
      <c r="I95" s="2" t="s">
        <v>87</v>
      </c>
      <c r="J95" s="2" t="s">
        <v>167</v>
      </c>
      <c r="K95">
        <v>20</v>
      </c>
      <c r="L95">
        <v>20</v>
      </c>
      <c r="M95">
        <v>20</v>
      </c>
    </row>
    <row r="96" spans="1:13" x14ac:dyDescent="0.25">
      <c r="A96" t="str">
        <f>"0249.54GOETZE"</f>
        <v>0249.54GOETZE</v>
      </c>
      <c r="B96" t="s">
        <v>168</v>
      </c>
      <c r="C96" t="s">
        <v>20</v>
      </c>
      <c r="D96" t="s">
        <v>26</v>
      </c>
      <c r="F96">
        <v>2</v>
      </c>
      <c r="G96" t="s">
        <v>16</v>
      </c>
      <c r="H96">
        <v>0</v>
      </c>
      <c r="I96" s="2" t="s">
        <v>82</v>
      </c>
      <c r="J96" s="2" t="str">
        <f>"02-36975-40"</f>
        <v>02-36975-40</v>
      </c>
      <c r="K96">
        <v>20</v>
      </c>
      <c r="L96">
        <v>20</v>
      </c>
      <c r="M96">
        <v>20</v>
      </c>
    </row>
    <row r="97" spans="1:13" x14ac:dyDescent="0.25">
      <c r="A97" t="str">
        <f>"0249.54ROYAL"</f>
        <v>0249.54ROYAL</v>
      </c>
      <c r="B97" t="s">
        <v>168</v>
      </c>
      <c r="C97" t="s">
        <v>20</v>
      </c>
      <c r="D97" t="s">
        <v>26</v>
      </c>
      <c r="G97" t="s">
        <v>16</v>
      </c>
      <c r="H97">
        <v>0</v>
      </c>
      <c r="I97" s="2" t="s">
        <v>169</v>
      </c>
      <c r="J97" s="2" t="s">
        <v>170</v>
      </c>
      <c r="K97">
        <v>20</v>
      </c>
      <c r="L97">
        <v>20</v>
      </c>
      <c r="M97">
        <v>20</v>
      </c>
    </row>
    <row r="98" spans="1:13" x14ac:dyDescent="0.25">
      <c r="A98" t="str">
        <f>"0249.95AVORTEX"</f>
        <v>0249.95AVORTEX</v>
      </c>
      <c r="B98" t="s">
        <v>171</v>
      </c>
      <c r="C98" t="s">
        <v>20</v>
      </c>
      <c r="D98" t="s">
        <v>26</v>
      </c>
      <c r="F98">
        <v>2</v>
      </c>
      <c r="G98" t="s">
        <v>16</v>
      </c>
      <c r="H98">
        <v>0</v>
      </c>
      <c r="I98" s="2" t="s">
        <v>120</v>
      </c>
      <c r="J98" s="2">
        <v>2141001</v>
      </c>
      <c r="K98">
        <v>20</v>
      </c>
      <c r="L98">
        <v>20</v>
      </c>
      <c r="M98">
        <v>20</v>
      </c>
    </row>
    <row r="99" spans="1:13" x14ac:dyDescent="0.25">
      <c r="A99" t="str">
        <f>"0249.95OTOCONTA"</f>
        <v>0249.95OTOCONTA</v>
      </c>
      <c r="B99" t="s">
        <v>171</v>
      </c>
      <c r="C99" t="s">
        <v>20</v>
      </c>
      <c r="D99" t="s">
        <v>26</v>
      </c>
      <c r="F99">
        <v>1</v>
      </c>
      <c r="G99" t="s">
        <v>16</v>
      </c>
      <c r="H99">
        <v>0</v>
      </c>
      <c r="I99" s="2" t="s">
        <v>172</v>
      </c>
      <c r="J99" s="2">
        <v>42173025</v>
      </c>
      <c r="K99">
        <v>20</v>
      </c>
      <c r="L99">
        <v>20</v>
      </c>
      <c r="M99">
        <v>20</v>
      </c>
    </row>
    <row r="100" spans="1:13" x14ac:dyDescent="0.25">
      <c r="A100" t="str">
        <f>"0249.95ROYAL"</f>
        <v>0249.95ROYAL</v>
      </c>
      <c r="B100" t="s">
        <v>171</v>
      </c>
      <c r="C100" t="s">
        <v>20</v>
      </c>
      <c r="D100" t="s">
        <v>26</v>
      </c>
      <c r="F100">
        <v>4</v>
      </c>
      <c r="G100" t="s">
        <v>16</v>
      </c>
      <c r="H100">
        <v>0</v>
      </c>
      <c r="I100" s="2" t="s">
        <v>174</v>
      </c>
      <c r="J100" s="2" t="s">
        <v>173</v>
      </c>
      <c r="K100">
        <v>20</v>
      </c>
      <c r="L100">
        <v>20</v>
      </c>
      <c r="M100">
        <v>20</v>
      </c>
    </row>
    <row r="101" spans="1:13" x14ac:dyDescent="0.25">
      <c r="A101" t="str">
        <f>"0249.97ROYAL"</f>
        <v>0249.97ROYAL</v>
      </c>
      <c r="B101" t="s">
        <v>176</v>
      </c>
      <c r="C101" t="s">
        <v>20</v>
      </c>
      <c r="D101" t="s">
        <v>26</v>
      </c>
      <c r="F101">
        <v>5</v>
      </c>
      <c r="G101" t="s">
        <v>16</v>
      </c>
      <c r="H101">
        <v>0</v>
      </c>
      <c r="I101" s="2" t="s">
        <v>177</v>
      </c>
      <c r="J101" s="2" t="s">
        <v>175</v>
      </c>
      <c r="K101">
        <v>20</v>
      </c>
      <c r="L101">
        <v>20</v>
      </c>
      <c r="M101">
        <v>20</v>
      </c>
    </row>
    <row r="102" spans="1:13" x14ac:dyDescent="0.25">
      <c r="A102" t="str">
        <f>"0249.A9OTO"</f>
        <v>0249.A9OTO</v>
      </c>
      <c r="B102" t="s">
        <v>178</v>
      </c>
      <c r="C102" t="s">
        <v>20</v>
      </c>
      <c r="D102" t="s">
        <v>26</v>
      </c>
      <c r="F102">
        <v>0</v>
      </c>
      <c r="G102" t="s">
        <v>16</v>
      </c>
      <c r="H102">
        <v>0</v>
      </c>
      <c r="I102" s="2" t="s">
        <v>172</v>
      </c>
      <c r="J102" s="2">
        <v>42200025</v>
      </c>
      <c r="K102">
        <v>20</v>
      </c>
      <c r="L102">
        <v>20</v>
      </c>
      <c r="M102">
        <v>20</v>
      </c>
    </row>
    <row r="103" spans="1:13" x14ac:dyDescent="0.25">
      <c r="A103" t="str">
        <f>"0249.C1Y"</f>
        <v>0249.C1Y</v>
      </c>
      <c r="B103" t="s">
        <v>179</v>
      </c>
      <c r="C103" t="s">
        <v>20</v>
      </c>
      <c r="D103" t="s">
        <v>26</v>
      </c>
      <c r="F103">
        <v>1</v>
      </c>
      <c r="G103" t="s">
        <v>16</v>
      </c>
      <c r="H103">
        <v>0</v>
      </c>
      <c r="K103">
        <v>20</v>
      </c>
      <c r="L103">
        <v>20</v>
      </c>
      <c r="M103">
        <v>20</v>
      </c>
    </row>
    <row r="104" spans="1:13" x14ac:dyDescent="0.25">
      <c r="A104" t="str">
        <f>"0249.C2ELRİNG"</f>
        <v>0249.C2ELRİNG</v>
      </c>
      <c r="B104" t="s">
        <v>180</v>
      </c>
      <c r="C104" t="s">
        <v>20</v>
      </c>
      <c r="D104" t="s">
        <v>26</v>
      </c>
      <c r="F104">
        <v>1</v>
      </c>
      <c r="G104" t="s">
        <v>16</v>
      </c>
      <c r="H104">
        <v>0</v>
      </c>
      <c r="I104" s="2" t="s">
        <v>99</v>
      </c>
      <c r="J104" s="3">
        <v>375510</v>
      </c>
      <c r="K104">
        <v>20</v>
      </c>
      <c r="L104">
        <v>20</v>
      </c>
      <c r="M104">
        <v>20</v>
      </c>
    </row>
    <row r="105" spans="1:13" x14ac:dyDescent="0.25">
      <c r="A105" t="str">
        <f>"0249.C2Y"</f>
        <v>0249.C2Y</v>
      </c>
      <c r="B105" t="s">
        <v>180</v>
      </c>
      <c r="C105" t="s">
        <v>20</v>
      </c>
      <c r="D105" t="s">
        <v>26</v>
      </c>
      <c r="F105">
        <v>3</v>
      </c>
      <c r="G105" t="s">
        <v>16</v>
      </c>
      <c r="H105">
        <v>0</v>
      </c>
      <c r="K105">
        <v>20</v>
      </c>
      <c r="L105">
        <v>20</v>
      </c>
      <c r="M105">
        <v>20</v>
      </c>
    </row>
    <row r="106" spans="1:13" x14ac:dyDescent="0.25">
      <c r="A106" t="str">
        <f>"0249.C5ABRASSE"</f>
        <v>0249.C5ABRASSE</v>
      </c>
      <c r="B106" t="s">
        <v>181</v>
      </c>
      <c r="C106" t="s">
        <v>20</v>
      </c>
      <c r="D106" t="s">
        <v>26</v>
      </c>
      <c r="F106">
        <v>2</v>
      </c>
      <c r="G106" t="s">
        <v>16</v>
      </c>
      <c r="H106">
        <v>0</v>
      </c>
      <c r="I106" s="2" t="s">
        <v>87</v>
      </c>
      <c r="J106" s="2" t="s">
        <v>182</v>
      </c>
      <c r="K106">
        <v>20</v>
      </c>
      <c r="L106">
        <v>20</v>
      </c>
      <c r="M106">
        <v>20</v>
      </c>
    </row>
    <row r="107" spans="1:13" x14ac:dyDescent="0.25">
      <c r="A107" t="str">
        <f>"0249.C5GOTEZE"</f>
        <v>0249.C5GOTEZE</v>
      </c>
      <c r="B107" t="s">
        <v>181</v>
      </c>
      <c r="C107" t="s">
        <v>20</v>
      </c>
      <c r="D107" t="s">
        <v>26</v>
      </c>
      <c r="G107" t="s">
        <v>16</v>
      </c>
      <c r="H107">
        <v>0</v>
      </c>
      <c r="I107" s="2" t="s">
        <v>75</v>
      </c>
      <c r="J107" s="2" t="str">
        <f>"02-36975-56"</f>
        <v>02-36975-56</v>
      </c>
      <c r="K107">
        <v>20</v>
      </c>
      <c r="L107">
        <v>20</v>
      </c>
      <c r="M107">
        <v>20</v>
      </c>
    </row>
    <row r="108" spans="1:13" x14ac:dyDescent="0.25">
      <c r="A108" t="str">
        <f>"0249.E2ABRASSE"</f>
        <v>0249.E2ABRASSE</v>
      </c>
      <c r="B108" t="s">
        <v>183</v>
      </c>
      <c r="C108" t="s">
        <v>20</v>
      </c>
      <c r="D108" t="s">
        <v>26</v>
      </c>
      <c r="F108">
        <v>2</v>
      </c>
      <c r="G108" t="s">
        <v>16</v>
      </c>
      <c r="H108">
        <v>0</v>
      </c>
      <c r="I108" s="2" t="s">
        <v>87</v>
      </c>
      <c r="J108" s="2" t="s">
        <v>184</v>
      </c>
      <c r="K108">
        <v>20</v>
      </c>
      <c r="L108">
        <v>20</v>
      </c>
      <c r="M108">
        <v>20</v>
      </c>
    </row>
    <row r="109" spans="1:13" x14ac:dyDescent="0.25">
      <c r="A109" t="str">
        <f>"0249.E6ELRİNG"</f>
        <v>0249.E6ELRİNG</v>
      </c>
      <c r="B109" t="s">
        <v>185</v>
      </c>
      <c r="C109" t="s">
        <v>20</v>
      </c>
      <c r="D109" t="s">
        <v>26</v>
      </c>
      <c r="F109">
        <v>1</v>
      </c>
      <c r="G109" t="s">
        <v>16</v>
      </c>
      <c r="H109">
        <v>0</v>
      </c>
      <c r="I109" s="2" t="s">
        <v>97</v>
      </c>
      <c r="J109" s="3">
        <v>384680</v>
      </c>
      <c r="K109">
        <v>20</v>
      </c>
      <c r="L109">
        <v>20</v>
      </c>
      <c r="M109">
        <v>20</v>
      </c>
    </row>
    <row r="110" spans="1:13" x14ac:dyDescent="0.25">
      <c r="A110" t="str">
        <f>"0249.E6OTOCONTA "</f>
        <v xml:space="preserve">0249.E6OTOCONTA </v>
      </c>
      <c r="B110" t="s">
        <v>186</v>
      </c>
      <c r="C110" t="s">
        <v>20</v>
      </c>
      <c r="D110" t="s">
        <v>26</v>
      </c>
      <c r="G110" t="s">
        <v>16</v>
      </c>
      <c r="H110">
        <v>0</v>
      </c>
      <c r="I110" s="2" t="s">
        <v>172</v>
      </c>
      <c r="J110" s="2">
        <v>41707425</v>
      </c>
      <c r="K110">
        <v>20</v>
      </c>
      <c r="L110">
        <v>20</v>
      </c>
      <c r="M110">
        <v>20</v>
      </c>
    </row>
    <row r="111" spans="1:13" x14ac:dyDescent="0.25">
      <c r="A111" t="str">
        <f>"0249.G2ELWİS"</f>
        <v>0249.G2ELWİS</v>
      </c>
      <c r="B111" t="s">
        <v>187</v>
      </c>
      <c r="C111" t="s">
        <v>20</v>
      </c>
      <c r="D111" t="s">
        <v>26</v>
      </c>
      <c r="F111">
        <v>1</v>
      </c>
      <c r="G111" t="s">
        <v>16</v>
      </c>
      <c r="H111">
        <v>0</v>
      </c>
      <c r="I111" s="2" t="s">
        <v>188</v>
      </c>
      <c r="J111" s="2">
        <v>1526592</v>
      </c>
      <c r="K111">
        <v>20</v>
      </c>
      <c r="L111">
        <v>20</v>
      </c>
      <c r="M111">
        <v>20</v>
      </c>
    </row>
    <row r="112" spans="1:13" x14ac:dyDescent="0.25">
      <c r="A112" t="str">
        <f>"0249.G2FROWAS"</f>
        <v>0249.G2FROWAS</v>
      </c>
      <c r="B112" t="s">
        <v>187</v>
      </c>
      <c r="C112" t="s">
        <v>20</v>
      </c>
      <c r="D112" t="s">
        <v>26</v>
      </c>
      <c r="G112" t="s">
        <v>16</v>
      </c>
      <c r="H112">
        <v>0</v>
      </c>
      <c r="I112" s="2" t="s">
        <v>108</v>
      </c>
      <c r="J112" s="3">
        <v>2671534001</v>
      </c>
      <c r="K112">
        <v>20</v>
      </c>
      <c r="L112">
        <v>20</v>
      </c>
      <c r="M112">
        <v>20</v>
      </c>
    </row>
    <row r="113" spans="1:13" x14ac:dyDescent="0.25">
      <c r="A113" t="str">
        <f>"0249.G2OTO"</f>
        <v>0249.G2OTO</v>
      </c>
      <c r="B113" t="s">
        <v>187</v>
      </c>
      <c r="C113" t="s">
        <v>20</v>
      </c>
      <c r="D113" t="s">
        <v>26</v>
      </c>
      <c r="F113">
        <v>0</v>
      </c>
      <c r="G113" t="s">
        <v>16</v>
      </c>
      <c r="H113">
        <v>0</v>
      </c>
      <c r="I113" s="2" t="s">
        <v>189</v>
      </c>
      <c r="J113" s="2">
        <v>41707125</v>
      </c>
      <c r="K113">
        <v>20</v>
      </c>
      <c r="L113">
        <v>20</v>
      </c>
      <c r="M113">
        <v>20</v>
      </c>
    </row>
    <row r="114" spans="1:13" x14ac:dyDescent="0.25">
      <c r="A114" t="str">
        <f>"0249.G2Y"</f>
        <v>0249.G2Y</v>
      </c>
      <c r="B114" t="s">
        <v>187</v>
      </c>
      <c r="C114" t="s">
        <v>20</v>
      </c>
      <c r="D114" t="s">
        <v>26</v>
      </c>
      <c r="G114" t="s">
        <v>16</v>
      </c>
      <c r="H114">
        <v>0</v>
      </c>
      <c r="K114">
        <v>20</v>
      </c>
      <c r="L114">
        <v>20</v>
      </c>
      <c r="M114">
        <v>20</v>
      </c>
    </row>
    <row r="115" spans="1:13" x14ac:dyDescent="0.25">
      <c r="A115" t="str">
        <f>"029078FİLTRON"</f>
        <v>029078FİLTRON</v>
      </c>
      <c r="B115" t="s">
        <v>190</v>
      </c>
      <c r="C115" t="s">
        <v>14</v>
      </c>
      <c r="D115" t="s">
        <v>191</v>
      </c>
      <c r="G115" t="s">
        <v>16</v>
      </c>
      <c r="H115">
        <v>0</v>
      </c>
      <c r="I115" s="2" t="s">
        <v>192</v>
      </c>
      <c r="J115" s="2" t="s">
        <v>193</v>
      </c>
      <c r="K115">
        <v>20</v>
      </c>
      <c r="L115">
        <v>20</v>
      </c>
      <c r="M115">
        <v>20</v>
      </c>
    </row>
    <row r="116" spans="1:13" x14ac:dyDescent="0.25">
      <c r="A116" t="str">
        <f>"0301.J7ABRASSE"</f>
        <v>0301.J7ABRASSE</v>
      </c>
      <c r="B116" t="s">
        <v>194</v>
      </c>
      <c r="C116" t="s">
        <v>20</v>
      </c>
      <c r="F116">
        <v>1</v>
      </c>
      <c r="G116" t="s">
        <v>16</v>
      </c>
      <c r="H116">
        <v>0</v>
      </c>
      <c r="I116" s="2" t="s">
        <v>87</v>
      </c>
      <c r="J116" s="2" t="s">
        <v>195</v>
      </c>
      <c r="K116">
        <v>20</v>
      </c>
      <c r="L116">
        <v>20</v>
      </c>
      <c r="M116">
        <v>20</v>
      </c>
    </row>
    <row r="117" spans="1:13" x14ac:dyDescent="0.25">
      <c r="A117" t="str">
        <f>"0301.N1FROW"</f>
        <v>0301.N1FROW</v>
      </c>
      <c r="B117" t="s">
        <v>196</v>
      </c>
      <c r="C117" t="s">
        <v>20</v>
      </c>
      <c r="F117">
        <v>1</v>
      </c>
      <c r="G117" t="s">
        <v>16</v>
      </c>
      <c r="H117">
        <v>0</v>
      </c>
      <c r="I117" s="2" t="s">
        <v>108</v>
      </c>
      <c r="J117" s="3">
        <v>2571511001</v>
      </c>
      <c r="K117">
        <v>20</v>
      </c>
      <c r="L117">
        <v>20</v>
      </c>
      <c r="M117">
        <v>20</v>
      </c>
    </row>
    <row r="118" spans="1:13" x14ac:dyDescent="0.25">
      <c r="A118" t="str">
        <f>"0301.N1İTHAL"</f>
        <v>0301.N1İTHAL</v>
      </c>
      <c r="B118" t="s">
        <v>196</v>
      </c>
      <c r="C118" t="s">
        <v>20</v>
      </c>
      <c r="F118">
        <v>1</v>
      </c>
      <c r="G118" t="s">
        <v>16</v>
      </c>
      <c r="H118">
        <v>0</v>
      </c>
      <c r="K118">
        <v>20</v>
      </c>
      <c r="L118">
        <v>20</v>
      </c>
      <c r="M118">
        <v>20</v>
      </c>
    </row>
    <row r="119" spans="1:13" x14ac:dyDescent="0.25">
      <c r="A119" t="str">
        <f>"0301.N1SANTRAL"</f>
        <v>0301.N1SANTRAL</v>
      </c>
      <c r="B119" t="s">
        <v>196</v>
      </c>
      <c r="C119" t="s">
        <v>20</v>
      </c>
      <c r="F119">
        <v>5</v>
      </c>
      <c r="G119" t="s">
        <v>16</v>
      </c>
      <c r="H119">
        <v>0</v>
      </c>
      <c r="I119" s="2" t="s">
        <v>197</v>
      </c>
      <c r="J119" s="2" t="s">
        <v>198</v>
      </c>
      <c r="K119">
        <v>20</v>
      </c>
      <c r="L119">
        <v>20</v>
      </c>
      <c r="M119">
        <v>20</v>
      </c>
    </row>
    <row r="120" spans="1:13" x14ac:dyDescent="0.25">
      <c r="A120" t="str">
        <f>"0304.55CORTECO"</f>
        <v>0304.55CORTECO</v>
      </c>
      <c r="B120" t="s">
        <v>199</v>
      </c>
      <c r="C120" t="s">
        <v>20</v>
      </c>
      <c r="D120" t="s">
        <v>26</v>
      </c>
      <c r="F120">
        <v>1</v>
      </c>
      <c r="G120" t="s">
        <v>16</v>
      </c>
      <c r="H120">
        <v>0</v>
      </c>
      <c r="I120" s="2" t="s">
        <v>73</v>
      </c>
      <c r="J120" s="2" t="str">
        <f>"026343P"</f>
        <v>026343P</v>
      </c>
      <c r="K120">
        <v>20</v>
      </c>
      <c r="L120">
        <v>20</v>
      </c>
      <c r="M120">
        <v>20</v>
      </c>
    </row>
    <row r="121" spans="1:13" x14ac:dyDescent="0.25">
      <c r="A121" t="str">
        <f>"0304.55ROYAL"</f>
        <v>0304.55ROYAL</v>
      </c>
      <c r="B121" t="s">
        <v>199</v>
      </c>
      <c r="C121" t="s">
        <v>20</v>
      </c>
      <c r="D121" t="s">
        <v>26</v>
      </c>
      <c r="F121">
        <v>1</v>
      </c>
      <c r="G121" t="s">
        <v>16</v>
      </c>
      <c r="H121">
        <v>0</v>
      </c>
      <c r="I121" s="2" t="s">
        <v>177</v>
      </c>
      <c r="J121" s="2" t="s">
        <v>200</v>
      </c>
      <c r="K121">
        <v>20</v>
      </c>
      <c r="L121">
        <v>20</v>
      </c>
      <c r="M121">
        <v>20</v>
      </c>
    </row>
    <row r="122" spans="1:13" x14ac:dyDescent="0.25">
      <c r="A122" t="str">
        <f>"0304.55VİCTOR "</f>
        <v xml:space="preserve">0304.55VİCTOR </v>
      </c>
      <c r="B122" t="s">
        <v>199</v>
      </c>
      <c r="C122" t="s">
        <v>20</v>
      </c>
      <c r="D122" t="s">
        <v>26</v>
      </c>
      <c r="G122" t="s">
        <v>16</v>
      </c>
      <c r="H122">
        <v>0</v>
      </c>
      <c r="I122" s="2" t="s">
        <v>80</v>
      </c>
      <c r="J122" s="2" t="s">
        <v>201</v>
      </c>
      <c r="K122">
        <v>20</v>
      </c>
      <c r="L122">
        <v>20</v>
      </c>
      <c r="M122">
        <v>20</v>
      </c>
    </row>
    <row r="123" spans="1:13" x14ac:dyDescent="0.25">
      <c r="A123" t="str">
        <f>"0311.29DOGRU"</f>
        <v>0311.29DOGRU</v>
      </c>
      <c r="B123" t="s">
        <v>202</v>
      </c>
      <c r="C123" t="s">
        <v>20</v>
      </c>
      <c r="G123" t="s">
        <v>16</v>
      </c>
      <c r="H123">
        <v>0</v>
      </c>
      <c r="I123" s="2" t="b">
        <v>1</v>
      </c>
      <c r="J123" s="2" t="s">
        <v>203</v>
      </c>
      <c r="K123">
        <v>20</v>
      </c>
      <c r="L123">
        <v>20</v>
      </c>
      <c r="M123">
        <v>20</v>
      </c>
    </row>
    <row r="124" spans="1:13" x14ac:dyDescent="0.25">
      <c r="A124" t="str">
        <f>"0311.39ALMOT"</f>
        <v>0311.39ALMOT</v>
      </c>
      <c r="B124" t="s">
        <v>204</v>
      </c>
      <c r="C124" t="s">
        <v>20</v>
      </c>
      <c r="F124">
        <v>10</v>
      </c>
      <c r="G124" t="s">
        <v>16</v>
      </c>
      <c r="H124">
        <v>0</v>
      </c>
      <c r="I124" s="2" t="s">
        <v>205</v>
      </c>
      <c r="J124" s="2">
        <v>21410</v>
      </c>
      <c r="K124">
        <v>20</v>
      </c>
      <c r="L124">
        <v>20</v>
      </c>
      <c r="M124">
        <v>20</v>
      </c>
    </row>
    <row r="125" spans="1:13" x14ac:dyDescent="0.25">
      <c r="A125" t="str">
        <f>"0320.L3"</f>
        <v>0320.L3</v>
      </c>
      <c r="B125" t="s">
        <v>206</v>
      </c>
      <c r="C125" t="s">
        <v>20</v>
      </c>
      <c r="F125">
        <v>1</v>
      </c>
      <c r="G125" t="s">
        <v>16</v>
      </c>
      <c r="H125">
        <v>0</v>
      </c>
      <c r="I125" s="2" t="s">
        <v>51</v>
      </c>
      <c r="J125" s="2" t="str">
        <f>"0320.L3"</f>
        <v>0320.L3</v>
      </c>
      <c r="K125">
        <v>20</v>
      </c>
      <c r="L125">
        <v>20</v>
      </c>
      <c r="M125">
        <v>20</v>
      </c>
    </row>
    <row r="126" spans="1:13" x14ac:dyDescent="0.25">
      <c r="A126" t="str">
        <f>"0320.Y1KRAFTVOLL"</f>
        <v>0320.Y1KRAFTVOLL</v>
      </c>
      <c r="B126" t="s">
        <v>207</v>
      </c>
      <c r="C126" t="s">
        <v>20</v>
      </c>
      <c r="F126">
        <v>1</v>
      </c>
      <c r="G126" t="s">
        <v>16</v>
      </c>
      <c r="H126">
        <v>0</v>
      </c>
      <c r="I126" s="2" t="s">
        <v>64</v>
      </c>
      <c r="J126" s="2">
        <v>21030953</v>
      </c>
      <c r="K126">
        <v>20</v>
      </c>
      <c r="L126">
        <v>20</v>
      </c>
      <c r="M126">
        <v>20</v>
      </c>
    </row>
    <row r="127" spans="1:13" x14ac:dyDescent="0.25">
      <c r="A127" t="str">
        <f>"0326.22SKT"</f>
        <v>0326.22SKT</v>
      </c>
      <c r="B127" t="s">
        <v>208</v>
      </c>
      <c r="C127" t="s">
        <v>20</v>
      </c>
      <c r="D127" t="s">
        <v>26</v>
      </c>
      <c r="G127" t="s">
        <v>16</v>
      </c>
      <c r="H127">
        <v>0</v>
      </c>
      <c r="I127" s="2" t="s">
        <v>209</v>
      </c>
      <c r="J127" s="2" t="str">
        <f>"045968-V"</f>
        <v>045968-V</v>
      </c>
      <c r="K127">
        <v>20</v>
      </c>
      <c r="L127">
        <v>20</v>
      </c>
      <c r="M127">
        <v>20</v>
      </c>
    </row>
    <row r="128" spans="1:13" x14ac:dyDescent="0.25">
      <c r="A128" t="str">
        <f>"0326.22VİCTOR "</f>
        <v xml:space="preserve">0326.22VİCTOR </v>
      </c>
      <c r="B128" t="s">
        <v>208</v>
      </c>
      <c r="C128" t="s">
        <v>20</v>
      </c>
      <c r="D128" t="s">
        <v>26</v>
      </c>
      <c r="G128" t="s">
        <v>16</v>
      </c>
      <c r="H128">
        <v>0</v>
      </c>
      <c r="I128" s="2" t="s">
        <v>80</v>
      </c>
      <c r="J128" s="2" t="s">
        <v>210</v>
      </c>
      <c r="K128">
        <v>20</v>
      </c>
      <c r="L128">
        <v>20</v>
      </c>
      <c r="M128">
        <v>20</v>
      </c>
    </row>
    <row r="129" spans="1:13" x14ac:dyDescent="0.25">
      <c r="A129" t="str">
        <f>"0342.E0CORTECO"</f>
        <v>0342.E0CORTECO</v>
      </c>
      <c r="B129" t="s">
        <v>211</v>
      </c>
      <c r="C129" t="s">
        <v>20</v>
      </c>
      <c r="D129" t="s">
        <v>26</v>
      </c>
      <c r="F129">
        <v>4</v>
      </c>
      <c r="G129" t="s">
        <v>16</v>
      </c>
      <c r="H129">
        <v>0</v>
      </c>
      <c r="I129" s="2" t="s">
        <v>73</v>
      </c>
      <c r="J129" s="2">
        <v>82926453</v>
      </c>
      <c r="K129">
        <v>20</v>
      </c>
      <c r="L129">
        <v>20</v>
      </c>
      <c r="M129">
        <v>20</v>
      </c>
    </row>
    <row r="130" spans="1:13" x14ac:dyDescent="0.25">
      <c r="A130" t="str">
        <f>"0342.E0ROYAL"</f>
        <v>0342.E0ROYAL</v>
      </c>
      <c r="B130" t="s">
        <v>212</v>
      </c>
      <c r="C130" t="s">
        <v>20</v>
      </c>
      <c r="D130" t="s">
        <v>26</v>
      </c>
      <c r="F130">
        <v>1</v>
      </c>
      <c r="G130" t="s">
        <v>16</v>
      </c>
      <c r="H130">
        <v>0</v>
      </c>
      <c r="I130" s="2" t="s">
        <v>177</v>
      </c>
      <c r="J130" s="2" t="s">
        <v>213</v>
      </c>
      <c r="K130">
        <v>20</v>
      </c>
      <c r="L130">
        <v>20</v>
      </c>
      <c r="M130">
        <v>20</v>
      </c>
    </row>
    <row r="131" spans="1:13" x14ac:dyDescent="0.25">
      <c r="A131" t="str">
        <f>"0345.95MGA"</f>
        <v>0345.95MGA</v>
      </c>
      <c r="B131" t="s">
        <v>214</v>
      </c>
      <c r="C131" t="s">
        <v>151</v>
      </c>
      <c r="D131" t="s">
        <v>215</v>
      </c>
      <c r="F131">
        <v>1</v>
      </c>
      <c r="G131" t="s">
        <v>16</v>
      </c>
      <c r="H131">
        <v>0</v>
      </c>
      <c r="I131" s="2" t="s">
        <v>162</v>
      </c>
      <c r="J131" s="2">
        <v>33610</v>
      </c>
      <c r="K131">
        <v>20</v>
      </c>
      <c r="L131">
        <v>20</v>
      </c>
      <c r="M131">
        <v>20</v>
      </c>
    </row>
    <row r="132" spans="1:13" x14ac:dyDescent="0.25">
      <c r="A132" t="str">
        <f>"0348.Q5OTOCONTA"</f>
        <v>0348.Q5OTOCONTA</v>
      </c>
      <c r="B132" t="s">
        <v>216</v>
      </c>
      <c r="C132" t="s">
        <v>20</v>
      </c>
      <c r="D132" t="s">
        <v>26</v>
      </c>
      <c r="F132">
        <v>1</v>
      </c>
      <c r="G132" t="s">
        <v>16</v>
      </c>
      <c r="H132">
        <v>0</v>
      </c>
      <c r="I132" s="2" t="s">
        <v>172</v>
      </c>
      <c r="J132" s="2">
        <v>42200018</v>
      </c>
      <c r="K132">
        <v>20</v>
      </c>
      <c r="L132">
        <v>20</v>
      </c>
      <c r="M132">
        <v>20</v>
      </c>
    </row>
    <row r="133" spans="1:13" x14ac:dyDescent="0.25">
      <c r="A133" t="str">
        <f>"0348.R4KAYLAS"</f>
        <v>0348.R4KAYLAS</v>
      </c>
      <c r="B133" t="s">
        <v>217</v>
      </c>
      <c r="C133" t="s">
        <v>20</v>
      </c>
      <c r="D133" t="s">
        <v>26</v>
      </c>
      <c r="F133">
        <v>2</v>
      </c>
      <c r="G133" t="s">
        <v>16</v>
      </c>
      <c r="H133">
        <v>0</v>
      </c>
      <c r="I133" s="2" t="s">
        <v>218</v>
      </c>
      <c r="J133" s="2">
        <v>195</v>
      </c>
      <c r="K133">
        <v>20</v>
      </c>
      <c r="L133">
        <v>20</v>
      </c>
      <c r="M133">
        <v>20</v>
      </c>
    </row>
    <row r="134" spans="1:13" x14ac:dyDescent="0.25">
      <c r="A134" t="str">
        <f>"0348.R4OTOCONTA"</f>
        <v>0348.R4OTOCONTA</v>
      </c>
      <c r="B134" t="s">
        <v>219</v>
      </c>
      <c r="C134" t="s">
        <v>20</v>
      </c>
      <c r="D134" t="s">
        <v>26</v>
      </c>
      <c r="G134" t="s">
        <v>16</v>
      </c>
      <c r="H134">
        <v>0</v>
      </c>
      <c r="I134" s="2" t="s">
        <v>189</v>
      </c>
      <c r="J134" s="2">
        <v>41707018</v>
      </c>
      <c r="K134">
        <v>20</v>
      </c>
      <c r="L134">
        <v>20</v>
      </c>
      <c r="M134">
        <v>20</v>
      </c>
    </row>
    <row r="135" spans="1:13" x14ac:dyDescent="0.25">
      <c r="A135" t="str">
        <f>"0348.R4Y"</f>
        <v>0348.R4Y</v>
      </c>
      <c r="B135" t="s">
        <v>219</v>
      </c>
      <c r="C135" t="s">
        <v>20</v>
      </c>
      <c r="D135" t="s">
        <v>26</v>
      </c>
      <c r="F135">
        <v>2</v>
      </c>
      <c r="G135" t="s">
        <v>16</v>
      </c>
      <c r="H135">
        <v>0</v>
      </c>
      <c r="K135">
        <v>20</v>
      </c>
      <c r="L135">
        <v>20</v>
      </c>
      <c r="M135">
        <v>20</v>
      </c>
    </row>
    <row r="136" spans="1:13" x14ac:dyDescent="0.25">
      <c r="A136" t="str">
        <f>"0348.S5NİFEA"</f>
        <v>0348.S5NİFEA</v>
      </c>
      <c r="B136" t="s">
        <v>220</v>
      </c>
      <c r="C136" t="s">
        <v>20</v>
      </c>
      <c r="D136" t="s">
        <v>26</v>
      </c>
      <c r="F136">
        <v>10</v>
      </c>
      <c r="G136" t="s">
        <v>16</v>
      </c>
      <c r="H136">
        <v>0</v>
      </c>
      <c r="I136" s="2" t="s">
        <v>221</v>
      </c>
      <c r="J136" s="2">
        <v>19936</v>
      </c>
      <c r="K136">
        <v>20</v>
      </c>
      <c r="L136">
        <v>20</v>
      </c>
      <c r="M136">
        <v>20</v>
      </c>
    </row>
    <row r="137" spans="1:13" x14ac:dyDescent="0.25">
      <c r="A137" t="str">
        <f>"0348.T8Y"</f>
        <v>0348.T8Y</v>
      </c>
      <c r="B137" t="s">
        <v>222</v>
      </c>
      <c r="C137" t="s">
        <v>20</v>
      </c>
      <c r="D137" t="s">
        <v>26</v>
      </c>
      <c r="F137">
        <v>2</v>
      </c>
      <c r="G137" t="s">
        <v>16</v>
      </c>
      <c r="H137">
        <v>0</v>
      </c>
      <c r="K137">
        <v>20</v>
      </c>
      <c r="L137">
        <v>20</v>
      </c>
      <c r="M137">
        <v>20</v>
      </c>
    </row>
    <row r="138" spans="1:13" x14ac:dyDescent="0.25">
      <c r="A138" t="str">
        <f>"0349.47OTOCONTA"</f>
        <v>0349.47OTOCONTA</v>
      </c>
      <c r="B138" t="s">
        <v>223</v>
      </c>
      <c r="C138" t="s">
        <v>20</v>
      </c>
      <c r="D138" t="s">
        <v>26</v>
      </c>
      <c r="F138">
        <v>1</v>
      </c>
      <c r="G138" t="s">
        <v>16</v>
      </c>
      <c r="H138">
        <v>0</v>
      </c>
      <c r="I138" s="2" t="s">
        <v>125</v>
      </c>
      <c r="J138" s="2">
        <v>41203021</v>
      </c>
      <c r="K138">
        <v>20</v>
      </c>
      <c r="L138">
        <v>20</v>
      </c>
      <c r="M138">
        <v>20</v>
      </c>
    </row>
    <row r="139" spans="1:13" x14ac:dyDescent="0.25">
      <c r="A139" t="str">
        <f>"0349.47ROYAL"</f>
        <v>0349.47ROYAL</v>
      </c>
      <c r="B139" t="s">
        <v>223</v>
      </c>
      <c r="C139" t="s">
        <v>20</v>
      </c>
      <c r="D139" t="s">
        <v>26</v>
      </c>
      <c r="F139">
        <v>1</v>
      </c>
      <c r="G139" t="s">
        <v>16</v>
      </c>
      <c r="H139">
        <v>0</v>
      </c>
      <c r="I139" s="2" t="s">
        <v>169</v>
      </c>
      <c r="J139" s="2">
        <v>229020</v>
      </c>
      <c r="K139">
        <v>20</v>
      </c>
      <c r="L139">
        <v>20</v>
      </c>
      <c r="M139">
        <v>20</v>
      </c>
    </row>
    <row r="140" spans="1:13" x14ac:dyDescent="0.25">
      <c r="A140" t="str">
        <f>"0349.A6OTOCONTA"</f>
        <v>0349.A6OTOCONTA</v>
      </c>
      <c r="B140" t="s">
        <v>224</v>
      </c>
      <c r="C140" t="s">
        <v>20</v>
      </c>
      <c r="D140" t="s">
        <v>26</v>
      </c>
      <c r="G140" t="s">
        <v>16</v>
      </c>
      <c r="H140">
        <v>0</v>
      </c>
      <c r="I140" s="2" t="s">
        <v>172</v>
      </c>
      <c r="J140" s="2">
        <v>41209020</v>
      </c>
      <c r="K140">
        <v>20</v>
      </c>
      <c r="L140">
        <v>20</v>
      </c>
      <c r="M140">
        <v>20</v>
      </c>
    </row>
    <row r="141" spans="1:13" x14ac:dyDescent="0.25">
      <c r="A141" t="str">
        <f>"0349.J3OTOCONTA"</f>
        <v>0349.J3OTOCONTA</v>
      </c>
      <c r="B141" t="s">
        <v>225</v>
      </c>
      <c r="C141" t="s">
        <v>20</v>
      </c>
      <c r="D141" t="s">
        <v>26</v>
      </c>
      <c r="G141" t="s">
        <v>16</v>
      </c>
      <c r="H141">
        <v>0</v>
      </c>
      <c r="I141" s="2" t="s">
        <v>172</v>
      </c>
      <c r="J141" s="2">
        <v>41209021</v>
      </c>
      <c r="K141">
        <v>20</v>
      </c>
      <c r="L141">
        <v>20</v>
      </c>
      <c r="M141">
        <v>20</v>
      </c>
    </row>
    <row r="142" spans="1:13" x14ac:dyDescent="0.25">
      <c r="A142" t="str">
        <f>"0349.J4OTOCONTA"</f>
        <v>0349.J4OTOCONTA</v>
      </c>
      <c r="B142" t="s">
        <v>226</v>
      </c>
      <c r="C142" t="s">
        <v>20</v>
      </c>
      <c r="D142" t="s">
        <v>26</v>
      </c>
      <c r="F142">
        <v>1</v>
      </c>
      <c r="G142" t="s">
        <v>16</v>
      </c>
      <c r="H142">
        <v>0</v>
      </c>
      <c r="I142" s="2" t="s">
        <v>172</v>
      </c>
      <c r="J142" s="2">
        <v>42200021</v>
      </c>
      <c r="K142">
        <v>20</v>
      </c>
      <c r="L142">
        <v>20</v>
      </c>
      <c r="M142">
        <v>20</v>
      </c>
    </row>
    <row r="143" spans="1:13" x14ac:dyDescent="0.25">
      <c r="A143" t="str">
        <f>"0349.N5ELRİNG"</f>
        <v>0349.N5ELRİNG</v>
      </c>
      <c r="B143" t="s">
        <v>227</v>
      </c>
      <c r="C143" t="s">
        <v>20</v>
      </c>
      <c r="D143" t="s">
        <v>26</v>
      </c>
      <c r="F143">
        <v>1</v>
      </c>
      <c r="G143" t="s">
        <v>16</v>
      </c>
      <c r="H143">
        <v>0</v>
      </c>
      <c r="I143" s="2" t="s">
        <v>97</v>
      </c>
      <c r="J143" s="3">
        <v>284680</v>
      </c>
      <c r="K143">
        <v>20</v>
      </c>
      <c r="L143">
        <v>20</v>
      </c>
      <c r="M143">
        <v>20</v>
      </c>
    </row>
    <row r="144" spans="1:13" x14ac:dyDescent="0.25">
      <c r="A144" t="str">
        <f>"0349.N5ROYAL"</f>
        <v>0349.N5ROYAL</v>
      </c>
      <c r="B144" t="s">
        <v>227</v>
      </c>
      <c r="C144" t="s">
        <v>20</v>
      </c>
      <c r="D144" t="s">
        <v>26</v>
      </c>
      <c r="F144">
        <v>1</v>
      </c>
      <c r="G144" t="s">
        <v>16</v>
      </c>
      <c r="H144">
        <v>0</v>
      </c>
      <c r="I144" s="2" t="s">
        <v>169</v>
      </c>
      <c r="J144" s="2" t="s">
        <v>228</v>
      </c>
      <c r="K144">
        <v>20</v>
      </c>
      <c r="L144">
        <v>20</v>
      </c>
      <c r="M144">
        <v>20</v>
      </c>
    </row>
    <row r="145" spans="1:13" x14ac:dyDescent="0.25">
      <c r="A145" t="str">
        <f>"0349.N9GTZ"</f>
        <v>0349.N9GTZ</v>
      </c>
      <c r="B145" t="s">
        <v>229</v>
      </c>
      <c r="C145" t="s">
        <v>20</v>
      </c>
      <c r="D145" t="s">
        <v>26</v>
      </c>
      <c r="F145">
        <v>0</v>
      </c>
      <c r="G145" t="s">
        <v>16</v>
      </c>
      <c r="H145">
        <v>0</v>
      </c>
      <c r="I145" s="2" t="s">
        <v>75</v>
      </c>
      <c r="K145">
        <v>20</v>
      </c>
      <c r="L145">
        <v>20</v>
      </c>
      <c r="M145">
        <v>20</v>
      </c>
    </row>
    <row r="146" spans="1:13" x14ac:dyDescent="0.25">
      <c r="A146" t="str">
        <f>"0350.38"</f>
        <v>0350.38</v>
      </c>
      <c r="B146" t="s">
        <v>230</v>
      </c>
      <c r="C146" t="s">
        <v>20</v>
      </c>
      <c r="F146">
        <v>0</v>
      </c>
      <c r="G146" t="s">
        <v>16</v>
      </c>
      <c r="H146">
        <v>0</v>
      </c>
      <c r="I146" s="2" t="s">
        <v>55</v>
      </c>
      <c r="J146" s="2" t="str">
        <f>"0350.38"</f>
        <v>0350.38</v>
      </c>
      <c r="K146">
        <v>20</v>
      </c>
      <c r="L146">
        <v>20</v>
      </c>
      <c r="M146">
        <v>20</v>
      </c>
    </row>
    <row r="147" spans="1:13" x14ac:dyDescent="0.25">
      <c r="A147" t="str">
        <f>"036.164ELRİNG"</f>
        <v>036.164ELRİNG</v>
      </c>
      <c r="B147" t="s">
        <v>231</v>
      </c>
      <c r="C147" t="s">
        <v>20</v>
      </c>
      <c r="D147" t="s">
        <v>26</v>
      </c>
      <c r="G147" t="s">
        <v>16</v>
      </c>
      <c r="H147">
        <v>0</v>
      </c>
      <c r="I147" s="2" t="s">
        <v>99</v>
      </c>
      <c r="J147" s="2" t="str">
        <f>"036.164"</f>
        <v>036.164</v>
      </c>
      <c r="K147">
        <v>20</v>
      </c>
      <c r="L147">
        <v>20</v>
      </c>
      <c r="M147">
        <v>20</v>
      </c>
    </row>
    <row r="148" spans="1:13" x14ac:dyDescent="0.25">
      <c r="A148" t="str">
        <f>"0361.N3ABRASSE"</f>
        <v>0361.N3ABRASSE</v>
      </c>
      <c r="B148" t="s">
        <v>232</v>
      </c>
      <c r="C148" t="s">
        <v>20</v>
      </c>
      <c r="F148">
        <v>1</v>
      </c>
      <c r="G148" t="s">
        <v>16</v>
      </c>
      <c r="H148">
        <v>0</v>
      </c>
      <c r="I148" s="2" t="s">
        <v>87</v>
      </c>
      <c r="J148" s="2" t="s">
        <v>233</v>
      </c>
      <c r="K148">
        <v>20</v>
      </c>
      <c r="L148">
        <v>20</v>
      </c>
      <c r="M148">
        <v>20</v>
      </c>
    </row>
    <row r="149" spans="1:13" x14ac:dyDescent="0.25">
      <c r="A149" t="str">
        <f>"0361.N3MOTORTEC"</f>
        <v>0361.N3MOTORTEC</v>
      </c>
      <c r="B149" t="s">
        <v>232</v>
      </c>
      <c r="C149" t="s">
        <v>20</v>
      </c>
      <c r="F149">
        <v>1</v>
      </c>
      <c r="G149" t="s">
        <v>16</v>
      </c>
      <c r="H149">
        <v>0</v>
      </c>
      <c r="I149" s="2" t="s">
        <v>235</v>
      </c>
      <c r="J149" s="2" t="s">
        <v>234</v>
      </c>
      <c r="K149">
        <v>20</v>
      </c>
      <c r="L149">
        <v>20</v>
      </c>
      <c r="M149">
        <v>20</v>
      </c>
    </row>
    <row r="150" spans="1:13" x14ac:dyDescent="0.25">
      <c r="A150" t="str">
        <f>"0361.N3Y"</f>
        <v>0361.N3Y</v>
      </c>
      <c r="B150" t="s">
        <v>232</v>
      </c>
      <c r="C150" t="s">
        <v>20</v>
      </c>
      <c r="F150">
        <v>1</v>
      </c>
      <c r="G150" t="s">
        <v>16</v>
      </c>
      <c r="H150">
        <v>0</v>
      </c>
      <c r="K150">
        <v>20</v>
      </c>
      <c r="L150">
        <v>20</v>
      </c>
      <c r="M150">
        <v>20</v>
      </c>
    </row>
    <row r="151" spans="1:13" x14ac:dyDescent="0.25">
      <c r="A151" t="str">
        <f>"0361.N4ABRASSE"</f>
        <v>0361.N4ABRASSE</v>
      </c>
      <c r="B151" t="s">
        <v>236</v>
      </c>
      <c r="C151" t="s">
        <v>20</v>
      </c>
      <c r="F151">
        <v>1</v>
      </c>
      <c r="G151" t="s">
        <v>16</v>
      </c>
      <c r="H151">
        <v>0</v>
      </c>
      <c r="I151" s="2" t="s">
        <v>87</v>
      </c>
      <c r="J151" s="2" t="s">
        <v>237</v>
      </c>
      <c r="K151">
        <v>20</v>
      </c>
      <c r="L151">
        <v>20</v>
      </c>
      <c r="M151">
        <v>20</v>
      </c>
    </row>
    <row r="152" spans="1:13" x14ac:dyDescent="0.25">
      <c r="A152" t="str">
        <f>"0361.N4FEBİ"</f>
        <v>0361.N4FEBİ</v>
      </c>
      <c r="B152" t="s">
        <v>236</v>
      </c>
      <c r="C152" t="s">
        <v>20</v>
      </c>
      <c r="F152">
        <v>1</v>
      </c>
      <c r="G152" t="s">
        <v>16</v>
      </c>
      <c r="H152">
        <v>0</v>
      </c>
      <c r="I152" s="2" t="s">
        <v>238</v>
      </c>
      <c r="J152" s="2">
        <v>177220</v>
      </c>
      <c r="K152">
        <v>20</v>
      </c>
      <c r="L152">
        <v>20</v>
      </c>
      <c r="M152">
        <v>20</v>
      </c>
    </row>
    <row r="153" spans="1:13" x14ac:dyDescent="0.25">
      <c r="A153" t="str">
        <f>"0361.N4KRAFTVOLL"</f>
        <v>0361.N4KRAFTVOLL</v>
      </c>
      <c r="B153" t="s">
        <v>236</v>
      </c>
      <c r="C153" t="s">
        <v>20</v>
      </c>
      <c r="F153">
        <v>0</v>
      </c>
      <c r="G153" t="s">
        <v>16</v>
      </c>
      <c r="H153">
        <v>0</v>
      </c>
      <c r="I153" s="2" t="s">
        <v>64</v>
      </c>
      <c r="J153" s="2">
        <v>12140004</v>
      </c>
      <c r="K153">
        <v>20</v>
      </c>
      <c r="L153">
        <v>20</v>
      </c>
      <c r="M153">
        <v>20</v>
      </c>
    </row>
    <row r="154" spans="1:13" x14ac:dyDescent="0.25">
      <c r="A154" t="str">
        <f>"0361.N4Y"</f>
        <v>0361.N4Y</v>
      </c>
      <c r="B154" t="s">
        <v>236</v>
      </c>
      <c r="C154" t="s">
        <v>20</v>
      </c>
      <c r="F154">
        <v>1</v>
      </c>
      <c r="G154" t="s">
        <v>16</v>
      </c>
      <c r="H154">
        <v>0</v>
      </c>
      <c r="K154">
        <v>20</v>
      </c>
      <c r="L154">
        <v>20</v>
      </c>
      <c r="M154">
        <v>20</v>
      </c>
    </row>
    <row r="155" spans="1:13" x14ac:dyDescent="0.25">
      <c r="A155" t="str">
        <f>"0361.Q5Y"</f>
        <v>0361.Q5Y</v>
      </c>
      <c r="B155" t="s">
        <v>239</v>
      </c>
      <c r="C155" t="s">
        <v>20</v>
      </c>
      <c r="F155">
        <v>1</v>
      </c>
      <c r="G155" t="s">
        <v>16</v>
      </c>
      <c r="H155">
        <v>0</v>
      </c>
      <c r="K155">
        <v>20</v>
      </c>
      <c r="L155">
        <v>20</v>
      </c>
      <c r="M155">
        <v>20</v>
      </c>
    </row>
    <row r="156" spans="1:13" x14ac:dyDescent="0.25">
      <c r="A156" t="str">
        <f>"0379.42İBRAS"</f>
        <v>0379.42İBRAS</v>
      </c>
      <c r="B156" t="s">
        <v>240</v>
      </c>
      <c r="C156" t="s">
        <v>241</v>
      </c>
      <c r="D156" t="s">
        <v>242</v>
      </c>
      <c r="G156" t="s">
        <v>16</v>
      </c>
      <c r="H156">
        <v>0</v>
      </c>
      <c r="I156" s="2" t="s">
        <v>243</v>
      </c>
      <c r="J156" s="2">
        <v>17368</v>
      </c>
      <c r="K156">
        <v>20</v>
      </c>
      <c r="L156">
        <v>20</v>
      </c>
      <c r="M156">
        <v>20</v>
      </c>
    </row>
    <row r="157" spans="1:13" x14ac:dyDescent="0.25">
      <c r="A157" t="str">
        <f>"0379.42RPR"</f>
        <v>0379.42RPR</v>
      </c>
      <c r="B157" t="s">
        <v>240</v>
      </c>
      <c r="C157" t="s">
        <v>241</v>
      </c>
      <c r="D157" t="s">
        <v>244</v>
      </c>
      <c r="G157" t="s">
        <v>16</v>
      </c>
      <c r="H157">
        <v>0</v>
      </c>
      <c r="I157" s="2" t="s">
        <v>245</v>
      </c>
      <c r="J157" s="2" t="s">
        <v>246</v>
      </c>
      <c r="K157">
        <v>20</v>
      </c>
      <c r="L157">
        <v>20</v>
      </c>
      <c r="M157">
        <v>20</v>
      </c>
    </row>
    <row r="158" spans="1:13" x14ac:dyDescent="0.25">
      <c r="A158" t="str">
        <f>"0379.62FEBİ"</f>
        <v>0379.62FEBİ</v>
      </c>
      <c r="B158" t="s">
        <v>247</v>
      </c>
      <c r="C158" t="s">
        <v>241</v>
      </c>
      <c r="D158" t="s">
        <v>244</v>
      </c>
      <c r="G158" t="s">
        <v>16</v>
      </c>
      <c r="H158">
        <v>0</v>
      </c>
      <c r="I158" s="2" t="s">
        <v>248</v>
      </c>
      <c r="J158" s="2">
        <v>103661</v>
      </c>
      <c r="K158">
        <v>20</v>
      </c>
      <c r="L158">
        <v>20</v>
      </c>
      <c r="M158">
        <v>20</v>
      </c>
    </row>
    <row r="159" spans="1:13" x14ac:dyDescent="0.25">
      <c r="A159" t="str">
        <f>"0379.62LEEOPART"</f>
        <v>0379.62LEEOPART</v>
      </c>
      <c r="B159" t="s">
        <v>247</v>
      </c>
      <c r="C159" t="s">
        <v>241</v>
      </c>
      <c r="D159" t="s">
        <v>244</v>
      </c>
      <c r="F159">
        <v>1</v>
      </c>
      <c r="G159" t="s">
        <v>16</v>
      </c>
      <c r="H159">
        <v>0</v>
      </c>
      <c r="I159" s="2" t="s">
        <v>250</v>
      </c>
      <c r="J159" s="2" t="s">
        <v>249</v>
      </c>
      <c r="K159">
        <v>20</v>
      </c>
      <c r="L159">
        <v>20</v>
      </c>
      <c r="M159">
        <v>20</v>
      </c>
    </row>
    <row r="160" spans="1:13" x14ac:dyDescent="0.25">
      <c r="A160" t="str">
        <f>"0379.68"</f>
        <v>0379.68</v>
      </c>
      <c r="B160" t="s">
        <v>251</v>
      </c>
      <c r="C160" t="s">
        <v>241</v>
      </c>
      <c r="D160" t="s">
        <v>244</v>
      </c>
      <c r="F160">
        <v>1</v>
      </c>
      <c r="G160" t="s">
        <v>16</v>
      </c>
      <c r="H160">
        <v>0</v>
      </c>
      <c r="I160" s="2" t="s">
        <v>51</v>
      </c>
      <c r="J160" s="2" t="str">
        <f>"0379.68"</f>
        <v>0379.68</v>
      </c>
      <c r="K160">
        <v>20</v>
      </c>
      <c r="L160">
        <v>20</v>
      </c>
      <c r="M160">
        <v>20</v>
      </c>
    </row>
    <row r="161" spans="1:13" x14ac:dyDescent="0.25">
      <c r="A161" t="str">
        <f>"0381.26PEKTECHNIC"</f>
        <v>0381.26PEKTECHNIC</v>
      </c>
      <c r="B161" t="s">
        <v>253</v>
      </c>
      <c r="C161" t="s">
        <v>241</v>
      </c>
      <c r="D161" t="s">
        <v>244</v>
      </c>
      <c r="F161">
        <v>1</v>
      </c>
      <c r="G161" t="s">
        <v>16</v>
      </c>
      <c r="H161">
        <v>0</v>
      </c>
      <c r="I161" s="2" t="s">
        <v>254</v>
      </c>
      <c r="J161" s="2" t="s">
        <v>252</v>
      </c>
      <c r="K161">
        <v>20</v>
      </c>
      <c r="L161">
        <v>20</v>
      </c>
      <c r="M161">
        <v>20</v>
      </c>
    </row>
    <row r="162" spans="1:13" x14ac:dyDescent="0.25">
      <c r="A162" t="str">
        <f>"0381.27RPR"</f>
        <v>0381.27RPR</v>
      </c>
      <c r="B162" t="s">
        <v>255</v>
      </c>
      <c r="C162" t="s">
        <v>241</v>
      </c>
      <c r="D162" t="s">
        <v>244</v>
      </c>
      <c r="F162">
        <v>1</v>
      </c>
      <c r="G162" t="s">
        <v>16</v>
      </c>
      <c r="H162">
        <v>0</v>
      </c>
      <c r="I162" s="2" t="s">
        <v>245</v>
      </c>
      <c r="J162" s="2" t="s">
        <v>256</v>
      </c>
      <c r="K162">
        <v>20</v>
      </c>
      <c r="L162">
        <v>20</v>
      </c>
      <c r="M162">
        <v>20</v>
      </c>
    </row>
    <row r="163" spans="1:13" x14ac:dyDescent="0.25">
      <c r="A163" t="str">
        <f>"0381.27SVB"</f>
        <v>0381.27SVB</v>
      </c>
      <c r="B163" t="s">
        <v>255</v>
      </c>
      <c r="C163" t="s">
        <v>241</v>
      </c>
      <c r="D163" t="s">
        <v>244</v>
      </c>
      <c r="F163">
        <v>2</v>
      </c>
      <c r="G163" t="s">
        <v>16</v>
      </c>
      <c r="H163">
        <v>0</v>
      </c>
      <c r="I163" s="2" t="s">
        <v>257</v>
      </c>
      <c r="J163" s="2">
        <v>120014</v>
      </c>
      <c r="K163">
        <v>20</v>
      </c>
      <c r="L163">
        <v>20</v>
      </c>
      <c r="M163">
        <v>20</v>
      </c>
    </row>
    <row r="164" spans="1:13" x14ac:dyDescent="0.25">
      <c r="A164" t="str">
        <f>"0381.28RPR"</f>
        <v>0381.28RPR</v>
      </c>
      <c r="B164" t="s">
        <v>258</v>
      </c>
      <c r="C164" t="s">
        <v>241</v>
      </c>
      <c r="D164" t="s">
        <v>244</v>
      </c>
      <c r="F164">
        <v>1</v>
      </c>
      <c r="G164" t="s">
        <v>16</v>
      </c>
      <c r="H164">
        <v>0</v>
      </c>
      <c r="I164" s="2" t="s">
        <v>245</v>
      </c>
      <c r="J164" s="2" t="s">
        <v>259</v>
      </c>
      <c r="K164">
        <v>20</v>
      </c>
      <c r="L164">
        <v>20</v>
      </c>
      <c r="M164">
        <v>20</v>
      </c>
    </row>
    <row r="165" spans="1:13" x14ac:dyDescent="0.25">
      <c r="A165" t="str">
        <f>"0381.82İBR"</f>
        <v>0381.82İBR</v>
      </c>
      <c r="B165" t="s">
        <v>258</v>
      </c>
      <c r="C165" t="s">
        <v>241</v>
      </c>
      <c r="D165" t="s">
        <v>244</v>
      </c>
      <c r="F165">
        <v>1</v>
      </c>
      <c r="G165" t="s">
        <v>16</v>
      </c>
      <c r="H165">
        <v>0</v>
      </c>
      <c r="I165" s="2" t="s">
        <v>243</v>
      </c>
      <c r="J165" s="2">
        <v>17374</v>
      </c>
      <c r="K165">
        <v>20</v>
      </c>
      <c r="L165">
        <v>20</v>
      </c>
      <c r="M165">
        <v>20</v>
      </c>
    </row>
    <row r="166" spans="1:13" x14ac:dyDescent="0.25">
      <c r="A166" t="str">
        <f>"0382.ENBİT"</f>
        <v>0382.ENBİT</v>
      </c>
      <c r="B166" t="s">
        <v>261</v>
      </c>
      <c r="C166" t="s">
        <v>241</v>
      </c>
      <c r="D166" t="s">
        <v>262</v>
      </c>
      <c r="F166">
        <v>1</v>
      </c>
      <c r="G166" t="s">
        <v>16</v>
      </c>
      <c r="H166">
        <v>0</v>
      </c>
      <c r="I166" s="2" t="s">
        <v>69</v>
      </c>
      <c r="J166" s="2" t="s">
        <v>260</v>
      </c>
      <c r="K166">
        <v>20</v>
      </c>
      <c r="L166">
        <v>20</v>
      </c>
      <c r="M166">
        <v>20</v>
      </c>
    </row>
    <row r="167" spans="1:13" x14ac:dyDescent="0.25">
      <c r="A167" t="str">
        <f>"0382.GKİBRAS"</f>
        <v>0382.GKİBRAS</v>
      </c>
      <c r="B167" t="s">
        <v>263</v>
      </c>
      <c r="C167" t="s">
        <v>241</v>
      </c>
      <c r="D167" t="s">
        <v>242</v>
      </c>
      <c r="F167">
        <v>1</v>
      </c>
      <c r="G167" t="s">
        <v>16</v>
      </c>
      <c r="H167">
        <v>0</v>
      </c>
      <c r="I167" s="2" t="s">
        <v>243</v>
      </c>
      <c r="J167" s="2">
        <v>17274</v>
      </c>
      <c r="K167">
        <v>20</v>
      </c>
      <c r="L167">
        <v>20</v>
      </c>
      <c r="M167">
        <v>20</v>
      </c>
    </row>
    <row r="168" spans="1:13" x14ac:dyDescent="0.25">
      <c r="A168" t="str">
        <f>"0382.KAİBRAS"</f>
        <v>0382.KAİBRAS</v>
      </c>
      <c r="B168" t="s">
        <v>264</v>
      </c>
      <c r="C168" t="s">
        <v>241</v>
      </c>
      <c r="D168" t="s">
        <v>242</v>
      </c>
      <c r="F168">
        <v>0</v>
      </c>
      <c r="G168" t="s">
        <v>16</v>
      </c>
      <c r="H168">
        <v>0</v>
      </c>
      <c r="I168" s="2" t="s">
        <v>243</v>
      </c>
      <c r="J168" s="2">
        <v>14833</v>
      </c>
      <c r="K168">
        <v>20</v>
      </c>
      <c r="L168">
        <v>20</v>
      </c>
      <c r="M168">
        <v>20</v>
      </c>
    </row>
    <row r="169" spans="1:13" x14ac:dyDescent="0.25">
      <c r="A169" t="str">
        <f>"0382.KASWAPP"</f>
        <v>0382.KASWAPP</v>
      </c>
      <c r="B169" t="s">
        <v>265</v>
      </c>
      <c r="C169" t="s">
        <v>241</v>
      </c>
      <c r="D169" t="s">
        <v>242</v>
      </c>
      <c r="F169">
        <v>1</v>
      </c>
      <c r="G169" t="s">
        <v>16</v>
      </c>
      <c r="H169">
        <v>0</v>
      </c>
      <c r="I169" s="2" t="s">
        <v>266</v>
      </c>
      <c r="J169" s="2">
        <v>68138</v>
      </c>
      <c r="K169">
        <v>20</v>
      </c>
      <c r="L169">
        <v>20</v>
      </c>
      <c r="M169">
        <v>20</v>
      </c>
    </row>
    <row r="170" spans="1:13" x14ac:dyDescent="0.25">
      <c r="A170" t="str">
        <f>"0382.LKSVB"</f>
        <v>0382.LKSVB</v>
      </c>
      <c r="B170" t="s">
        <v>267</v>
      </c>
      <c r="C170" t="s">
        <v>241</v>
      </c>
      <c r="D170" t="s">
        <v>242</v>
      </c>
      <c r="F170">
        <v>1</v>
      </c>
      <c r="G170" t="s">
        <v>16</v>
      </c>
      <c r="H170">
        <v>0</v>
      </c>
      <c r="I170" s="2" t="s">
        <v>257</v>
      </c>
      <c r="J170" s="2">
        <v>101027</v>
      </c>
      <c r="K170">
        <v>20</v>
      </c>
      <c r="L170">
        <v>20</v>
      </c>
      <c r="M170">
        <v>20</v>
      </c>
    </row>
    <row r="171" spans="1:13" x14ac:dyDescent="0.25">
      <c r="A171" t="str">
        <f>"0382.LRRPR"</f>
        <v>0382.LRRPR</v>
      </c>
      <c r="B171" t="s">
        <v>268</v>
      </c>
      <c r="C171" t="s">
        <v>241</v>
      </c>
      <c r="D171" t="s">
        <v>242</v>
      </c>
      <c r="F171">
        <v>0</v>
      </c>
      <c r="G171" t="s">
        <v>16</v>
      </c>
      <c r="H171">
        <v>0</v>
      </c>
      <c r="I171" s="2" t="s">
        <v>245</v>
      </c>
      <c r="J171" s="2" t="s">
        <v>269</v>
      </c>
      <c r="K171">
        <v>20</v>
      </c>
      <c r="L171">
        <v>20</v>
      </c>
      <c r="M171">
        <v>20</v>
      </c>
    </row>
    <row r="172" spans="1:13" x14ac:dyDescent="0.25">
      <c r="A172" t="str">
        <f>"0382.LRSWAPP"</f>
        <v>0382.LRSWAPP</v>
      </c>
      <c r="B172" t="s">
        <v>268</v>
      </c>
      <c r="C172" t="s">
        <v>241</v>
      </c>
      <c r="D172" t="s">
        <v>242</v>
      </c>
      <c r="F172">
        <v>1</v>
      </c>
      <c r="G172" t="s">
        <v>16</v>
      </c>
      <c r="H172">
        <v>0</v>
      </c>
      <c r="I172" s="2" t="s">
        <v>266</v>
      </c>
      <c r="J172" s="2">
        <v>68034</v>
      </c>
      <c r="K172">
        <v>20</v>
      </c>
      <c r="L172">
        <v>20</v>
      </c>
      <c r="M172">
        <v>20</v>
      </c>
    </row>
    <row r="173" spans="1:13" x14ac:dyDescent="0.25">
      <c r="A173" t="str">
        <f>"0382.LSMES"</f>
        <v>0382.LSMES</v>
      </c>
      <c r="B173" t="s">
        <v>270</v>
      </c>
      <c r="C173" t="s">
        <v>241</v>
      </c>
      <c r="D173" t="s">
        <v>242</v>
      </c>
      <c r="F173">
        <v>1</v>
      </c>
      <c r="G173" t="s">
        <v>16</v>
      </c>
      <c r="H173">
        <v>0</v>
      </c>
      <c r="I173" s="2" t="s">
        <v>271</v>
      </c>
      <c r="J173" s="2">
        <v>3802</v>
      </c>
      <c r="K173">
        <v>20</v>
      </c>
      <c r="L173">
        <v>20</v>
      </c>
      <c r="M173">
        <v>20</v>
      </c>
    </row>
    <row r="174" spans="1:13" x14ac:dyDescent="0.25">
      <c r="A174" t="str">
        <f>"0382.LTSWAPP"</f>
        <v>0382.LTSWAPP</v>
      </c>
      <c r="B174" t="s">
        <v>272</v>
      </c>
      <c r="C174" t="s">
        <v>241</v>
      </c>
      <c r="D174" t="s">
        <v>242</v>
      </c>
      <c r="F174">
        <v>1</v>
      </c>
      <c r="G174" t="s">
        <v>16</v>
      </c>
      <c r="H174">
        <v>0</v>
      </c>
      <c r="I174" s="2" t="s">
        <v>266</v>
      </c>
      <c r="J174" s="2">
        <v>68080</v>
      </c>
      <c r="K174">
        <v>20</v>
      </c>
      <c r="L174">
        <v>20</v>
      </c>
      <c r="M174">
        <v>20</v>
      </c>
    </row>
    <row r="175" spans="1:13" x14ac:dyDescent="0.25">
      <c r="A175" t="str">
        <f>"0382.NLİBRAS "</f>
        <v xml:space="preserve">0382.NLİBRAS </v>
      </c>
      <c r="B175" t="s">
        <v>273</v>
      </c>
      <c r="C175" t="s">
        <v>241</v>
      </c>
      <c r="D175" t="s">
        <v>242</v>
      </c>
      <c r="G175" t="s">
        <v>16</v>
      </c>
      <c r="H175">
        <v>0</v>
      </c>
      <c r="I175" s="2" t="s">
        <v>243</v>
      </c>
      <c r="J175" s="2">
        <v>17300</v>
      </c>
      <c r="K175">
        <v>20</v>
      </c>
      <c r="L175">
        <v>20</v>
      </c>
      <c r="M175">
        <v>20</v>
      </c>
    </row>
    <row r="176" spans="1:13" x14ac:dyDescent="0.25">
      <c r="A176" t="str">
        <f>"0382.NLKRAFTVOLL"</f>
        <v>0382.NLKRAFTVOLL</v>
      </c>
      <c r="B176" t="s">
        <v>274</v>
      </c>
      <c r="C176" t="s">
        <v>241</v>
      </c>
      <c r="D176" t="s">
        <v>242</v>
      </c>
      <c r="F176">
        <v>4</v>
      </c>
      <c r="G176" t="s">
        <v>16</v>
      </c>
      <c r="H176">
        <v>0</v>
      </c>
      <c r="I176" s="2" t="s">
        <v>64</v>
      </c>
      <c r="J176" s="2">
        <v>10030219</v>
      </c>
      <c r="K176">
        <v>20</v>
      </c>
      <c r="L176">
        <v>20</v>
      </c>
      <c r="M176">
        <v>20</v>
      </c>
    </row>
    <row r="177" spans="1:13" x14ac:dyDescent="0.25">
      <c r="A177" t="str">
        <f>"0382.NLLİNE"</f>
        <v>0382.NLLİNE</v>
      </c>
      <c r="B177" t="s">
        <v>274</v>
      </c>
      <c r="C177" t="s">
        <v>241</v>
      </c>
      <c r="D177" t="s">
        <v>242</v>
      </c>
      <c r="F177">
        <v>2</v>
      </c>
      <c r="G177" t="s">
        <v>16</v>
      </c>
      <c r="H177">
        <v>0</v>
      </c>
      <c r="I177" s="2" t="s">
        <v>275</v>
      </c>
      <c r="J177" s="2" t="s">
        <v>276</v>
      </c>
      <c r="K177">
        <v>20</v>
      </c>
      <c r="L177">
        <v>20</v>
      </c>
      <c r="M177">
        <v>20</v>
      </c>
    </row>
    <row r="178" spans="1:13" x14ac:dyDescent="0.25">
      <c r="A178" t="str">
        <f>"0382.NLÜÇEL"</f>
        <v>0382.NLÜÇEL</v>
      </c>
      <c r="B178" t="s">
        <v>274</v>
      </c>
      <c r="C178" t="s">
        <v>241</v>
      </c>
      <c r="D178" t="s">
        <v>262</v>
      </c>
      <c r="G178" t="s">
        <v>16</v>
      </c>
      <c r="H178">
        <v>0</v>
      </c>
      <c r="I178" s="2" t="s">
        <v>277</v>
      </c>
      <c r="J178" s="2">
        <v>52134</v>
      </c>
      <c r="K178">
        <v>20</v>
      </c>
      <c r="L178">
        <v>20</v>
      </c>
      <c r="M178">
        <v>20</v>
      </c>
    </row>
    <row r="179" spans="1:13" x14ac:dyDescent="0.25">
      <c r="A179" t="str">
        <f>"0382.PJBİT"</f>
        <v>0382.PJBİT</v>
      </c>
      <c r="B179" t="s">
        <v>279</v>
      </c>
      <c r="C179" t="s">
        <v>241</v>
      </c>
      <c r="D179" t="s">
        <v>262</v>
      </c>
      <c r="F179">
        <v>1</v>
      </c>
      <c r="G179" t="s">
        <v>16</v>
      </c>
      <c r="H179">
        <v>0</v>
      </c>
      <c r="I179" s="2" t="s">
        <v>69</v>
      </c>
      <c r="J179" s="2" t="s">
        <v>278</v>
      </c>
      <c r="K179">
        <v>20</v>
      </c>
      <c r="L179">
        <v>20</v>
      </c>
      <c r="M179">
        <v>20</v>
      </c>
    </row>
    <row r="180" spans="1:13" x14ac:dyDescent="0.25">
      <c r="A180" t="str">
        <f>"0382.PNBİT"</f>
        <v>0382.PNBİT</v>
      </c>
      <c r="B180" t="s">
        <v>281</v>
      </c>
      <c r="C180" t="s">
        <v>241</v>
      </c>
      <c r="D180" t="s">
        <v>262</v>
      </c>
      <c r="F180">
        <v>1</v>
      </c>
      <c r="G180" t="s">
        <v>16</v>
      </c>
      <c r="H180">
        <v>0</v>
      </c>
      <c r="I180" s="2" t="s">
        <v>69</v>
      </c>
      <c r="J180" s="2" t="s">
        <v>280</v>
      </c>
      <c r="K180">
        <v>20</v>
      </c>
      <c r="L180">
        <v>20</v>
      </c>
      <c r="M180">
        <v>20</v>
      </c>
    </row>
    <row r="181" spans="1:13" x14ac:dyDescent="0.25">
      <c r="A181" t="str">
        <f>"0382.QWNİFEA"</f>
        <v>0382.QWNİFEA</v>
      </c>
      <c r="B181" t="s">
        <v>282</v>
      </c>
      <c r="C181" t="s">
        <v>20</v>
      </c>
      <c r="D181" t="s">
        <v>26</v>
      </c>
      <c r="F181">
        <v>2</v>
      </c>
      <c r="G181" t="s">
        <v>16</v>
      </c>
      <c r="H181">
        <v>0</v>
      </c>
      <c r="I181" s="2" t="s">
        <v>221</v>
      </c>
      <c r="J181" s="2">
        <v>17320</v>
      </c>
      <c r="K181">
        <v>20</v>
      </c>
      <c r="L181">
        <v>20</v>
      </c>
      <c r="M181">
        <v>20</v>
      </c>
    </row>
    <row r="182" spans="1:13" x14ac:dyDescent="0.25">
      <c r="A182" t="str">
        <f>"0383.53"</f>
        <v>0383.53</v>
      </c>
      <c r="B182" t="s">
        <v>283</v>
      </c>
      <c r="C182" t="s">
        <v>20</v>
      </c>
      <c r="D182" t="s">
        <v>26</v>
      </c>
      <c r="F182">
        <v>2</v>
      </c>
      <c r="G182" t="s">
        <v>16</v>
      </c>
      <c r="H182">
        <v>0</v>
      </c>
      <c r="I182" s="2" t="s">
        <v>55</v>
      </c>
      <c r="J182" s="2" t="str">
        <f>"0383.53"</f>
        <v>0383.53</v>
      </c>
      <c r="K182">
        <v>20</v>
      </c>
      <c r="L182">
        <v>20</v>
      </c>
      <c r="M182">
        <v>20</v>
      </c>
    </row>
    <row r="183" spans="1:13" x14ac:dyDescent="0.25">
      <c r="A183" t="str">
        <f>"0383.53MGA "</f>
        <v xml:space="preserve">0383.53MGA </v>
      </c>
      <c r="B183" t="s">
        <v>284</v>
      </c>
      <c r="C183" t="s">
        <v>20</v>
      </c>
      <c r="D183" t="s">
        <v>26</v>
      </c>
      <c r="F183">
        <v>4</v>
      </c>
      <c r="G183" t="s">
        <v>16</v>
      </c>
      <c r="H183">
        <v>0</v>
      </c>
      <c r="I183" s="2" t="s">
        <v>285</v>
      </c>
      <c r="J183" s="2">
        <v>75053</v>
      </c>
      <c r="K183">
        <v>20</v>
      </c>
      <c r="L183">
        <v>20</v>
      </c>
      <c r="M183">
        <v>20</v>
      </c>
    </row>
    <row r="184" spans="1:13" x14ac:dyDescent="0.25">
      <c r="A184" t="str">
        <f>"04B103469KASPART"</f>
        <v>04B103469KASPART</v>
      </c>
      <c r="B184" t="s">
        <v>287</v>
      </c>
      <c r="C184" t="s">
        <v>20</v>
      </c>
      <c r="F184">
        <v>1</v>
      </c>
      <c r="G184" t="s">
        <v>16</v>
      </c>
      <c r="H184">
        <v>0</v>
      </c>
      <c r="I184" s="2" t="s">
        <v>288</v>
      </c>
      <c r="J184" s="2" t="s">
        <v>286</v>
      </c>
      <c r="K184">
        <v>20</v>
      </c>
      <c r="L184">
        <v>20</v>
      </c>
      <c r="M184">
        <v>20</v>
      </c>
    </row>
    <row r="185" spans="1:13" x14ac:dyDescent="0.25">
      <c r="A185" t="str">
        <f>"04C129620A-HENGST"</f>
        <v>04C129620A-HENGST</v>
      </c>
      <c r="B185" t="s">
        <v>289</v>
      </c>
      <c r="C185" t="s">
        <v>14</v>
      </c>
      <c r="D185" t="s">
        <v>191</v>
      </c>
      <c r="F185">
        <v>1</v>
      </c>
      <c r="G185" t="s">
        <v>16</v>
      </c>
      <c r="H185">
        <v>0</v>
      </c>
      <c r="I185" s="2" t="s">
        <v>290</v>
      </c>
      <c r="J185" s="2" t="s">
        <v>291</v>
      </c>
      <c r="K185">
        <v>20</v>
      </c>
      <c r="L185">
        <v>20</v>
      </c>
      <c r="M185">
        <v>20</v>
      </c>
    </row>
    <row r="186" spans="1:13" x14ac:dyDescent="0.25">
      <c r="A186" t="str">
        <f>"04E115561H-HENGST"</f>
        <v>04E115561H-HENGST</v>
      </c>
      <c r="B186" t="s">
        <v>292</v>
      </c>
      <c r="C186" t="s">
        <v>14</v>
      </c>
      <c r="D186" t="s">
        <v>293</v>
      </c>
      <c r="F186">
        <v>1</v>
      </c>
      <c r="G186" t="s">
        <v>16</v>
      </c>
      <c r="H186">
        <v>0</v>
      </c>
      <c r="I186" s="2" t="s">
        <v>290</v>
      </c>
      <c r="J186" s="2" t="s">
        <v>294</v>
      </c>
      <c r="K186">
        <v>20</v>
      </c>
      <c r="L186">
        <v>20</v>
      </c>
      <c r="M186">
        <v>20</v>
      </c>
    </row>
    <row r="187" spans="1:13" x14ac:dyDescent="0.25">
      <c r="A187" t="str">
        <f>"04L121011E INA"</f>
        <v>04L121011E INA</v>
      </c>
      <c r="B187" t="s">
        <v>295</v>
      </c>
      <c r="C187" t="s">
        <v>20</v>
      </c>
      <c r="D187" t="s">
        <v>296</v>
      </c>
      <c r="F187">
        <v>0</v>
      </c>
      <c r="G187" t="s">
        <v>16</v>
      </c>
      <c r="H187">
        <v>0</v>
      </c>
      <c r="I187" s="2" t="s">
        <v>297</v>
      </c>
      <c r="J187" s="2">
        <v>530065032</v>
      </c>
      <c r="K187">
        <v>20</v>
      </c>
      <c r="L187">
        <v>20</v>
      </c>
      <c r="M187">
        <v>20</v>
      </c>
    </row>
    <row r="188" spans="1:13" x14ac:dyDescent="0.25">
      <c r="A188" t="str">
        <f>"0501.N8"</f>
        <v>0501.N8</v>
      </c>
      <c r="B188" t="s">
        <v>298</v>
      </c>
      <c r="C188" t="s">
        <v>20</v>
      </c>
      <c r="F188">
        <v>1</v>
      </c>
      <c r="G188" t="s">
        <v>16</v>
      </c>
      <c r="H188">
        <v>0</v>
      </c>
      <c r="I188" s="2" t="s">
        <v>55</v>
      </c>
      <c r="J188" s="2" t="str">
        <f>"0501.N8"</f>
        <v>0501.N8</v>
      </c>
      <c r="K188">
        <v>20</v>
      </c>
      <c r="L188">
        <v>20</v>
      </c>
      <c r="M188">
        <v>20</v>
      </c>
    </row>
    <row r="189" spans="1:13" x14ac:dyDescent="0.25">
      <c r="A189" t="str">
        <f>"0513.A9ABA"</f>
        <v>0513.A9ABA</v>
      </c>
      <c r="B189" t="s">
        <v>299</v>
      </c>
      <c r="C189" t="s">
        <v>20</v>
      </c>
      <c r="D189" t="s">
        <v>300</v>
      </c>
      <c r="F189">
        <v>2</v>
      </c>
      <c r="G189" t="s">
        <v>16</v>
      </c>
      <c r="H189">
        <v>0</v>
      </c>
      <c r="I189" s="2" t="s">
        <v>301</v>
      </c>
      <c r="J189" s="2">
        <v>25400513</v>
      </c>
      <c r="K189">
        <v>20</v>
      </c>
      <c r="L189">
        <v>20</v>
      </c>
      <c r="M189">
        <v>20</v>
      </c>
    </row>
    <row r="190" spans="1:13" x14ac:dyDescent="0.25">
      <c r="A190" t="str">
        <f>"0514.74SKT"</f>
        <v>0514.74SKT</v>
      </c>
      <c r="B190" t="s">
        <v>302</v>
      </c>
      <c r="C190" t="s">
        <v>20</v>
      </c>
      <c r="D190" t="s">
        <v>26</v>
      </c>
      <c r="F190">
        <v>1</v>
      </c>
      <c r="G190" t="s">
        <v>16</v>
      </c>
      <c r="H190">
        <v>0</v>
      </c>
      <c r="I190" s="2" t="s">
        <v>57</v>
      </c>
      <c r="J190" s="2" t="s">
        <v>303</v>
      </c>
      <c r="K190">
        <v>20</v>
      </c>
      <c r="L190">
        <v>20</v>
      </c>
      <c r="M190">
        <v>20</v>
      </c>
    </row>
    <row r="191" spans="1:13" x14ac:dyDescent="0.25">
      <c r="A191" t="str">
        <f>"0514.A3CDF"</f>
        <v>0514.A3CDF</v>
      </c>
      <c r="B191" t="s">
        <v>304</v>
      </c>
      <c r="C191" t="s">
        <v>20</v>
      </c>
      <c r="D191" t="s">
        <v>26</v>
      </c>
      <c r="F191">
        <v>3</v>
      </c>
      <c r="G191" t="s">
        <v>16</v>
      </c>
      <c r="H191">
        <v>0</v>
      </c>
      <c r="I191" s="2" t="s">
        <v>305</v>
      </c>
      <c r="J191" s="2" t="s">
        <v>306</v>
      </c>
      <c r="K191">
        <v>20</v>
      </c>
      <c r="L191">
        <v>20</v>
      </c>
      <c r="M191">
        <v>20</v>
      </c>
    </row>
    <row r="192" spans="1:13" x14ac:dyDescent="0.25">
      <c r="A192" t="str">
        <f>"0514.C8SKT"</f>
        <v>0514.C8SKT</v>
      </c>
      <c r="B192" t="s">
        <v>307</v>
      </c>
      <c r="C192" t="s">
        <v>20</v>
      </c>
      <c r="D192" t="s">
        <v>26</v>
      </c>
      <c r="F192">
        <v>2</v>
      </c>
      <c r="G192" t="s">
        <v>16</v>
      </c>
      <c r="H192">
        <v>0</v>
      </c>
      <c r="I192" s="2" t="s">
        <v>57</v>
      </c>
      <c r="J192" s="2" t="str">
        <f>"046210-FP"</f>
        <v>046210-FP</v>
      </c>
      <c r="K192">
        <v>20</v>
      </c>
      <c r="L192">
        <v>20</v>
      </c>
      <c r="M192">
        <v>20</v>
      </c>
    </row>
    <row r="193" spans="1:13" x14ac:dyDescent="0.25">
      <c r="A193" t="str">
        <f>"0515.Q6FEBİ"</f>
        <v>0515.Q6FEBİ</v>
      </c>
      <c r="B193" t="s">
        <v>308</v>
      </c>
      <c r="C193" t="s">
        <v>20</v>
      </c>
      <c r="F193">
        <v>1</v>
      </c>
      <c r="G193" t="s">
        <v>16</v>
      </c>
      <c r="H193">
        <v>0</v>
      </c>
      <c r="I193" s="2" t="s">
        <v>238</v>
      </c>
      <c r="J193" s="2">
        <v>27720</v>
      </c>
      <c r="K193">
        <v>20</v>
      </c>
      <c r="L193">
        <v>20</v>
      </c>
      <c r="M193">
        <v>20</v>
      </c>
    </row>
    <row r="194" spans="1:13" x14ac:dyDescent="0.25">
      <c r="A194" t="str">
        <f>"0515.R8K-METAL"</f>
        <v>0515.R8K-METAL</v>
      </c>
      <c r="B194" t="s">
        <v>309</v>
      </c>
      <c r="C194" t="s">
        <v>20</v>
      </c>
      <c r="F194">
        <v>1</v>
      </c>
      <c r="G194" t="s">
        <v>16</v>
      </c>
      <c r="H194">
        <v>0</v>
      </c>
      <c r="I194" s="2" t="s">
        <v>310</v>
      </c>
      <c r="J194" s="2" t="s">
        <v>311</v>
      </c>
      <c r="K194">
        <v>20</v>
      </c>
      <c r="L194">
        <v>20</v>
      </c>
      <c r="M194">
        <v>20</v>
      </c>
    </row>
    <row r="195" spans="1:13" x14ac:dyDescent="0.25">
      <c r="A195" t="str">
        <f>"0515.S1FROWAS"</f>
        <v>0515.S1FROWAS</v>
      </c>
      <c r="B195" t="s">
        <v>312</v>
      </c>
      <c r="C195" t="s">
        <v>20</v>
      </c>
      <c r="F195">
        <v>1</v>
      </c>
      <c r="G195" t="s">
        <v>16</v>
      </c>
      <c r="H195">
        <v>0</v>
      </c>
      <c r="I195" s="2" t="s">
        <v>108</v>
      </c>
      <c r="J195" s="3">
        <v>3141512001</v>
      </c>
      <c r="K195">
        <v>20</v>
      </c>
      <c r="L195">
        <v>20</v>
      </c>
      <c r="M195">
        <v>20</v>
      </c>
    </row>
    <row r="196" spans="1:13" x14ac:dyDescent="0.25">
      <c r="A196" t="str">
        <f>"0515.T3KENTPAR"</f>
        <v>0515.T3KENTPAR</v>
      </c>
      <c r="B196" t="s">
        <v>313</v>
      </c>
      <c r="C196" t="s">
        <v>20</v>
      </c>
      <c r="F196">
        <v>2</v>
      </c>
      <c r="G196" t="s">
        <v>16</v>
      </c>
      <c r="H196">
        <v>0</v>
      </c>
      <c r="I196" s="2" t="s">
        <v>314</v>
      </c>
      <c r="J196" s="2" t="s">
        <v>315</v>
      </c>
      <c r="K196">
        <v>20</v>
      </c>
      <c r="L196">
        <v>20</v>
      </c>
      <c r="M196">
        <v>20</v>
      </c>
    </row>
    <row r="197" spans="1:13" x14ac:dyDescent="0.25">
      <c r="A197" t="str">
        <f>"0515.V7KENTPAR"</f>
        <v>0515.V7KENTPAR</v>
      </c>
      <c r="B197" t="s">
        <v>316</v>
      </c>
      <c r="C197" t="s">
        <v>20</v>
      </c>
      <c r="F197">
        <v>1</v>
      </c>
      <c r="G197" t="s">
        <v>16</v>
      </c>
      <c r="H197">
        <v>0</v>
      </c>
      <c r="I197" s="2" t="s">
        <v>314</v>
      </c>
      <c r="J197" s="2" t="s">
        <v>317</v>
      </c>
      <c r="K197">
        <v>20</v>
      </c>
      <c r="L197">
        <v>20</v>
      </c>
      <c r="M197">
        <v>20</v>
      </c>
    </row>
    <row r="198" spans="1:13" x14ac:dyDescent="0.25">
      <c r="A198" t="str">
        <f>"06-306811-20MAHLE"</f>
        <v>06-306811-20MAHLE</v>
      </c>
      <c r="B198" t="s">
        <v>318</v>
      </c>
      <c r="C198" t="s">
        <v>20</v>
      </c>
      <c r="D198" t="s">
        <v>21</v>
      </c>
      <c r="G198" t="s">
        <v>16</v>
      </c>
      <c r="H198">
        <v>0</v>
      </c>
      <c r="I198" s="2" t="s">
        <v>319</v>
      </c>
      <c r="J198" s="2" t="str">
        <f>"01158N2"</f>
        <v>01158N2</v>
      </c>
      <c r="K198">
        <v>20</v>
      </c>
      <c r="L198">
        <v>20</v>
      </c>
      <c r="M198">
        <v>20</v>
      </c>
    </row>
    <row r="199" spans="1:13" x14ac:dyDescent="0.25">
      <c r="A199" t="str">
        <f>"0603.77ABRASSE"</f>
        <v>0603.77ABRASSE</v>
      </c>
      <c r="B199" t="s">
        <v>320</v>
      </c>
      <c r="C199" t="s">
        <v>20</v>
      </c>
      <c r="D199" t="s">
        <v>21</v>
      </c>
      <c r="F199">
        <v>1</v>
      </c>
      <c r="G199" t="s">
        <v>16</v>
      </c>
      <c r="H199">
        <v>0</v>
      </c>
      <c r="I199" s="2" t="s">
        <v>87</v>
      </c>
      <c r="J199" s="2" t="s">
        <v>321</v>
      </c>
      <c r="K199">
        <v>20</v>
      </c>
      <c r="L199">
        <v>20</v>
      </c>
      <c r="M199">
        <v>20</v>
      </c>
    </row>
    <row r="200" spans="1:13" x14ac:dyDescent="0.25">
      <c r="A200" t="str">
        <f>"0603.86ABRASSE"</f>
        <v>0603.86ABRASSE</v>
      </c>
      <c r="B200" t="s">
        <v>322</v>
      </c>
      <c r="C200" t="s">
        <v>20</v>
      </c>
      <c r="D200" t="s">
        <v>21</v>
      </c>
      <c r="F200">
        <v>1</v>
      </c>
      <c r="G200" t="s">
        <v>16</v>
      </c>
      <c r="H200">
        <v>0</v>
      </c>
      <c r="I200" s="2" t="s">
        <v>87</v>
      </c>
      <c r="K200">
        <v>20</v>
      </c>
      <c r="L200">
        <v>20</v>
      </c>
      <c r="M200">
        <v>20</v>
      </c>
    </row>
    <row r="201" spans="1:13" x14ac:dyDescent="0.25">
      <c r="A201" t="str">
        <f>"0603.90BMY"</f>
        <v>0603.90BMY</v>
      </c>
      <c r="B201" t="s">
        <v>323</v>
      </c>
      <c r="C201" t="s">
        <v>20</v>
      </c>
      <c r="G201" t="s">
        <v>16</v>
      </c>
      <c r="H201">
        <v>0</v>
      </c>
      <c r="I201" s="2" t="s">
        <v>324</v>
      </c>
      <c r="J201" s="2" t="str">
        <f>"0810"</f>
        <v>0810</v>
      </c>
      <c r="K201">
        <v>20</v>
      </c>
      <c r="L201">
        <v>20</v>
      </c>
      <c r="M201">
        <v>20</v>
      </c>
    </row>
    <row r="202" spans="1:13" x14ac:dyDescent="0.25">
      <c r="A202" t="str">
        <f>"0604.03GLYCO"</f>
        <v>0604.03GLYCO</v>
      </c>
      <c r="B202" t="s">
        <v>325</v>
      </c>
      <c r="C202" t="s">
        <v>20</v>
      </c>
      <c r="D202" t="s">
        <v>21</v>
      </c>
      <c r="F202">
        <v>1</v>
      </c>
      <c r="G202" t="s">
        <v>16</v>
      </c>
      <c r="H202">
        <v>0</v>
      </c>
      <c r="I202" s="2" t="s">
        <v>29</v>
      </c>
      <c r="J202" s="2" t="s">
        <v>326</v>
      </c>
      <c r="K202">
        <v>20</v>
      </c>
      <c r="L202">
        <v>20</v>
      </c>
      <c r="M202">
        <v>20</v>
      </c>
    </row>
    <row r="203" spans="1:13" x14ac:dyDescent="0.25">
      <c r="A203" t="str">
        <f>"0604.29ŞAHİN"</f>
        <v>0604.29ŞAHİN</v>
      </c>
      <c r="B203" t="s">
        <v>327</v>
      </c>
      <c r="C203" t="s">
        <v>20</v>
      </c>
      <c r="D203" t="s">
        <v>21</v>
      </c>
      <c r="F203">
        <v>1</v>
      </c>
      <c r="G203" t="s">
        <v>22</v>
      </c>
      <c r="H203">
        <v>0</v>
      </c>
      <c r="I203" s="2" t="s">
        <v>328</v>
      </c>
      <c r="J203" s="2" t="s">
        <v>329</v>
      </c>
      <c r="K203">
        <v>20</v>
      </c>
      <c r="L203">
        <v>20</v>
      </c>
      <c r="M203">
        <v>20</v>
      </c>
    </row>
    <row r="204" spans="1:13" x14ac:dyDescent="0.25">
      <c r="A204" t="str">
        <f>"0606.80KING-STD"</f>
        <v>0606.80KING-STD</v>
      </c>
      <c r="B204" t="s">
        <v>330</v>
      </c>
      <c r="C204" t="s">
        <v>20</v>
      </c>
      <c r="G204" t="s">
        <v>16</v>
      </c>
      <c r="H204">
        <v>0</v>
      </c>
      <c r="I204" s="2" t="s">
        <v>32</v>
      </c>
      <c r="J204" s="2" t="s">
        <v>331</v>
      </c>
      <c r="K204">
        <v>20</v>
      </c>
      <c r="L204">
        <v>20</v>
      </c>
      <c r="M204">
        <v>20</v>
      </c>
    </row>
    <row r="205" spans="1:13" x14ac:dyDescent="0.25">
      <c r="A205" t="str">
        <f>"0606.AAKING"</f>
        <v>0606.AAKING</v>
      </c>
      <c r="B205" t="s">
        <v>332</v>
      </c>
      <c r="C205" t="s">
        <v>20</v>
      </c>
      <c r="F205">
        <v>2</v>
      </c>
      <c r="G205" t="s">
        <v>16</v>
      </c>
      <c r="H205">
        <v>0</v>
      </c>
      <c r="I205" s="2" t="s">
        <v>32</v>
      </c>
      <c r="J205" s="2" t="s">
        <v>333</v>
      </c>
      <c r="K205">
        <v>20</v>
      </c>
      <c r="L205">
        <v>20</v>
      </c>
      <c r="M205">
        <v>20</v>
      </c>
    </row>
    <row r="206" spans="1:13" x14ac:dyDescent="0.25">
      <c r="A206" t="str">
        <f>"0606.L6STD-GLYCO"</f>
        <v>0606.L6STD-GLYCO</v>
      </c>
      <c r="B206" t="s">
        <v>334</v>
      </c>
      <c r="C206" t="s">
        <v>20</v>
      </c>
      <c r="F206">
        <v>2</v>
      </c>
      <c r="G206" t="s">
        <v>16</v>
      </c>
      <c r="H206">
        <v>0</v>
      </c>
      <c r="I206" s="2" t="s">
        <v>29</v>
      </c>
      <c r="J206" s="2" t="str">
        <f>"01-4200/4STD"</f>
        <v>01-4200/4STD</v>
      </c>
      <c r="K206">
        <v>20</v>
      </c>
      <c r="L206">
        <v>20</v>
      </c>
      <c r="M206">
        <v>20</v>
      </c>
    </row>
    <row r="207" spans="1:13" x14ac:dyDescent="0.25">
      <c r="A207" t="str">
        <f>"0606.P8KING"</f>
        <v>0606.P8KING</v>
      </c>
      <c r="B207" t="s">
        <v>335</v>
      </c>
      <c r="C207" t="s">
        <v>20</v>
      </c>
      <c r="F207">
        <v>1</v>
      </c>
      <c r="G207" t="s">
        <v>16</v>
      </c>
      <c r="H207">
        <v>0</v>
      </c>
      <c r="I207" s="2" t="s">
        <v>35</v>
      </c>
      <c r="J207" s="2" t="s">
        <v>336</v>
      </c>
      <c r="K207">
        <v>20</v>
      </c>
      <c r="L207">
        <v>20</v>
      </c>
      <c r="M207">
        <v>20</v>
      </c>
    </row>
    <row r="208" spans="1:13" x14ac:dyDescent="0.25">
      <c r="A208" t="str">
        <f>"0606.Q5KING"</f>
        <v>0606.Q5KING</v>
      </c>
      <c r="B208" t="s">
        <v>337</v>
      </c>
      <c r="C208" t="s">
        <v>20</v>
      </c>
      <c r="F208">
        <v>1</v>
      </c>
      <c r="G208" t="s">
        <v>16</v>
      </c>
      <c r="H208">
        <v>0</v>
      </c>
      <c r="I208" s="2" t="s">
        <v>32</v>
      </c>
      <c r="J208" s="2" t="s">
        <v>338</v>
      </c>
      <c r="K208">
        <v>20</v>
      </c>
      <c r="L208">
        <v>20</v>
      </c>
      <c r="M208">
        <v>20</v>
      </c>
    </row>
    <row r="209" spans="1:13" x14ac:dyDescent="0.25">
      <c r="A209" t="str">
        <f>"0606.W9"</f>
        <v>0606.W9</v>
      </c>
      <c r="B209" t="s">
        <v>339</v>
      </c>
      <c r="C209" t="s">
        <v>20</v>
      </c>
      <c r="F209">
        <v>1</v>
      </c>
      <c r="G209" t="s">
        <v>22</v>
      </c>
      <c r="H209">
        <v>0</v>
      </c>
      <c r="I209" s="2" t="s">
        <v>51</v>
      </c>
      <c r="J209" s="2" t="str">
        <f>"0606.W9"</f>
        <v>0606.W9</v>
      </c>
      <c r="K209">
        <v>20</v>
      </c>
      <c r="L209">
        <v>20</v>
      </c>
      <c r="M209">
        <v>20</v>
      </c>
    </row>
    <row r="210" spans="1:13" x14ac:dyDescent="0.25">
      <c r="A210" t="str">
        <f>"0606.Z3KING-STD"</f>
        <v>0606.Z3KING-STD</v>
      </c>
      <c r="B210" t="s">
        <v>340</v>
      </c>
      <c r="C210" t="s">
        <v>20</v>
      </c>
      <c r="F210">
        <v>1</v>
      </c>
      <c r="G210" t="s">
        <v>16</v>
      </c>
      <c r="H210">
        <v>0</v>
      </c>
      <c r="I210" s="2" t="s">
        <v>35</v>
      </c>
      <c r="J210" s="2" t="s">
        <v>341</v>
      </c>
      <c r="K210">
        <v>20</v>
      </c>
      <c r="L210">
        <v>20</v>
      </c>
      <c r="M210">
        <v>20</v>
      </c>
    </row>
    <row r="211" spans="1:13" x14ac:dyDescent="0.25">
      <c r="A211" t="str">
        <f>"0628.J2+0,60KINGPİSTON"</f>
        <v>0628.J2+0,60KINGPİSTON</v>
      </c>
      <c r="B211" t="s">
        <v>342</v>
      </c>
      <c r="C211" t="s">
        <v>20</v>
      </c>
      <c r="D211" t="s">
        <v>21</v>
      </c>
      <c r="G211" t="s">
        <v>16</v>
      </c>
      <c r="H211">
        <v>0</v>
      </c>
      <c r="I211" s="2" t="s">
        <v>343</v>
      </c>
      <c r="J211" s="2" t="s">
        <v>344</v>
      </c>
      <c r="K211">
        <v>20</v>
      </c>
      <c r="L211">
        <v>20</v>
      </c>
      <c r="M211">
        <v>20</v>
      </c>
    </row>
    <row r="212" spans="1:13" x14ac:dyDescent="0.25">
      <c r="A212" t="str">
        <f>"0628.J2NURAL-STD+0,20KISA"</f>
        <v>0628.J2NURAL-STD+0,20KISA</v>
      </c>
      <c r="B212" t="s">
        <v>345</v>
      </c>
      <c r="C212" t="s">
        <v>20</v>
      </c>
      <c r="D212" t="s">
        <v>21</v>
      </c>
      <c r="F212">
        <v>4</v>
      </c>
      <c r="G212" t="s">
        <v>16</v>
      </c>
      <c r="H212">
        <v>0</v>
      </c>
      <c r="I212" s="2" t="s">
        <v>346</v>
      </c>
      <c r="J212" s="2" t="s">
        <v>347</v>
      </c>
      <c r="K212">
        <v>20</v>
      </c>
      <c r="L212">
        <v>20</v>
      </c>
      <c r="M212">
        <v>20</v>
      </c>
    </row>
    <row r="213" spans="1:13" x14ac:dyDescent="0.25">
      <c r="A213" t="str">
        <f>"0628.N2MAHLE"</f>
        <v>0628.N2MAHLE</v>
      </c>
      <c r="B213" t="s">
        <v>348</v>
      </c>
      <c r="C213" t="s">
        <v>20</v>
      </c>
      <c r="D213" t="s">
        <v>21</v>
      </c>
      <c r="F213">
        <v>4</v>
      </c>
      <c r="G213" t="s">
        <v>16</v>
      </c>
      <c r="H213">
        <v>0</v>
      </c>
      <c r="I213" s="2" t="s">
        <v>158</v>
      </c>
      <c r="J213" s="2" t="str">
        <f>"040PI00004100"</f>
        <v>040PI00004100</v>
      </c>
      <c r="K213">
        <v>20</v>
      </c>
      <c r="L213">
        <v>20</v>
      </c>
      <c r="M213">
        <v>20</v>
      </c>
    </row>
    <row r="214" spans="1:13" x14ac:dyDescent="0.25">
      <c r="A214" t="str">
        <f>"0628.N2NÜRAL"</f>
        <v>0628.N2NÜRAL</v>
      </c>
      <c r="B214" t="s">
        <v>349</v>
      </c>
      <c r="C214" t="s">
        <v>20</v>
      </c>
      <c r="D214" t="s">
        <v>21</v>
      </c>
      <c r="F214">
        <v>4</v>
      </c>
      <c r="G214" t="s">
        <v>16</v>
      </c>
      <c r="H214">
        <v>0</v>
      </c>
      <c r="I214" s="2" t="s">
        <v>346</v>
      </c>
      <c r="J214" s="2">
        <v>8771784050</v>
      </c>
      <c r="K214">
        <v>20</v>
      </c>
      <c r="L214">
        <v>20</v>
      </c>
      <c r="M214">
        <v>20</v>
      </c>
    </row>
    <row r="215" spans="1:13" x14ac:dyDescent="0.25">
      <c r="A215" t="str">
        <f>"0628.N3MAHLE"</f>
        <v>0628.N3MAHLE</v>
      </c>
      <c r="B215" t="s">
        <v>350</v>
      </c>
      <c r="C215" t="s">
        <v>20</v>
      </c>
      <c r="D215" t="s">
        <v>21</v>
      </c>
      <c r="F215">
        <v>4</v>
      </c>
      <c r="G215" t="s">
        <v>16</v>
      </c>
      <c r="H215">
        <v>0</v>
      </c>
      <c r="I215" s="2" t="s">
        <v>319</v>
      </c>
      <c r="J215" s="2" t="str">
        <f>"0399900"</f>
        <v>0399900</v>
      </c>
      <c r="K215">
        <v>20</v>
      </c>
      <c r="L215">
        <v>20</v>
      </c>
      <c r="M215">
        <v>20</v>
      </c>
    </row>
    <row r="216" spans="1:13" x14ac:dyDescent="0.25">
      <c r="A216" t="str">
        <f>"0628.T1KING"</f>
        <v>0628.T1KING</v>
      </c>
      <c r="B216" t="s">
        <v>351</v>
      </c>
      <c r="C216" t="s">
        <v>20</v>
      </c>
      <c r="D216" t="s">
        <v>21</v>
      </c>
      <c r="F216">
        <v>4</v>
      </c>
      <c r="G216" t="s">
        <v>16</v>
      </c>
      <c r="H216">
        <v>0</v>
      </c>
      <c r="I216" s="2" t="s">
        <v>343</v>
      </c>
      <c r="J216" s="2" t="s">
        <v>352</v>
      </c>
      <c r="K216">
        <v>20</v>
      </c>
      <c r="L216">
        <v>20</v>
      </c>
      <c r="M216">
        <v>20</v>
      </c>
    </row>
    <row r="217" spans="1:13" x14ac:dyDescent="0.25">
      <c r="A217" t="str">
        <f>"0640.V9YENMAK"</f>
        <v>0640.V9YENMAK</v>
      </c>
      <c r="B217" t="s">
        <v>353</v>
      </c>
      <c r="C217" t="s">
        <v>20</v>
      </c>
      <c r="D217" t="s">
        <v>21</v>
      </c>
      <c r="G217" t="s">
        <v>16</v>
      </c>
      <c r="H217">
        <v>0</v>
      </c>
      <c r="I217" s="2" t="s">
        <v>354</v>
      </c>
      <c r="J217" s="2" t="s">
        <v>355</v>
      </c>
      <c r="K217">
        <v>20</v>
      </c>
      <c r="L217">
        <v>20</v>
      </c>
      <c r="M217">
        <v>20</v>
      </c>
    </row>
    <row r="218" spans="1:13" x14ac:dyDescent="0.25">
      <c r="A218" t="str">
        <f>"06A121121C-TOPRAN"</f>
        <v>06A121121C-TOPRAN</v>
      </c>
      <c r="B218" t="s">
        <v>356</v>
      </c>
      <c r="C218" t="s">
        <v>357</v>
      </c>
      <c r="D218" t="s">
        <v>358</v>
      </c>
      <c r="F218">
        <v>1</v>
      </c>
      <c r="G218" t="s">
        <v>16</v>
      </c>
      <c r="H218">
        <v>0</v>
      </c>
      <c r="I218" s="2" t="s">
        <v>165</v>
      </c>
      <c r="J218" s="2">
        <v>108189</v>
      </c>
      <c r="K218">
        <v>20</v>
      </c>
      <c r="L218">
        <v>20</v>
      </c>
      <c r="M218">
        <v>20</v>
      </c>
    </row>
    <row r="219" spans="1:13" x14ac:dyDescent="0.25">
      <c r="A219" t="str">
        <f>"06B103171B-SKT"</f>
        <v>06B103171B-SKT</v>
      </c>
      <c r="B219" t="s">
        <v>359</v>
      </c>
      <c r="C219" t="s">
        <v>20</v>
      </c>
      <c r="D219" t="s">
        <v>26</v>
      </c>
      <c r="F219">
        <v>1</v>
      </c>
      <c r="G219" t="s">
        <v>16</v>
      </c>
      <c r="H219">
        <v>0</v>
      </c>
      <c r="I219" s="2" t="s">
        <v>57</v>
      </c>
      <c r="J219" s="2" t="s">
        <v>360</v>
      </c>
      <c r="K219">
        <v>20</v>
      </c>
      <c r="L219">
        <v>20</v>
      </c>
      <c r="M219">
        <v>20</v>
      </c>
    </row>
    <row r="220" spans="1:13" x14ac:dyDescent="0.25">
      <c r="A220" t="str">
        <f>"07040123KRAFTVOLL"</f>
        <v>07040123KRAFTVOLL</v>
      </c>
      <c r="B220" t="s">
        <v>361</v>
      </c>
      <c r="C220" t="s">
        <v>362</v>
      </c>
      <c r="D220" t="s">
        <v>363</v>
      </c>
      <c r="F220">
        <v>1</v>
      </c>
      <c r="G220" t="s">
        <v>22</v>
      </c>
      <c r="H220">
        <v>0</v>
      </c>
      <c r="I220" s="2" t="s">
        <v>64</v>
      </c>
      <c r="J220" s="2" t="str">
        <f>"07040123"</f>
        <v>07040123</v>
      </c>
      <c r="K220">
        <v>20</v>
      </c>
      <c r="L220">
        <v>20</v>
      </c>
      <c r="M220">
        <v>20</v>
      </c>
    </row>
    <row r="221" spans="1:13" x14ac:dyDescent="0.25">
      <c r="A221" t="str">
        <f>"074115562FİL"</f>
        <v>074115562FİL</v>
      </c>
      <c r="B221" t="s">
        <v>364</v>
      </c>
      <c r="C221" t="s">
        <v>14</v>
      </c>
      <c r="D221" t="s">
        <v>293</v>
      </c>
      <c r="F221">
        <v>1</v>
      </c>
      <c r="G221" t="s">
        <v>16</v>
      </c>
      <c r="H221">
        <v>0</v>
      </c>
      <c r="I221" s="2" t="s">
        <v>365</v>
      </c>
      <c r="J221" s="2" t="s">
        <v>366</v>
      </c>
      <c r="K221">
        <v>20</v>
      </c>
      <c r="L221">
        <v>20</v>
      </c>
      <c r="M221">
        <v>20</v>
      </c>
    </row>
    <row r="222" spans="1:13" x14ac:dyDescent="0.25">
      <c r="A222" t="str">
        <f>"0801.CYESTAŞ"</f>
        <v>0801.CYESTAŞ</v>
      </c>
      <c r="B222" t="s">
        <v>367</v>
      </c>
      <c r="C222" t="s">
        <v>20</v>
      </c>
      <c r="D222" t="s">
        <v>161</v>
      </c>
      <c r="G222" t="s">
        <v>16</v>
      </c>
      <c r="H222">
        <v>0</v>
      </c>
      <c r="I222" s="2" t="s">
        <v>368</v>
      </c>
      <c r="J222" s="2">
        <v>14049</v>
      </c>
      <c r="K222">
        <v>20</v>
      </c>
      <c r="L222">
        <v>20</v>
      </c>
      <c r="M222">
        <v>20</v>
      </c>
    </row>
    <row r="223" spans="1:13" x14ac:dyDescent="0.25">
      <c r="A223" t="str">
        <f>"0801.E8KAMEKS"</f>
        <v>0801.E8KAMEKS</v>
      </c>
      <c r="B223" t="s">
        <v>369</v>
      </c>
      <c r="C223" t="s">
        <v>20</v>
      </c>
      <c r="D223" t="s">
        <v>161</v>
      </c>
      <c r="F223">
        <v>1</v>
      </c>
      <c r="G223" t="s">
        <v>16</v>
      </c>
      <c r="H223">
        <v>0</v>
      </c>
      <c r="I223" s="2" t="s">
        <v>370</v>
      </c>
      <c r="J223" s="2">
        <v>11302</v>
      </c>
      <c r="K223">
        <v>20</v>
      </c>
      <c r="L223">
        <v>20</v>
      </c>
      <c r="M223">
        <v>20</v>
      </c>
    </row>
    <row r="224" spans="1:13" x14ac:dyDescent="0.25">
      <c r="A224" t="str">
        <f>"0801.EFESTAŞ"</f>
        <v>0801.EFESTAŞ</v>
      </c>
      <c r="B224" t="s">
        <v>371</v>
      </c>
      <c r="C224" t="s">
        <v>20</v>
      </c>
      <c r="D224" t="s">
        <v>161</v>
      </c>
      <c r="G224" t="s">
        <v>16</v>
      </c>
      <c r="H224">
        <v>0</v>
      </c>
      <c r="I224" s="2" t="s">
        <v>372</v>
      </c>
      <c r="J224" s="2" t="s">
        <v>373</v>
      </c>
      <c r="K224">
        <v>20</v>
      </c>
      <c r="L224">
        <v>20</v>
      </c>
      <c r="M224">
        <v>20</v>
      </c>
    </row>
    <row r="225" spans="1:13" x14ac:dyDescent="0.25">
      <c r="A225" t="str">
        <f>"0801.EGESTAŞ"</f>
        <v>0801.EGESTAŞ</v>
      </c>
      <c r="B225" t="s">
        <v>374</v>
      </c>
      <c r="C225" t="s">
        <v>20</v>
      </c>
      <c r="D225" t="s">
        <v>161</v>
      </c>
      <c r="G225" t="s">
        <v>16</v>
      </c>
      <c r="H225">
        <v>0</v>
      </c>
      <c r="I225" s="2" t="s">
        <v>372</v>
      </c>
      <c r="J225" s="2" t="s">
        <v>375</v>
      </c>
      <c r="K225">
        <v>20</v>
      </c>
      <c r="L225">
        <v>20</v>
      </c>
      <c r="M225">
        <v>20</v>
      </c>
    </row>
    <row r="226" spans="1:13" x14ac:dyDescent="0.25">
      <c r="A226" t="str">
        <f>"0801.FC"</f>
        <v>0801.FC</v>
      </c>
      <c r="B226" t="s">
        <v>376</v>
      </c>
      <c r="C226" t="s">
        <v>20</v>
      </c>
      <c r="D226" t="s">
        <v>161</v>
      </c>
      <c r="G226" t="s">
        <v>16</v>
      </c>
      <c r="H226">
        <v>0</v>
      </c>
      <c r="I226" s="2" t="s">
        <v>51</v>
      </c>
      <c r="J226" s="2" t="str">
        <f>"0801.FC"</f>
        <v>0801.FC</v>
      </c>
      <c r="K226">
        <v>20</v>
      </c>
      <c r="L226">
        <v>20</v>
      </c>
      <c r="M226">
        <v>20</v>
      </c>
    </row>
    <row r="227" spans="1:13" x14ac:dyDescent="0.25">
      <c r="A227" t="str">
        <f>"0807.14SKT"</f>
        <v>0807.14SKT</v>
      </c>
      <c r="B227" t="s">
        <v>377</v>
      </c>
      <c r="C227" t="s">
        <v>20</v>
      </c>
      <c r="D227" t="s">
        <v>26</v>
      </c>
      <c r="F227">
        <v>1</v>
      </c>
      <c r="G227" t="s">
        <v>16</v>
      </c>
      <c r="H227">
        <v>0</v>
      </c>
      <c r="I227" s="2" t="s">
        <v>57</v>
      </c>
      <c r="J227" s="2" t="str">
        <f>"04074"</f>
        <v>04074</v>
      </c>
      <c r="K227">
        <v>20</v>
      </c>
      <c r="L227">
        <v>20</v>
      </c>
      <c r="M227">
        <v>20</v>
      </c>
    </row>
    <row r="228" spans="1:13" x14ac:dyDescent="0.25">
      <c r="A228" t="str">
        <f>"0807.28SKT"</f>
        <v>0807.28SKT</v>
      </c>
      <c r="B228" t="s">
        <v>378</v>
      </c>
      <c r="C228" t="s">
        <v>20</v>
      </c>
      <c r="D228" t="s">
        <v>26</v>
      </c>
      <c r="G228" t="s">
        <v>16</v>
      </c>
      <c r="H228">
        <v>0</v>
      </c>
      <c r="I228" s="2" t="s">
        <v>209</v>
      </c>
      <c r="J228" s="2" t="str">
        <f>"041256-V"</f>
        <v>041256-V</v>
      </c>
      <c r="K228">
        <v>20</v>
      </c>
      <c r="L228">
        <v>20</v>
      </c>
      <c r="M228">
        <v>20</v>
      </c>
    </row>
    <row r="229" spans="1:13" x14ac:dyDescent="0.25">
      <c r="A229" t="str">
        <f>"0807.32SKT"</f>
        <v>0807.32SKT</v>
      </c>
      <c r="B229" t="s">
        <v>379</v>
      </c>
      <c r="C229" t="s">
        <v>20</v>
      </c>
      <c r="D229" t="s">
        <v>26</v>
      </c>
      <c r="F229">
        <v>0</v>
      </c>
      <c r="G229" t="s">
        <v>16</v>
      </c>
      <c r="H229">
        <v>0</v>
      </c>
      <c r="I229" s="2" t="s">
        <v>57</v>
      </c>
      <c r="J229" s="2" t="str">
        <f>"041293-FP"</f>
        <v>041293-FP</v>
      </c>
      <c r="K229">
        <v>20</v>
      </c>
      <c r="L229">
        <v>20</v>
      </c>
      <c r="M229">
        <v>20</v>
      </c>
    </row>
    <row r="230" spans="1:13" x14ac:dyDescent="0.25">
      <c r="A230" t="str">
        <f>"0807.33SKT"</f>
        <v>0807.33SKT</v>
      </c>
      <c r="B230" t="s">
        <v>380</v>
      </c>
      <c r="C230" t="s">
        <v>20</v>
      </c>
      <c r="D230" t="s">
        <v>26</v>
      </c>
      <c r="F230">
        <v>0</v>
      </c>
      <c r="G230" t="s">
        <v>16</v>
      </c>
      <c r="H230">
        <v>0</v>
      </c>
      <c r="I230" s="2" t="s">
        <v>57</v>
      </c>
      <c r="J230" s="2" t="str">
        <f>"041265-FP"</f>
        <v>041265-FP</v>
      </c>
      <c r="K230">
        <v>20</v>
      </c>
      <c r="L230">
        <v>20</v>
      </c>
      <c r="M230">
        <v>20</v>
      </c>
    </row>
    <row r="231" spans="1:13" x14ac:dyDescent="0.25">
      <c r="A231" t="str">
        <f>"0807.39"</f>
        <v>0807.39</v>
      </c>
      <c r="B231" t="s">
        <v>381</v>
      </c>
      <c r="C231" t="s">
        <v>20</v>
      </c>
      <c r="D231" t="s">
        <v>26</v>
      </c>
      <c r="F231">
        <v>2</v>
      </c>
      <c r="G231" t="s">
        <v>16</v>
      </c>
      <c r="H231">
        <v>0</v>
      </c>
      <c r="I231" s="2" t="s">
        <v>55</v>
      </c>
      <c r="J231" s="2" t="str">
        <f>"0807.39"</f>
        <v>0807.39</v>
      </c>
      <c r="K231">
        <v>20</v>
      </c>
      <c r="L231">
        <v>20</v>
      </c>
      <c r="M231">
        <v>20</v>
      </c>
    </row>
    <row r="232" spans="1:13" x14ac:dyDescent="0.25">
      <c r="A232" t="str">
        <f>"0816.K8BOSCH"</f>
        <v>0816.K8BOSCH</v>
      </c>
      <c r="B232" t="s">
        <v>382</v>
      </c>
      <c r="C232" t="s">
        <v>20</v>
      </c>
      <c r="D232" t="s">
        <v>300</v>
      </c>
      <c r="F232">
        <v>0</v>
      </c>
      <c r="G232" t="s">
        <v>16</v>
      </c>
      <c r="H232">
        <v>0</v>
      </c>
      <c r="I232" s="2" t="s">
        <v>383</v>
      </c>
      <c r="J232" s="2">
        <v>1987949660</v>
      </c>
      <c r="K232">
        <v>20</v>
      </c>
      <c r="L232">
        <v>20</v>
      </c>
      <c r="M232">
        <v>20</v>
      </c>
    </row>
    <row r="233" spans="1:13" x14ac:dyDescent="0.25">
      <c r="A233" t="str">
        <f>"0818.30"</f>
        <v>0818.30</v>
      </c>
      <c r="B233" t="s">
        <v>384</v>
      </c>
      <c r="C233" t="s">
        <v>20</v>
      </c>
      <c r="D233" t="s">
        <v>385</v>
      </c>
      <c r="G233" t="s">
        <v>16</v>
      </c>
      <c r="H233">
        <v>0</v>
      </c>
      <c r="I233" s="2" t="s">
        <v>51</v>
      </c>
      <c r="J233" s="2" t="str">
        <f>"0818.30"</f>
        <v>0818.30</v>
      </c>
      <c r="K233">
        <v>20</v>
      </c>
      <c r="L233">
        <v>20</v>
      </c>
      <c r="M233">
        <v>20</v>
      </c>
    </row>
    <row r="234" spans="1:13" x14ac:dyDescent="0.25">
      <c r="A234" t="str">
        <f>"0818.31"</f>
        <v>0818.31</v>
      </c>
      <c r="B234" t="s">
        <v>386</v>
      </c>
      <c r="C234" t="s">
        <v>20</v>
      </c>
      <c r="D234" t="s">
        <v>385</v>
      </c>
      <c r="G234" t="s">
        <v>16</v>
      </c>
      <c r="H234">
        <v>0</v>
      </c>
      <c r="I234" s="2" t="s">
        <v>51</v>
      </c>
      <c r="J234" s="2" t="str">
        <f>"0818.31"</f>
        <v>0818.31</v>
      </c>
      <c r="K234">
        <v>20</v>
      </c>
      <c r="L234">
        <v>20</v>
      </c>
      <c r="M234">
        <v>20</v>
      </c>
    </row>
    <row r="235" spans="1:13" x14ac:dyDescent="0.25">
      <c r="A235" t="str">
        <f>"0820.27"</f>
        <v>0820.27</v>
      </c>
      <c r="B235" t="s">
        <v>387</v>
      </c>
      <c r="C235" t="s">
        <v>20</v>
      </c>
      <c r="F235">
        <v>1</v>
      </c>
      <c r="G235" t="s">
        <v>16</v>
      </c>
      <c r="H235">
        <v>0</v>
      </c>
      <c r="I235" s="2" t="s">
        <v>51</v>
      </c>
      <c r="J235" s="2" t="str">
        <f>"0820.27"</f>
        <v>0820.27</v>
      </c>
      <c r="K235">
        <v>20</v>
      </c>
      <c r="L235">
        <v>20</v>
      </c>
      <c r="M235">
        <v>20</v>
      </c>
    </row>
    <row r="236" spans="1:13" x14ac:dyDescent="0.25">
      <c r="A236" t="str">
        <f>"0831.Q4"</f>
        <v>0831.Q4</v>
      </c>
      <c r="B236" t="s">
        <v>388</v>
      </c>
      <c r="C236" t="s">
        <v>20</v>
      </c>
      <c r="D236" t="s">
        <v>296</v>
      </c>
      <c r="F236">
        <v>1</v>
      </c>
      <c r="G236" t="s">
        <v>16</v>
      </c>
      <c r="H236">
        <v>0</v>
      </c>
      <c r="I236" s="2" t="s">
        <v>51</v>
      </c>
      <c r="J236" s="2" t="str">
        <f>"0831.Q4"</f>
        <v>0831.Q4</v>
      </c>
      <c r="K236">
        <v>20</v>
      </c>
      <c r="L236">
        <v>20</v>
      </c>
      <c r="M236">
        <v>20</v>
      </c>
    </row>
    <row r="237" spans="1:13" x14ac:dyDescent="0.25">
      <c r="A237" t="str">
        <f>"0831.Q4ERP"</f>
        <v>0831.Q4ERP</v>
      </c>
      <c r="B237" t="s">
        <v>388</v>
      </c>
      <c r="C237" t="s">
        <v>20</v>
      </c>
      <c r="D237" t="s">
        <v>296</v>
      </c>
      <c r="F237">
        <v>1</v>
      </c>
      <c r="G237" t="s">
        <v>16</v>
      </c>
      <c r="H237">
        <v>0</v>
      </c>
      <c r="I237" s="2" t="s">
        <v>389</v>
      </c>
      <c r="J237" s="2" t="s">
        <v>390</v>
      </c>
      <c r="K237">
        <v>20</v>
      </c>
      <c r="L237">
        <v>20</v>
      </c>
      <c r="M237">
        <v>20</v>
      </c>
    </row>
    <row r="238" spans="1:13" x14ac:dyDescent="0.25">
      <c r="A238" t="str">
        <f>"0831.Q5ERP"</f>
        <v>0831.Q5ERP</v>
      </c>
      <c r="B238" t="s">
        <v>391</v>
      </c>
      <c r="C238" t="s">
        <v>20</v>
      </c>
      <c r="D238" t="s">
        <v>296</v>
      </c>
      <c r="F238">
        <v>1</v>
      </c>
      <c r="G238" t="s">
        <v>16</v>
      </c>
      <c r="H238">
        <v>0</v>
      </c>
      <c r="I238" s="2" t="s">
        <v>392</v>
      </c>
      <c r="J238" s="2" t="s">
        <v>393</v>
      </c>
      <c r="K238">
        <v>20</v>
      </c>
      <c r="L238">
        <v>20</v>
      </c>
      <c r="M238">
        <v>20</v>
      </c>
    </row>
    <row r="239" spans="1:13" x14ac:dyDescent="0.25">
      <c r="A239" t="str">
        <f>"0831.Q5SNR"</f>
        <v>0831.Q5SNR</v>
      </c>
      <c r="B239" t="s">
        <v>394</v>
      </c>
      <c r="C239" t="s">
        <v>20</v>
      </c>
      <c r="D239" t="s">
        <v>296</v>
      </c>
      <c r="F239">
        <v>1</v>
      </c>
      <c r="G239" t="s">
        <v>16</v>
      </c>
      <c r="H239">
        <v>0</v>
      </c>
      <c r="I239" s="2" t="s">
        <v>395</v>
      </c>
      <c r="J239" s="2" t="s">
        <v>396</v>
      </c>
      <c r="K239">
        <v>20</v>
      </c>
      <c r="L239">
        <v>20</v>
      </c>
      <c r="M239">
        <v>20</v>
      </c>
    </row>
    <row r="240" spans="1:13" x14ac:dyDescent="0.25">
      <c r="A240" t="str">
        <f>"0831.R4"</f>
        <v>0831.R4</v>
      </c>
      <c r="B240" t="s">
        <v>397</v>
      </c>
      <c r="C240" t="s">
        <v>20</v>
      </c>
      <c r="D240" t="s">
        <v>296</v>
      </c>
      <c r="F240">
        <v>1</v>
      </c>
      <c r="G240" t="s">
        <v>16</v>
      </c>
      <c r="H240">
        <v>0</v>
      </c>
      <c r="I240" s="2" t="s">
        <v>51</v>
      </c>
      <c r="J240" s="2" t="str">
        <f>"0831.R4"</f>
        <v>0831.R4</v>
      </c>
      <c r="K240">
        <v>20</v>
      </c>
      <c r="L240">
        <v>20</v>
      </c>
      <c r="M240">
        <v>20</v>
      </c>
    </row>
    <row r="241" spans="1:13" x14ac:dyDescent="0.25">
      <c r="A241" t="str">
        <f>"0831.R7ERP"</f>
        <v>0831.R7ERP</v>
      </c>
      <c r="B241" t="s">
        <v>398</v>
      </c>
      <c r="C241" t="s">
        <v>20</v>
      </c>
      <c r="D241" t="s">
        <v>296</v>
      </c>
      <c r="G241" t="s">
        <v>16</v>
      </c>
      <c r="H241">
        <v>0</v>
      </c>
      <c r="I241" s="2" t="s">
        <v>389</v>
      </c>
      <c r="J241" s="2" t="s">
        <v>399</v>
      </c>
      <c r="K241">
        <v>20</v>
      </c>
      <c r="L241">
        <v>20</v>
      </c>
      <c r="M241">
        <v>20</v>
      </c>
    </row>
    <row r="242" spans="1:13" x14ac:dyDescent="0.25">
      <c r="A242" t="str">
        <f>"0831.R7INA"</f>
        <v>0831.R7INA</v>
      </c>
      <c r="B242" t="s">
        <v>398</v>
      </c>
      <c r="C242" t="s">
        <v>20</v>
      </c>
      <c r="D242" t="s">
        <v>296</v>
      </c>
      <c r="G242" t="s">
        <v>16</v>
      </c>
      <c r="H242">
        <v>0</v>
      </c>
      <c r="I242" s="2" t="s">
        <v>297</v>
      </c>
      <c r="J242" s="2">
        <v>530044010</v>
      </c>
      <c r="K242">
        <v>20</v>
      </c>
      <c r="L242">
        <v>20</v>
      </c>
      <c r="M242">
        <v>20</v>
      </c>
    </row>
    <row r="243" spans="1:13" x14ac:dyDescent="0.25">
      <c r="A243" t="str">
        <f>"0831.R7SKF"</f>
        <v>0831.R7SKF</v>
      </c>
      <c r="B243" t="s">
        <v>398</v>
      </c>
      <c r="C243" t="s">
        <v>20</v>
      </c>
      <c r="D243" t="s">
        <v>296</v>
      </c>
      <c r="G243" t="s">
        <v>16</v>
      </c>
      <c r="H243">
        <v>0</v>
      </c>
      <c r="I243" s="2" t="s">
        <v>400</v>
      </c>
      <c r="J243" s="2" t="s">
        <v>401</v>
      </c>
      <c r="K243">
        <v>20</v>
      </c>
      <c r="L243">
        <v>20</v>
      </c>
      <c r="M243">
        <v>20</v>
      </c>
    </row>
    <row r="244" spans="1:13" x14ac:dyDescent="0.25">
      <c r="A244" t="str">
        <f>"0831.R7SNR"</f>
        <v>0831.R7SNR</v>
      </c>
      <c r="B244" t="s">
        <v>398</v>
      </c>
      <c r="C244" t="s">
        <v>20</v>
      </c>
      <c r="D244" t="s">
        <v>296</v>
      </c>
      <c r="F244">
        <v>2</v>
      </c>
      <c r="G244" t="s">
        <v>16</v>
      </c>
      <c r="H244">
        <v>0</v>
      </c>
      <c r="I244" s="2" t="s">
        <v>395</v>
      </c>
      <c r="J244" s="2" t="s">
        <v>402</v>
      </c>
      <c r="K244">
        <v>20</v>
      </c>
      <c r="L244">
        <v>20</v>
      </c>
      <c r="M244">
        <v>20</v>
      </c>
    </row>
    <row r="245" spans="1:13" x14ac:dyDescent="0.25">
      <c r="A245" t="str">
        <f>"0831.R9GATES"</f>
        <v>0831.R9GATES</v>
      </c>
      <c r="B245" t="s">
        <v>403</v>
      </c>
      <c r="C245" t="s">
        <v>20</v>
      </c>
      <c r="D245" t="s">
        <v>296</v>
      </c>
      <c r="G245" t="s">
        <v>16</v>
      </c>
      <c r="H245">
        <v>0</v>
      </c>
      <c r="I245" s="2" t="s">
        <v>404</v>
      </c>
      <c r="J245" s="2" t="s">
        <v>405</v>
      </c>
      <c r="K245">
        <v>20</v>
      </c>
      <c r="L245">
        <v>20</v>
      </c>
      <c r="M245">
        <v>20</v>
      </c>
    </row>
    <row r="246" spans="1:13" x14ac:dyDescent="0.25">
      <c r="A246" t="str">
        <f>"0831.R9SKF"</f>
        <v>0831.R9SKF</v>
      </c>
      <c r="B246" t="s">
        <v>406</v>
      </c>
      <c r="C246" t="s">
        <v>20</v>
      </c>
      <c r="D246" t="s">
        <v>296</v>
      </c>
      <c r="G246" t="s">
        <v>16</v>
      </c>
      <c r="H246">
        <v>0</v>
      </c>
      <c r="I246" s="2" t="s">
        <v>400</v>
      </c>
      <c r="J246" s="2" t="s">
        <v>407</v>
      </c>
      <c r="K246">
        <v>20</v>
      </c>
      <c r="L246">
        <v>20</v>
      </c>
      <c r="M246">
        <v>20</v>
      </c>
    </row>
    <row r="247" spans="1:13" x14ac:dyDescent="0.25">
      <c r="A247" t="str">
        <f>"0831.R9SNR"</f>
        <v>0831.R9SNR</v>
      </c>
      <c r="B247" t="s">
        <v>406</v>
      </c>
      <c r="C247" t="s">
        <v>20</v>
      </c>
      <c r="D247" t="s">
        <v>296</v>
      </c>
      <c r="F247">
        <v>0</v>
      </c>
      <c r="G247" t="s">
        <v>16</v>
      </c>
      <c r="H247">
        <v>0</v>
      </c>
      <c r="I247" s="2" t="s">
        <v>408</v>
      </c>
      <c r="J247" s="2" t="s">
        <v>409</v>
      </c>
      <c r="K247">
        <v>20</v>
      </c>
      <c r="L247">
        <v>20</v>
      </c>
      <c r="M247">
        <v>20</v>
      </c>
    </row>
    <row r="248" spans="1:13" x14ac:dyDescent="0.25">
      <c r="A248" t="str">
        <f>"0831.S0DAYCO"</f>
        <v>0831.S0DAYCO</v>
      </c>
      <c r="B248" t="s">
        <v>410</v>
      </c>
      <c r="C248" t="s">
        <v>20</v>
      </c>
      <c r="D248" t="s">
        <v>296</v>
      </c>
      <c r="F248">
        <v>1</v>
      </c>
      <c r="G248" t="s">
        <v>16</v>
      </c>
      <c r="H248">
        <v>0</v>
      </c>
      <c r="I248" s="2" t="s">
        <v>411</v>
      </c>
      <c r="J248" s="2" t="s">
        <v>412</v>
      </c>
      <c r="K248">
        <v>20</v>
      </c>
      <c r="L248">
        <v>20</v>
      </c>
      <c r="M248">
        <v>20</v>
      </c>
    </row>
    <row r="249" spans="1:13" x14ac:dyDescent="0.25">
      <c r="A249" t="str">
        <f>"0831.S0ERP"</f>
        <v>0831.S0ERP</v>
      </c>
      <c r="B249" t="s">
        <v>410</v>
      </c>
      <c r="C249" t="s">
        <v>20</v>
      </c>
      <c r="D249" t="s">
        <v>296</v>
      </c>
      <c r="F249">
        <v>1</v>
      </c>
      <c r="G249" t="s">
        <v>16</v>
      </c>
      <c r="H249">
        <v>0</v>
      </c>
      <c r="I249" s="2" t="s">
        <v>392</v>
      </c>
      <c r="J249" s="2" t="s">
        <v>413</v>
      </c>
      <c r="K249">
        <v>20</v>
      </c>
      <c r="L249">
        <v>20</v>
      </c>
      <c r="M249">
        <v>20</v>
      </c>
    </row>
    <row r="250" spans="1:13" x14ac:dyDescent="0.25">
      <c r="A250" t="str">
        <f>"0831.S0SKF"</f>
        <v>0831.S0SKF</v>
      </c>
      <c r="B250" t="s">
        <v>410</v>
      </c>
      <c r="C250" t="s">
        <v>20</v>
      </c>
      <c r="D250" t="s">
        <v>300</v>
      </c>
      <c r="G250" t="s">
        <v>16</v>
      </c>
      <c r="H250">
        <v>0</v>
      </c>
      <c r="I250" s="2" t="s">
        <v>414</v>
      </c>
      <c r="J250" s="2" t="s">
        <v>415</v>
      </c>
      <c r="K250">
        <v>20</v>
      </c>
      <c r="L250">
        <v>20</v>
      </c>
      <c r="M250">
        <v>20</v>
      </c>
    </row>
    <row r="251" spans="1:13" x14ac:dyDescent="0.25">
      <c r="A251" t="str">
        <f>"0831.S0SNR"</f>
        <v>0831.S0SNR</v>
      </c>
      <c r="B251" t="s">
        <v>410</v>
      </c>
      <c r="C251" t="s">
        <v>20</v>
      </c>
      <c r="D251" t="s">
        <v>296</v>
      </c>
      <c r="F251">
        <v>2</v>
      </c>
      <c r="G251" t="s">
        <v>16</v>
      </c>
      <c r="H251">
        <v>0</v>
      </c>
      <c r="I251" s="2" t="s">
        <v>408</v>
      </c>
      <c r="J251" s="2" t="s">
        <v>416</v>
      </c>
      <c r="K251">
        <v>20</v>
      </c>
      <c r="L251">
        <v>20</v>
      </c>
      <c r="M251">
        <v>20</v>
      </c>
    </row>
    <row r="252" spans="1:13" x14ac:dyDescent="0.25">
      <c r="A252" t="str">
        <f>"0831.S1"</f>
        <v>0831.S1</v>
      </c>
      <c r="B252" t="s">
        <v>417</v>
      </c>
      <c r="C252" t="s">
        <v>20</v>
      </c>
      <c r="D252" t="s">
        <v>296</v>
      </c>
      <c r="F252">
        <v>1</v>
      </c>
      <c r="G252" t="s">
        <v>16</v>
      </c>
      <c r="H252">
        <v>0</v>
      </c>
      <c r="I252" s="2" t="s">
        <v>51</v>
      </c>
      <c r="J252" s="2" t="str">
        <f>"0831.S1"</f>
        <v>0831.S1</v>
      </c>
      <c r="K252">
        <v>20</v>
      </c>
      <c r="L252">
        <v>20</v>
      </c>
      <c r="M252">
        <v>20</v>
      </c>
    </row>
    <row r="253" spans="1:13" x14ac:dyDescent="0.25">
      <c r="A253" t="str">
        <f>"0831.T3ERP"</f>
        <v>0831.T3ERP</v>
      </c>
      <c r="B253" t="s">
        <v>418</v>
      </c>
      <c r="C253" t="s">
        <v>20</v>
      </c>
      <c r="D253" t="s">
        <v>296</v>
      </c>
      <c r="G253" t="s">
        <v>16</v>
      </c>
      <c r="H253">
        <v>0</v>
      </c>
      <c r="I253" s="2" t="s">
        <v>392</v>
      </c>
      <c r="J253" s="2">
        <v>1610743280</v>
      </c>
      <c r="K253">
        <v>20</v>
      </c>
      <c r="L253">
        <v>20</v>
      </c>
      <c r="M253">
        <v>20</v>
      </c>
    </row>
    <row r="254" spans="1:13" x14ac:dyDescent="0.25">
      <c r="A254" t="str">
        <f>"0831.T3GATES "</f>
        <v xml:space="preserve">0831.T3GATES </v>
      </c>
      <c r="B254" t="s">
        <v>418</v>
      </c>
      <c r="C254" t="s">
        <v>20</v>
      </c>
      <c r="D254" t="s">
        <v>296</v>
      </c>
      <c r="F254">
        <v>1</v>
      </c>
      <c r="G254" t="s">
        <v>16</v>
      </c>
      <c r="H254">
        <v>0</v>
      </c>
      <c r="I254" s="2" t="s">
        <v>404</v>
      </c>
      <c r="J254" s="2" t="s">
        <v>419</v>
      </c>
      <c r="K254">
        <v>20</v>
      </c>
      <c r="L254">
        <v>20</v>
      </c>
      <c r="M254">
        <v>20</v>
      </c>
    </row>
    <row r="255" spans="1:13" x14ac:dyDescent="0.25">
      <c r="A255" t="str">
        <f>"0831.T3INA"</f>
        <v>0831.T3INA</v>
      </c>
      <c r="B255" t="s">
        <v>418</v>
      </c>
      <c r="C255" t="s">
        <v>20</v>
      </c>
      <c r="D255" t="s">
        <v>296</v>
      </c>
      <c r="F255">
        <v>0</v>
      </c>
      <c r="G255" t="s">
        <v>16</v>
      </c>
      <c r="H255">
        <v>0</v>
      </c>
      <c r="I255" s="2" t="s">
        <v>297</v>
      </c>
      <c r="J255" s="2">
        <v>530023910</v>
      </c>
      <c r="K255">
        <v>20</v>
      </c>
      <c r="L255">
        <v>20</v>
      </c>
      <c r="M255">
        <v>20</v>
      </c>
    </row>
    <row r="256" spans="1:13" x14ac:dyDescent="0.25">
      <c r="A256" t="str">
        <f>"0831.T3SKF"</f>
        <v>0831.T3SKF</v>
      </c>
      <c r="B256" t="s">
        <v>418</v>
      </c>
      <c r="C256" t="s">
        <v>20</v>
      </c>
      <c r="D256" t="s">
        <v>296</v>
      </c>
      <c r="G256" t="s">
        <v>16</v>
      </c>
      <c r="H256">
        <v>0</v>
      </c>
      <c r="I256" s="2" t="s">
        <v>414</v>
      </c>
      <c r="J256" s="2" t="s">
        <v>420</v>
      </c>
      <c r="K256">
        <v>20</v>
      </c>
      <c r="L256">
        <v>20</v>
      </c>
      <c r="M256">
        <v>20</v>
      </c>
    </row>
    <row r="257" spans="1:13" x14ac:dyDescent="0.25">
      <c r="A257" t="str">
        <f>"0831.T5"</f>
        <v>0831.T5</v>
      </c>
      <c r="B257" t="s">
        <v>421</v>
      </c>
      <c r="C257" t="s">
        <v>20</v>
      </c>
      <c r="D257" t="s">
        <v>296</v>
      </c>
      <c r="F257">
        <v>1</v>
      </c>
      <c r="G257" t="s">
        <v>16</v>
      </c>
      <c r="H257">
        <v>0</v>
      </c>
      <c r="I257" s="2" t="s">
        <v>51</v>
      </c>
      <c r="J257" s="2" t="str">
        <f>"0831.T5"</f>
        <v>0831.T5</v>
      </c>
      <c r="K257">
        <v>20</v>
      </c>
      <c r="L257">
        <v>20</v>
      </c>
      <c r="M257">
        <v>20</v>
      </c>
    </row>
    <row r="258" spans="1:13" x14ac:dyDescent="0.25">
      <c r="A258" t="str">
        <f>"0831.T5SNR"</f>
        <v>0831.T5SNR</v>
      </c>
      <c r="B258" t="s">
        <v>422</v>
      </c>
      <c r="C258" t="s">
        <v>20</v>
      </c>
      <c r="D258" t="s">
        <v>296</v>
      </c>
      <c r="F258">
        <v>1</v>
      </c>
      <c r="G258" t="s">
        <v>16</v>
      </c>
      <c r="H258">
        <v>0</v>
      </c>
      <c r="I258" s="2" t="s">
        <v>408</v>
      </c>
      <c r="J258" s="2" t="s">
        <v>423</v>
      </c>
      <c r="K258">
        <v>20</v>
      </c>
      <c r="L258">
        <v>20</v>
      </c>
      <c r="M258">
        <v>20</v>
      </c>
    </row>
    <row r="259" spans="1:13" x14ac:dyDescent="0.25">
      <c r="A259" t="str">
        <f>"0831.V0-SET-SKF"</f>
        <v>0831.V0-SET-SKF</v>
      </c>
      <c r="B259" t="s">
        <v>424</v>
      </c>
      <c r="C259" t="s">
        <v>20</v>
      </c>
      <c r="D259" t="s">
        <v>296</v>
      </c>
      <c r="F259">
        <v>0</v>
      </c>
      <c r="G259" t="s">
        <v>16</v>
      </c>
      <c r="H259">
        <v>0</v>
      </c>
      <c r="I259" s="2" t="s">
        <v>400</v>
      </c>
      <c r="J259" s="2" t="s">
        <v>425</v>
      </c>
      <c r="K259">
        <v>20</v>
      </c>
      <c r="L259">
        <v>20</v>
      </c>
      <c r="M259">
        <v>20</v>
      </c>
    </row>
    <row r="260" spans="1:13" x14ac:dyDescent="0.25">
      <c r="A260" t="str">
        <f>"0831.V3ERP"</f>
        <v>0831.V3ERP</v>
      </c>
      <c r="B260" t="s">
        <v>426</v>
      </c>
      <c r="C260" t="s">
        <v>20</v>
      </c>
      <c r="D260" t="s">
        <v>296</v>
      </c>
      <c r="F260">
        <v>1</v>
      </c>
      <c r="G260" t="s">
        <v>16</v>
      </c>
      <c r="H260">
        <v>0</v>
      </c>
      <c r="I260" s="2" t="s">
        <v>389</v>
      </c>
      <c r="J260" s="2" t="s">
        <v>427</v>
      </c>
      <c r="K260">
        <v>20</v>
      </c>
      <c r="L260">
        <v>20</v>
      </c>
      <c r="M260">
        <v>20</v>
      </c>
    </row>
    <row r="261" spans="1:13" x14ac:dyDescent="0.25">
      <c r="A261" t="str">
        <f>"0831.V4DAYCO"</f>
        <v>0831.V4DAYCO</v>
      </c>
      <c r="B261" t="s">
        <v>428</v>
      </c>
      <c r="C261" t="s">
        <v>20</v>
      </c>
      <c r="D261" t="s">
        <v>296</v>
      </c>
      <c r="F261">
        <v>0</v>
      </c>
      <c r="G261" t="s">
        <v>16</v>
      </c>
      <c r="H261">
        <v>0</v>
      </c>
      <c r="I261" s="2" t="s">
        <v>411</v>
      </c>
      <c r="J261" s="2" t="s">
        <v>429</v>
      </c>
      <c r="K261">
        <v>20</v>
      </c>
      <c r="L261">
        <v>20</v>
      </c>
      <c r="M261">
        <v>20</v>
      </c>
    </row>
    <row r="262" spans="1:13" x14ac:dyDescent="0.25">
      <c r="A262" t="str">
        <f>"0831.V4ERP"</f>
        <v>0831.V4ERP</v>
      </c>
      <c r="B262" t="s">
        <v>428</v>
      </c>
      <c r="C262" t="s">
        <v>20</v>
      </c>
      <c r="D262" t="s">
        <v>296</v>
      </c>
      <c r="F262">
        <v>2</v>
      </c>
      <c r="G262" t="s">
        <v>16</v>
      </c>
      <c r="H262">
        <v>0</v>
      </c>
      <c r="I262" s="2" t="s">
        <v>392</v>
      </c>
      <c r="J262" s="2" t="s">
        <v>430</v>
      </c>
      <c r="K262">
        <v>20</v>
      </c>
      <c r="L262">
        <v>20</v>
      </c>
      <c r="M262">
        <v>20</v>
      </c>
    </row>
    <row r="263" spans="1:13" x14ac:dyDescent="0.25">
      <c r="A263" t="str">
        <f>"0831.V4GATES"</f>
        <v>0831.V4GATES</v>
      </c>
      <c r="B263" t="s">
        <v>428</v>
      </c>
      <c r="C263" t="s">
        <v>20</v>
      </c>
      <c r="D263" t="s">
        <v>296</v>
      </c>
      <c r="F263">
        <v>2</v>
      </c>
      <c r="G263" t="s">
        <v>16</v>
      </c>
      <c r="H263">
        <v>0</v>
      </c>
      <c r="I263" s="2" t="s">
        <v>431</v>
      </c>
      <c r="J263" s="2" t="s">
        <v>432</v>
      </c>
      <c r="K263">
        <v>20</v>
      </c>
      <c r="L263">
        <v>20</v>
      </c>
      <c r="M263">
        <v>20</v>
      </c>
    </row>
    <row r="264" spans="1:13" x14ac:dyDescent="0.25">
      <c r="A264" t="str">
        <f>"0831.V4SKF"</f>
        <v>0831.V4SKF</v>
      </c>
      <c r="B264" t="s">
        <v>428</v>
      </c>
      <c r="C264" t="s">
        <v>20</v>
      </c>
      <c r="D264" t="s">
        <v>296</v>
      </c>
      <c r="F264">
        <v>0</v>
      </c>
      <c r="G264" t="s">
        <v>16</v>
      </c>
      <c r="H264">
        <v>0</v>
      </c>
      <c r="I264" s="2" t="s">
        <v>400</v>
      </c>
      <c r="J264" s="2" t="s">
        <v>433</v>
      </c>
      <c r="K264">
        <v>20</v>
      </c>
      <c r="L264">
        <v>20</v>
      </c>
      <c r="M264">
        <v>20</v>
      </c>
    </row>
    <row r="265" spans="1:13" x14ac:dyDescent="0.25">
      <c r="A265" t="str">
        <f>"0903.65AE"</f>
        <v>0903.65AE</v>
      </c>
      <c r="B265" t="s">
        <v>434</v>
      </c>
      <c r="C265" t="s">
        <v>20</v>
      </c>
      <c r="F265">
        <v>8</v>
      </c>
      <c r="G265" t="s">
        <v>16</v>
      </c>
      <c r="H265">
        <v>0</v>
      </c>
      <c r="I265" s="2" t="s">
        <v>435</v>
      </c>
      <c r="J265" s="2" t="s">
        <v>436</v>
      </c>
      <c r="K265">
        <v>20</v>
      </c>
      <c r="L265">
        <v>20</v>
      </c>
      <c r="M265">
        <v>20</v>
      </c>
    </row>
    <row r="266" spans="1:13" x14ac:dyDescent="0.25">
      <c r="A266" t="str">
        <f>"0903.65INA"</f>
        <v>0903.65INA</v>
      </c>
      <c r="B266" t="s">
        <v>434</v>
      </c>
      <c r="C266" t="s">
        <v>20</v>
      </c>
      <c r="D266" t="s">
        <v>133</v>
      </c>
      <c r="F266">
        <v>8</v>
      </c>
      <c r="G266" t="s">
        <v>16</v>
      </c>
      <c r="H266">
        <v>0</v>
      </c>
      <c r="I266" s="2" t="s">
        <v>437</v>
      </c>
      <c r="J266" s="2">
        <v>422001810</v>
      </c>
      <c r="K266">
        <v>20</v>
      </c>
      <c r="L266">
        <v>20</v>
      </c>
      <c r="M266">
        <v>20</v>
      </c>
    </row>
    <row r="267" spans="1:13" x14ac:dyDescent="0.25">
      <c r="A267" t="str">
        <f>"0903.J6AE"</f>
        <v>0903.J6AE</v>
      </c>
      <c r="B267" t="s">
        <v>438</v>
      </c>
      <c r="C267" t="s">
        <v>20</v>
      </c>
      <c r="D267" t="s">
        <v>161</v>
      </c>
      <c r="G267" t="s">
        <v>16</v>
      </c>
      <c r="H267">
        <v>0</v>
      </c>
      <c r="I267" s="2" t="s">
        <v>435</v>
      </c>
      <c r="J267" s="2" t="s">
        <v>439</v>
      </c>
      <c r="K267">
        <v>20</v>
      </c>
      <c r="L267">
        <v>20</v>
      </c>
      <c r="M267">
        <v>20</v>
      </c>
    </row>
    <row r="268" spans="1:13" x14ac:dyDescent="0.25">
      <c r="A268" t="str">
        <f>"0942.87INA"</f>
        <v>0942.87INA</v>
      </c>
      <c r="B268" t="s">
        <v>440</v>
      </c>
      <c r="C268" t="s">
        <v>20</v>
      </c>
      <c r="G268" t="s">
        <v>16</v>
      </c>
      <c r="H268">
        <v>0</v>
      </c>
      <c r="I268" s="2" t="s">
        <v>297</v>
      </c>
      <c r="J268" s="2" t="s">
        <v>441</v>
      </c>
      <c r="K268">
        <v>20</v>
      </c>
      <c r="L268">
        <v>20</v>
      </c>
      <c r="M268">
        <v>20</v>
      </c>
    </row>
    <row r="269" spans="1:13" x14ac:dyDescent="0.25">
      <c r="A269" t="str">
        <f>"0948.58GÜNEŞ"</f>
        <v>0948.58GÜNEŞ</v>
      </c>
      <c r="B269" t="s">
        <v>442</v>
      </c>
      <c r="C269" t="s">
        <v>20</v>
      </c>
      <c r="D269" t="s">
        <v>133</v>
      </c>
      <c r="F269">
        <v>1</v>
      </c>
      <c r="G269" t="s">
        <v>16</v>
      </c>
      <c r="H269">
        <v>0</v>
      </c>
      <c r="I269" s="2" t="s">
        <v>443</v>
      </c>
      <c r="J269" s="2" t="s">
        <v>444</v>
      </c>
      <c r="K269">
        <v>20</v>
      </c>
      <c r="L269">
        <v>20</v>
      </c>
      <c r="M269">
        <v>20</v>
      </c>
    </row>
    <row r="270" spans="1:13" x14ac:dyDescent="0.25">
      <c r="A270" t="str">
        <f>"0948.59GÜNEŞ"</f>
        <v>0948.59GÜNEŞ</v>
      </c>
      <c r="B270" t="s">
        <v>445</v>
      </c>
      <c r="C270" t="s">
        <v>20</v>
      </c>
      <c r="D270" t="s">
        <v>133</v>
      </c>
      <c r="F270">
        <v>1</v>
      </c>
      <c r="G270" t="s">
        <v>22</v>
      </c>
      <c r="H270">
        <v>0</v>
      </c>
      <c r="I270" s="2" t="s">
        <v>443</v>
      </c>
      <c r="J270" s="2" t="s">
        <v>446</v>
      </c>
      <c r="K270">
        <v>20</v>
      </c>
      <c r="L270">
        <v>20</v>
      </c>
      <c r="M270">
        <v>20</v>
      </c>
    </row>
    <row r="271" spans="1:13" x14ac:dyDescent="0.25">
      <c r="A271" t="str">
        <f>"0948.59SUPSAN "</f>
        <v xml:space="preserve">0948.59SUPSAN </v>
      </c>
      <c r="B271" t="s">
        <v>447</v>
      </c>
      <c r="C271" t="s">
        <v>20</v>
      </c>
      <c r="D271" t="s">
        <v>133</v>
      </c>
      <c r="G271" t="s">
        <v>16</v>
      </c>
      <c r="H271">
        <v>0</v>
      </c>
      <c r="I271" s="2" t="s">
        <v>448</v>
      </c>
      <c r="J271" s="2" t="s">
        <v>449</v>
      </c>
      <c r="K271">
        <v>20</v>
      </c>
      <c r="L271">
        <v>20</v>
      </c>
      <c r="M271">
        <v>20</v>
      </c>
    </row>
    <row r="272" spans="1:13" x14ac:dyDescent="0.25">
      <c r="A272" t="str">
        <f>"0948.59TETİK"</f>
        <v>0948.59TETİK</v>
      </c>
      <c r="B272" t="s">
        <v>447</v>
      </c>
      <c r="C272" t="s">
        <v>20</v>
      </c>
      <c r="D272" t="s">
        <v>133</v>
      </c>
      <c r="F272">
        <v>0</v>
      </c>
      <c r="G272" t="s">
        <v>16</v>
      </c>
      <c r="H272">
        <v>0</v>
      </c>
      <c r="I272" s="2" t="s">
        <v>450</v>
      </c>
      <c r="J272" s="2" t="s">
        <v>451</v>
      </c>
      <c r="K272">
        <v>20</v>
      </c>
      <c r="L272">
        <v>20</v>
      </c>
      <c r="M272">
        <v>20</v>
      </c>
    </row>
    <row r="273" spans="1:13" x14ac:dyDescent="0.25">
      <c r="A273" t="str">
        <f>"0948.93GÜNEŞ"</f>
        <v>0948.93GÜNEŞ</v>
      </c>
      <c r="B273" t="s">
        <v>452</v>
      </c>
      <c r="C273" t="s">
        <v>20</v>
      </c>
      <c r="D273" t="s">
        <v>133</v>
      </c>
      <c r="F273">
        <v>1</v>
      </c>
      <c r="G273" t="s">
        <v>16</v>
      </c>
      <c r="H273">
        <v>0</v>
      </c>
      <c r="I273" s="2" t="s">
        <v>453</v>
      </c>
      <c r="J273" s="2" t="str">
        <f>"0819-4429"</f>
        <v>0819-4429</v>
      </c>
      <c r="K273">
        <v>20</v>
      </c>
      <c r="L273">
        <v>20</v>
      </c>
      <c r="M273">
        <v>20</v>
      </c>
    </row>
    <row r="274" spans="1:13" x14ac:dyDescent="0.25">
      <c r="A274" t="str">
        <f>"0948.95TETİK"</f>
        <v>0948.95TETİK</v>
      </c>
      <c r="B274" t="s">
        <v>454</v>
      </c>
      <c r="C274" t="s">
        <v>20</v>
      </c>
      <c r="D274" t="s">
        <v>133</v>
      </c>
      <c r="F274">
        <v>1</v>
      </c>
      <c r="G274" t="s">
        <v>16</v>
      </c>
      <c r="H274">
        <v>0</v>
      </c>
      <c r="I274" s="2" t="s">
        <v>455</v>
      </c>
      <c r="J274" s="2" t="s">
        <v>456</v>
      </c>
      <c r="K274">
        <v>20</v>
      </c>
      <c r="L274">
        <v>20</v>
      </c>
      <c r="M274">
        <v>20</v>
      </c>
    </row>
    <row r="275" spans="1:13" x14ac:dyDescent="0.25">
      <c r="A275" t="str">
        <f>"0948.C2WAX"</f>
        <v>0948.C2WAX</v>
      </c>
      <c r="B275" t="s">
        <v>457</v>
      </c>
      <c r="C275" t="s">
        <v>20</v>
      </c>
      <c r="F275">
        <v>1</v>
      </c>
      <c r="G275" t="s">
        <v>16</v>
      </c>
      <c r="H275">
        <v>0</v>
      </c>
      <c r="I275" s="2" t="s">
        <v>458</v>
      </c>
      <c r="J275" s="2" t="s">
        <v>459</v>
      </c>
      <c r="K275">
        <v>20</v>
      </c>
      <c r="L275">
        <v>20</v>
      </c>
      <c r="M275">
        <v>20</v>
      </c>
    </row>
    <row r="276" spans="1:13" x14ac:dyDescent="0.25">
      <c r="A276" t="str">
        <f>"0948.C7SUPSAN"</f>
        <v>0948.C7SUPSAN</v>
      </c>
      <c r="B276" t="s">
        <v>460</v>
      </c>
      <c r="C276" t="s">
        <v>20</v>
      </c>
      <c r="F276">
        <v>1</v>
      </c>
      <c r="G276" t="s">
        <v>16</v>
      </c>
      <c r="H276">
        <v>0</v>
      </c>
      <c r="I276" s="2" t="s">
        <v>139</v>
      </c>
      <c r="J276" s="2" t="s">
        <v>461</v>
      </c>
      <c r="K276">
        <v>20</v>
      </c>
      <c r="L276">
        <v>20</v>
      </c>
      <c r="M276">
        <v>20</v>
      </c>
    </row>
    <row r="277" spans="1:13" x14ac:dyDescent="0.25">
      <c r="A277" t="str">
        <f>"0949.E2GÜNEŞ"</f>
        <v>0949.E2GÜNEŞ</v>
      </c>
      <c r="B277" t="s">
        <v>462</v>
      </c>
      <c r="C277" t="s">
        <v>20</v>
      </c>
      <c r="D277" t="s">
        <v>133</v>
      </c>
      <c r="G277" t="s">
        <v>16</v>
      </c>
      <c r="H277">
        <v>0</v>
      </c>
      <c r="I277" s="2" t="s">
        <v>453</v>
      </c>
      <c r="J277" s="2" t="s">
        <v>463</v>
      </c>
      <c r="K277">
        <v>20</v>
      </c>
      <c r="L277">
        <v>20</v>
      </c>
      <c r="M277">
        <v>20</v>
      </c>
    </row>
    <row r="278" spans="1:13" x14ac:dyDescent="0.25">
      <c r="A278" t="str">
        <f>"0949.F5TETİK"</f>
        <v>0949.F5TETİK</v>
      </c>
      <c r="B278" t="s">
        <v>464</v>
      </c>
      <c r="C278" t="s">
        <v>20</v>
      </c>
      <c r="D278" t="s">
        <v>133</v>
      </c>
      <c r="F278">
        <v>1</v>
      </c>
      <c r="G278" t="s">
        <v>16</v>
      </c>
      <c r="H278">
        <v>0</v>
      </c>
      <c r="I278" s="2" t="s">
        <v>455</v>
      </c>
      <c r="J278" s="2" t="s">
        <v>465</v>
      </c>
      <c r="K278">
        <v>20</v>
      </c>
      <c r="L278">
        <v>20</v>
      </c>
      <c r="M278">
        <v>20</v>
      </c>
    </row>
    <row r="279" spans="1:13" x14ac:dyDescent="0.25">
      <c r="A279" t="str">
        <f>"0949.F9/F6WAX"</f>
        <v>0949.F9/F6WAX</v>
      </c>
      <c r="B279" t="s">
        <v>466</v>
      </c>
      <c r="C279" t="s">
        <v>20</v>
      </c>
      <c r="D279" t="s">
        <v>133</v>
      </c>
      <c r="F279">
        <v>1</v>
      </c>
      <c r="G279" t="s">
        <v>16</v>
      </c>
      <c r="H279">
        <v>0</v>
      </c>
      <c r="I279" s="2" t="s">
        <v>458</v>
      </c>
      <c r="J279" s="2" t="str">
        <f>"034E013637/3638"</f>
        <v>034E013637/3638</v>
      </c>
      <c r="K279">
        <v>20</v>
      </c>
      <c r="L279">
        <v>20</v>
      </c>
      <c r="M279">
        <v>20</v>
      </c>
    </row>
    <row r="280" spans="1:13" x14ac:dyDescent="0.25">
      <c r="A280" t="str">
        <f>"0956.22PAYEN"</f>
        <v>0956.22PAYEN</v>
      </c>
      <c r="B280" t="s">
        <v>467</v>
      </c>
      <c r="C280" t="s">
        <v>20</v>
      </c>
      <c r="D280" t="s">
        <v>26</v>
      </c>
      <c r="F280">
        <v>8</v>
      </c>
      <c r="G280" t="s">
        <v>16</v>
      </c>
      <c r="H280">
        <v>0</v>
      </c>
      <c r="I280" s="2" t="s">
        <v>104</v>
      </c>
      <c r="K280">
        <v>20</v>
      </c>
      <c r="L280">
        <v>20</v>
      </c>
      <c r="M280">
        <v>20</v>
      </c>
    </row>
    <row r="281" spans="1:13" x14ac:dyDescent="0.25">
      <c r="A281" t="str">
        <f>"0956.50PAYEN"</f>
        <v>0956.50PAYEN</v>
      </c>
      <c r="B281" t="s">
        <v>468</v>
      </c>
      <c r="C281" t="s">
        <v>20</v>
      </c>
      <c r="D281" t="s">
        <v>26</v>
      </c>
      <c r="F281">
        <v>8</v>
      </c>
      <c r="G281" t="s">
        <v>16</v>
      </c>
      <c r="H281">
        <v>0</v>
      </c>
      <c r="I281" s="2" t="s">
        <v>104</v>
      </c>
      <c r="K281">
        <v>20</v>
      </c>
      <c r="L281">
        <v>20</v>
      </c>
      <c r="M281">
        <v>20</v>
      </c>
    </row>
    <row r="282" spans="1:13" x14ac:dyDescent="0.25">
      <c r="A282" t="str">
        <f>"0956.52Y"</f>
        <v>0956.52Y</v>
      </c>
      <c r="B282" t="s">
        <v>469</v>
      </c>
      <c r="C282" t="s">
        <v>20</v>
      </c>
      <c r="D282" t="s">
        <v>26</v>
      </c>
      <c r="G282" t="s">
        <v>16</v>
      </c>
      <c r="H282">
        <v>0</v>
      </c>
      <c r="K282">
        <v>20</v>
      </c>
      <c r="L282">
        <v>20</v>
      </c>
      <c r="M282">
        <v>20</v>
      </c>
    </row>
    <row r="283" spans="1:13" x14ac:dyDescent="0.25">
      <c r="A283" t="s">
        <v>470</v>
      </c>
      <c r="B283" t="s">
        <v>471</v>
      </c>
      <c r="C283" t="s">
        <v>20</v>
      </c>
      <c r="D283" t="s">
        <v>133</v>
      </c>
      <c r="G283" t="s">
        <v>16</v>
      </c>
      <c r="H283">
        <v>0</v>
      </c>
      <c r="I283" s="2" t="s">
        <v>472</v>
      </c>
      <c r="J283" s="2" t="s">
        <v>473</v>
      </c>
      <c r="K283">
        <v>20</v>
      </c>
      <c r="L283">
        <v>20</v>
      </c>
      <c r="M283">
        <v>20</v>
      </c>
    </row>
    <row r="284" spans="1:13" x14ac:dyDescent="0.25">
      <c r="A284" t="s">
        <v>474</v>
      </c>
      <c r="B284" t="s">
        <v>470</v>
      </c>
      <c r="C284" t="s">
        <v>20</v>
      </c>
      <c r="D284" t="s">
        <v>133</v>
      </c>
      <c r="F284">
        <v>2</v>
      </c>
      <c r="G284" t="s">
        <v>16</v>
      </c>
      <c r="H284">
        <v>0</v>
      </c>
      <c r="I284" s="2" t="s">
        <v>450</v>
      </c>
      <c r="J284" s="2" t="s">
        <v>475</v>
      </c>
      <c r="K284">
        <v>20</v>
      </c>
      <c r="L284">
        <v>20</v>
      </c>
      <c r="M284">
        <v>20</v>
      </c>
    </row>
    <row r="285" spans="1:13" x14ac:dyDescent="0.25">
      <c r="A285" t="s">
        <v>476</v>
      </c>
      <c r="B285" t="s">
        <v>477</v>
      </c>
      <c r="C285" t="s">
        <v>20</v>
      </c>
      <c r="D285" t="s">
        <v>478</v>
      </c>
      <c r="F285">
        <v>0</v>
      </c>
      <c r="G285" t="s">
        <v>16</v>
      </c>
      <c r="H285">
        <v>0</v>
      </c>
      <c r="I285" s="2" t="s">
        <v>479</v>
      </c>
      <c r="J285" s="2" t="s">
        <v>480</v>
      </c>
      <c r="K285">
        <v>20</v>
      </c>
      <c r="L285">
        <v>20</v>
      </c>
      <c r="M285">
        <v>20</v>
      </c>
    </row>
    <row r="286" spans="1:13" x14ac:dyDescent="0.25">
      <c r="A286" t="s">
        <v>481</v>
      </c>
      <c r="B286" t="s">
        <v>482</v>
      </c>
      <c r="C286" t="s">
        <v>20</v>
      </c>
      <c r="D286" t="s">
        <v>478</v>
      </c>
      <c r="F286">
        <v>0</v>
      </c>
      <c r="G286" t="s">
        <v>16</v>
      </c>
      <c r="H286">
        <v>0</v>
      </c>
      <c r="I286" s="2" t="s">
        <v>479</v>
      </c>
      <c r="J286" s="2" t="s">
        <v>483</v>
      </c>
      <c r="K286">
        <v>20</v>
      </c>
      <c r="L286">
        <v>20</v>
      </c>
      <c r="M286">
        <v>20</v>
      </c>
    </row>
    <row r="287" spans="1:13" x14ac:dyDescent="0.25">
      <c r="A287" t="s">
        <v>484</v>
      </c>
      <c r="B287" t="s">
        <v>485</v>
      </c>
      <c r="C287" t="s">
        <v>20</v>
      </c>
      <c r="D287" t="s">
        <v>478</v>
      </c>
      <c r="F287">
        <v>0</v>
      </c>
      <c r="G287" t="s">
        <v>16</v>
      </c>
      <c r="H287">
        <v>0</v>
      </c>
      <c r="I287" s="2" t="s">
        <v>486</v>
      </c>
      <c r="J287" s="2">
        <v>62923211</v>
      </c>
      <c r="K287">
        <v>20</v>
      </c>
      <c r="L287">
        <v>20</v>
      </c>
      <c r="M287">
        <v>20</v>
      </c>
    </row>
    <row r="288" spans="1:13" x14ac:dyDescent="0.25">
      <c r="A288" t="s">
        <v>487</v>
      </c>
      <c r="B288" t="s">
        <v>488</v>
      </c>
      <c r="C288" t="s">
        <v>20</v>
      </c>
      <c r="D288" t="s">
        <v>478</v>
      </c>
      <c r="F288">
        <v>1</v>
      </c>
      <c r="G288" t="s">
        <v>16</v>
      </c>
      <c r="H288">
        <v>0</v>
      </c>
      <c r="I288" s="2" t="s">
        <v>238</v>
      </c>
      <c r="J288" s="2">
        <v>178555</v>
      </c>
      <c r="K288">
        <v>20</v>
      </c>
      <c r="L288">
        <v>20</v>
      </c>
      <c r="M288">
        <v>20</v>
      </c>
    </row>
    <row r="289" spans="1:13" x14ac:dyDescent="0.25">
      <c r="A289" t="s">
        <v>489</v>
      </c>
      <c r="B289" t="s">
        <v>490</v>
      </c>
      <c r="C289" t="s">
        <v>20</v>
      </c>
      <c r="F289">
        <v>2</v>
      </c>
      <c r="G289" t="s">
        <v>16</v>
      </c>
      <c r="H289">
        <v>0</v>
      </c>
      <c r="I289" s="2" t="s">
        <v>491</v>
      </c>
      <c r="J289" s="2">
        <v>359002100040</v>
      </c>
      <c r="K289">
        <v>20</v>
      </c>
      <c r="L289">
        <v>20</v>
      </c>
      <c r="M289">
        <v>20</v>
      </c>
    </row>
    <row r="290" spans="1:13" x14ac:dyDescent="0.25">
      <c r="A290" t="s">
        <v>492</v>
      </c>
      <c r="B290" t="s">
        <v>490</v>
      </c>
      <c r="C290" t="s">
        <v>20</v>
      </c>
      <c r="F290">
        <v>0</v>
      </c>
      <c r="G290" t="s">
        <v>16</v>
      </c>
      <c r="H290">
        <v>0</v>
      </c>
      <c r="I290" s="2" t="s">
        <v>493</v>
      </c>
      <c r="J290" s="2" t="s">
        <v>494</v>
      </c>
      <c r="K290">
        <v>20</v>
      </c>
      <c r="L290">
        <v>20</v>
      </c>
      <c r="M290">
        <v>20</v>
      </c>
    </row>
    <row r="291" spans="1:13" x14ac:dyDescent="0.25">
      <c r="A291">
        <v>1006293</v>
      </c>
      <c r="B291" t="s">
        <v>495</v>
      </c>
      <c r="C291" t="s">
        <v>496</v>
      </c>
      <c r="F291">
        <v>0</v>
      </c>
      <c r="G291" t="s">
        <v>16</v>
      </c>
      <c r="H291">
        <v>0</v>
      </c>
      <c r="I291" s="2" t="s">
        <v>497</v>
      </c>
      <c r="J291" s="2">
        <v>13286691</v>
      </c>
      <c r="K291">
        <v>20</v>
      </c>
      <c r="L291">
        <v>20</v>
      </c>
      <c r="M291">
        <v>20</v>
      </c>
    </row>
    <row r="292" spans="1:13" x14ac:dyDescent="0.25">
      <c r="A292" t="s">
        <v>498</v>
      </c>
      <c r="B292" t="s">
        <v>499</v>
      </c>
      <c r="C292" t="s">
        <v>496</v>
      </c>
      <c r="F292">
        <v>15</v>
      </c>
      <c r="G292" t="s">
        <v>16</v>
      </c>
      <c r="H292">
        <v>0</v>
      </c>
      <c r="I292" s="2" t="s">
        <v>500</v>
      </c>
      <c r="J292" s="2" t="s">
        <v>501</v>
      </c>
      <c r="K292">
        <v>20</v>
      </c>
      <c r="L292">
        <v>20</v>
      </c>
      <c r="M292">
        <v>20</v>
      </c>
    </row>
    <row r="293" spans="1:13" x14ac:dyDescent="0.25">
      <c r="A293" t="s">
        <v>502</v>
      </c>
      <c r="B293" t="s">
        <v>503</v>
      </c>
      <c r="C293" t="s">
        <v>496</v>
      </c>
      <c r="F293">
        <v>20</v>
      </c>
      <c r="G293" t="s">
        <v>16</v>
      </c>
      <c r="H293">
        <v>0</v>
      </c>
      <c r="I293" s="2" t="s">
        <v>504</v>
      </c>
      <c r="J293" s="2" t="s">
        <v>505</v>
      </c>
      <c r="K293">
        <v>20</v>
      </c>
      <c r="L293">
        <v>20</v>
      </c>
      <c r="M293">
        <v>20</v>
      </c>
    </row>
    <row r="294" spans="1:13" x14ac:dyDescent="0.25">
      <c r="A294" t="s">
        <v>506</v>
      </c>
      <c r="B294" t="s">
        <v>507</v>
      </c>
      <c r="C294" t="s">
        <v>151</v>
      </c>
      <c r="F294">
        <v>6</v>
      </c>
      <c r="G294" t="s">
        <v>16</v>
      </c>
      <c r="H294">
        <v>0</v>
      </c>
      <c r="I294" s="2" t="s">
        <v>508</v>
      </c>
      <c r="J294" s="2">
        <v>13598775</v>
      </c>
      <c r="K294">
        <v>20</v>
      </c>
      <c r="L294">
        <v>20</v>
      </c>
      <c r="M294">
        <v>20</v>
      </c>
    </row>
    <row r="295" spans="1:13" x14ac:dyDescent="0.25">
      <c r="A295" t="s">
        <v>509</v>
      </c>
      <c r="B295" t="s">
        <v>510</v>
      </c>
      <c r="C295" t="s">
        <v>20</v>
      </c>
      <c r="F295">
        <v>2</v>
      </c>
      <c r="G295" t="s">
        <v>16</v>
      </c>
      <c r="H295">
        <v>0</v>
      </c>
      <c r="I295" s="2" t="s">
        <v>511</v>
      </c>
      <c r="J295" s="2">
        <v>331007</v>
      </c>
      <c r="K295">
        <v>20</v>
      </c>
      <c r="L295">
        <v>20</v>
      </c>
      <c r="M295">
        <v>20</v>
      </c>
    </row>
    <row r="296" spans="1:13" x14ac:dyDescent="0.25">
      <c r="A296" t="s">
        <v>512</v>
      </c>
      <c r="B296" t="s">
        <v>513</v>
      </c>
      <c r="C296" t="s">
        <v>14</v>
      </c>
      <c r="D296" t="s">
        <v>191</v>
      </c>
      <c r="F296">
        <v>1</v>
      </c>
      <c r="G296" t="s">
        <v>16</v>
      </c>
      <c r="H296">
        <v>0</v>
      </c>
      <c r="I296" s="2" t="s">
        <v>514</v>
      </c>
      <c r="J296" s="2" t="s">
        <v>515</v>
      </c>
      <c r="K296">
        <v>20</v>
      </c>
      <c r="L296">
        <v>20</v>
      </c>
      <c r="M296">
        <v>20</v>
      </c>
    </row>
    <row r="297" spans="1:13" x14ac:dyDescent="0.25">
      <c r="A297" t="s">
        <v>516</v>
      </c>
      <c r="B297" t="s">
        <v>517</v>
      </c>
      <c r="C297" t="s">
        <v>20</v>
      </c>
      <c r="F297">
        <v>1</v>
      </c>
      <c r="G297" t="s">
        <v>16</v>
      </c>
      <c r="H297">
        <v>0</v>
      </c>
      <c r="I297" s="2" t="s">
        <v>248</v>
      </c>
      <c r="J297" s="2" t="str">
        <f>"09349"</f>
        <v>09349</v>
      </c>
      <c r="K297">
        <v>20</v>
      </c>
      <c r="L297">
        <v>20</v>
      </c>
      <c r="M297">
        <v>20</v>
      </c>
    </row>
    <row r="298" spans="1:13" x14ac:dyDescent="0.25">
      <c r="A298" t="s">
        <v>518</v>
      </c>
      <c r="B298" t="s">
        <v>519</v>
      </c>
      <c r="C298" t="s">
        <v>20</v>
      </c>
      <c r="D298" t="s">
        <v>478</v>
      </c>
      <c r="F298">
        <v>1</v>
      </c>
      <c r="G298" t="s">
        <v>16</v>
      </c>
      <c r="H298">
        <v>0</v>
      </c>
      <c r="I298" s="2" t="s">
        <v>51</v>
      </c>
      <c r="J298" s="2" t="s">
        <v>518</v>
      </c>
      <c r="K298">
        <v>20</v>
      </c>
      <c r="L298">
        <v>20</v>
      </c>
      <c r="M298">
        <v>20</v>
      </c>
    </row>
    <row r="299" spans="1:13" x14ac:dyDescent="0.25">
      <c r="A299" t="s">
        <v>520</v>
      </c>
      <c r="B299" t="s">
        <v>521</v>
      </c>
      <c r="C299" t="s">
        <v>20</v>
      </c>
      <c r="F299">
        <v>3</v>
      </c>
      <c r="G299" t="s">
        <v>16</v>
      </c>
      <c r="H299">
        <v>0</v>
      </c>
      <c r="I299" s="2" t="s">
        <v>522</v>
      </c>
      <c r="J299" s="2" t="str">
        <f>"0810404"</f>
        <v>0810404</v>
      </c>
      <c r="K299">
        <v>20</v>
      </c>
      <c r="L299">
        <v>20</v>
      </c>
      <c r="M299">
        <v>20</v>
      </c>
    </row>
    <row r="300" spans="1:13" x14ac:dyDescent="0.25">
      <c r="A300" t="s">
        <v>523</v>
      </c>
      <c r="B300" t="s">
        <v>524</v>
      </c>
      <c r="C300" t="s">
        <v>20</v>
      </c>
      <c r="F300">
        <v>0</v>
      </c>
      <c r="G300" t="s">
        <v>16</v>
      </c>
      <c r="H300">
        <v>0</v>
      </c>
      <c r="I300" s="2" t="s">
        <v>525</v>
      </c>
      <c r="J300" s="2">
        <v>9505</v>
      </c>
      <c r="K300">
        <v>20</v>
      </c>
      <c r="L300">
        <v>20</v>
      </c>
      <c r="M300">
        <v>20</v>
      </c>
    </row>
    <row r="301" spans="1:13" x14ac:dyDescent="0.25">
      <c r="A301" t="s">
        <v>526</v>
      </c>
      <c r="B301" t="s">
        <v>527</v>
      </c>
      <c r="C301" t="s">
        <v>20</v>
      </c>
      <c r="F301">
        <v>4</v>
      </c>
      <c r="G301" t="s">
        <v>16</v>
      </c>
      <c r="H301">
        <v>0</v>
      </c>
      <c r="I301" s="2" t="s">
        <v>525</v>
      </c>
      <c r="J301" s="2">
        <v>2184</v>
      </c>
      <c r="K301">
        <v>20</v>
      </c>
      <c r="L301">
        <v>20</v>
      </c>
      <c r="M301">
        <v>20</v>
      </c>
    </row>
    <row r="302" spans="1:13" x14ac:dyDescent="0.25">
      <c r="A302" t="s">
        <v>528</v>
      </c>
      <c r="B302" t="s">
        <v>529</v>
      </c>
      <c r="C302" t="s">
        <v>20</v>
      </c>
      <c r="F302">
        <v>12</v>
      </c>
      <c r="G302" t="s">
        <v>16</v>
      </c>
      <c r="H302">
        <v>0</v>
      </c>
      <c r="I302" s="2" t="s">
        <v>530</v>
      </c>
      <c r="J302" s="2" t="s">
        <v>531</v>
      </c>
      <c r="K302">
        <v>20</v>
      </c>
      <c r="L302">
        <v>20</v>
      </c>
      <c r="M302">
        <v>20</v>
      </c>
    </row>
    <row r="303" spans="1:13" x14ac:dyDescent="0.25">
      <c r="A303" t="s">
        <v>532</v>
      </c>
      <c r="B303" t="s">
        <v>533</v>
      </c>
      <c r="C303" t="s">
        <v>20</v>
      </c>
      <c r="F303">
        <v>18</v>
      </c>
      <c r="G303" t="s">
        <v>16</v>
      </c>
      <c r="H303">
        <v>0</v>
      </c>
      <c r="I303" s="2" t="s">
        <v>530</v>
      </c>
      <c r="J303" s="2" t="s">
        <v>531</v>
      </c>
      <c r="K303">
        <v>20</v>
      </c>
      <c r="L303">
        <v>20</v>
      </c>
      <c r="M303">
        <v>20</v>
      </c>
    </row>
    <row r="304" spans="1:13" x14ac:dyDescent="0.25">
      <c r="A304" t="s">
        <v>534</v>
      </c>
      <c r="B304" t="s">
        <v>535</v>
      </c>
      <c r="C304" t="s">
        <v>20</v>
      </c>
      <c r="F304">
        <v>52</v>
      </c>
      <c r="G304" t="s">
        <v>16</v>
      </c>
      <c r="H304">
        <v>0</v>
      </c>
      <c r="I304" s="2" t="s">
        <v>530</v>
      </c>
      <c r="J304" s="2" t="s">
        <v>531</v>
      </c>
      <c r="K304">
        <v>20</v>
      </c>
      <c r="L304">
        <v>20</v>
      </c>
      <c r="M304">
        <v>20</v>
      </c>
    </row>
    <row r="305" spans="1:13" x14ac:dyDescent="0.25">
      <c r="A305" t="s">
        <v>536</v>
      </c>
      <c r="B305" t="s">
        <v>537</v>
      </c>
      <c r="C305" t="s">
        <v>20</v>
      </c>
      <c r="F305">
        <v>0</v>
      </c>
      <c r="G305" t="s">
        <v>16</v>
      </c>
      <c r="H305">
        <v>0</v>
      </c>
      <c r="I305" s="2" t="s">
        <v>525</v>
      </c>
      <c r="J305" s="2">
        <v>8909</v>
      </c>
      <c r="K305">
        <v>20</v>
      </c>
      <c r="L305">
        <v>20</v>
      </c>
      <c r="M305">
        <v>20</v>
      </c>
    </row>
    <row r="306" spans="1:13" x14ac:dyDescent="0.25">
      <c r="A306" t="s">
        <v>538</v>
      </c>
      <c r="B306" t="s">
        <v>539</v>
      </c>
      <c r="C306" t="s">
        <v>540</v>
      </c>
      <c r="G306" t="s">
        <v>16</v>
      </c>
      <c r="H306">
        <v>0</v>
      </c>
      <c r="I306" s="2" t="s">
        <v>541</v>
      </c>
      <c r="J306" s="2" t="str">
        <f>"00741011"</f>
        <v>00741011</v>
      </c>
      <c r="K306">
        <v>20</v>
      </c>
      <c r="L306">
        <v>20</v>
      </c>
      <c r="M306">
        <v>20</v>
      </c>
    </row>
    <row r="307" spans="1:13" x14ac:dyDescent="0.25">
      <c r="A307" t="s">
        <v>542</v>
      </c>
      <c r="B307" t="s">
        <v>543</v>
      </c>
      <c r="C307" t="s">
        <v>540</v>
      </c>
      <c r="F307">
        <v>0</v>
      </c>
      <c r="G307" t="s">
        <v>16</v>
      </c>
      <c r="H307">
        <v>0</v>
      </c>
      <c r="I307" s="2" t="s">
        <v>541</v>
      </c>
      <c r="J307" s="2" t="str">
        <f>"00742011"</f>
        <v>00742011</v>
      </c>
      <c r="K307">
        <v>20</v>
      </c>
      <c r="L307">
        <v>20</v>
      </c>
      <c r="M307">
        <v>20</v>
      </c>
    </row>
    <row r="308" spans="1:13" x14ac:dyDescent="0.25">
      <c r="A308" t="s">
        <v>544</v>
      </c>
      <c r="B308" t="s">
        <v>543</v>
      </c>
      <c r="C308" t="s">
        <v>540</v>
      </c>
      <c r="F308">
        <v>0</v>
      </c>
      <c r="G308" t="s">
        <v>16</v>
      </c>
      <c r="H308">
        <v>0</v>
      </c>
      <c r="I308" s="2" t="s">
        <v>545</v>
      </c>
      <c r="J308" s="2" t="s">
        <v>546</v>
      </c>
      <c r="K308">
        <v>20</v>
      </c>
      <c r="L308">
        <v>20</v>
      </c>
      <c r="M308">
        <v>20</v>
      </c>
    </row>
    <row r="309" spans="1:13" x14ac:dyDescent="0.25">
      <c r="A309" t="s">
        <v>547</v>
      </c>
      <c r="B309" t="s">
        <v>548</v>
      </c>
      <c r="C309" t="s">
        <v>540</v>
      </c>
      <c r="G309" t="s">
        <v>16</v>
      </c>
      <c r="H309">
        <v>0</v>
      </c>
      <c r="I309" s="2" t="s">
        <v>549</v>
      </c>
      <c r="J309" s="2" t="s">
        <v>550</v>
      </c>
      <c r="K309">
        <v>20</v>
      </c>
      <c r="L309">
        <v>20</v>
      </c>
      <c r="M309">
        <v>20</v>
      </c>
    </row>
    <row r="310" spans="1:13" x14ac:dyDescent="0.25">
      <c r="A310" t="s">
        <v>551</v>
      </c>
      <c r="B310" t="s">
        <v>548</v>
      </c>
      <c r="C310" t="s">
        <v>540</v>
      </c>
      <c r="F310">
        <v>1</v>
      </c>
      <c r="G310" t="s">
        <v>16</v>
      </c>
      <c r="H310">
        <v>0</v>
      </c>
      <c r="I310" s="2" t="s">
        <v>552</v>
      </c>
      <c r="J310" s="2" t="s">
        <v>553</v>
      </c>
      <c r="K310">
        <v>20</v>
      </c>
      <c r="L310">
        <v>20</v>
      </c>
      <c r="M310">
        <v>20</v>
      </c>
    </row>
    <row r="311" spans="1:13" x14ac:dyDescent="0.25">
      <c r="A311" t="s">
        <v>554</v>
      </c>
      <c r="B311" t="s">
        <v>556</v>
      </c>
      <c r="C311" t="s">
        <v>540</v>
      </c>
      <c r="G311" t="s">
        <v>16</v>
      </c>
      <c r="H311">
        <v>0</v>
      </c>
      <c r="I311" s="2" t="s">
        <v>549</v>
      </c>
      <c r="J311" s="2" t="s">
        <v>555</v>
      </c>
      <c r="K311">
        <v>20</v>
      </c>
      <c r="L311">
        <v>20</v>
      </c>
      <c r="M311">
        <v>20</v>
      </c>
    </row>
    <row r="312" spans="1:13" x14ac:dyDescent="0.25">
      <c r="A312" t="s">
        <v>557</v>
      </c>
      <c r="B312" t="s">
        <v>558</v>
      </c>
      <c r="C312" t="s">
        <v>540</v>
      </c>
      <c r="F312">
        <v>1</v>
      </c>
      <c r="G312" t="s">
        <v>16</v>
      </c>
      <c r="H312">
        <v>0</v>
      </c>
      <c r="I312" s="2" t="s">
        <v>552</v>
      </c>
      <c r="J312" s="2" t="s">
        <v>559</v>
      </c>
      <c r="K312">
        <v>20</v>
      </c>
      <c r="L312">
        <v>20</v>
      </c>
      <c r="M312">
        <v>20</v>
      </c>
    </row>
    <row r="313" spans="1:13" x14ac:dyDescent="0.25">
      <c r="A313" t="s">
        <v>560</v>
      </c>
      <c r="B313" t="s">
        <v>561</v>
      </c>
      <c r="C313" t="s">
        <v>540</v>
      </c>
      <c r="D313" t="s">
        <v>562</v>
      </c>
      <c r="G313" t="s">
        <v>16</v>
      </c>
      <c r="H313">
        <v>0</v>
      </c>
      <c r="I313" s="2" t="s">
        <v>552</v>
      </c>
      <c r="J313" s="2" t="s">
        <v>563</v>
      </c>
      <c r="K313">
        <v>20</v>
      </c>
      <c r="L313">
        <v>20</v>
      </c>
      <c r="M313">
        <v>20</v>
      </c>
    </row>
    <row r="314" spans="1:13" x14ac:dyDescent="0.25">
      <c r="A314" t="s">
        <v>564</v>
      </c>
      <c r="B314" t="s">
        <v>565</v>
      </c>
      <c r="C314" t="s">
        <v>540</v>
      </c>
      <c r="F314">
        <v>1</v>
      </c>
      <c r="G314" t="s">
        <v>16</v>
      </c>
      <c r="H314">
        <v>0</v>
      </c>
      <c r="I314" s="2" t="s">
        <v>545</v>
      </c>
      <c r="J314" s="2" t="s">
        <v>566</v>
      </c>
      <c r="K314">
        <v>20</v>
      </c>
      <c r="L314">
        <v>20</v>
      </c>
      <c r="M314">
        <v>20</v>
      </c>
    </row>
    <row r="315" spans="1:13" x14ac:dyDescent="0.25">
      <c r="A315" t="s">
        <v>567</v>
      </c>
      <c r="B315" t="s">
        <v>568</v>
      </c>
      <c r="C315" t="s">
        <v>540</v>
      </c>
      <c r="D315" t="s">
        <v>562</v>
      </c>
      <c r="G315" t="s">
        <v>16</v>
      </c>
      <c r="H315">
        <v>0</v>
      </c>
      <c r="I315" s="2" t="s">
        <v>552</v>
      </c>
      <c r="J315" s="2" t="s">
        <v>569</v>
      </c>
      <c r="K315">
        <v>20</v>
      </c>
      <c r="L315">
        <v>20</v>
      </c>
      <c r="M315">
        <v>20</v>
      </c>
    </row>
    <row r="316" spans="1:13" x14ac:dyDescent="0.25">
      <c r="A316" t="s">
        <v>570</v>
      </c>
      <c r="B316" t="s">
        <v>571</v>
      </c>
      <c r="C316" t="s">
        <v>540</v>
      </c>
      <c r="F316">
        <v>1</v>
      </c>
      <c r="G316" t="s">
        <v>16</v>
      </c>
      <c r="H316">
        <v>0</v>
      </c>
      <c r="I316" s="2" t="s">
        <v>545</v>
      </c>
      <c r="J316" s="2" t="s">
        <v>572</v>
      </c>
      <c r="K316">
        <v>20</v>
      </c>
      <c r="L316">
        <v>20</v>
      </c>
      <c r="M316">
        <v>20</v>
      </c>
    </row>
    <row r="317" spans="1:13" x14ac:dyDescent="0.25">
      <c r="A317" t="s">
        <v>573</v>
      </c>
      <c r="B317" t="s">
        <v>574</v>
      </c>
      <c r="C317" t="s">
        <v>540</v>
      </c>
      <c r="F317">
        <v>1</v>
      </c>
      <c r="G317" t="s">
        <v>16</v>
      </c>
      <c r="H317">
        <v>0</v>
      </c>
      <c r="I317" s="2" t="s">
        <v>64</v>
      </c>
      <c r="J317" s="2" t="str">
        <f>"09050380"</f>
        <v>09050380</v>
      </c>
      <c r="K317">
        <v>20</v>
      </c>
      <c r="L317">
        <v>20</v>
      </c>
      <c r="M317">
        <v>20</v>
      </c>
    </row>
    <row r="318" spans="1:13" x14ac:dyDescent="0.25">
      <c r="A318" t="s">
        <v>575</v>
      </c>
      <c r="B318" t="s">
        <v>576</v>
      </c>
      <c r="C318" t="s">
        <v>540</v>
      </c>
      <c r="G318" t="s">
        <v>16</v>
      </c>
      <c r="H318">
        <v>0</v>
      </c>
      <c r="I318" s="2" t="s">
        <v>64</v>
      </c>
      <c r="J318" s="2" t="str">
        <f>"09050381"</f>
        <v>09050381</v>
      </c>
      <c r="K318">
        <v>20</v>
      </c>
      <c r="L318">
        <v>20</v>
      </c>
      <c r="M318">
        <v>20</v>
      </c>
    </row>
    <row r="319" spans="1:13" x14ac:dyDescent="0.25">
      <c r="A319" t="s">
        <v>577</v>
      </c>
      <c r="B319" t="s">
        <v>578</v>
      </c>
      <c r="C319" t="s">
        <v>540</v>
      </c>
      <c r="G319" t="s">
        <v>16</v>
      </c>
      <c r="H319">
        <v>0</v>
      </c>
      <c r="I319" s="2" t="s">
        <v>579</v>
      </c>
      <c r="J319" s="2" t="s">
        <v>580</v>
      </c>
      <c r="K319">
        <v>20</v>
      </c>
      <c r="L319">
        <v>20</v>
      </c>
      <c r="M319">
        <v>20</v>
      </c>
    </row>
    <row r="320" spans="1:13" x14ac:dyDescent="0.25">
      <c r="A320" t="s">
        <v>581</v>
      </c>
      <c r="B320" t="s">
        <v>582</v>
      </c>
      <c r="C320" t="s">
        <v>540</v>
      </c>
      <c r="F320">
        <v>1</v>
      </c>
      <c r="G320" t="s">
        <v>16</v>
      </c>
      <c r="H320">
        <v>0</v>
      </c>
      <c r="I320" s="2" t="s">
        <v>541</v>
      </c>
      <c r="J320" s="2" t="str">
        <f>"00735012"</f>
        <v>00735012</v>
      </c>
      <c r="K320">
        <v>20</v>
      </c>
      <c r="L320">
        <v>20</v>
      </c>
      <c r="M320">
        <v>20</v>
      </c>
    </row>
    <row r="321" spans="1:13" x14ac:dyDescent="0.25">
      <c r="A321" t="s">
        <v>583</v>
      </c>
      <c r="B321" t="s">
        <v>584</v>
      </c>
      <c r="C321" t="s">
        <v>540</v>
      </c>
      <c r="F321">
        <v>0</v>
      </c>
      <c r="G321" t="s">
        <v>16</v>
      </c>
      <c r="H321">
        <v>0</v>
      </c>
      <c r="I321" s="2" t="s">
        <v>541</v>
      </c>
      <c r="J321" s="2" t="str">
        <f>"00742012"</f>
        <v>00742012</v>
      </c>
      <c r="K321">
        <v>20</v>
      </c>
      <c r="L321">
        <v>20</v>
      </c>
      <c r="M321">
        <v>20</v>
      </c>
    </row>
    <row r="322" spans="1:13" x14ac:dyDescent="0.25">
      <c r="A322" t="s">
        <v>585</v>
      </c>
      <c r="B322" t="s">
        <v>586</v>
      </c>
      <c r="C322" t="s">
        <v>540</v>
      </c>
      <c r="F322">
        <v>1</v>
      </c>
      <c r="G322" t="s">
        <v>16</v>
      </c>
      <c r="H322">
        <v>0</v>
      </c>
      <c r="I322" s="2" t="s">
        <v>587</v>
      </c>
      <c r="J322" s="2" t="s">
        <v>588</v>
      </c>
      <c r="K322">
        <v>20</v>
      </c>
      <c r="L322">
        <v>20</v>
      </c>
      <c r="M322">
        <v>20</v>
      </c>
    </row>
    <row r="323" spans="1:13" x14ac:dyDescent="0.25">
      <c r="A323" t="s">
        <v>589</v>
      </c>
      <c r="B323" t="s">
        <v>590</v>
      </c>
      <c r="C323" t="s">
        <v>14</v>
      </c>
      <c r="D323" t="s">
        <v>293</v>
      </c>
      <c r="F323">
        <v>1</v>
      </c>
      <c r="G323" t="s">
        <v>16</v>
      </c>
      <c r="H323">
        <v>0</v>
      </c>
      <c r="I323" s="2" t="s">
        <v>591</v>
      </c>
      <c r="J323" s="2">
        <v>441003</v>
      </c>
      <c r="K323">
        <v>20</v>
      </c>
      <c r="L323">
        <v>20</v>
      </c>
      <c r="M323">
        <v>20</v>
      </c>
    </row>
    <row r="324" spans="1:13" x14ac:dyDescent="0.25">
      <c r="A324" t="s">
        <v>592</v>
      </c>
      <c r="B324" t="s">
        <v>590</v>
      </c>
      <c r="C324" t="s">
        <v>14</v>
      </c>
      <c r="F324">
        <v>1</v>
      </c>
      <c r="G324" t="s">
        <v>16</v>
      </c>
      <c r="H324">
        <v>0</v>
      </c>
      <c r="K324">
        <v>20</v>
      </c>
      <c r="L324">
        <v>20</v>
      </c>
      <c r="M324">
        <v>20</v>
      </c>
    </row>
    <row r="325" spans="1:13" x14ac:dyDescent="0.25">
      <c r="A325" t="s">
        <v>593</v>
      </c>
      <c r="B325" t="s">
        <v>594</v>
      </c>
      <c r="C325" t="s">
        <v>20</v>
      </c>
      <c r="D325" t="s">
        <v>26</v>
      </c>
      <c r="F325">
        <v>1</v>
      </c>
      <c r="G325" t="s">
        <v>22</v>
      </c>
      <c r="H325">
        <v>0</v>
      </c>
      <c r="I325" s="2" t="s">
        <v>243</v>
      </c>
      <c r="J325" s="2">
        <v>17597</v>
      </c>
      <c r="K325">
        <v>20</v>
      </c>
      <c r="L325">
        <v>20</v>
      </c>
      <c r="M325">
        <v>20</v>
      </c>
    </row>
    <row r="326" spans="1:13" x14ac:dyDescent="0.25">
      <c r="A326" t="s">
        <v>595</v>
      </c>
      <c r="B326" t="s">
        <v>596</v>
      </c>
      <c r="C326" t="s">
        <v>20</v>
      </c>
      <c r="D326" t="s">
        <v>597</v>
      </c>
      <c r="G326" t="s">
        <v>16</v>
      </c>
      <c r="H326">
        <v>0</v>
      </c>
      <c r="I326" s="2" t="s">
        <v>598</v>
      </c>
      <c r="J326" s="2">
        <v>344505</v>
      </c>
      <c r="K326">
        <v>20</v>
      </c>
      <c r="L326">
        <v>20</v>
      </c>
      <c r="M326">
        <v>20</v>
      </c>
    </row>
    <row r="327" spans="1:13" x14ac:dyDescent="0.25">
      <c r="A327" t="s">
        <v>599</v>
      </c>
      <c r="B327" t="s">
        <v>596</v>
      </c>
      <c r="C327" t="s">
        <v>20</v>
      </c>
      <c r="D327" t="s">
        <v>597</v>
      </c>
      <c r="F327">
        <v>1</v>
      </c>
      <c r="G327" t="s">
        <v>16</v>
      </c>
      <c r="H327">
        <v>0</v>
      </c>
      <c r="I327" s="2" t="s">
        <v>491</v>
      </c>
      <c r="J327" s="2">
        <v>359001601950</v>
      </c>
      <c r="K327">
        <v>20</v>
      </c>
      <c r="L327">
        <v>20</v>
      </c>
      <c r="M327">
        <v>20</v>
      </c>
    </row>
    <row r="328" spans="1:13" x14ac:dyDescent="0.25">
      <c r="A328" t="s">
        <v>600</v>
      </c>
      <c r="B328" t="s">
        <v>596</v>
      </c>
      <c r="C328" t="s">
        <v>20</v>
      </c>
      <c r="D328" t="s">
        <v>597</v>
      </c>
      <c r="G328" t="s">
        <v>16</v>
      </c>
      <c r="H328">
        <v>0</v>
      </c>
      <c r="I328" s="2" t="s">
        <v>162</v>
      </c>
      <c r="J328" s="2">
        <v>63600</v>
      </c>
      <c r="K328">
        <v>20</v>
      </c>
      <c r="L328">
        <v>20</v>
      </c>
      <c r="M328">
        <v>20</v>
      </c>
    </row>
    <row r="329" spans="1:13" x14ac:dyDescent="0.25">
      <c r="A329" t="s">
        <v>601</v>
      </c>
      <c r="B329" t="s">
        <v>602</v>
      </c>
      <c r="C329" t="s">
        <v>20</v>
      </c>
      <c r="F329">
        <v>1</v>
      </c>
      <c r="G329" t="s">
        <v>16</v>
      </c>
      <c r="H329">
        <v>0</v>
      </c>
      <c r="I329" s="2" t="s">
        <v>511</v>
      </c>
      <c r="J329" s="2">
        <v>331003</v>
      </c>
      <c r="K329">
        <v>20</v>
      </c>
      <c r="L329">
        <v>20</v>
      </c>
      <c r="M329">
        <v>20</v>
      </c>
    </row>
    <row r="330" spans="1:13" x14ac:dyDescent="0.25">
      <c r="A330" t="s">
        <v>603</v>
      </c>
      <c r="B330" t="s">
        <v>602</v>
      </c>
      <c r="C330" t="s">
        <v>14</v>
      </c>
      <c r="F330">
        <v>1</v>
      </c>
      <c r="G330" t="s">
        <v>16</v>
      </c>
      <c r="H330">
        <v>0</v>
      </c>
      <c r="K330">
        <v>20</v>
      </c>
      <c r="L330">
        <v>20</v>
      </c>
      <c r="M330">
        <v>20</v>
      </c>
    </row>
    <row r="331" spans="1:13" x14ac:dyDescent="0.25">
      <c r="A331" t="s">
        <v>604</v>
      </c>
      <c r="B331" t="s">
        <v>605</v>
      </c>
      <c r="C331" t="s">
        <v>20</v>
      </c>
      <c r="D331" t="s">
        <v>597</v>
      </c>
      <c r="F331">
        <v>0</v>
      </c>
      <c r="G331" t="s">
        <v>16</v>
      </c>
      <c r="H331">
        <v>0</v>
      </c>
      <c r="I331" s="2" t="s">
        <v>51</v>
      </c>
      <c r="J331" s="2" t="s">
        <v>604</v>
      </c>
      <c r="K331">
        <v>20</v>
      </c>
      <c r="L331">
        <v>20</v>
      </c>
      <c r="M331">
        <v>20</v>
      </c>
    </row>
    <row r="332" spans="1:13" x14ac:dyDescent="0.25">
      <c r="A332" t="s">
        <v>606</v>
      </c>
      <c r="B332" t="s">
        <v>607</v>
      </c>
      <c r="C332" t="s">
        <v>20</v>
      </c>
      <c r="F332">
        <v>2</v>
      </c>
      <c r="G332" t="s">
        <v>16</v>
      </c>
      <c r="H332">
        <v>0</v>
      </c>
      <c r="I332" s="2" t="s">
        <v>511</v>
      </c>
      <c r="J332" s="2">
        <v>441002</v>
      </c>
      <c r="K332">
        <v>20</v>
      </c>
      <c r="L332">
        <v>20</v>
      </c>
      <c r="M332">
        <v>20</v>
      </c>
    </row>
    <row r="333" spans="1:13" x14ac:dyDescent="0.25">
      <c r="A333" t="s">
        <v>608</v>
      </c>
      <c r="B333" t="s">
        <v>609</v>
      </c>
      <c r="C333" t="s">
        <v>20</v>
      </c>
      <c r="F333">
        <v>2</v>
      </c>
      <c r="G333" t="s">
        <v>16</v>
      </c>
      <c r="H333">
        <v>0</v>
      </c>
      <c r="I333" s="2" t="s">
        <v>610</v>
      </c>
      <c r="J333" s="2">
        <v>343490</v>
      </c>
      <c r="K333">
        <v>20</v>
      </c>
      <c r="L333">
        <v>20</v>
      </c>
      <c r="M333">
        <v>20</v>
      </c>
    </row>
    <row r="334" spans="1:13" x14ac:dyDescent="0.25">
      <c r="A334" t="s">
        <v>611</v>
      </c>
      <c r="B334" t="s">
        <v>612</v>
      </c>
      <c r="C334" t="s">
        <v>20</v>
      </c>
      <c r="D334" t="s">
        <v>26</v>
      </c>
      <c r="G334" t="s">
        <v>16</v>
      </c>
      <c r="H334">
        <v>0</v>
      </c>
      <c r="I334" s="2" t="s">
        <v>613</v>
      </c>
      <c r="J334" s="2" t="s">
        <v>614</v>
      </c>
      <c r="K334">
        <v>20</v>
      </c>
      <c r="L334">
        <v>20</v>
      </c>
      <c r="M334">
        <v>20</v>
      </c>
    </row>
    <row r="335" spans="1:13" x14ac:dyDescent="0.25">
      <c r="A335" t="s">
        <v>615</v>
      </c>
      <c r="B335" t="s">
        <v>616</v>
      </c>
      <c r="C335" t="s">
        <v>20</v>
      </c>
      <c r="D335" t="s">
        <v>597</v>
      </c>
      <c r="F335">
        <v>1</v>
      </c>
      <c r="G335" t="s">
        <v>16</v>
      </c>
      <c r="H335">
        <v>0</v>
      </c>
      <c r="I335" s="2" t="s">
        <v>87</v>
      </c>
      <c r="J335" s="2" t="s">
        <v>617</v>
      </c>
      <c r="K335">
        <v>20</v>
      </c>
      <c r="L335">
        <v>20</v>
      </c>
      <c r="M335">
        <v>20</v>
      </c>
    </row>
    <row r="336" spans="1:13" x14ac:dyDescent="0.25">
      <c r="A336" t="s">
        <v>618</v>
      </c>
      <c r="B336" t="s">
        <v>616</v>
      </c>
      <c r="C336" t="s">
        <v>20</v>
      </c>
      <c r="D336" t="s">
        <v>597</v>
      </c>
      <c r="F336">
        <v>3</v>
      </c>
      <c r="G336" t="s">
        <v>16</v>
      </c>
      <c r="H336">
        <v>0</v>
      </c>
      <c r="I336" s="2" t="s">
        <v>598</v>
      </c>
      <c r="J336" s="2">
        <v>344495</v>
      </c>
      <c r="K336">
        <v>20</v>
      </c>
      <c r="L336">
        <v>20</v>
      </c>
      <c r="M336">
        <v>20</v>
      </c>
    </row>
    <row r="337" spans="1:13" x14ac:dyDescent="0.25">
      <c r="A337" t="s">
        <v>619</v>
      </c>
      <c r="B337" t="s">
        <v>616</v>
      </c>
      <c r="C337" t="s">
        <v>20</v>
      </c>
      <c r="D337" t="s">
        <v>597</v>
      </c>
      <c r="G337" t="s">
        <v>16</v>
      </c>
      <c r="H337">
        <v>0</v>
      </c>
      <c r="I337" s="2" t="s">
        <v>285</v>
      </c>
      <c r="J337" s="2">
        <v>63102</v>
      </c>
      <c r="K337">
        <v>20</v>
      </c>
      <c r="L337">
        <v>20</v>
      </c>
      <c r="M337">
        <v>20</v>
      </c>
    </row>
    <row r="338" spans="1:13" x14ac:dyDescent="0.25">
      <c r="A338" t="s">
        <v>620</v>
      </c>
      <c r="B338" t="s">
        <v>616</v>
      </c>
      <c r="C338" t="s">
        <v>20</v>
      </c>
      <c r="F338">
        <v>0</v>
      </c>
      <c r="G338" t="s">
        <v>16</v>
      </c>
      <c r="H338">
        <v>0</v>
      </c>
      <c r="K338">
        <v>20</v>
      </c>
      <c r="L338">
        <v>20</v>
      </c>
      <c r="M338">
        <v>20</v>
      </c>
    </row>
    <row r="339" spans="1:13" x14ac:dyDescent="0.25">
      <c r="A339" t="s">
        <v>621</v>
      </c>
      <c r="B339" t="s">
        <v>622</v>
      </c>
      <c r="C339" t="s">
        <v>20</v>
      </c>
      <c r="D339" t="s">
        <v>597</v>
      </c>
      <c r="F339">
        <v>1</v>
      </c>
      <c r="G339" t="s">
        <v>16</v>
      </c>
      <c r="H339">
        <v>0</v>
      </c>
      <c r="I339" s="2" t="s">
        <v>162</v>
      </c>
      <c r="J339" s="2">
        <v>63101</v>
      </c>
      <c r="K339">
        <v>20</v>
      </c>
      <c r="L339">
        <v>20</v>
      </c>
      <c r="M339">
        <v>20</v>
      </c>
    </row>
    <row r="340" spans="1:13" x14ac:dyDescent="0.25">
      <c r="A340" t="s">
        <v>623</v>
      </c>
      <c r="B340" t="s">
        <v>624</v>
      </c>
      <c r="C340" t="s">
        <v>20</v>
      </c>
      <c r="D340" t="s">
        <v>597</v>
      </c>
      <c r="F340">
        <v>3</v>
      </c>
      <c r="G340" t="s">
        <v>16</v>
      </c>
      <c r="H340">
        <v>0</v>
      </c>
      <c r="I340" s="2" t="s">
        <v>598</v>
      </c>
      <c r="J340" s="2">
        <v>344510</v>
      </c>
      <c r="K340">
        <v>20</v>
      </c>
      <c r="L340">
        <v>20</v>
      </c>
      <c r="M340">
        <v>20</v>
      </c>
    </row>
    <row r="341" spans="1:13" x14ac:dyDescent="0.25">
      <c r="A341" t="s">
        <v>625</v>
      </c>
      <c r="B341" t="s">
        <v>624</v>
      </c>
      <c r="C341" t="s">
        <v>20</v>
      </c>
      <c r="D341" t="s">
        <v>597</v>
      </c>
      <c r="F341">
        <v>1</v>
      </c>
      <c r="G341" t="s">
        <v>16</v>
      </c>
      <c r="H341">
        <v>0</v>
      </c>
      <c r="I341" s="2" t="s">
        <v>64</v>
      </c>
      <c r="J341" s="2" t="str">
        <f>"08090106"</f>
        <v>08090106</v>
      </c>
      <c r="K341">
        <v>20</v>
      </c>
      <c r="L341">
        <v>20</v>
      </c>
      <c r="M341">
        <v>20</v>
      </c>
    </row>
    <row r="342" spans="1:13" x14ac:dyDescent="0.25">
      <c r="A342" t="s">
        <v>626</v>
      </c>
      <c r="B342" t="s">
        <v>624</v>
      </c>
      <c r="C342" t="s">
        <v>20</v>
      </c>
      <c r="D342" t="s">
        <v>597</v>
      </c>
      <c r="F342">
        <v>2</v>
      </c>
      <c r="G342" t="s">
        <v>16</v>
      </c>
      <c r="H342">
        <v>0</v>
      </c>
      <c r="I342" s="2" t="s">
        <v>319</v>
      </c>
      <c r="J342" s="2" t="s">
        <v>627</v>
      </c>
      <c r="K342">
        <v>20</v>
      </c>
      <c r="L342">
        <v>20</v>
      </c>
      <c r="M342">
        <v>20</v>
      </c>
    </row>
    <row r="343" spans="1:13" x14ac:dyDescent="0.25">
      <c r="A343" t="s">
        <v>628</v>
      </c>
      <c r="B343" t="s">
        <v>629</v>
      </c>
      <c r="C343" t="s">
        <v>20</v>
      </c>
      <c r="D343" t="s">
        <v>26</v>
      </c>
      <c r="F343">
        <v>6</v>
      </c>
      <c r="G343" t="s">
        <v>16</v>
      </c>
      <c r="H343">
        <v>0</v>
      </c>
      <c r="I343" s="2" t="s">
        <v>87</v>
      </c>
      <c r="J343" s="2" t="s">
        <v>630</v>
      </c>
      <c r="K343">
        <v>20</v>
      </c>
      <c r="L343">
        <v>20</v>
      </c>
      <c r="M343">
        <v>20</v>
      </c>
    </row>
    <row r="344" spans="1:13" x14ac:dyDescent="0.25">
      <c r="A344" t="s">
        <v>631</v>
      </c>
      <c r="B344" t="s">
        <v>632</v>
      </c>
      <c r="C344" t="s">
        <v>20</v>
      </c>
      <c r="F344">
        <v>1</v>
      </c>
      <c r="G344" t="s">
        <v>16</v>
      </c>
      <c r="H344">
        <v>0</v>
      </c>
      <c r="I344" s="2" t="s">
        <v>55</v>
      </c>
      <c r="J344" s="2" t="s">
        <v>631</v>
      </c>
      <c r="K344">
        <v>20</v>
      </c>
      <c r="L344">
        <v>20</v>
      </c>
      <c r="M344">
        <v>20</v>
      </c>
    </row>
    <row r="345" spans="1:13" x14ac:dyDescent="0.25">
      <c r="A345" t="s">
        <v>633</v>
      </c>
      <c r="B345" t="s">
        <v>634</v>
      </c>
      <c r="C345" t="s">
        <v>20</v>
      </c>
      <c r="D345" t="s">
        <v>597</v>
      </c>
      <c r="F345">
        <v>1</v>
      </c>
      <c r="G345" t="s">
        <v>16</v>
      </c>
      <c r="H345">
        <v>0</v>
      </c>
      <c r="I345" s="2" t="s">
        <v>158</v>
      </c>
      <c r="J345" s="2" t="s">
        <v>635</v>
      </c>
      <c r="K345">
        <v>20</v>
      </c>
      <c r="L345">
        <v>20</v>
      </c>
      <c r="M345">
        <v>20</v>
      </c>
    </row>
    <row r="346" spans="1:13" x14ac:dyDescent="0.25">
      <c r="A346" t="s">
        <v>636</v>
      </c>
      <c r="B346" t="s">
        <v>637</v>
      </c>
      <c r="C346" t="s">
        <v>20</v>
      </c>
      <c r="D346" t="s">
        <v>597</v>
      </c>
      <c r="F346">
        <v>1</v>
      </c>
      <c r="G346" t="s">
        <v>16</v>
      </c>
      <c r="H346">
        <v>0</v>
      </c>
      <c r="I346" s="2" t="s">
        <v>285</v>
      </c>
      <c r="J346" s="2">
        <v>63165</v>
      </c>
      <c r="K346">
        <v>20</v>
      </c>
      <c r="L346">
        <v>20</v>
      </c>
      <c r="M346">
        <v>20</v>
      </c>
    </row>
    <row r="347" spans="1:13" x14ac:dyDescent="0.25">
      <c r="A347" t="s">
        <v>638</v>
      </c>
      <c r="B347" t="s">
        <v>634</v>
      </c>
      <c r="C347" t="s">
        <v>20</v>
      </c>
      <c r="D347" t="s">
        <v>597</v>
      </c>
      <c r="F347">
        <v>1</v>
      </c>
      <c r="G347" t="s">
        <v>16</v>
      </c>
      <c r="H347">
        <v>0</v>
      </c>
      <c r="I347" s="2" t="s">
        <v>639</v>
      </c>
      <c r="J347" s="2" t="s">
        <v>640</v>
      </c>
      <c r="K347">
        <v>20</v>
      </c>
      <c r="L347">
        <v>20</v>
      </c>
      <c r="M347">
        <v>20</v>
      </c>
    </row>
    <row r="348" spans="1:13" x14ac:dyDescent="0.25">
      <c r="A348" t="s">
        <v>641</v>
      </c>
      <c r="B348" t="s">
        <v>642</v>
      </c>
      <c r="C348" t="s">
        <v>540</v>
      </c>
      <c r="F348">
        <v>1</v>
      </c>
      <c r="G348" t="s">
        <v>16</v>
      </c>
      <c r="H348">
        <v>0</v>
      </c>
      <c r="I348" s="2" t="s">
        <v>643</v>
      </c>
      <c r="J348" s="2">
        <v>111471</v>
      </c>
      <c r="K348">
        <v>20</v>
      </c>
      <c r="L348">
        <v>20</v>
      </c>
      <c r="M348">
        <v>20</v>
      </c>
    </row>
    <row r="349" spans="1:13" x14ac:dyDescent="0.25">
      <c r="A349" t="s">
        <v>644</v>
      </c>
      <c r="B349" t="s">
        <v>646</v>
      </c>
      <c r="C349" t="s">
        <v>20</v>
      </c>
      <c r="D349" t="s">
        <v>26</v>
      </c>
      <c r="F349">
        <v>4</v>
      </c>
      <c r="G349" t="s">
        <v>16</v>
      </c>
      <c r="H349">
        <v>0</v>
      </c>
      <c r="I349" s="2" t="s">
        <v>69</v>
      </c>
      <c r="J349" s="2" t="s">
        <v>645</v>
      </c>
      <c r="K349">
        <v>20</v>
      </c>
      <c r="L349">
        <v>20</v>
      </c>
      <c r="M349">
        <v>20</v>
      </c>
    </row>
    <row r="350" spans="1:13" x14ac:dyDescent="0.25">
      <c r="A350" t="s">
        <v>647</v>
      </c>
      <c r="B350" t="s">
        <v>648</v>
      </c>
      <c r="C350" t="s">
        <v>540</v>
      </c>
      <c r="F350">
        <v>2</v>
      </c>
      <c r="G350" t="s">
        <v>16</v>
      </c>
      <c r="H350">
        <v>0</v>
      </c>
      <c r="I350" s="2" t="s">
        <v>649</v>
      </c>
      <c r="J350" s="2" t="s">
        <v>650</v>
      </c>
      <c r="K350">
        <v>20</v>
      </c>
      <c r="L350">
        <v>20</v>
      </c>
      <c r="M350">
        <v>20</v>
      </c>
    </row>
    <row r="351" spans="1:13" x14ac:dyDescent="0.25">
      <c r="A351" t="s">
        <v>651</v>
      </c>
      <c r="B351" t="s">
        <v>652</v>
      </c>
      <c r="C351" t="s">
        <v>540</v>
      </c>
      <c r="F351">
        <v>1</v>
      </c>
      <c r="G351" t="s">
        <v>16</v>
      </c>
      <c r="H351">
        <v>0</v>
      </c>
      <c r="I351" s="2" t="s">
        <v>649</v>
      </c>
      <c r="J351" s="2" t="s">
        <v>653</v>
      </c>
      <c r="K351">
        <v>20</v>
      </c>
      <c r="L351">
        <v>20</v>
      </c>
      <c r="M351">
        <v>20</v>
      </c>
    </row>
    <row r="352" spans="1:13" x14ac:dyDescent="0.25">
      <c r="A352" t="s">
        <v>654</v>
      </c>
      <c r="B352" t="s">
        <v>655</v>
      </c>
      <c r="C352" t="s">
        <v>540</v>
      </c>
      <c r="F352">
        <v>1</v>
      </c>
      <c r="G352" t="s">
        <v>16</v>
      </c>
      <c r="H352">
        <v>0</v>
      </c>
      <c r="I352" s="2" t="s">
        <v>552</v>
      </c>
      <c r="J352" s="2" t="s">
        <v>656</v>
      </c>
      <c r="K352">
        <v>20</v>
      </c>
      <c r="L352">
        <v>20</v>
      </c>
      <c r="M352">
        <v>20</v>
      </c>
    </row>
    <row r="353" spans="1:13" x14ac:dyDescent="0.25">
      <c r="A353" t="s">
        <v>657</v>
      </c>
      <c r="B353" t="s">
        <v>658</v>
      </c>
      <c r="C353" t="s">
        <v>14</v>
      </c>
      <c r="D353" t="s">
        <v>293</v>
      </c>
      <c r="F353">
        <v>33</v>
      </c>
      <c r="G353" t="s">
        <v>16</v>
      </c>
      <c r="H353">
        <v>0</v>
      </c>
      <c r="I353" s="2" t="s">
        <v>383</v>
      </c>
      <c r="J353" s="2" t="s">
        <v>659</v>
      </c>
      <c r="K353">
        <v>20</v>
      </c>
      <c r="L353">
        <v>20</v>
      </c>
      <c r="M353">
        <v>20</v>
      </c>
    </row>
    <row r="354" spans="1:13" x14ac:dyDescent="0.25">
      <c r="A354" t="s">
        <v>660</v>
      </c>
      <c r="B354" t="s">
        <v>658</v>
      </c>
      <c r="C354" t="s">
        <v>14</v>
      </c>
      <c r="D354" t="s">
        <v>293</v>
      </c>
      <c r="F354">
        <v>3</v>
      </c>
      <c r="G354" t="s">
        <v>16</v>
      </c>
      <c r="H354">
        <v>0</v>
      </c>
      <c r="I354" s="2" t="s">
        <v>392</v>
      </c>
      <c r="J354" s="2">
        <v>1682275680</v>
      </c>
      <c r="K354">
        <v>20</v>
      </c>
      <c r="L354">
        <v>20</v>
      </c>
      <c r="M354">
        <v>20</v>
      </c>
    </row>
    <row r="355" spans="1:13" x14ac:dyDescent="0.25">
      <c r="A355" t="s">
        <v>661</v>
      </c>
      <c r="B355" t="s">
        <v>658</v>
      </c>
      <c r="C355" t="s">
        <v>14</v>
      </c>
      <c r="D355" t="s">
        <v>293</v>
      </c>
      <c r="F355">
        <v>30</v>
      </c>
      <c r="G355" t="s">
        <v>16</v>
      </c>
      <c r="H355">
        <v>0</v>
      </c>
      <c r="I355" s="2" t="s">
        <v>662</v>
      </c>
      <c r="J355" s="2" t="s">
        <v>663</v>
      </c>
      <c r="K355">
        <v>20</v>
      </c>
      <c r="L355">
        <v>20</v>
      </c>
      <c r="M355">
        <v>20</v>
      </c>
    </row>
    <row r="356" spans="1:13" x14ac:dyDescent="0.25">
      <c r="A356" t="s">
        <v>664</v>
      </c>
      <c r="B356" t="s">
        <v>658</v>
      </c>
      <c r="C356" t="s">
        <v>14</v>
      </c>
      <c r="D356" t="s">
        <v>293</v>
      </c>
      <c r="F356">
        <v>0</v>
      </c>
      <c r="G356" t="s">
        <v>16</v>
      </c>
      <c r="H356">
        <v>0</v>
      </c>
      <c r="I356" s="2" t="s">
        <v>290</v>
      </c>
      <c r="J356" s="2" t="s">
        <v>665</v>
      </c>
      <c r="K356">
        <v>20</v>
      </c>
      <c r="L356">
        <v>20</v>
      </c>
      <c r="M356">
        <v>20</v>
      </c>
    </row>
    <row r="357" spans="1:13" x14ac:dyDescent="0.25">
      <c r="A357" t="s">
        <v>666</v>
      </c>
      <c r="B357" t="s">
        <v>658</v>
      </c>
      <c r="C357" t="s">
        <v>14</v>
      </c>
      <c r="D357" t="s">
        <v>293</v>
      </c>
      <c r="G357" t="s">
        <v>16</v>
      </c>
      <c r="H357">
        <v>0</v>
      </c>
      <c r="I357" s="2" t="s">
        <v>319</v>
      </c>
      <c r="J357" s="2" t="s">
        <v>667</v>
      </c>
      <c r="K357">
        <v>20</v>
      </c>
      <c r="L357">
        <v>20</v>
      </c>
      <c r="M357">
        <v>20</v>
      </c>
    </row>
    <row r="358" spans="1:13" x14ac:dyDescent="0.25">
      <c r="A358" t="s">
        <v>668</v>
      </c>
      <c r="B358" t="s">
        <v>658</v>
      </c>
      <c r="C358" t="s">
        <v>14</v>
      </c>
      <c r="D358" t="s">
        <v>293</v>
      </c>
      <c r="F358">
        <v>0</v>
      </c>
      <c r="G358" t="s">
        <v>16</v>
      </c>
      <c r="H358">
        <v>0</v>
      </c>
      <c r="I358" s="2" t="s">
        <v>669</v>
      </c>
      <c r="J358" s="2" t="s">
        <v>670</v>
      </c>
      <c r="K358">
        <v>20</v>
      </c>
      <c r="L358">
        <v>20</v>
      </c>
      <c r="M358">
        <v>20</v>
      </c>
    </row>
    <row r="359" spans="1:13" x14ac:dyDescent="0.25">
      <c r="A359" t="s">
        <v>671</v>
      </c>
      <c r="B359" t="s">
        <v>672</v>
      </c>
      <c r="C359" t="s">
        <v>14</v>
      </c>
      <c r="D359" t="s">
        <v>293</v>
      </c>
      <c r="F359">
        <v>1</v>
      </c>
      <c r="G359" t="s">
        <v>16</v>
      </c>
      <c r="H359">
        <v>0</v>
      </c>
      <c r="I359" s="2" t="s">
        <v>51</v>
      </c>
      <c r="J359" s="2" t="s">
        <v>671</v>
      </c>
      <c r="K359">
        <v>20</v>
      </c>
      <c r="L359">
        <v>20</v>
      </c>
      <c r="M359">
        <v>20</v>
      </c>
    </row>
    <row r="360" spans="1:13" x14ac:dyDescent="0.25">
      <c r="A360" t="s">
        <v>673</v>
      </c>
      <c r="B360" t="s">
        <v>672</v>
      </c>
      <c r="C360" t="s">
        <v>14</v>
      </c>
      <c r="D360" t="s">
        <v>293</v>
      </c>
      <c r="F360">
        <v>12</v>
      </c>
      <c r="G360" t="s">
        <v>16</v>
      </c>
      <c r="H360">
        <v>0</v>
      </c>
      <c r="I360" s="2" t="s">
        <v>674</v>
      </c>
      <c r="J360" s="2" t="s">
        <v>675</v>
      </c>
      <c r="K360">
        <v>20</v>
      </c>
      <c r="L360">
        <v>20</v>
      </c>
      <c r="M360">
        <v>20</v>
      </c>
    </row>
    <row r="361" spans="1:13" x14ac:dyDescent="0.25">
      <c r="A361" t="s">
        <v>676</v>
      </c>
      <c r="B361" t="s">
        <v>672</v>
      </c>
      <c r="C361" t="s">
        <v>14</v>
      </c>
      <c r="D361" t="s">
        <v>293</v>
      </c>
      <c r="F361">
        <v>3</v>
      </c>
      <c r="G361" t="s">
        <v>16</v>
      </c>
      <c r="H361">
        <v>0</v>
      </c>
      <c r="I361" s="2" t="s">
        <v>192</v>
      </c>
      <c r="J361" s="2" t="s">
        <v>677</v>
      </c>
      <c r="K361">
        <v>20</v>
      </c>
      <c r="L361">
        <v>20</v>
      </c>
      <c r="M361">
        <v>20</v>
      </c>
    </row>
    <row r="362" spans="1:13" x14ac:dyDescent="0.25">
      <c r="A362" t="s">
        <v>678</v>
      </c>
      <c r="B362" t="s">
        <v>672</v>
      </c>
      <c r="C362" t="s">
        <v>14</v>
      </c>
      <c r="D362" t="s">
        <v>293</v>
      </c>
      <c r="G362" t="s">
        <v>16</v>
      </c>
      <c r="H362">
        <v>0</v>
      </c>
      <c r="K362">
        <v>20</v>
      </c>
      <c r="L362">
        <v>20</v>
      </c>
      <c r="M362">
        <v>20</v>
      </c>
    </row>
    <row r="363" spans="1:13" x14ac:dyDescent="0.25">
      <c r="A363" t="s">
        <v>679</v>
      </c>
      <c r="B363" t="s">
        <v>680</v>
      </c>
      <c r="C363" t="s">
        <v>14</v>
      </c>
      <c r="D363" t="s">
        <v>293</v>
      </c>
      <c r="F363">
        <v>1</v>
      </c>
      <c r="G363" t="s">
        <v>16</v>
      </c>
      <c r="H363">
        <v>0</v>
      </c>
      <c r="I363" s="2" t="s">
        <v>522</v>
      </c>
      <c r="J363" s="2" t="s">
        <v>681</v>
      </c>
      <c r="K363">
        <v>20</v>
      </c>
      <c r="L363">
        <v>20</v>
      </c>
      <c r="M363">
        <v>20</v>
      </c>
    </row>
    <row r="364" spans="1:13" x14ac:dyDescent="0.25">
      <c r="A364" t="s">
        <v>682</v>
      </c>
      <c r="B364" t="s">
        <v>683</v>
      </c>
      <c r="C364" t="s">
        <v>14</v>
      </c>
      <c r="D364" t="s">
        <v>293</v>
      </c>
      <c r="F364">
        <v>11</v>
      </c>
      <c r="G364" t="s">
        <v>16</v>
      </c>
      <c r="H364">
        <v>0</v>
      </c>
      <c r="I364" s="2" t="s">
        <v>51</v>
      </c>
      <c r="J364" s="2" t="s">
        <v>682</v>
      </c>
      <c r="K364">
        <v>20</v>
      </c>
      <c r="L364">
        <v>20</v>
      </c>
      <c r="M364">
        <v>20</v>
      </c>
    </row>
    <row r="365" spans="1:13" x14ac:dyDescent="0.25">
      <c r="A365" t="s">
        <v>684</v>
      </c>
      <c r="B365" t="s">
        <v>683</v>
      </c>
      <c r="C365" t="s">
        <v>14</v>
      </c>
      <c r="D365" t="s">
        <v>293</v>
      </c>
      <c r="F365">
        <v>21</v>
      </c>
      <c r="G365" t="s">
        <v>16</v>
      </c>
      <c r="H365">
        <v>0</v>
      </c>
      <c r="I365" s="2" t="s">
        <v>685</v>
      </c>
      <c r="J365" s="2" t="str">
        <f>"0986TF0094"</f>
        <v>0986TF0094</v>
      </c>
      <c r="K365">
        <v>20</v>
      </c>
      <c r="L365">
        <v>20</v>
      </c>
      <c r="M365">
        <v>20</v>
      </c>
    </row>
    <row r="366" spans="1:13" x14ac:dyDescent="0.25">
      <c r="A366" t="s">
        <v>686</v>
      </c>
      <c r="B366" t="s">
        <v>683</v>
      </c>
      <c r="C366" t="s">
        <v>14</v>
      </c>
      <c r="D366" t="s">
        <v>293</v>
      </c>
      <c r="F366">
        <v>1</v>
      </c>
      <c r="G366" t="s">
        <v>16</v>
      </c>
      <c r="H366">
        <v>0</v>
      </c>
      <c r="I366" s="2" t="s">
        <v>192</v>
      </c>
      <c r="J366" s="2" t="s">
        <v>687</v>
      </c>
      <c r="K366">
        <v>20</v>
      </c>
      <c r="L366">
        <v>20</v>
      </c>
      <c r="M366">
        <v>20</v>
      </c>
    </row>
    <row r="367" spans="1:13" x14ac:dyDescent="0.25">
      <c r="A367" t="s">
        <v>688</v>
      </c>
      <c r="B367" t="s">
        <v>689</v>
      </c>
      <c r="C367" t="s">
        <v>14</v>
      </c>
      <c r="D367" t="s">
        <v>293</v>
      </c>
      <c r="F367">
        <v>13</v>
      </c>
      <c r="G367" t="s">
        <v>16</v>
      </c>
      <c r="H367">
        <v>0</v>
      </c>
      <c r="I367" s="2" t="s">
        <v>392</v>
      </c>
      <c r="J367" s="2">
        <v>1629084080</v>
      </c>
      <c r="K367">
        <v>20</v>
      </c>
      <c r="L367">
        <v>20</v>
      </c>
      <c r="M367">
        <v>20</v>
      </c>
    </row>
    <row r="368" spans="1:13" x14ac:dyDescent="0.25">
      <c r="A368" t="s">
        <v>690</v>
      </c>
      <c r="B368" t="s">
        <v>689</v>
      </c>
      <c r="C368" t="s">
        <v>14</v>
      </c>
      <c r="D368" t="s">
        <v>293</v>
      </c>
      <c r="F368">
        <v>1</v>
      </c>
      <c r="G368" t="s">
        <v>16</v>
      </c>
      <c r="H368">
        <v>0</v>
      </c>
      <c r="I368" s="2" t="s">
        <v>392</v>
      </c>
      <c r="J368" s="2">
        <v>1682273180</v>
      </c>
      <c r="K368">
        <v>20</v>
      </c>
      <c r="L368">
        <v>20</v>
      </c>
      <c r="M368">
        <v>20</v>
      </c>
    </row>
    <row r="369" spans="1:13" x14ac:dyDescent="0.25">
      <c r="A369" t="s">
        <v>691</v>
      </c>
      <c r="B369" t="s">
        <v>692</v>
      </c>
      <c r="C369" t="s">
        <v>14</v>
      </c>
      <c r="D369" t="s">
        <v>293</v>
      </c>
      <c r="G369" t="s">
        <v>16</v>
      </c>
      <c r="H369">
        <v>0</v>
      </c>
      <c r="I369" s="2" t="s">
        <v>662</v>
      </c>
      <c r="J369" s="2" t="s">
        <v>693</v>
      </c>
      <c r="K369">
        <v>20</v>
      </c>
      <c r="L369">
        <v>20</v>
      </c>
      <c r="M369">
        <v>20</v>
      </c>
    </row>
    <row r="370" spans="1:13" x14ac:dyDescent="0.25">
      <c r="A370" t="s">
        <v>694</v>
      </c>
      <c r="B370" t="s">
        <v>695</v>
      </c>
      <c r="C370" t="s">
        <v>14</v>
      </c>
      <c r="D370" t="s">
        <v>293</v>
      </c>
      <c r="F370">
        <v>3</v>
      </c>
      <c r="G370" t="s">
        <v>16</v>
      </c>
      <c r="H370">
        <v>0</v>
      </c>
      <c r="K370">
        <v>20</v>
      </c>
      <c r="L370">
        <v>20</v>
      </c>
      <c r="M370">
        <v>20</v>
      </c>
    </row>
    <row r="371" spans="1:13" x14ac:dyDescent="0.25">
      <c r="A371" t="s">
        <v>696</v>
      </c>
      <c r="B371" t="s">
        <v>697</v>
      </c>
      <c r="C371" t="s">
        <v>20</v>
      </c>
      <c r="G371" t="s">
        <v>16</v>
      </c>
      <c r="H371">
        <v>0</v>
      </c>
      <c r="I371" s="2" t="s">
        <v>80</v>
      </c>
      <c r="J371" s="2" t="s">
        <v>698</v>
      </c>
      <c r="K371">
        <v>20</v>
      </c>
      <c r="L371">
        <v>20</v>
      </c>
      <c r="M371">
        <v>20</v>
      </c>
    </row>
    <row r="372" spans="1:13" x14ac:dyDescent="0.25">
      <c r="A372" t="s">
        <v>699</v>
      </c>
      <c r="B372" t="s">
        <v>700</v>
      </c>
      <c r="C372" t="s">
        <v>540</v>
      </c>
      <c r="F372">
        <v>1</v>
      </c>
      <c r="G372" t="s">
        <v>16</v>
      </c>
      <c r="H372">
        <v>0</v>
      </c>
      <c r="I372" s="2" t="s">
        <v>649</v>
      </c>
      <c r="J372" s="2" t="s">
        <v>701</v>
      </c>
      <c r="K372">
        <v>20</v>
      </c>
      <c r="L372">
        <v>20</v>
      </c>
      <c r="M372">
        <v>20</v>
      </c>
    </row>
    <row r="373" spans="1:13" x14ac:dyDescent="0.25">
      <c r="A373" t="s">
        <v>702</v>
      </c>
      <c r="B373" t="s">
        <v>703</v>
      </c>
      <c r="C373" t="s">
        <v>20</v>
      </c>
      <c r="G373" t="s">
        <v>16</v>
      </c>
      <c r="H373">
        <v>0</v>
      </c>
      <c r="I373" s="2" t="s">
        <v>108</v>
      </c>
      <c r="J373" s="3">
        <v>2541548002</v>
      </c>
      <c r="K373">
        <v>20</v>
      </c>
      <c r="L373">
        <v>20</v>
      </c>
      <c r="M373">
        <v>20</v>
      </c>
    </row>
    <row r="374" spans="1:13" x14ac:dyDescent="0.25">
      <c r="A374" t="s">
        <v>704</v>
      </c>
      <c r="B374" t="s">
        <v>705</v>
      </c>
      <c r="C374" t="s">
        <v>151</v>
      </c>
      <c r="D374" t="s">
        <v>706</v>
      </c>
      <c r="F374">
        <v>1</v>
      </c>
      <c r="G374" t="s">
        <v>16</v>
      </c>
      <c r="H374">
        <v>0</v>
      </c>
      <c r="I374" s="2" t="s">
        <v>707</v>
      </c>
      <c r="J374" s="2" t="s">
        <v>708</v>
      </c>
      <c r="K374">
        <v>20</v>
      </c>
      <c r="L374">
        <v>20</v>
      </c>
      <c r="M374">
        <v>20</v>
      </c>
    </row>
    <row r="375" spans="1:13" x14ac:dyDescent="0.25">
      <c r="A375" t="s">
        <v>709</v>
      </c>
      <c r="B375" t="s">
        <v>705</v>
      </c>
      <c r="C375" t="s">
        <v>151</v>
      </c>
      <c r="D375" t="s">
        <v>706</v>
      </c>
      <c r="F375">
        <v>1</v>
      </c>
      <c r="G375" t="s">
        <v>16</v>
      </c>
      <c r="H375">
        <v>0</v>
      </c>
      <c r="I375" s="2" t="s">
        <v>710</v>
      </c>
      <c r="J375" s="3">
        <v>70130</v>
      </c>
      <c r="K375">
        <v>20</v>
      </c>
      <c r="L375">
        <v>20</v>
      </c>
      <c r="M375">
        <v>20</v>
      </c>
    </row>
    <row r="376" spans="1:13" x14ac:dyDescent="0.25">
      <c r="A376" t="s">
        <v>711</v>
      </c>
      <c r="B376" t="s">
        <v>705</v>
      </c>
      <c r="C376" t="s">
        <v>151</v>
      </c>
      <c r="D376" t="s">
        <v>706</v>
      </c>
      <c r="F376">
        <v>6</v>
      </c>
      <c r="G376" t="s">
        <v>16</v>
      </c>
      <c r="H376">
        <v>0</v>
      </c>
      <c r="I376" s="2" t="s">
        <v>712</v>
      </c>
      <c r="J376" s="2" t="s">
        <v>713</v>
      </c>
      <c r="K376">
        <v>20</v>
      </c>
      <c r="L376">
        <v>20</v>
      </c>
      <c r="M376">
        <v>20</v>
      </c>
    </row>
    <row r="377" spans="1:13" x14ac:dyDescent="0.25">
      <c r="A377" t="s">
        <v>714</v>
      </c>
      <c r="B377" t="s">
        <v>705</v>
      </c>
      <c r="C377" t="s">
        <v>151</v>
      </c>
      <c r="D377" t="s">
        <v>706</v>
      </c>
      <c r="G377" t="s">
        <v>16</v>
      </c>
      <c r="H377">
        <v>0</v>
      </c>
      <c r="I377" s="2" t="s">
        <v>715</v>
      </c>
      <c r="J377" s="2" t="s">
        <v>716</v>
      </c>
      <c r="K377">
        <v>20</v>
      </c>
      <c r="L377">
        <v>20</v>
      </c>
      <c r="M377">
        <v>20</v>
      </c>
    </row>
    <row r="378" spans="1:13" x14ac:dyDescent="0.25">
      <c r="A378" t="s">
        <v>717</v>
      </c>
      <c r="B378" t="s">
        <v>718</v>
      </c>
      <c r="C378" t="s">
        <v>14</v>
      </c>
      <c r="D378" t="s">
        <v>293</v>
      </c>
      <c r="F378">
        <v>0</v>
      </c>
      <c r="G378" t="s">
        <v>16</v>
      </c>
      <c r="H378">
        <v>0</v>
      </c>
      <c r="I378" s="2" t="s">
        <v>685</v>
      </c>
      <c r="J378" s="2" t="s">
        <v>719</v>
      </c>
      <c r="K378">
        <v>20</v>
      </c>
      <c r="L378">
        <v>20</v>
      </c>
      <c r="M378">
        <v>20</v>
      </c>
    </row>
    <row r="379" spans="1:13" x14ac:dyDescent="0.25">
      <c r="A379" t="s">
        <v>720</v>
      </c>
      <c r="B379" t="s">
        <v>721</v>
      </c>
      <c r="C379" t="s">
        <v>14</v>
      </c>
      <c r="D379" t="s">
        <v>293</v>
      </c>
      <c r="F379">
        <v>1</v>
      </c>
      <c r="G379" t="s">
        <v>16</v>
      </c>
      <c r="H379">
        <v>0</v>
      </c>
      <c r="I379" s="2" t="s">
        <v>290</v>
      </c>
      <c r="J379" s="2" t="s">
        <v>722</v>
      </c>
      <c r="K379">
        <v>20</v>
      </c>
      <c r="L379">
        <v>20</v>
      </c>
      <c r="M379">
        <v>20</v>
      </c>
    </row>
    <row r="380" spans="1:13" x14ac:dyDescent="0.25">
      <c r="A380" t="s">
        <v>723</v>
      </c>
      <c r="B380" t="s">
        <v>724</v>
      </c>
      <c r="C380" t="s">
        <v>540</v>
      </c>
      <c r="F380">
        <v>0</v>
      </c>
      <c r="G380" t="s">
        <v>16</v>
      </c>
      <c r="H380">
        <v>0</v>
      </c>
      <c r="I380" s="2" t="s">
        <v>725</v>
      </c>
      <c r="J380" s="2" t="str">
        <f>"00747030"</f>
        <v>00747030</v>
      </c>
      <c r="K380">
        <v>20</v>
      </c>
      <c r="L380">
        <v>20</v>
      </c>
      <c r="M380">
        <v>20</v>
      </c>
    </row>
    <row r="381" spans="1:13" x14ac:dyDescent="0.25">
      <c r="A381">
        <v>1160045</v>
      </c>
      <c r="B381" t="s">
        <v>726</v>
      </c>
      <c r="C381" t="s">
        <v>540</v>
      </c>
      <c r="F381">
        <v>0</v>
      </c>
      <c r="G381" t="s">
        <v>16</v>
      </c>
      <c r="H381">
        <v>0</v>
      </c>
      <c r="I381" s="2" t="s">
        <v>497</v>
      </c>
      <c r="J381" s="2">
        <v>20970122</v>
      </c>
      <c r="K381">
        <v>20</v>
      </c>
      <c r="L381">
        <v>20</v>
      </c>
      <c r="M381">
        <v>20</v>
      </c>
    </row>
    <row r="382" spans="1:13" x14ac:dyDescent="0.25">
      <c r="A382" t="s">
        <v>727</v>
      </c>
      <c r="B382" t="s">
        <v>728</v>
      </c>
      <c r="C382" t="s">
        <v>540</v>
      </c>
      <c r="G382" t="s">
        <v>16</v>
      </c>
      <c r="H382">
        <v>0</v>
      </c>
      <c r="I382" s="2" t="s">
        <v>725</v>
      </c>
      <c r="J382" s="2">
        <v>743030</v>
      </c>
      <c r="K382">
        <v>20</v>
      </c>
      <c r="L382">
        <v>20</v>
      </c>
      <c r="M382">
        <v>20</v>
      </c>
    </row>
    <row r="383" spans="1:13" x14ac:dyDescent="0.25">
      <c r="A383" t="s">
        <v>729</v>
      </c>
      <c r="B383" t="s">
        <v>728</v>
      </c>
      <c r="C383" t="s">
        <v>540</v>
      </c>
      <c r="G383" t="s">
        <v>16</v>
      </c>
      <c r="H383">
        <v>0</v>
      </c>
      <c r="I383" s="2" t="s">
        <v>730</v>
      </c>
      <c r="J383" s="2" t="s">
        <v>731</v>
      </c>
      <c r="K383">
        <v>20</v>
      </c>
      <c r="L383">
        <v>20</v>
      </c>
      <c r="M383">
        <v>20</v>
      </c>
    </row>
    <row r="384" spans="1:13" x14ac:dyDescent="0.25">
      <c r="A384" t="s">
        <v>732</v>
      </c>
      <c r="B384" t="s">
        <v>733</v>
      </c>
      <c r="C384" t="s">
        <v>540</v>
      </c>
      <c r="F384">
        <v>10</v>
      </c>
      <c r="G384" t="s">
        <v>16</v>
      </c>
      <c r="H384">
        <v>0</v>
      </c>
      <c r="I384" s="2" t="s">
        <v>734</v>
      </c>
      <c r="J384" s="2">
        <v>111475</v>
      </c>
      <c r="K384">
        <v>20</v>
      </c>
      <c r="L384">
        <v>20</v>
      </c>
      <c r="M384">
        <v>20</v>
      </c>
    </row>
    <row r="385" spans="1:13" x14ac:dyDescent="0.25">
      <c r="A385" t="s">
        <v>735</v>
      </c>
      <c r="B385" t="s">
        <v>736</v>
      </c>
      <c r="C385" t="s">
        <v>540</v>
      </c>
      <c r="F385">
        <v>9</v>
      </c>
      <c r="G385" t="s">
        <v>16</v>
      </c>
      <c r="H385">
        <v>0</v>
      </c>
      <c r="I385" s="2" t="s">
        <v>737</v>
      </c>
      <c r="J385" s="2" t="s">
        <v>738</v>
      </c>
      <c r="K385">
        <v>20</v>
      </c>
      <c r="L385">
        <v>20</v>
      </c>
      <c r="M385">
        <v>20</v>
      </c>
    </row>
    <row r="386" spans="1:13" x14ac:dyDescent="0.25">
      <c r="A386" t="s">
        <v>739</v>
      </c>
      <c r="B386" t="s">
        <v>740</v>
      </c>
      <c r="C386" t="s">
        <v>20</v>
      </c>
      <c r="F386">
        <v>1</v>
      </c>
      <c r="G386" t="s">
        <v>16</v>
      </c>
      <c r="H386">
        <v>0</v>
      </c>
      <c r="I386" s="2" t="s">
        <v>51</v>
      </c>
      <c r="J386" s="2" t="s">
        <v>739</v>
      </c>
      <c r="K386">
        <v>20</v>
      </c>
      <c r="L386">
        <v>20</v>
      </c>
      <c r="M386">
        <v>20</v>
      </c>
    </row>
    <row r="387" spans="1:13" x14ac:dyDescent="0.25">
      <c r="A387" t="s">
        <v>741</v>
      </c>
      <c r="B387" t="s">
        <v>742</v>
      </c>
      <c r="C387" t="s">
        <v>20</v>
      </c>
      <c r="F387">
        <v>2</v>
      </c>
      <c r="G387" t="s">
        <v>16</v>
      </c>
      <c r="H387">
        <v>0</v>
      </c>
      <c r="I387" s="2" t="s">
        <v>87</v>
      </c>
      <c r="J387" s="2" t="s">
        <v>743</v>
      </c>
      <c r="K387">
        <v>20</v>
      </c>
      <c r="L387">
        <v>20</v>
      </c>
      <c r="M387">
        <v>20</v>
      </c>
    </row>
    <row r="388" spans="1:13" x14ac:dyDescent="0.25">
      <c r="A388" t="s">
        <v>744</v>
      </c>
      <c r="B388" t="s">
        <v>745</v>
      </c>
      <c r="C388" t="s">
        <v>20</v>
      </c>
      <c r="F388">
        <v>2</v>
      </c>
      <c r="G388" t="s">
        <v>16</v>
      </c>
      <c r="H388">
        <v>0</v>
      </c>
      <c r="I388" s="2" t="s">
        <v>87</v>
      </c>
      <c r="J388" s="2" t="s">
        <v>746</v>
      </c>
      <c r="K388">
        <v>20</v>
      </c>
      <c r="L388">
        <v>20</v>
      </c>
      <c r="M388">
        <v>20</v>
      </c>
    </row>
    <row r="389" spans="1:13" x14ac:dyDescent="0.25">
      <c r="A389" t="s">
        <v>747</v>
      </c>
      <c r="B389" t="s">
        <v>745</v>
      </c>
      <c r="C389" t="s">
        <v>20</v>
      </c>
      <c r="F389">
        <v>3</v>
      </c>
      <c r="G389" t="s">
        <v>16</v>
      </c>
      <c r="H389">
        <v>0</v>
      </c>
      <c r="I389" s="2" t="s">
        <v>69</v>
      </c>
      <c r="J389" s="2" t="s">
        <v>748</v>
      </c>
      <c r="K389">
        <v>20</v>
      </c>
      <c r="L389">
        <v>20</v>
      </c>
      <c r="M389">
        <v>20</v>
      </c>
    </row>
    <row r="390" spans="1:13" x14ac:dyDescent="0.25">
      <c r="A390" t="s">
        <v>749</v>
      </c>
      <c r="B390" t="s">
        <v>750</v>
      </c>
      <c r="C390" t="s">
        <v>20</v>
      </c>
      <c r="F390">
        <v>5</v>
      </c>
      <c r="G390" t="s">
        <v>16</v>
      </c>
      <c r="H390">
        <v>0</v>
      </c>
      <c r="I390" s="2" t="s">
        <v>64</v>
      </c>
      <c r="J390" s="2">
        <v>21030150</v>
      </c>
      <c r="K390">
        <v>20</v>
      </c>
      <c r="L390">
        <v>20</v>
      </c>
      <c r="M390">
        <v>20</v>
      </c>
    </row>
    <row r="391" spans="1:13" x14ac:dyDescent="0.25">
      <c r="A391" t="s">
        <v>751</v>
      </c>
      <c r="B391" t="s">
        <v>752</v>
      </c>
      <c r="C391" t="s">
        <v>20</v>
      </c>
      <c r="G391" t="s">
        <v>16</v>
      </c>
      <c r="H391">
        <v>0</v>
      </c>
      <c r="K391">
        <v>20</v>
      </c>
      <c r="L391">
        <v>20</v>
      </c>
      <c r="M391">
        <v>20</v>
      </c>
    </row>
    <row r="392" spans="1:13" x14ac:dyDescent="0.25">
      <c r="A392" t="s">
        <v>753</v>
      </c>
      <c r="B392" t="s">
        <v>754</v>
      </c>
      <c r="C392" t="s">
        <v>20</v>
      </c>
      <c r="F392">
        <v>6</v>
      </c>
      <c r="G392" t="s">
        <v>16</v>
      </c>
      <c r="H392">
        <v>0</v>
      </c>
      <c r="I392" s="2" t="s">
        <v>64</v>
      </c>
      <c r="J392" s="2">
        <v>21030197</v>
      </c>
      <c r="K392">
        <v>20</v>
      </c>
      <c r="L392">
        <v>20</v>
      </c>
      <c r="M392">
        <v>20</v>
      </c>
    </row>
    <row r="393" spans="1:13" x14ac:dyDescent="0.25">
      <c r="A393" t="s">
        <v>755</v>
      </c>
      <c r="B393" t="s">
        <v>756</v>
      </c>
      <c r="C393" t="s">
        <v>20</v>
      </c>
      <c r="F393">
        <v>2</v>
      </c>
      <c r="G393" t="s">
        <v>16</v>
      </c>
      <c r="H393">
        <v>0</v>
      </c>
      <c r="I393" s="2" t="s">
        <v>64</v>
      </c>
      <c r="J393" s="2">
        <v>210030198</v>
      </c>
      <c r="K393">
        <v>20</v>
      </c>
      <c r="L393">
        <v>20</v>
      </c>
      <c r="M393">
        <v>20</v>
      </c>
    </row>
    <row r="394" spans="1:13" x14ac:dyDescent="0.25">
      <c r="A394" t="s">
        <v>757</v>
      </c>
      <c r="B394" t="s">
        <v>758</v>
      </c>
      <c r="C394" t="s">
        <v>540</v>
      </c>
      <c r="F394">
        <v>1</v>
      </c>
      <c r="G394" t="s">
        <v>16</v>
      </c>
      <c r="H394">
        <v>0</v>
      </c>
      <c r="I394" s="2" t="s">
        <v>759</v>
      </c>
      <c r="J394" s="2" t="s">
        <v>760</v>
      </c>
      <c r="K394">
        <v>20</v>
      </c>
      <c r="L394">
        <v>20</v>
      </c>
      <c r="M394">
        <v>20</v>
      </c>
    </row>
    <row r="395" spans="1:13" x14ac:dyDescent="0.25">
      <c r="A395" t="s">
        <v>761</v>
      </c>
      <c r="B395" t="s">
        <v>763</v>
      </c>
      <c r="C395" t="s">
        <v>20</v>
      </c>
      <c r="D395" t="s">
        <v>764</v>
      </c>
      <c r="F395">
        <v>2</v>
      </c>
      <c r="G395" t="s">
        <v>16</v>
      </c>
      <c r="H395">
        <v>0</v>
      </c>
      <c r="I395" s="2" t="s">
        <v>765</v>
      </c>
      <c r="J395" s="2" t="s">
        <v>762</v>
      </c>
      <c r="K395">
        <v>20</v>
      </c>
      <c r="L395">
        <v>20</v>
      </c>
      <c r="M395">
        <v>20</v>
      </c>
    </row>
    <row r="396" spans="1:13" x14ac:dyDescent="0.25">
      <c r="A396" t="s">
        <v>766</v>
      </c>
      <c r="B396" t="s">
        <v>767</v>
      </c>
      <c r="C396" t="s">
        <v>540</v>
      </c>
      <c r="F396">
        <v>2</v>
      </c>
      <c r="G396" t="s">
        <v>16</v>
      </c>
      <c r="H396">
        <v>0</v>
      </c>
      <c r="I396" s="2" t="s">
        <v>108</v>
      </c>
      <c r="J396" s="3">
        <v>3781650001</v>
      </c>
      <c r="K396">
        <v>20</v>
      </c>
      <c r="L396">
        <v>20</v>
      </c>
      <c r="M396">
        <v>20</v>
      </c>
    </row>
    <row r="397" spans="1:13" x14ac:dyDescent="0.25">
      <c r="A397" t="s">
        <v>768</v>
      </c>
      <c r="B397" t="s">
        <v>769</v>
      </c>
      <c r="C397" t="s">
        <v>540</v>
      </c>
      <c r="F397">
        <v>10</v>
      </c>
      <c r="G397" t="s">
        <v>16</v>
      </c>
      <c r="H397">
        <v>0</v>
      </c>
      <c r="I397" s="2" t="s">
        <v>737</v>
      </c>
      <c r="J397" s="2" t="s">
        <v>770</v>
      </c>
      <c r="K397">
        <v>20</v>
      </c>
      <c r="L397">
        <v>20</v>
      </c>
      <c r="M397">
        <v>20</v>
      </c>
    </row>
    <row r="398" spans="1:13" x14ac:dyDescent="0.25">
      <c r="A398" t="s">
        <v>771</v>
      </c>
      <c r="B398" t="s">
        <v>772</v>
      </c>
      <c r="C398" t="s">
        <v>540</v>
      </c>
      <c r="F398">
        <v>2</v>
      </c>
      <c r="G398" t="s">
        <v>16</v>
      </c>
      <c r="H398">
        <v>0</v>
      </c>
      <c r="I398" s="2" t="s">
        <v>64</v>
      </c>
      <c r="J398" s="2" t="str">
        <f>"09010250"</f>
        <v>09010250</v>
      </c>
      <c r="K398">
        <v>20</v>
      </c>
      <c r="L398">
        <v>20</v>
      </c>
      <c r="M398">
        <v>20</v>
      </c>
    </row>
    <row r="399" spans="1:13" x14ac:dyDescent="0.25">
      <c r="A399" t="s">
        <v>773</v>
      </c>
      <c r="B399" t="s">
        <v>774</v>
      </c>
      <c r="C399" t="s">
        <v>540</v>
      </c>
      <c r="F399">
        <v>2</v>
      </c>
      <c r="G399" t="s">
        <v>16</v>
      </c>
      <c r="H399">
        <v>0</v>
      </c>
      <c r="I399" s="2" t="s">
        <v>266</v>
      </c>
      <c r="J399" s="2">
        <v>87177</v>
      </c>
      <c r="K399">
        <v>20</v>
      </c>
      <c r="L399">
        <v>20</v>
      </c>
      <c r="M399">
        <v>20</v>
      </c>
    </row>
    <row r="400" spans="1:13" x14ac:dyDescent="0.25">
      <c r="A400" t="s">
        <v>775</v>
      </c>
      <c r="B400" t="s">
        <v>774</v>
      </c>
      <c r="C400" t="s">
        <v>540</v>
      </c>
      <c r="F400">
        <v>2</v>
      </c>
      <c r="G400" t="s">
        <v>16</v>
      </c>
      <c r="H400">
        <v>0</v>
      </c>
      <c r="I400" s="2" t="s">
        <v>776</v>
      </c>
      <c r="J400" s="2">
        <v>614352</v>
      </c>
      <c r="K400">
        <v>20</v>
      </c>
      <c r="L400">
        <v>20</v>
      </c>
      <c r="M400">
        <v>20</v>
      </c>
    </row>
    <row r="401" spans="1:13" x14ac:dyDescent="0.25">
      <c r="A401" t="s">
        <v>777</v>
      </c>
      <c r="B401" t="s">
        <v>778</v>
      </c>
      <c r="C401" t="s">
        <v>540</v>
      </c>
      <c r="G401" t="s">
        <v>16</v>
      </c>
      <c r="H401">
        <v>0</v>
      </c>
      <c r="I401" s="2" t="s">
        <v>779</v>
      </c>
      <c r="J401" s="2" t="s">
        <v>780</v>
      </c>
      <c r="K401">
        <v>20</v>
      </c>
      <c r="L401">
        <v>20</v>
      </c>
      <c r="M401">
        <v>20</v>
      </c>
    </row>
    <row r="402" spans="1:13" x14ac:dyDescent="0.25">
      <c r="A402" t="s">
        <v>781</v>
      </c>
      <c r="B402" t="s">
        <v>783</v>
      </c>
      <c r="C402" t="s">
        <v>241</v>
      </c>
      <c r="F402">
        <v>2</v>
      </c>
      <c r="G402" t="s">
        <v>16</v>
      </c>
      <c r="H402">
        <v>0</v>
      </c>
      <c r="I402" s="2" t="s">
        <v>784</v>
      </c>
      <c r="J402" s="2" t="s">
        <v>782</v>
      </c>
      <c r="K402">
        <v>20</v>
      </c>
      <c r="L402">
        <v>20</v>
      </c>
      <c r="M402">
        <v>20</v>
      </c>
    </row>
    <row r="403" spans="1:13" x14ac:dyDescent="0.25">
      <c r="A403" t="s">
        <v>785</v>
      </c>
      <c r="B403" t="s">
        <v>787</v>
      </c>
      <c r="C403" t="s">
        <v>241</v>
      </c>
      <c r="D403" t="s">
        <v>244</v>
      </c>
      <c r="F403">
        <v>1</v>
      </c>
      <c r="G403" t="s">
        <v>16</v>
      </c>
      <c r="H403">
        <v>0</v>
      </c>
      <c r="I403" s="2" t="s">
        <v>784</v>
      </c>
      <c r="J403" s="2" t="s">
        <v>786</v>
      </c>
      <c r="K403">
        <v>20</v>
      </c>
      <c r="L403">
        <v>20</v>
      </c>
      <c r="M403">
        <v>20</v>
      </c>
    </row>
    <row r="404" spans="1:13" x14ac:dyDescent="0.25">
      <c r="A404" t="s">
        <v>788</v>
      </c>
      <c r="B404" t="s">
        <v>789</v>
      </c>
      <c r="C404" t="s">
        <v>357</v>
      </c>
      <c r="D404" t="s">
        <v>358</v>
      </c>
      <c r="F404">
        <v>1</v>
      </c>
      <c r="G404" t="s">
        <v>16</v>
      </c>
      <c r="H404">
        <v>0</v>
      </c>
      <c r="K404">
        <v>20</v>
      </c>
      <c r="L404">
        <v>20</v>
      </c>
      <c r="M404">
        <v>20</v>
      </c>
    </row>
    <row r="405" spans="1:13" x14ac:dyDescent="0.25">
      <c r="A405" t="s">
        <v>790</v>
      </c>
      <c r="B405" t="s">
        <v>791</v>
      </c>
      <c r="C405" t="s">
        <v>357</v>
      </c>
      <c r="D405" t="s">
        <v>792</v>
      </c>
      <c r="G405" t="s">
        <v>16</v>
      </c>
      <c r="H405">
        <v>0</v>
      </c>
      <c r="I405" s="2" t="s">
        <v>793</v>
      </c>
      <c r="J405" s="2">
        <v>204</v>
      </c>
      <c r="K405">
        <v>20</v>
      </c>
      <c r="L405">
        <v>20</v>
      </c>
      <c r="M405">
        <v>20</v>
      </c>
    </row>
    <row r="406" spans="1:13" x14ac:dyDescent="0.25">
      <c r="A406" t="s">
        <v>794</v>
      </c>
      <c r="B406" t="s">
        <v>795</v>
      </c>
      <c r="C406" t="s">
        <v>357</v>
      </c>
      <c r="D406" t="s">
        <v>792</v>
      </c>
      <c r="F406">
        <v>1</v>
      </c>
      <c r="G406" t="s">
        <v>16</v>
      </c>
      <c r="H406">
        <v>0</v>
      </c>
      <c r="I406" s="2" t="s">
        <v>108</v>
      </c>
      <c r="J406" s="3">
        <v>2721502001</v>
      </c>
      <c r="K406">
        <v>20</v>
      </c>
      <c r="L406">
        <v>20</v>
      </c>
      <c r="M406">
        <v>20</v>
      </c>
    </row>
    <row r="407" spans="1:13" x14ac:dyDescent="0.25">
      <c r="A407" t="s">
        <v>796</v>
      </c>
      <c r="B407" t="s">
        <v>795</v>
      </c>
      <c r="C407" t="s">
        <v>357</v>
      </c>
      <c r="D407" t="s">
        <v>792</v>
      </c>
      <c r="F407">
        <v>1</v>
      </c>
      <c r="G407" t="s">
        <v>16</v>
      </c>
      <c r="H407">
        <v>0</v>
      </c>
      <c r="I407" s="2" t="s">
        <v>797</v>
      </c>
      <c r="J407" s="2" t="s">
        <v>798</v>
      </c>
      <c r="K407">
        <v>20</v>
      </c>
      <c r="L407">
        <v>20</v>
      </c>
      <c r="M407">
        <v>20</v>
      </c>
    </row>
    <row r="408" spans="1:13" x14ac:dyDescent="0.25">
      <c r="A408" t="s">
        <v>799</v>
      </c>
      <c r="B408" t="s">
        <v>800</v>
      </c>
      <c r="C408" t="s">
        <v>357</v>
      </c>
      <c r="F408">
        <v>1</v>
      </c>
      <c r="G408" t="s">
        <v>16</v>
      </c>
      <c r="H408">
        <v>0</v>
      </c>
      <c r="I408" s="2" t="s">
        <v>87</v>
      </c>
      <c r="J408" s="2" t="s">
        <v>801</v>
      </c>
      <c r="K408">
        <v>20</v>
      </c>
      <c r="L408">
        <v>20</v>
      </c>
      <c r="M408">
        <v>20</v>
      </c>
    </row>
    <row r="409" spans="1:13" x14ac:dyDescent="0.25">
      <c r="A409" t="s">
        <v>802</v>
      </c>
      <c r="B409" t="s">
        <v>800</v>
      </c>
      <c r="G409" t="s">
        <v>16</v>
      </c>
      <c r="H409">
        <v>0</v>
      </c>
      <c r="K409">
        <v>20</v>
      </c>
      <c r="L409">
        <v>20</v>
      </c>
      <c r="M409">
        <v>20</v>
      </c>
    </row>
    <row r="410" spans="1:13" x14ac:dyDescent="0.25">
      <c r="A410" t="s">
        <v>803</v>
      </c>
      <c r="B410" t="s">
        <v>804</v>
      </c>
      <c r="C410" t="s">
        <v>357</v>
      </c>
      <c r="D410" t="s">
        <v>358</v>
      </c>
      <c r="F410">
        <v>2</v>
      </c>
      <c r="G410" t="s">
        <v>16</v>
      </c>
      <c r="H410">
        <v>0</v>
      </c>
      <c r="I410" s="2" t="s">
        <v>87</v>
      </c>
      <c r="J410" s="2" t="s">
        <v>805</v>
      </c>
      <c r="K410">
        <v>20</v>
      </c>
      <c r="L410">
        <v>20</v>
      </c>
      <c r="M410">
        <v>20</v>
      </c>
    </row>
    <row r="411" spans="1:13" x14ac:dyDescent="0.25">
      <c r="A411" t="s">
        <v>806</v>
      </c>
      <c r="B411" t="s">
        <v>807</v>
      </c>
      <c r="C411" t="s">
        <v>357</v>
      </c>
      <c r="D411" t="s">
        <v>358</v>
      </c>
      <c r="G411" t="s">
        <v>16</v>
      </c>
      <c r="H411">
        <v>0</v>
      </c>
      <c r="I411" s="2" t="s">
        <v>108</v>
      </c>
      <c r="J411" s="3">
        <v>2571416003</v>
      </c>
      <c r="K411">
        <v>20</v>
      </c>
      <c r="L411">
        <v>20</v>
      </c>
      <c r="M411">
        <v>20</v>
      </c>
    </row>
    <row r="412" spans="1:13" x14ac:dyDescent="0.25">
      <c r="A412" t="s">
        <v>808</v>
      </c>
      <c r="B412" t="s">
        <v>804</v>
      </c>
      <c r="C412" t="s">
        <v>357</v>
      </c>
      <c r="D412" t="s">
        <v>358</v>
      </c>
      <c r="G412" t="s">
        <v>16</v>
      </c>
      <c r="H412">
        <v>0</v>
      </c>
      <c r="I412" s="2" t="s">
        <v>809</v>
      </c>
      <c r="J412" s="2" t="s">
        <v>810</v>
      </c>
      <c r="K412">
        <v>20</v>
      </c>
      <c r="L412">
        <v>20</v>
      </c>
      <c r="M412">
        <v>20</v>
      </c>
    </row>
    <row r="413" spans="1:13" x14ac:dyDescent="0.25">
      <c r="A413" t="s">
        <v>811</v>
      </c>
      <c r="B413" t="s">
        <v>813</v>
      </c>
      <c r="C413" t="s">
        <v>357</v>
      </c>
      <c r="D413" t="s">
        <v>792</v>
      </c>
      <c r="F413">
        <v>1</v>
      </c>
      <c r="G413" t="s">
        <v>16</v>
      </c>
      <c r="H413">
        <v>0</v>
      </c>
      <c r="I413" s="2" t="s">
        <v>814</v>
      </c>
      <c r="J413" s="2" t="s">
        <v>812</v>
      </c>
      <c r="K413">
        <v>20</v>
      </c>
      <c r="L413">
        <v>20</v>
      </c>
      <c r="M413">
        <v>20</v>
      </c>
    </row>
    <row r="414" spans="1:13" x14ac:dyDescent="0.25">
      <c r="A414" t="s">
        <v>815</v>
      </c>
      <c r="B414" t="s">
        <v>813</v>
      </c>
      <c r="C414" t="s">
        <v>357</v>
      </c>
      <c r="D414" t="s">
        <v>792</v>
      </c>
      <c r="F414">
        <v>1</v>
      </c>
      <c r="G414" t="s">
        <v>16</v>
      </c>
      <c r="H414">
        <v>0</v>
      </c>
      <c r="I414" s="2" t="s">
        <v>108</v>
      </c>
      <c r="J414" s="3">
        <v>2661502001</v>
      </c>
      <c r="K414">
        <v>20</v>
      </c>
      <c r="L414">
        <v>20</v>
      </c>
      <c r="M414">
        <v>20</v>
      </c>
    </row>
    <row r="415" spans="1:13" x14ac:dyDescent="0.25">
      <c r="A415" t="s">
        <v>816</v>
      </c>
      <c r="B415" t="s">
        <v>813</v>
      </c>
      <c r="C415" t="s">
        <v>357</v>
      </c>
      <c r="D415" t="s">
        <v>792</v>
      </c>
      <c r="F415">
        <v>1</v>
      </c>
      <c r="G415" t="s">
        <v>16</v>
      </c>
      <c r="H415">
        <v>0</v>
      </c>
      <c r="I415" s="2" t="s">
        <v>598</v>
      </c>
      <c r="J415" s="2">
        <v>367940</v>
      </c>
      <c r="K415">
        <v>20</v>
      </c>
      <c r="L415">
        <v>20</v>
      </c>
      <c r="M415">
        <v>20</v>
      </c>
    </row>
    <row r="416" spans="1:13" x14ac:dyDescent="0.25">
      <c r="A416" t="s">
        <v>817</v>
      </c>
      <c r="B416" t="s">
        <v>813</v>
      </c>
      <c r="C416" t="s">
        <v>357</v>
      </c>
      <c r="D416" t="s">
        <v>792</v>
      </c>
      <c r="F416">
        <v>1</v>
      </c>
      <c r="G416" t="s">
        <v>16</v>
      </c>
      <c r="H416">
        <v>0</v>
      </c>
      <c r="I416" s="2" t="s">
        <v>479</v>
      </c>
      <c r="J416" s="2" t="s">
        <v>818</v>
      </c>
      <c r="K416">
        <v>20</v>
      </c>
      <c r="L416">
        <v>20</v>
      </c>
      <c r="M416">
        <v>20</v>
      </c>
    </row>
    <row r="417" spans="1:13" x14ac:dyDescent="0.25">
      <c r="A417" t="s">
        <v>819</v>
      </c>
      <c r="B417" t="s">
        <v>813</v>
      </c>
      <c r="C417" t="s">
        <v>357</v>
      </c>
      <c r="D417" t="s">
        <v>792</v>
      </c>
      <c r="G417" t="s">
        <v>16</v>
      </c>
      <c r="H417">
        <v>0</v>
      </c>
      <c r="I417" s="2" t="s">
        <v>285</v>
      </c>
      <c r="J417" s="2" t="s">
        <v>820</v>
      </c>
      <c r="K417">
        <v>20</v>
      </c>
      <c r="L417">
        <v>20</v>
      </c>
      <c r="M417">
        <v>20</v>
      </c>
    </row>
    <row r="418" spans="1:13" x14ac:dyDescent="0.25">
      <c r="A418" t="s">
        <v>821</v>
      </c>
      <c r="B418" t="s">
        <v>813</v>
      </c>
      <c r="C418" t="s">
        <v>357</v>
      </c>
      <c r="D418" t="s">
        <v>792</v>
      </c>
      <c r="G418" t="s">
        <v>16</v>
      </c>
      <c r="H418">
        <v>0</v>
      </c>
      <c r="I418" s="2" t="s">
        <v>822</v>
      </c>
      <c r="J418" s="2" t="s">
        <v>823</v>
      </c>
      <c r="K418">
        <v>20</v>
      </c>
      <c r="L418">
        <v>20</v>
      </c>
      <c r="M418">
        <v>20</v>
      </c>
    </row>
    <row r="419" spans="1:13" x14ac:dyDescent="0.25">
      <c r="A419" t="s">
        <v>824</v>
      </c>
      <c r="B419" t="s">
        <v>825</v>
      </c>
      <c r="C419" t="s">
        <v>357</v>
      </c>
      <c r="D419" t="s">
        <v>792</v>
      </c>
      <c r="F419">
        <v>1</v>
      </c>
      <c r="G419" t="s">
        <v>16</v>
      </c>
      <c r="H419">
        <v>0</v>
      </c>
      <c r="I419" s="2" t="s">
        <v>797</v>
      </c>
      <c r="J419" s="2" t="s">
        <v>826</v>
      </c>
      <c r="K419">
        <v>20</v>
      </c>
      <c r="L419">
        <v>20</v>
      </c>
      <c r="M419">
        <v>20</v>
      </c>
    </row>
    <row r="420" spans="1:13" x14ac:dyDescent="0.25">
      <c r="A420" t="s">
        <v>827</v>
      </c>
      <c r="B420" t="s">
        <v>828</v>
      </c>
      <c r="C420" t="s">
        <v>357</v>
      </c>
      <c r="D420" t="s">
        <v>792</v>
      </c>
      <c r="F420">
        <v>1</v>
      </c>
      <c r="G420" t="s">
        <v>16</v>
      </c>
      <c r="H420">
        <v>0</v>
      </c>
      <c r="I420" s="2" t="s">
        <v>814</v>
      </c>
      <c r="J420" s="2">
        <v>134</v>
      </c>
      <c r="K420">
        <v>20</v>
      </c>
      <c r="L420">
        <v>20</v>
      </c>
      <c r="M420">
        <v>20</v>
      </c>
    </row>
    <row r="421" spans="1:13" x14ac:dyDescent="0.25">
      <c r="A421" t="s">
        <v>829</v>
      </c>
      <c r="B421" t="s">
        <v>828</v>
      </c>
      <c r="C421" t="s">
        <v>357</v>
      </c>
      <c r="D421" t="s">
        <v>792</v>
      </c>
      <c r="F421">
        <v>1</v>
      </c>
      <c r="G421" t="s">
        <v>16</v>
      </c>
      <c r="H421">
        <v>0</v>
      </c>
      <c r="I421" s="2" t="s">
        <v>108</v>
      </c>
      <c r="J421" s="3">
        <v>2571502003</v>
      </c>
      <c r="K421">
        <v>20</v>
      </c>
      <c r="L421">
        <v>20</v>
      </c>
      <c r="M421">
        <v>20</v>
      </c>
    </row>
    <row r="422" spans="1:13" x14ac:dyDescent="0.25">
      <c r="A422" t="s">
        <v>830</v>
      </c>
      <c r="B422" t="s">
        <v>828</v>
      </c>
      <c r="C422" t="s">
        <v>357</v>
      </c>
      <c r="D422" t="s">
        <v>792</v>
      </c>
      <c r="F422">
        <v>1</v>
      </c>
      <c r="G422" t="s">
        <v>16</v>
      </c>
      <c r="H422">
        <v>0</v>
      </c>
      <c r="I422" s="2" t="s">
        <v>266</v>
      </c>
      <c r="J422" s="2">
        <v>60025</v>
      </c>
      <c r="K422">
        <v>20</v>
      </c>
      <c r="L422">
        <v>20</v>
      </c>
      <c r="M422">
        <v>20</v>
      </c>
    </row>
    <row r="423" spans="1:13" x14ac:dyDescent="0.25">
      <c r="A423" t="s">
        <v>831</v>
      </c>
      <c r="B423" t="s">
        <v>832</v>
      </c>
      <c r="C423" t="s">
        <v>357</v>
      </c>
      <c r="D423" t="s">
        <v>792</v>
      </c>
      <c r="F423">
        <v>1</v>
      </c>
      <c r="G423" t="s">
        <v>16</v>
      </c>
      <c r="H423">
        <v>0</v>
      </c>
      <c r="I423" s="2" t="s">
        <v>142</v>
      </c>
      <c r="J423" s="2" t="s">
        <v>833</v>
      </c>
      <c r="K423">
        <v>20</v>
      </c>
      <c r="L423">
        <v>20</v>
      </c>
      <c r="M423">
        <v>20</v>
      </c>
    </row>
    <row r="424" spans="1:13" x14ac:dyDescent="0.25">
      <c r="A424" t="s">
        <v>834</v>
      </c>
      <c r="B424" t="s">
        <v>835</v>
      </c>
      <c r="C424" t="s">
        <v>357</v>
      </c>
      <c r="D424" t="s">
        <v>792</v>
      </c>
      <c r="F424">
        <v>1</v>
      </c>
      <c r="G424" t="s">
        <v>16</v>
      </c>
      <c r="H424">
        <v>0</v>
      </c>
      <c r="I424" s="2" t="s">
        <v>797</v>
      </c>
      <c r="J424" s="2" t="s">
        <v>836</v>
      </c>
      <c r="K424">
        <v>20</v>
      </c>
      <c r="L424">
        <v>20</v>
      </c>
      <c r="M424">
        <v>20</v>
      </c>
    </row>
    <row r="425" spans="1:13" x14ac:dyDescent="0.25">
      <c r="A425" t="s">
        <v>837</v>
      </c>
      <c r="B425" t="s">
        <v>835</v>
      </c>
      <c r="C425" t="s">
        <v>357</v>
      </c>
      <c r="D425" t="s">
        <v>792</v>
      </c>
      <c r="F425">
        <v>1</v>
      </c>
      <c r="G425" t="s">
        <v>16</v>
      </c>
      <c r="H425">
        <v>0</v>
      </c>
      <c r="I425" s="2" t="s">
        <v>266</v>
      </c>
      <c r="J425" s="2">
        <v>60019</v>
      </c>
      <c r="K425">
        <v>20</v>
      </c>
      <c r="L425">
        <v>20</v>
      </c>
      <c r="M425">
        <v>20</v>
      </c>
    </row>
    <row r="426" spans="1:13" x14ac:dyDescent="0.25">
      <c r="A426" t="s">
        <v>838</v>
      </c>
      <c r="B426" t="s">
        <v>839</v>
      </c>
      <c r="C426" t="s">
        <v>357</v>
      </c>
      <c r="D426" t="s">
        <v>792</v>
      </c>
      <c r="G426" t="s">
        <v>16</v>
      </c>
      <c r="H426">
        <v>0</v>
      </c>
      <c r="I426" s="2" t="s">
        <v>822</v>
      </c>
      <c r="J426" s="2" t="s">
        <v>840</v>
      </c>
      <c r="K426">
        <v>20</v>
      </c>
      <c r="L426">
        <v>20</v>
      </c>
      <c r="M426">
        <v>20</v>
      </c>
    </row>
    <row r="427" spans="1:13" x14ac:dyDescent="0.25">
      <c r="A427" t="s">
        <v>841</v>
      </c>
      <c r="B427" t="s">
        <v>832</v>
      </c>
      <c r="C427" t="s">
        <v>357</v>
      </c>
      <c r="D427" t="s">
        <v>792</v>
      </c>
      <c r="F427">
        <v>1</v>
      </c>
      <c r="G427" t="s">
        <v>16</v>
      </c>
      <c r="H427">
        <v>0</v>
      </c>
      <c r="I427" s="2" t="s">
        <v>842</v>
      </c>
      <c r="J427" s="2">
        <v>506595</v>
      </c>
      <c r="K427">
        <v>20</v>
      </c>
      <c r="L427">
        <v>20</v>
      </c>
      <c r="M427">
        <v>20</v>
      </c>
    </row>
    <row r="428" spans="1:13" x14ac:dyDescent="0.25">
      <c r="A428" t="s">
        <v>843</v>
      </c>
      <c r="B428" t="s">
        <v>844</v>
      </c>
      <c r="C428" t="s">
        <v>357</v>
      </c>
      <c r="D428" t="s">
        <v>792</v>
      </c>
      <c r="F428">
        <v>2</v>
      </c>
      <c r="G428" t="s">
        <v>16</v>
      </c>
      <c r="H428">
        <v>0</v>
      </c>
      <c r="I428" s="2" t="s">
        <v>845</v>
      </c>
      <c r="J428" s="2">
        <v>1679</v>
      </c>
      <c r="K428">
        <v>20</v>
      </c>
      <c r="L428">
        <v>20</v>
      </c>
      <c r="M428">
        <v>20</v>
      </c>
    </row>
    <row r="429" spans="1:13" x14ac:dyDescent="0.25">
      <c r="A429" t="s">
        <v>846</v>
      </c>
      <c r="B429" t="s">
        <v>847</v>
      </c>
      <c r="C429" t="s">
        <v>357</v>
      </c>
      <c r="D429" t="s">
        <v>792</v>
      </c>
      <c r="G429" t="s">
        <v>16</v>
      </c>
      <c r="H429">
        <v>0</v>
      </c>
      <c r="I429" s="2" t="s">
        <v>848</v>
      </c>
      <c r="J429" s="2" t="s">
        <v>849</v>
      </c>
      <c r="K429">
        <v>20</v>
      </c>
      <c r="L429">
        <v>20</v>
      </c>
      <c r="M429">
        <v>20</v>
      </c>
    </row>
    <row r="430" spans="1:13" x14ac:dyDescent="0.25">
      <c r="A430" t="s">
        <v>850</v>
      </c>
      <c r="B430" t="s">
        <v>847</v>
      </c>
      <c r="C430" t="s">
        <v>357</v>
      </c>
      <c r="D430" t="s">
        <v>792</v>
      </c>
      <c r="F430">
        <v>1</v>
      </c>
      <c r="G430" t="s">
        <v>16</v>
      </c>
      <c r="H430">
        <v>0</v>
      </c>
      <c r="I430" s="2" t="s">
        <v>851</v>
      </c>
      <c r="J430" s="2" t="s">
        <v>852</v>
      </c>
      <c r="K430">
        <v>20</v>
      </c>
      <c r="L430">
        <v>20</v>
      </c>
      <c r="M430">
        <v>20</v>
      </c>
    </row>
    <row r="431" spans="1:13" x14ac:dyDescent="0.25">
      <c r="A431" t="s">
        <v>853</v>
      </c>
      <c r="B431" t="s">
        <v>847</v>
      </c>
      <c r="C431" t="s">
        <v>357</v>
      </c>
      <c r="D431" t="s">
        <v>792</v>
      </c>
      <c r="F431">
        <v>1</v>
      </c>
      <c r="G431" t="s">
        <v>16</v>
      </c>
      <c r="H431">
        <v>0</v>
      </c>
      <c r="I431" s="2" t="s">
        <v>854</v>
      </c>
      <c r="J431" s="2">
        <v>506704</v>
      </c>
      <c r="K431">
        <v>20</v>
      </c>
      <c r="L431">
        <v>20</v>
      </c>
      <c r="M431">
        <v>20</v>
      </c>
    </row>
    <row r="432" spans="1:13" x14ac:dyDescent="0.25">
      <c r="A432" t="s">
        <v>855</v>
      </c>
      <c r="B432" t="s">
        <v>856</v>
      </c>
      <c r="C432" t="s">
        <v>357</v>
      </c>
      <c r="D432" t="s">
        <v>792</v>
      </c>
      <c r="F432">
        <v>1</v>
      </c>
      <c r="G432" t="s">
        <v>16</v>
      </c>
      <c r="H432">
        <v>0</v>
      </c>
      <c r="I432" s="2" t="s">
        <v>108</v>
      </c>
      <c r="J432" s="3">
        <v>3021502001</v>
      </c>
      <c r="K432">
        <v>20</v>
      </c>
      <c r="L432">
        <v>20</v>
      </c>
      <c r="M432">
        <v>20</v>
      </c>
    </row>
    <row r="433" spans="1:13" x14ac:dyDescent="0.25">
      <c r="A433" t="s">
        <v>857</v>
      </c>
      <c r="B433" t="s">
        <v>858</v>
      </c>
      <c r="C433" t="s">
        <v>357</v>
      </c>
      <c r="D433" t="s">
        <v>792</v>
      </c>
      <c r="G433" t="s">
        <v>16</v>
      </c>
      <c r="H433">
        <v>0</v>
      </c>
      <c r="I433" s="2" t="s">
        <v>797</v>
      </c>
      <c r="J433" s="2" t="s">
        <v>859</v>
      </c>
      <c r="K433">
        <v>20</v>
      </c>
      <c r="L433">
        <v>20</v>
      </c>
      <c r="M433">
        <v>20</v>
      </c>
    </row>
    <row r="434" spans="1:13" x14ac:dyDescent="0.25">
      <c r="A434" t="s">
        <v>860</v>
      </c>
      <c r="B434" t="s">
        <v>861</v>
      </c>
      <c r="C434" t="s">
        <v>357</v>
      </c>
      <c r="D434" t="s">
        <v>792</v>
      </c>
      <c r="F434">
        <v>1</v>
      </c>
      <c r="G434" t="s">
        <v>16</v>
      </c>
      <c r="H434">
        <v>0</v>
      </c>
      <c r="I434" s="2" t="s">
        <v>862</v>
      </c>
      <c r="J434" s="2" t="s">
        <v>863</v>
      </c>
      <c r="K434">
        <v>20</v>
      </c>
      <c r="L434">
        <v>20</v>
      </c>
      <c r="M434">
        <v>20</v>
      </c>
    </row>
    <row r="435" spans="1:13" x14ac:dyDescent="0.25">
      <c r="A435" t="s">
        <v>864</v>
      </c>
      <c r="B435" t="s">
        <v>861</v>
      </c>
      <c r="C435" t="s">
        <v>357</v>
      </c>
      <c r="D435" t="s">
        <v>792</v>
      </c>
      <c r="F435">
        <v>0</v>
      </c>
      <c r="G435" t="s">
        <v>16</v>
      </c>
      <c r="H435">
        <v>0</v>
      </c>
      <c r="I435" s="2" t="s">
        <v>865</v>
      </c>
      <c r="J435" s="2" t="s">
        <v>866</v>
      </c>
      <c r="K435">
        <v>20</v>
      </c>
      <c r="L435">
        <v>20</v>
      </c>
      <c r="M435">
        <v>20</v>
      </c>
    </row>
    <row r="436" spans="1:13" x14ac:dyDescent="0.25">
      <c r="A436" t="s">
        <v>867</v>
      </c>
      <c r="B436" t="s">
        <v>858</v>
      </c>
      <c r="C436" t="s">
        <v>357</v>
      </c>
      <c r="D436" t="s">
        <v>792</v>
      </c>
      <c r="F436">
        <v>2</v>
      </c>
      <c r="G436" t="s">
        <v>16</v>
      </c>
      <c r="H436">
        <v>0</v>
      </c>
      <c r="I436" s="2" t="s">
        <v>639</v>
      </c>
      <c r="J436" s="2" t="s">
        <v>868</v>
      </c>
      <c r="K436">
        <v>20</v>
      </c>
      <c r="L436">
        <v>20</v>
      </c>
      <c r="M436">
        <v>20</v>
      </c>
    </row>
    <row r="437" spans="1:13" x14ac:dyDescent="0.25">
      <c r="A437" t="s">
        <v>869</v>
      </c>
      <c r="B437" t="s">
        <v>861</v>
      </c>
      <c r="C437" t="s">
        <v>357</v>
      </c>
      <c r="D437" t="s">
        <v>792</v>
      </c>
      <c r="F437">
        <v>0</v>
      </c>
      <c r="G437" t="s">
        <v>16</v>
      </c>
      <c r="H437">
        <v>0</v>
      </c>
      <c r="I437" s="2" t="s">
        <v>139</v>
      </c>
      <c r="J437" s="2" t="s">
        <v>870</v>
      </c>
      <c r="K437">
        <v>20</v>
      </c>
      <c r="L437">
        <v>20</v>
      </c>
      <c r="M437">
        <v>20</v>
      </c>
    </row>
    <row r="438" spans="1:13" x14ac:dyDescent="0.25">
      <c r="A438" t="s">
        <v>871</v>
      </c>
      <c r="B438" t="s">
        <v>858</v>
      </c>
      <c r="C438" t="s">
        <v>357</v>
      </c>
      <c r="D438" t="s">
        <v>792</v>
      </c>
      <c r="G438" t="s">
        <v>16</v>
      </c>
      <c r="H438">
        <v>0</v>
      </c>
      <c r="I438" s="2" t="s">
        <v>822</v>
      </c>
      <c r="J438" s="2" t="s">
        <v>872</v>
      </c>
      <c r="K438">
        <v>20</v>
      </c>
      <c r="L438">
        <v>20</v>
      </c>
      <c r="M438">
        <v>20</v>
      </c>
    </row>
    <row r="439" spans="1:13" x14ac:dyDescent="0.25">
      <c r="A439" t="s">
        <v>873</v>
      </c>
      <c r="B439" t="s">
        <v>874</v>
      </c>
      <c r="C439" t="s">
        <v>357</v>
      </c>
      <c r="D439" t="s">
        <v>792</v>
      </c>
      <c r="F439">
        <v>0</v>
      </c>
      <c r="G439" t="s">
        <v>16</v>
      </c>
      <c r="H439">
        <v>0</v>
      </c>
      <c r="I439" s="2" t="s">
        <v>845</v>
      </c>
      <c r="J439" s="2">
        <v>1678</v>
      </c>
      <c r="K439">
        <v>20</v>
      </c>
      <c r="L439">
        <v>20</v>
      </c>
      <c r="M439">
        <v>20</v>
      </c>
    </row>
    <row r="440" spans="1:13" x14ac:dyDescent="0.25">
      <c r="A440" t="s">
        <v>875</v>
      </c>
      <c r="B440" t="s">
        <v>874</v>
      </c>
      <c r="C440" t="s">
        <v>357</v>
      </c>
      <c r="D440" t="s">
        <v>792</v>
      </c>
      <c r="G440" t="s">
        <v>16</v>
      </c>
      <c r="H440">
        <v>0</v>
      </c>
      <c r="I440" s="2" t="s">
        <v>848</v>
      </c>
      <c r="J440" s="2" t="s">
        <v>876</v>
      </c>
      <c r="K440">
        <v>20</v>
      </c>
      <c r="L440">
        <v>20</v>
      </c>
      <c r="M440">
        <v>20</v>
      </c>
    </row>
    <row r="441" spans="1:13" x14ac:dyDescent="0.25">
      <c r="A441" t="s">
        <v>877</v>
      </c>
      <c r="B441" t="s">
        <v>874</v>
      </c>
      <c r="C441" t="s">
        <v>357</v>
      </c>
      <c r="D441" t="s">
        <v>792</v>
      </c>
      <c r="F441">
        <v>0</v>
      </c>
      <c r="G441" t="s">
        <v>16</v>
      </c>
      <c r="H441">
        <v>0</v>
      </c>
      <c r="I441" s="2" t="s">
        <v>389</v>
      </c>
      <c r="J441" s="2">
        <v>1684891580</v>
      </c>
      <c r="K441">
        <v>20</v>
      </c>
      <c r="L441">
        <v>20</v>
      </c>
      <c r="M441">
        <v>20</v>
      </c>
    </row>
    <row r="442" spans="1:13" x14ac:dyDescent="0.25">
      <c r="A442" t="s">
        <v>878</v>
      </c>
      <c r="B442" t="s">
        <v>874</v>
      </c>
      <c r="C442" t="s">
        <v>357</v>
      </c>
      <c r="D442" t="s">
        <v>792</v>
      </c>
      <c r="F442">
        <v>8</v>
      </c>
      <c r="G442" t="s">
        <v>16</v>
      </c>
      <c r="H442">
        <v>0</v>
      </c>
      <c r="I442" s="2" t="s">
        <v>108</v>
      </c>
      <c r="J442" s="3">
        <v>2661502002</v>
      </c>
      <c r="K442">
        <v>20</v>
      </c>
      <c r="L442">
        <v>20</v>
      </c>
      <c r="M442">
        <v>20</v>
      </c>
    </row>
    <row r="443" spans="1:13" x14ac:dyDescent="0.25">
      <c r="A443" t="s">
        <v>879</v>
      </c>
      <c r="B443" t="s">
        <v>874</v>
      </c>
      <c r="C443" t="s">
        <v>357</v>
      </c>
      <c r="D443" t="s">
        <v>792</v>
      </c>
      <c r="G443" t="s">
        <v>16</v>
      </c>
      <c r="H443">
        <v>0</v>
      </c>
      <c r="I443" s="2" t="s">
        <v>880</v>
      </c>
      <c r="J443" s="2" t="s">
        <v>881</v>
      </c>
      <c r="K443">
        <v>20</v>
      </c>
      <c r="L443">
        <v>20</v>
      </c>
      <c r="M443">
        <v>20</v>
      </c>
    </row>
    <row r="444" spans="1:13" x14ac:dyDescent="0.25">
      <c r="A444" t="s">
        <v>882</v>
      </c>
      <c r="B444" t="s">
        <v>874</v>
      </c>
      <c r="C444" t="s">
        <v>357</v>
      </c>
      <c r="D444" t="s">
        <v>792</v>
      </c>
      <c r="F444">
        <v>7</v>
      </c>
      <c r="G444" t="s">
        <v>16</v>
      </c>
      <c r="H444">
        <v>0</v>
      </c>
      <c r="I444" s="2" t="s">
        <v>639</v>
      </c>
      <c r="J444" s="2" t="s">
        <v>883</v>
      </c>
      <c r="K444">
        <v>20</v>
      </c>
      <c r="L444">
        <v>20</v>
      </c>
      <c r="M444">
        <v>20</v>
      </c>
    </row>
    <row r="445" spans="1:13" x14ac:dyDescent="0.25">
      <c r="A445" t="s">
        <v>884</v>
      </c>
      <c r="B445" t="s">
        <v>885</v>
      </c>
      <c r="C445" t="s">
        <v>357</v>
      </c>
      <c r="D445" t="s">
        <v>792</v>
      </c>
      <c r="F445">
        <v>1</v>
      </c>
      <c r="G445" t="s">
        <v>16</v>
      </c>
      <c r="H445">
        <v>0</v>
      </c>
      <c r="I445" s="2" t="s">
        <v>886</v>
      </c>
      <c r="J445" s="2" t="s">
        <v>887</v>
      </c>
      <c r="K445">
        <v>20</v>
      </c>
      <c r="L445">
        <v>20</v>
      </c>
      <c r="M445">
        <v>20</v>
      </c>
    </row>
    <row r="446" spans="1:13" x14ac:dyDescent="0.25">
      <c r="A446" t="s">
        <v>888</v>
      </c>
      <c r="B446" t="s">
        <v>889</v>
      </c>
      <c r="C446" t="s">
        <v>540</v>
      </c>
      <c r="F446">
        <v>1</v>
      </c>
      <c r="G446" t="s">
        <v>16</v>
      </c>
      <c r="H446">
        <v>0</v>
      </c>
      <c r="I446" s="2" t="s">
        <v>591</v>
      </c>
      <c r="J446" s="2">
        <v>220639</v>
      </c>
      <c r="K446">
        <v>20</v>
      </c>
      <c r="L446">
        <v>20</v>
      </c>
      <c r="M446">
        <v>20</v>
      </c>
    </row>
    <row r="447" spans="1:13" x14ac:dyDescent="0.25">
      <c r="A447" t="s">
        <v>890</v>
      </c>
      <c r="B447" t="s">
        <v>891</v>
      </c>
      <c r="C447" t="s">
        <v>540</v>
      </c>
      <c r="F447">
        <v>2</v>
      </c>
      <c r="G447" t="s">
        <v>16</v>
      </c>
      <c r="H447">
        <v>0</v>
      </c>
      <c r="I447" s="2" t="s">
        <v>64</v>
      </c>
      <c r="J447" s="2">
        <v>21030941</v>
      </c>
      <c r="K447">
        <v>20</v>
      </c>
      <c r="L447">
        <v>20</v>
      </c>
      <c r="M447">
        <v>20</v>
      </c>
    </row>
    <row r="448" spans="1:13" x14ac:dyDescent="0.25">
      <c r="A448" t="s">
        <v>892</v>
      </c>
      <c r="B448" t="s">
        <v>893</v>
      </c>
      <c r="C448" t="s">
        <v>20</v>
      </c>
      <c r="D448" t="s">
        <v>894</v>
      </c>
      <c r="F448">
        <v>1</v>
      </c>
      <c r="G448" t="s">
        <v>16</v>
      </c>
      <c r="H448">
        <v>0</v>
      </c>
      <c r="I448" s="2" t="s">
        <v>411</v>
      </c>
      <c r="J448" s="2" t="s">
        <v>895</v>
      </c>
      <c r="K448">
        <v>20</v>
      </c>
      <c r="L448">
        <v>20</v>
      </c>
      <c r="M448">
        <v>20</v>
      </c>
    </row>
    <row r="449" spans="1:13" x14ac:dyDescent="0.25">
      <c r="A449" t="s">
        <v>896</v>
      </c>
      <c r="B449" t="s">
        <v>898</v>
      </c>
      <c r="C449" t="s">
        <v>20</v>
      </c>
      <c r="D449" t="s">
        <v>899</v>
      </c>
      <c r="F449">
        <v>1</v>
      </c>
      <c r="G449" t="s">
        <v>16</v>
      </c>
      <c r="H449">
        <v>0</v>
      </c>
      <c r="I449" s="2" t="s">
        <v>900</v>
      </c>
      <c r="J449" s="2" t="s">
        <v>897</v>
      </c>
      <c r="K449">
        <v>20</v>
      </c>
      <c r="L449">
        <v>20</v>
      </c>
      <c r="M449">
        <v>20</v>
      </c>
    </row>
    <row r="450" spans="1:13" x14ac:dyDescent="0.25">
      <c r="A450" t="s">
        <v>901</v>
      </c>
      <c r="B450" t="s">
        <v>902</v>
      </c>
      <c r="C450" t="s">
        <v>357</v>
      </c>
      <c r="D450" t="s">
        <v>792</v>
      </c>
      <c r="F450">
        <v>1</v>
      </c>
      <c r="G450" t="s">
        <v>16</v>
      </c>
      <c r="H450">
        <v>0</v>
      </c>
      <c r="I450" s="2" t="s">
        <v>411</v>
      </c>
      <c r="J450" s="2" t="s">
        <v>903</v>
      </c>
      <c r="K450">
        <v>20</v>
      </c>
      <c r="L450">
        <v>20</v>
      </c>
      <c r="M450">
        <v>20</v>
      </c>
    </row>
    <row r="451" spans="1:13" x14ac:dyDescent="0.25">
      <c r="A451" t="s">
        <v>904</v>
      </c>
      <c r="B451" t="s">
        <v>905</v>
      </c>
      <c r="C451" t="s">
        <v>151</v>
      </c>
      <c r="F451">
        <v>0</v>
      </c>
      <c r="G451" t="s">
        <v>16</v>
      </c>
      <c r="H451">
        <v>0</v>
      </c>
      <c r="I451" s="2" t="s">
        <v>906</v>
      </c>
      <c r="J451" s="2" t="s">
        <v>907</v>
      </c>
      <c r="K451">
        <v>20</v>
      </c>
      <c r="L451">
        <v>20</v>
      </c>
      <c r="M451">
        <v>20</v>
      </c>
    </row>
    <row r="452" spans="1:13" x14ac:dyDescent="0.25">
      <c r="A452" t="s">
        <v>908</v>
      </c>
      <c r="B452" t="s">
        <v>910</v>
      </c>
      <c r="C452" t="s">
        <v>151</v>
      </c>
      <c r="F452">
        <v>2</v>
      </c>
      <c r="G452" t="s">
        <v>16</v>
      </c>
      <c r="H452">
        <v>0</v>
      </c>
      <c r="I452" s="2" t="s">
        <v>288</v>
      </c>
      <c r="J452" s="2" t="s">
        <v>909</v>
      </c>
      <c r="K452">
        <v>20</v>
      </c>
      <c r="L452">
        <v>20</v>
      </c>
      <c r="M452">
        <v>20</v>
      </c>
    </row>
    <row r="453" spans="1:13" x14ac:dyDescent="0.25">
      <c r="A453" t="s">
        <v>911</v>
      </c>
      <c r="B453" t="s">
        <v>910</v>
      </c>
      <c r="C453" t="s">
        <v>151</v>
      </c>
      <c r="G453" t="s">
        <v>16</v>
      </c>
      <c r="H453">
        <v>0</v>
      </c>
      <c r="I453" s="2" t="s">
        <v>297</v>
      </c>
      <c r="J453" s="2" t="s">
        <v>912</v>
      </c>
      <c r="K453">
        <v>20</v>
      </c>
      <c r="L453">
        <v>20</v>
      </c>
      <c r="M453">
        <v>20</v>
      </c>
    </row>
    <row r="454" spans="1:13" x14ac:dyDescent="0.25">
      <c r="A454" t="s">
        <v>913</v>
      </c>
      <c r="B454" t="s">
        <v>914</v>
      </c>
      <c r="C454" t="s">
        <v>151</v>
      </c>
      <c r="F454">
        <v>1</v>
      </c>
      <c r="G454" t="s">
        <v>16</v>
      </c>
      <c r="H454">
        <v>0</v>
      </c>
      <c r="I454" s="2" t="s">
        <v>915</v>
      </c>
      <c r="J454" s="2">
        <v>236995</v>
      </c>
      <c r="K454">
        <v>20</v>
      </c>
      <c r="L454">
        <v>20</v>
      </c>
      <c r="M454">
        <v>20</v>
      </c>
    </row>
    <row r="455" spans="1:13" x14ac:dyDescent="0.25">
      <c r="A455" t="s">
        <v>916</v>
      </c>
      <c r="B455" t="s">
        <v>917</v>
      </c>
      <c r="C455" t="s">
        <v>20</v>
      </c>
      <c r="D455" t="s">
        <v>894</v>
      </c>
      <c r="F455">
        <v>1</v>
      </c>
      <c r="G455" t="s">
        <v>16</v>
      </c>
      <c r="H455">
        <v>0</v>
      </c>
      <c r="I455" s="2" t="s">
        <v>900</v>
      </c>
      <c r="J455" s="2">
        <v>442</v>
      </c>
      <c r="K455">
        <v>20</v>
      </c>
      <c r="L455">
        <v>20</v>
      </c>
      <c r="M455">
        <v>20</v>
      </c>
    </row>
    <row r="456" spans="1:13" x14ac:dyDescent="0.25">
      <c r="A456" t="s">
        <v>918</v>
      </c>
      <c r="B456" t="s">
        <v>920</v>
      </c>
      <c r="C456" t="s">
        <v>151</v>
      </c>
      <c r="F456">
        <v>9</v>
      </c>
      <c r="G456" t="s">
        <v>16</v>
      </c>
      <c r="H456">
        <v>0</v>
      </c>
      <c r="I456" s="2" t="s">
        <v>288</v>
      </c>
      <c r="J456" s="2" t="s">
        <v>919</v>
      </c>
      <c r="K456">
        <v>20</v>
      </c>
      <c r="L456">
        <v>20</v>
      </c>
      <c r="M456">
        <v>20</v>
      </c>
    </row>
    <row r="457" spans="1:13" x14ac:dyDescent="0.25">
      <c r="A457" t="s">
        <v>921</v>
      </c>
      <c r="B457" t="s">
        <v>922</v>
      </c>
      <c r="C457" t="s">
        <v>20</v>
      </c>
      <c r="D457" t="s">
        <v>26</v>
      </c>
      <c r="F457">
        <v>0</v>
      </c>
      <c r="G457" t="s">
        <v>16</v>
      </c>
      <c r="H457">
        <v>0</v>
      </c>
      <c r="K457">
        <v>20</v>
      </c>
      <c r="L457">
        <v>20</v>
      </c>
      <c r="M457">
        <v>20</v>
      </c>
    </row>
    <row r="458" spans="1:13" x14ac:dyDescent="0.25">
      <c r="A458" t="s">
        <v>923</v>
      </c>
      <c r="B458" t="s">
        <v>925</v>
      </c>
      <c r="C458" t="s">
        <v>926</v>
      </c>
      <c r="D458" t="s">
        <v>927</v>
      </c>
      <c r="G458" t="s">
        <v>16</v>
      </c>
      <c r="H458">
        <v>0</v>
      </c>
      <c r="I458" s="2" t="s">
        <v>288</v>
      </c>
      <c r="J458" s="2" t="s">
        <v>924</v>
      </c>
      <c r="K458">
        <v>20</v>
      </c>
      <c r="L458">
        <v>20</v>
      </c>
      <c r="M458">
        <v>20</v>
      </c>
    </row>
    <row r="459" spans="1:13" x14ac:dyDescent="0.25">
      <c r="A459" t="s">
        <v>928</v>
      </c>
      <c r="B459" t="s">
        <v>929</v>
      </c>
      <c r="C459" t="s">
        <v>926</v>
      </c>
      <c r="D459" t="s">
        <v>927</v>
      </c>
      <c r="G459" t="s">
        <v>16</v>
      </c>
      <c r="H459">
        <v>0</v>
      </c>
      <c r="I459" s="2" t="s">
        <v>842</v>
      </c>
      <c r="J459" s="2">
        <v>245108</v>
      </c>
      <c r="K459">
        <v>20</v>
      </c>
      <c r="L459">
        <v>20</v>
      </c>
      <c r="M459">
        <v>20</v>
      </c>
    </row>
    <row r="460" spans="1:13" x14ac:dyDescent="0.25">
      <c r="A460" t="s">
        <v>930</v>
      </c>
      <c r="B460" t="s">
        <v>932</v>
      </c>
      <c r="C460" t="s">
        <v>926</v>
      </c>
      <c r="D460" t="s">
        <v>927</v>
      </c>
      <c r="F460">
        <v>1</v>
      </c>
      <c r="G460" t="s">
        <v>16</v>
      </c>
      <c r="H460">
        <v>0</v>
      </c>
      <c r="I460" s="2" t="s">
        <v>765</v>
      </c>
      <c r="J460" s="2" t="s">
        <v>931</v>
      </c>
      <c r="K460">
        <v>20</v>
      </c>
      <c r="L460">
        <v>20</v>
      </c>
      <c r="M460">
        <v>20</v>
      </c>
    </row>
    <row r="461" spans="1:13" x14ac:dyDescent="0.25">
      <c r="A461" t="s">
        <v>933</v>
      </c>
      <c r="B461" t="s">
        <v>932</v>
      </c>
      <c r="C461" t="s">
        <v>926</v>
      </c>
      <c r="D461" t="s">
        <v>927</v>
      </c>
      <c r="F461">
        <v>2</v>
      </c>
      <c r="G461" t="s">
        <v>16</v>
      </c>
      <c r="H461">
        <v>0</v>
      </c>
      <c r="I461" s="2" t="s">
        <v>685</v>
      </c>
      <c r="J461" s="2" t="str">
        <f>"0221503472"</f>
        <v>0221503472</v>
      </c>
      <c r="K461">
        <v>20</v>
      </c>
      <c r="L461">
        <v>20</v>
      </c>
      <c r="M461">
        <v>20</v>
      </c>
    </row>
    <row r="462" spans="1:13" x14ac:dyDescent="0.25">
      <c r="A462" t="s">
        <v>934</v>
      </c>
      <c r="B462" t="s">
        <v>932</v>
      </c>
      <c r="C462" t="s">
        <v>926</v>
      </c>
      <c r="D462" t="s">
        <v>927</v>
      </c>
      <c r="F462">
        <v>5</v>
      </c>
      <c r="G462" t="s">
        <v>16</v>
      </c>
      <c r="H462">
        <v>0</v>
      </c>
      <c r="I462" s="2" t="s">
        <v>707</v>
      </c>
      <c r="J462" s="2" t="s">
        <v>935</v>
      </c>
      <c r="K462">
        <v>20</v>
      </c>
      <c r="L462">
        <v>20</v>
      </c>
      <c r="M462">
        <v>20</v>
      </c>
    </row>
    <row r="463" spans="1:13" x14ac:dyDescent="0.25">
      <c r="A463" t="s">
        <v>936</v>
      </c>
      <c r="B463" t="s">
        <v>932</v>
      </c>
      <c r="C463" t="s">
        <v>926</v>
      </c>
      <c r="D463" t="s">
        <v>927</v>
      </c>
      <c r="G463" t="s">
        <v>16</v>
      </c>
      <c r="H463">
        <v>0</v>
      </c>
      <c r="I463" s="2" t="s">
        <v>937</v>
      </c>
      <c r="J463" s="2" t="s">
        <v>938</v>
      </c>
      <c r="K463">
        <v>20</v>
      </c>
      <c r="L463">
        <v>20</v>
      </c>
      <c r="M463">
        <v>20</v>
      </c>
    </row>
    <row r="464" spans="1:13" x14ac:dyDescent="0.25">
      <c r="A464" t="s">
        <v>939</v>
      </c>
      <c r="B464" t="s">
        <v>940</v>
      </c>
      <c r="C464" t="s">
        <v>926</v>
      </c>
      <c r="D464" t="s">
        <v>927</v>
      </c>
      <c r="F464">
        <v>9</v>
      </c>
      <c r="G464" t="s">
        <v>16</v>
      </c>
      <c r="H464">
        <v>0</v>
      </c>
      <c r="I464" s="2" t="s">
        <v>941</v>
      </c>
      <c r="J464" s="2" t="s">
        <v>942</v>
      </c>
      <c r="K464">
        <v>20</v>
      </c>
      <c r="L464">
        <v>20</v>
      </c>
      <c r="M464">
        <v>20</v>
      </c>
    </row>
    <row r="465" spans="1:13" x14ac:dyDescent="0.25">
      <c r="A465" t="s">
        <v>943</v>
      </c>
      <c r="B465" t="s">
        <v>945</v>
      </c>
      <c r="C465" t="s">
        <v>926</v>
      </c>
      <c r="D465" t="s">
        <v>927</v>
      </c>
      <c r="G465" t="s">
        <v>16</v>
      </c>
      <c r="H465">
        <v>0</v>
      </c>
      <c r="I465" s="2" t="s">
        <v>765</v>
      </c>
      <c r="J465" s="2" t="s">
        <v>944</v>
      </c>
      <c r="K465">
        <v>20</v>
      </c>
      <c r="L465">
        <v>20</v>
      </c>
      <c r="M465">
        <v>20</v>
      </c>
    </row>
    <row r="466" spans="1:13" x14ac:dyDescent="0.25">
      <c r="A466" t="s">
        <v>946</v>
      </c>
      <c r="B466" t="s">
        <v>948</v>
      </c>
      <c r="C466" t="s">
        <v>926</v>
      </c>
      <c r="D466" t="s">
        <v>927</v>
      </c>
      <c r="F466">
        <v>0</v>
      </c>
      <c r="G466" t="s">
        <v>16</v>
      </c>
      <c r="H466">
        <v>0</v>
      </c>
      <c r="I466" s="2" t="s">
        <v>288</v>
      </c>
      <c r="J466" s="2" t="s">
        <v>947</v>
      </c>
      <c r="K466">
        <v>20</v>
      </c>
      <c r="L466">
        <v>20</v>
      </c>
      <c r="M466">
        <v>20</v>
      </c>
    </row>
    <row r="467" spans="1:13" x14ac:dyDescent="0.25">
      <c r="A467" t="s">
        <v>949</v>
      </c>
      <c r="B467" t="s">
        <v>948</v>
      </c>
      <c r="C467" t="s">
        <v>926</v>
      </c>
      <c r="D467" t="s">
        <v>927</v>
      </c>
      <c r="F467">
        <v>0</v>
      </c>
      <c r="G467" t="s">
        <v>16</v>
      </c>
      <c r="H467">
        <v>0</v>
      </c>
      <c r="I467" s="2" t="s">
        <v>950</v>
      </c>
      <c r="J467" s="2">
        <v>20160</v>
      </c>
      <c r="K467">
        <v>20</v>
      </c>
      <c r="L467">
        <v>20</v>
      </c>
      <c r="M467">
        <v>20</v>
      </c>
    </row>
    <row r="468" spans="1:13" x14ac:dyDescent="0.25">
      <c r="A468" t="s">
        <v>951</v>
      </c>
      <c r="B468" t="s">
        <v>952</v>
      </c>
      <c r="C468" t="s">
        <v>926</v>
      </c>
      <c r="D468" t="s">
        <v>927</v>
      </c>
      <c r="G468" t="s">
        <v>16</v>
      </c>
      <c r="H468">
        <v>0</v>
      </c>
      <c r="I468" s="2" t="s">
        <v>953</v>
      </c>
      <c r="J468" s="2">
        <v>80210</v>
      </c>
      <c r="K468">
        <v>20</v>
      </c>
      <c r="L468">
        <v>20</v>
      </c>
      <c r="M468">
        <v>20</v>
      </c>
    </row>
    <row r="469" spans="1:13" x14ac:dyDescent="0.25">
      <c r="A469" t="s">
        <v>954</v>
      </c>
      <c r="B469" t="s">
        <v>948</v>
      </c>
      <c r="C469" t="s">
        <v>926</v>
      </c>
      <c r="D469" t="s">
        <v>927</v>
      </c>
      <c r="F469">
        <v>4</v>
      </c>
      <c r="G469" t="s">
        <v>16</v>
      </c>
      <c r="H469">
        <v>0</v>
      </c>
      <c r="I469" s="2" t="s">
        <v>937</v>
      </c>
      <c r="J469" s="2" t="s">
        <v>955</v>
      </c>
      <c r="K469">
        <v>20</v>
      </c>
      <c r="L469">
        <v>20</v>
      </c>
      <c r="M469">
        <v>20</v>
      </c>
    </row>
    <row r="470" spans="1:13" x14ac:dyDescent="0.25">
      <c r="A470" t="s">
        <v>956</v>
      </c>
      <c r="B470" t="s">
        <v>957</v>
      </c>
      <c r="C470" t="s">
        <v>926</v>
      </c>
      <c r="D470" t="s">
        <v>927</v>
      </c>
      <c r="F470">
        <v>1</v>
      </c>
      <c r="G470" t="s">
        <v>16</v>
      </c>
      <c r="H470">
        <v>0</v>
      </c>
      <c r="I470" s="2" t="s">
        <v>950</v>
      </c>
      <c r="J470" s="2">
        <v>11922</v>
      </c>
      <c r="K470">
        <v>20</v>
      </c>
      <c r="L470">
        <v>20</v>
      </c>
      <c r="M470">
        <v>20</v>
      </c>
    </row>
    <row r="471" spans="1:13" x14ac:dyDescent="0.25">
      <c r="A471" t="s">
        <v>958</v>
      </c>
      <c r="B471" t="s">
        <v>957</v>
      </c>
      <c r="C471" t="s">
        <v>926</v>
      </c>
      <c r="D471" t="s">
        <v>927</v>
      </c>
      <c r="G471" t="s">
        <v>16</v>
      </c>
      <c r="H471">
        <v>0</v>
      </c>
      <c r="I471" s="2" t="s">
        <v>937</v>
      </c>
      <c r="J471" s="2" t="s">
        <v>959</v>
      </c>
      <c r="K471">
        <v>20</v>
      </c>
      <c r="L471">
        <v>20</v>
      </c>
      <c r="M471">
        <v>20</v>
      </c>
    </row>
    <row r="472" spans="1:13" x14ac:dyDescent="0.25">
      <c r="A472" t="s">
        <v>960</v>
      </c>
      <c r="B472" t="s">
        <v>962</v>
      </c>
      <c r="C472" t="s">
        <v>926</v>
      </c>
      <c r="D472" t="s">
        <v>927</v>
      </c>
      <c r="G472" t="s">
        <v>16</v>
      </c>
      <c r="H472">
        <v>0</v>
      </c>
      <c r="I472" s="2" t="s">
        <v>288</v>
      </c>
      <c r="J472" s="2" t="s">
        <v>961</v>
      </c>
      <c r="K472">
        <v>20</v>
      </c>
      <c r="L472">
        <v>20</v>
      </c>
      <c r="M472">
        <v>20</v>
      </c>
    </row>
    <row r="473" spans="1:13" x14ac:dyDescent="0.25">
      <c r="A473" t="s">
        <v>963</v>
      </c>
      <c r="B473" t="s">
        <v>962</v>
      </c>
      <c r="C473" t="s">
        <v>926</v>
      </c>
      <c r="D473" t="s">
        <v>927</v>
      </c>
      <c r="F473">
        <v>1</v>
      </c>
      <c r="G473" t="s">
        <v>16</v>
      </c>
      <c r="H473">
        <v>0</v>
      </c>
      <c r="I473" s="2" t="s">
        <v>707</v>
      </c>
      <c r="J473" s="2" t="s">
        <v>964</v>
      </c>
      <c r="K473">
        <v>20</v>
      </c>
      <c r="L473">
        <v>20</v>
      </c>
      <c r="M473">
        <v>20</v>
      </c>
    </row>
    <row r="474" spans="1:13" x14ac:dyDescent="0.25">
      <c r="A474" t="s">
        <v>965</v>
      </c>
      <c r="B474" t="s">
        <v>966</v>
      </c>
      <c r="C474" t="s">
        <v>926</v>
      </c>
      <c r="D474" t="s">
        <v>927</v>
      </c>
      <c r="F474">
        <v>6</v>
      </c>
      <c r="G474" t="s">
        <v>16</v>
      </c>
      <c r="H474">
        <v>0</v>
      </c>
      <c r="I474" s="2" t="s">
        <v>685</v>
      </c>
      <c r="J474" s="2" t="str">
        <f>"0221503800"</f>
        <v>0221503800</v>
      </c>
      <c r="K474">
        <v>20</v>
      </c>
      <c r="L474">
        <v>20</v>
      </c>
      <c r="M474">
        <v>20</v>
      </c>
    </row>
    <row r="475" spans="1:13" x14ac:dyDescent="0.25">
      <c r="A475" t="s">
        <v>967</v>
      </c>
      <c r="B475" t="s">
        <v>966</v>
      </c>
      <c r="C475" t="s">
        <v>926</v>
      </c>
      <c r="D475" t="s">
        <v>927</v>
      </c>
      <c r="F475">
        <v>1</v>
      </c>
      <c r="G475" t="s">
        <v>16</v>
      </c>
      <c r="H475">
        <v>0</v>
      </c>
      <c r="I475" s="2" t="s">
        <v>707</v>
      </c>
      <c r="J475" s="2" t="s">
        <v>968</v>
      </c>
      <c r="K475">
        <v>20</v>
      </c>
      <c r="L475">
        <v>20</v>
      </c>
      <c r="M475">
        <v>20</v>
      </c>
    </row>
    <row r="476" spans="1:13" x14ac:dyDescent="0.25">
      <c r="A476" t="s">
        <v>969</v>
      </c>
      <c r="B476" t="s">
        <v>970</v>
      </c>
      <c r="C476" t="s">
        <v>926</v>
      </c>
      <c r="D476" t="s">
        <v>927</v>
      </c>
      <c r="G476" t="s">
        <v>16</v>
      </c>
      <c r="H476">
        <v>0</v>
      </c>
      <c r="I476" s="2" t="s">
        <v>971</v>
      </c>
      <c r="J476" s="2">
        <v>20713</v>
      </c>
      <c r="K476">
        <v>20</v>
      </c>
      <c r="L476">
        <v>20</v>
      </c>
      <c r="M476">
        <v>20</v>
      </c>
    </row>
    <row r="477" spans="1:13" x14ac:dyDescent="0.25">
      <c r="A477" t="s">
        <v>972</v>
      </c>
      <c r="B477" t="s">
        <v>970</v>
      </c>
      <c r="C477" t="s">
        <v>926</v>
      </c>
      <c r="D477" t="s">
        <v>927</v>
      </c>
      <c r="F477">
        <v>4</v>
      </c>
      <c r="G477" t="s">
        <v>16</v>
      </c>
      <c r="H477">
        <v>0</v>
      </c>
      <c r="I477" s="2" t="s">
        <v>941</v>
      </c>
      <c r="J477" s="2" t="s">
        <v>973</v>
      </c>
      <c r="K477">
        <v>20</v>
      </c>
      <c r="L477">
        <v>20</v>
      </c>
      <c r="M477">
        <v>20</v>
      </c>
    </row>
    <row r="478" spans="1:13" x14ac:dyDescent="0.25">
      <c r="A478" t="s">
        <v>974</v>
      </c>
      <c r="B478" t="s">
        <v>975</v>
      </c>
      <c r="C478" t="s">
        <v>926</v>
      </c>
      <c r="D478" t="s">
        <v>927</v>
      </c>
      <c r="G478" t="s">
        <v>16</v>
      </c>
      <c r="H478">
        <v>0</v>
      </c>
      <c r="I478" s="2" t="s">
        <v>685</v>
      </c>
      <c r="J478" s="2" t="str">
        <f>"0221503471"</f>
        <v>0221503471</v>
      </c>
      <c r="K478">
        <v>20</v>
      </c>
      <c r="L478">
        <v>20</v>
      </c>
      <c r="M478">
        <v>20</v>
      </c>
    </row>
    <row r="479" spans="1:13" x14ac:dyDescent="0.25">
      <c r="A479" t="s">
        <v>976</v>
      </c>
      <c r="B479" t="s">
        <v>977</v>
      </c>
      <c r="C479" t="s">
        <v>926</v>
      </c>
      <c r="D479" t="s">
        <v>927</v>
      </c>
      <c r="F479">
        <v>7</v>
      </c>
      <c r="G479" t="s">
        <v>16</v>
      </c>
      <c r="H479">
        <v>0</v>
      </c>
      <c r="I479" s="2" t="s">
        <v>707</v>
      </c>
      <c r="J479" s="2" t="s">
        <v>978</v>
      </c>
      <c r="K479">
        <v>20</v>
      </c>
      <c r="L479">
        <v>20</v>
      </c>
      <c r="M479">
        <v>20</v>
      </c>
    </row>
    <row r="480" spans="1:13" x14ac:dyDescent="0.25">
      <c r="A480" t="s">
        <v>979</v>
      </c>
      <c r="B480" t="s">
        <v>977</v>
      </c>
      <c r="C480" t="s">
        <v>926</v>
      </c>
      <c r="D480" t="s">
        <v>927</v>
      </c>
      <c r="G480" t="s">
        <v>16</v>
      </c>
      <c r="H480">
        <v>0</v>
      </c>
      <c r="I480" s="2" t="s">
        <v>937</v>
      </c>
      <c r="J480" s="2" t="s">
        <v>980</v>
      </c>
      <c r="K480">
        <v>20</v>
      </c>
      <c r="L480">
        <v>20</v>
      </c>
      <c r="M480">
        <v>20</v>
      </c>
    </row>
    <row r="481" spans="1:13" x14ac:dyDescent="0.25">
      <c r="A481" t="s">
        <v>981</v>
      </c>
      <c r="B481" t="s">
        <v>982</v>
      </c>
      <c r="C481" t="s">
        <v>20</v>
      </c>
      <c r="D481" t="s">
        <v>26</v>
      </c>
      <c r="G481" t="s">
        <v>16</v>
      </c>
      <c r="H481">
        <v>0</v>
      </c>
      <c r="K481">
        <v>20</v>
      </c>
      <c r="L481">
        <v>20</v>
      </c>
      <c r="M481">
        <v>20</v>
      </c>
    </row>
    <row r="482" spans="1:13" x14ac:dyDescent="0.25">
      <c r="A482" t="s">
        <v>983</v>
      </c>
      <c r="B482" t="s">
        <v>984</v>
      </c>
      <c r="C482" t="s">
        <v>926</v>
      </c>
      <c r="D482" t="s">
        <v>985</v>
      </c>
      <c r="F482">
        <v>3</v>
      </c>
      <c r="G482" t="s">
        <v>16</v>
      </c>
      <c r="H482">
        <v>0</v>
      </c>
      <c r="I482" s="2" t="s">
        <v>142</v>
      </c>
      <c r="J482" s="2" t="s">
        <v>986</v>
      </c>
      <c r="K482">
        <v>20</v>
      </c>
      <c r="L482">
        <v>20</v>
      </c>
      <c r="M482">
        <v>20</v>
      </c>
    </row>
    <row r="483" spans="1:13" x14ac:dyDescent="0.25">
      <c r="A483" t="s">
        <v>987</v>
      </c>
      <c r="B483" t="s">
        <v>984</v>
      </c>
      <c r="C483" t="s">
        <v>926</v>
      </c>
      <c r="D483" t="s">
        <v>985</v>
      </c>
      <c r="G483" t="s">
        <v>16</v>
      </c>
      <c r="H483">
        <v>0</v>
      </c>
      <c r="I483" s="2" t="s">
        <v>988</v>
      </c>
      <c r="J483" s="2" t="s">
        <v>989</v>
      </c>
      <c r="K483">
        <v>20</v>
      </c>
      <c r="L483">
        <v>20</v>
      </c>
      <c r="M483">
        <v>20</v>
      </c>
    </row>
    <row r="484" spans="1:13" x14ac:dyDescent="0.25">
      <c r="A484" t="s">
        <v>990</v>
      </c>
      <c r="B484" t="s">
        <v>984</v>
      </c>
      <c r="C484" t="s">
        <v>926</v>
      </c>
      <c r="D484" t="s">
        <v>985</v>
      </c>
      <c r="G484" t="s">
        <v>16</v>
      </c>
      <c r="H484">
        <v>0</v>
      </c>
      <c r="I484" s="2" t="s">
        <v>500</v>
      </c>
      <c r="J484" s="2" t="s">
        <v>991</v>
      </c>
      <c r="K484">
        <v>20</v>
      </c>
      <c r="L484">
        <v>20</v>
      </c>
      <c r="M484">
        <v>20</v>
      </c>
    </row>
    <row r="485" spans="1:13" x14ac:dyDescent="0.25">
      <c r="A485" t="s">
        <v>992</v>
      </c>
      <c r="B485" t="s">
        <v>984</v>
      </c>
      <c r="C485" t="s">
        <v>926</v>
      </c>
      <c r="D485" t="s">
        <v>985</v>
      </c>
      <c r="G485" t="s">
        <v>16</v>
      </c>
      <c r="H485">
        <v>0</v>
      </c>
      <c r="I485" s="2" t="s">
        <v>993</v>
      </c>
      <c r="J485" s="2">
        <v>202005</v>
      </c>
      <c r="K485">
        <v>20</v>
      </c>
      <c r="L485">
        <v>20</v>
      </c>
      <c r="M485">
        <v>20</v>
      </c>
    </row>
    <row r="486" spans="1:13" x14ac:dyDescent="0.25">
      <c r="A486" t="s">
        <v>994</v>
      </c>
      <c r="B486" t="s">
        <v>995</v>
      </c>
      <c r="C486" t="s">
        <v>926</v>
      </c>
      <c r="D486" t="s">
        <v>985</v>
      </c>
      <c r="F486">
        <v>1</v>
      </c>
      <c r="G486" t="s">
        <v>16</v>
      </c>
      <c r="H486">
        <v>0</v>
      </c>
      <c r="I486" s="2" t="s">
        <v>996</v>
      </c>
      <c r="J486" s="2" t="s">
        <v>997</v>
      </c>
      <c r="K486">
        <v>20</v>
      </c>
      <c r="L486">
        <v>20</v>
      </c>
      <c r="M486">
        <v>20</v>
      </c>
    </row>
    <row r="487" spans="1:13" x14ac:dyDescent="0.25">
      <c r="A487" t="s">
        <v>998</v>
      </c>
      <c r="B487" t="s">
        <v>995</v>
      </c>
      <c r="C487" t="s">
        <v>926</v>
      </c>
      <c r="D487" t="s">
        <v>985</v>
      </c>
      <c r="G487" t="s">
        <v>16</v>
      </c>
      <c r="H487">
        <v>0</v>
      </c>
      <c r="I487" s="2" t="s">
        <v>165</v>
      </c>
      <c r="J487" s="2">
        <v>202006</v>
      </c>
      <c r="K487">
        <v>20</v>
      </c>
      <c r="L487">
        <v>20</v>
      </c>
      <c r="M487">
        <v>20</v>
      </c>
    </row>
    <row r="488" spans="1:13" x14ac:dyDescent="0.25">
      <c r="A488" t="s">
        <v>999</v>
      </c>
      <c r="B488" t="s">
        <v>1000</v>
      </c>
      <c r="C488" t="s">
        <v>926</v>
      </c>
      <c r="D488" t="s">
        <v>985</v>
      </c>
      <c r="F488">
        <v>4</v>
      </c>
      <c r="G488" t="s">
        <v>16</v>
      </c>
      <c r="H488">
        <v>0</v>
      </c>
      <c r="I488" s="2" t="s">
        <v>759</v>
      </c>
      <c r="J488" s="2" t="s">
        <v>1001</v>
      </c>
      <c r="K488">
        <v>20</v>
      </c>
      <c r="L488">
        <v>20</v>
      </c>
      <c r="M488">
        <v>20</v>
      </c>
    </row>
    <row r="489" spans="1:13" x14ac:dyDescent="0.25">
      <c r="A489" t="s">
        <v>1002</v>
      </c>
      <c r="B489" t="s">
        <v>1000</v>
      </c>
      <c r="C489" t="s">
        <v>20</v>
      </c>
      <c r="F489">
        <v>2</v>
      </c>
      <c r="G489" t="s">
        <v>16</v>
      </c>
      <c r="H489">
        <v>0</v>
      </c>
      <c r="I489" s="2" t="s">
        <v>988</v>
      </c>
      <c r="J489" s="2" t="s">
        <v>1003</v>
      </c>
      <c r="K489">
        <v>20</v>
      </c>
      <c r="L489">
        <v>20</v>
      </c>
      <c r="M489">
        <v>20</v>
      </c>
    </row>
    <row r="490" spans="1:13" x14ac:dyDescent="0.25">
      <c r="A490" t="s">
        <v>1004</v>
      </c>
      <c r="B490" t="s">
        <v>1000</v>
      </c>
      <c r="C490" t="s">
        <v>926</v>
      </c>
      <c r="D490" t="s">
        <v>985</v>
      </c>
      <c r="G490" t="s">
        <v>16</v>
      </c>
      <c r="H490">
        <v>0</v>
      </c>
      <c r="K490">
        <v>20</v>
      </c>
      <c r="L490">
        <v>20</v>
      </c>
      <c r="M490">
        <v>20</v>
      </c>
    </row>
    <row r="491" spans="1:13" x14ac:dyDescent="0.25">
      <c r="A491" t="s">
        <v>1005</v>
      </c>
      <c r="B491" t="s">
        <v>1006</v>
      </c>
      <c r="C491" t="s">
        <v>926</v>
      </c>
      <c r="D491" t="s">
        <v>985</v>
      </c>
      <c r="F491">
        <v>1</v>
      </c>
      <c r="G491" t="s">
        <v>16</v>
      </c>
      <c r="H491">
        <v>0</v>
      </c>
      <c r="I491" s="2" t="s">
        <v>500</v>
      </c>
      <c r="J491" s="2" t="s">
        <v>1007</v>
      </c>
      <c r="K491">
        <v>20</v>
      </c>
      <c r="L491">
        <v>20</v>
      </c>
      <c r="M491">
        <v>20</v>
      </c>
    </row>
    <row r="492" spans="1:13" x14ac:dyDescent="0.25">
      <c r="A492" t="s">
        <v>1008</v>
      </c>
      <c r="B492" t="s">
        <v>1009</v>
      </c>
      <c r="C492" t="s">
        <v>926</v>
      </c>
      <c r="D492" t="s">
        <v>985</v>
      </c>
      <c r="F492">
        <v>1</v>
      </c>
      <c r="G492" t="s">
        <v>16</v>
      </c>
      <c r="H492">
        <v>0</v>
      </c>
      <c r="I492" s="2" t="s">
        <v>500</v>
      </c>
      <c r="J492" s="2" t="s">
        <v>1010</v>
      </c>
      <c r="K492">
        <v>20</v>
      </c>
      <c r="L492">
        <v>20</v>
      </c>
      <c r="M492">
        <v>20</v>
      </c>
    </row>
    <row r="493" spans="1:13" x14ac:dyDescent="0.25">
      <c r="A493" t="s">
        <v>1011</v>
      </c>
      <c r="B493" t="s">
        <v>1012</v>
      </c>
      <c r="C493" t="s">
        <v>926</v>
      </c>
      <c r="D493" t="s">
        <v>985</v>
      </c>
      <c r="F493">
        <v>1</v>
      </c>
      <c r="G493" t="s">
        <v>16</v>
      </c>
      <c r="H493">
        <v>0</v>
      </c>
      <c r="I493" s="2" t="s">
        <v>500</v>
      </c>
      <c r="J493" s="2" t="s">
        <v>1013</v>
      </c>
      <c r="K493">
        <v>20</v>
      </c>
      <c r="L493">
        <v>20</v>
      </c>
      <c r="M493">
        <v>20</v>
      </c>
    </row>
    <row r="494" spans="1:13" x14ac:dyDescent="0.25">
      <c r="A494" t="s">
        <v>1014</v>
      </c>
      <c r="B494" t="s">
        <v>1015</v>
      </c>
      <c r="C494" t="s">
        <v>926</v>
      </c>
      <c r="F494">
        <v>2</v>
      </c>
      <c r="G494" t="s">
        <v>16</v>
      </c>
      <c r="H494">
        <v>0</v>
      </c>
      <c r="I494" s="2" t="s">
        <v>500</v>
      </c>
      <c r="J494" s="2" t="s">
        <v>1016</v>
      </c>
      <c r="K494">
        <v>20</v>
      </c>
      <c r="L494">
        <v>20</v>
      </c>
      <c r="M494">
        <v>20</v>
      </c>
    </row>
    <row r="495" spans="1:13" x14ac:dyDescent="0.25">
      <c r="A495" t="s">
        <v>1017</v>
      </c>
      <c r="B495" t="s">
        <v>1018</v>
      </c>
      <c r="C495" t="s">
        <v>926</v>
      </c>
      <c r="D495" t="s">
        <v>1019</v>
      </c>
      <c r="F495">
        <v>1</v>
      </c>
      <c r="G495" t="s">
        <v>16</v>
      </c>
      <c r="H495">
        <v>0</v>
      </c>
      <c r="I495" s="2" t="s">
        <v>710</v>
      </c>
      <c r="J495" s="2" t="s">
        <v>1020</v>
      </c>
      <c r="K495">
        <v>20</v>
      </c>
      <c r="L495">
        <v>20</v>
      </c>
      <c r="M495">
        <v>20</v>
      </c>
    </row>
    <row r="496" spans="1:13" x14ac:dyDescent="0.25">
      <c r="A496" t="s">
        <v>1021</v>
      </c>
      <c r="B496" t="s">
        <v>1022</v>
      </c>
      <c r="C496" t="s">
        <v>926</v>
      </c>
      <c r="D496" t="s">
        <v>1019</v>
      </c>
      <c r="F496">
        <v>5</v>
      </c>
      <c r="G496" t="s">
        <v>16</v>
      </c>
      <c r="H496">
        <v>0</v>
      </c>
      <c r="I496" s="2" t="s">
        <v>142</v>
      </c>
      <c r="J496" s="2" t="s">
        <v>1023</v>
      </c>
      <c r="K496">
        <v>20</v>
      </c>
      <c r="L496">
        <v>20</v>
      </c>
      <c r="M496">
        <v>20</v>
      </c>
    </row>
    <row r="497" spans="1:13" x14ac:dyDescent="0.25">
      <c r="A497" t="s">
        <v>1024</v>
      </c>
      <c r="B497" t="s">
        <v>1022</v>
      </c>
      <c r="C497" t="s">
        <v>926</v>
      </c>
      <c r="D497" t="s">
        <v>1019</v>
      </c>
      <c r="G497" t="s">
        <v>16</v>
      </c>
      <c r="H497">
        <v>0</v>
      </c>
      <c r="I497" s="2" t="s">
        <v>988</v>
      </c>
      <c r="J497" s="2" t="s">
        <v>1025</v>
      </c>
      <c r="K497">
        <v>20</v>
      </c>
      <c r="L497">
        <v>20</v>
      </c>
      <c r="M497">
        <v>20</v>
      </c>
    </row>
    <row r="498" spans="1:13" x14ac:dyDescent="0.25">
      <c r="A498" t="s">
        <v>1026</v>
      </c>
      <c r="B498" t="s">
        <v>1022</v>
      </c>
      <c r="C498" t="s">
        <v>926</v>
      </c>
      <c r="D498" t="s">
        <v>1019</v>
      </c>
      <c r="G498" t="s">
        <v>16</v>
      </c>
      <c r="H498">
        <v>0</v>
      </c>
      <c r="K498">
        <v>20</v>
      </c>
      <c r="L498">
        <v>20</v>
      </c>
      <c r="M498">
        <v>20</v>
      </c>
    </row>
    <row r="499" spans="1:13" x14ac:dyDescent="0.25">
      <c r="A499" t="s">
        <v>1027</v>
      </c>
      <c r="B499" t="s">
        <v>1028</v>
      </c>
      <c r="C499" t="s">
        <v>926</v>
      </c>
      <c r="D499" t="s">
        <v>1019</v>
      </c>
      <c r="F499">
        <v>2</v>
      </c>
      <c r="G499" t="s">
        <v>16</v>
      </c>
      <c r="H499">
        <v>0</v>
      </c>
      <c r="I499" s="2" t="s">
        <v>1029</v>
      </c>
      <c r="J499" s="2" t="s">
        <v>1030</v>
      </c>
      <c r="K499">
        <v>20</v>
      </c>
      <c r="L499">
        <v>20</v>
      </c>
      <c r="M499">
        <v>20</v>
      </c>
    </row>
    <row r="500" spans="1:13" x14ac:dyDescent="0.25">
      <c r="A500" t="s">
        <v>1031</v>
      </c>
      <c r="B500" t="s">
        <v>1032</v>
      </c>
      <c r="C500" t="s">
        <v>926</v>
      </c>
      <c r="D500" t="s">
        <v>1019</v>
      </c>
      <c r="F500">
        <v>2</v>
      </c>
      <c r="G500" t="s">
        <v>16</v>
      </c>
      <c r="H500">
        <v>0</v>
      </c>
      <c r="I500" s="2" t="s">
        <v>988</v>
      </c>
      <c r="J500" s="2" t="s">
        <v>1033</v>
      </c>
      <c r="K500">
        <v>20</v>
      </c>
      <c r="L500">
        <v>20</v>
      </c>
      <c r="M500">
        <v>20</v>
      </c>
    </row>
    <row r="501" spans="1:13" x14ac:dyDescent="0.25">
      <c r="A501" t="s">
        <v>1034</v>
      </c>
      <c r="B501" t="s">
        <v>1035</v>
      </c>
      <c r="C501" t="s">
        <v>926</v>
      </c>
      <c r="D501" t="s">
        <v>1036</v>
      </c>
      <c r="F501">
        <v>144</v>
      </c>
      <c r="G501" t="s">
        <v>16</v>
      </c>
      <c r="H501">
        <v>0</v>
      </c>
      <c r="I501" s="2" t="s">
        <v>383</v>
      </c>
      <c r="J501" s="2" t="s">
        <v>1037</v>
      </c>
      <c r="K501">
        <v>20</v>
      </c>
      <c r="L501">
        <v>20</v>
      </c>
      <c r="M501">
        <v>20</v>
      </c>
    </row>
    <row r="502" spans="1:13" x14ac:dyDescent="0.25">
      <c r="A502" t="s">
        <v>1038</v>
      </c>
      <c r="B502" t="s">
        <v>1035</v>
      </c>
      <c r="C502" t="s">
        <v>926</v>
      </c>
      <c r="D502" t="s">
        <v>927</v>
      </c>
      <c r="G502" t="s">
        <v>16</v>
      </c>
      <c r="H502">
        <v>0</v>
      </c>
      <c r="I502" s="2" t="s">
        <v>1039</v>
      </c>
      <c r="J502" s="2" t="s">
        <v>1040</v>
      </c>
      <c r="K502">
        <v>20</v>
      </c>
      <c r="L502">
        <v>20</v>
      </c>
      <c r="M502">
        <v>20</v>
      </c>
    </row>
    <row r="503" spans="1:13" x14ac:dyDescent="0.25">
      <c r="A503" t="s">
        <v>1041</v>
      </c>
      <c r="B503" t="s">
        <v>1035</v>
      </c>
      <c r="C503" t="s">
        <v>926</v>
      </c>
      <c r="D503" t="s">
        <v>1036</v>
      </c>
      <c r="F503">
        <v>24</v>
      </c>
      <c r="G503" t="s">
        <v>16</v>
      </c>
      <c r="H503">
        <v>0</v>
      </c>
      <c r="I503" s="2" t="s">
        <v>392</v>
      </c>
      <c r="J503" s="2">
        <v>1625936880</v>
      </c>
      <c r="K503">
        <v>20</v>
      </c>
      <c r="L503">
        <v>20</v>
      </c>
      <c r="M503">
        <v>20</v>
      </c>
    </row>
    <row r="504" spans="1:13" x14ac:dyDescent="0.25">
      <c r="A504" t="s">
        <v>1042</v>
      </c>
      <c r="B504" t="s">
        <v>1035</v>
      </c>
      <c r="C504" t="s">
        <v>926</v>
      </c>
      <c r="D504" t="s">
        <v>1036</v>
      </c>
      <c r="F504">
        <v>0</v>
      </c>
      <c r="G504" t="s">
        <v>16</v>
      </c>
      <c r="H504">
        <v>0</v>
      </c>
      <c r="I504" s="2" t="s">
        <v>1043</v>
      </c>
      <c r="J504" s="2" t="s">
        <v>1044</v>
      </c>
      <c r="K504">
        <v>20</v>
      </c>
      <c r="L504">
        <v>20</v>
      </c>
      <c r="M504">
        <v>20</v>
      </c>
    </row>
    <row r="505" spans="1:13" x14ac:dyDescent="0.25">
      <c r="A505" t="s">
        <v>1045</v>
      </c>
      <c r="B505" t="s">
        <v>1035</v>
      </c>
      <c r="C505" t="s">
        <v>926</v>
      </c>
      <c r="D505" t="s">
        <v>1036</v>
      </c>
      <c r="F505">
        <v>0</v>
      </c>
      <c r="G505" t="s">
        <v>16</v>
      </c>
      <c r="H505">
        <v>0</v>
      </c>
      <c r="I505" s="2" t="s">
        <v>1046</v>
      </c>
      <c r="J505" s="2">
        <v>7956</v>
      </c>
      <c r="K505">
        <v>20</v>
      </c>
      <c r="L505">
        <v>20</v>
      </c>
      <c r="M505">
        <v>20</v>
      </c>
    </row>
    <row r="506" spans="1:13" x14ac:dyDescent="0.25">
      <c r="A506" t="s">
        <v>1047</v>
      </c>
      <c r="B506" t="s">
        <v>1048</v>
      </c>
      <c r="C506" t="s">
        <v>926</v>
      </c>
      <c r="D506" t="s">
        <v>1036</v>
      </c>
      <c r="F506">
        <v>6</v>
      </c>
      <c r="G506" t="s">
        <v>16</v>
      </c>
      <c r="H506">
        <v>0</v>
      </c>
      <c r="I506" s="2" t="s">
        <v>685</v>
      </c>
      <c r="J506" s="2" t="str">
        <f>"0242229661"</f>
        <v>0242229661</v>
      </c>
      <c r="K506">
        <v>20</v>
      </c>
      <c r="L506">
        <v>20</v>
      </c>
      <c r="M506">
        <v>20</v>
      </c>
    </row>
    <row r="507" spans="1:13" x14ac:dyDescent="0.25">
      <c r="A507" t="s">
        <v>1049</v>
      </c>
      <c r="B507" t="s">
        <v>1050</v>
      </c>
      <c r="C507" t="s">
        <v>926</v>
      </c>
      <c r="D507" t="s">
        <v>1036</v>
      </c>
      <c r="F507">
        <v>255</v>
      </c>
      <c r="G507" t="s">
        <v>16</v>
      </c>
      <c r="H507">
        <v>0</v>
      </c>
      <c r="I507" s="2" t="s">
        <v>383</v>
      </c>
      <c r="J507" s="2" t="s">
        <v>1051</v>
      </c>
      <c r="K507">
        <v>20</v>
      </c>
      <c r="L507">
        <v>20</v>
      </c>
      <c r="M507">
        <v>20</v>
      </c>
    </row>
    <row r="508" spans="1:13" x14ac:dyDescent="0.25">
      <c r="A508" t="s">
        <v>1052</v>
      </c>
      <c r="B508" t="s">
        <v>1050</v>
      </c>
      <c r="C508" t="s">
        <v>926</v>
      </c>
      <c r="D508" t="s">
        <v>1036</v>
      </c>
      <c r="G508" t="s">
        <v>16</v>
      </c>
      <c r="H508">
        <v>0</v>
      </c>
      <c r="I508" s="2" t="s">
        <v>1053</v>
      </c>
      <c r="J508" s="2" t="s">
        <v>1054</v>
      </c>
      <c r="K508">
        <v>20</v>
      </c>
      <c r="L508">
        <v>20</v>
      </c>
      <c r="M508">
        <v>20</v>
      </c>
    </row>
    <row r="509" spans="1:13" x14ac:dyDescent="0.25">
      <c r="A509" t="s">
        <v>1055</v>
      </c>
      <c r="B509" t="s">
        <v>1050</v>
      </c>
      <c r="C509" t="s">
        <v>926</v>
      </c>
      <c r="D509" t="s">
        <v>1036</v>
      </c>
      <c r="F509">
        <v>24</v>
      </c>
      <c r="G509" t="s">
        <v>16</v>
      </c>
      <c r="H509">
        <v>0</v>
      </c>
      <c r="I509" s="2" t="s">
        <v>389</v>
      </c>
      <c r="J509" s="2">
        <v>1625938680</v>
      </c>
      <c r="K509">
        <v>20</v>
      </c>
      <c r="L509">
        <v>20</v>
      </c>
      <c r="M509">
        <v>20</v>
      </c>
    </row>
    <row r="510" spans="1:13" x14ac:dyDescent="0.25">
      <c r="A510" t="s">
        <v>1056</v>
      </c>
      <c r="B510" t="s">
        <v>1050</v>
      </c>
      <c r="C510" t="s">
        <v>926</v>
      </c>
      <c r="D510" t="s">
        <v>1036</v>
      </c>
      <c r="G510" t="s">
        <v>16</v>
      </c>
      <c r="H510">
        <v>0</v>
      </c>
      <c r="I510" s="2" t="s">
        <v>1043</v>
      </c>
      <c r="J510" s="2" t="s">
        <v>1057</v>
      </c>
      <c r="K510">
        <v>20</v>
      </c>
      <c r="L510">
        <v>20</v>
      </c>
      <c r="M510">
        <v>20</v>
      </c>
    </row>
    <row r="511" spans="1:13" x14ac:dyDescent="0.25">
      <c r="A511" t="s">
        <v>1058</v>
      </c>
      <c r="B511" t="s">
        <v>1050</v>
      </c>
      <c r="C511" t="s">
        <v>926</v>
      </c>
      <c r="D511" t="s">
        <v>1036</v>
      </c>
      <c r="G511" t="s">
        <v>16</v>
      </c>
      <c r="H511">
        <v>0</v>
      </c>
      <c r="I511" s="2" t="s">
        <v>937</v>
      </c>
      <c r="J511" s="2" t="s">
        <v>1059</v>
      </c>
      <c r="K511">
        <v>20</v>
      </c>
      <c r="L511">
        <v>20</v>
      </c>
      <c r="M511">
        <v>20</v>
      </c>
    </row>
    <row r="512" spans="1:13" x14ac:dyDescent="0.25">
      <c r="A512" t="s">
        <v>1060</v>
      </c>
      <c r="B512" t="s">
        <v>1050</v>
      </c>
      <c r="C512" t="s">
        <v>926</v>
      </c>
      <c r="D512" t="s">
        <v>1036</v>
      </c>
      <c r="G512" t="s">
        <v>16</v>
      </c>
      <c r="H512">
        <v>0</v>
      </c>
      <c r="I512" s="2" t="s">
        <v>1046</v>
      </c>
      <c r="J512" s="2">
        <v>2262</v>
      </c>
      <c r="K512">
        <v>20</v>
      </c>
      <c r="L512">
        <v>20</v>
      </c>
      <c r="M512">
        <v>20</v>
      </c>
    </row>
    <row r="513" spans="1:13" x14ac:dyDescent="0.25">
      <c r="A513" t="s">
        <v>1061</v>
      </c>
      <c r="B513" t="s">
        <v>1050</v>
      </c>
      <c r="C513" t="s">
        <v>926</v>
      </c>
      <c r="D513" t="s">
        <v>1036</v>
      </c>
      <c r="F513">
        <v>4</v>
      </c>
      <c r="G513" t="s">
        <v>16</v>
      </c>
      <c r="H513">
        <v>0</v>
      </c>
      <c r="I513" s="2" t="s">
        <v>1062</v>
      </c>
      <c r="J513" s="2">
        <v>94301</v>
      </c>
      <c r="K513">
        <v>20</v>
      </c>
      <c r="L513">
        <v>20</v>
      </c>
      <c r="M513">
        <v>20</v>
      </c>
    </row>
    <row r="514" spans="1:13" x14ac:dyDescent="0.25">
      <c r="A514" t="s">
        <v>1063</v>
      </c>
      <c r="B514" t="s">
        <v>1064</v>
      </c>
      <c r="C514" t="s">
        <v>926</v>
      </c>
      <c r="F514">
        <v>4</v>
      </c>
      <c r="G514" t="s">
        <v>16</v>
      </c>
      <c r="H514">
        <v>0</v>
      </c>
      <c r="I514" s="2" t="s">
        <v>392</v>
      </c>
      <c r="J514" s="2">
        <v>1682245380</v>
      </c>
      <c r="K514">
        <v>20</v>
      </c>
      <c r="L514">
        <v>20</v>
      </c>
      <c r="M514">
        <v>20</v>
      </c>
    </row>
    <row r="515" spans="1:13" x14ac:dyDescent="0.25">
      <c r="A515" t="s">
        <v>1065</v>
      </c>
      <c r="B515" t="s">
        <v>1064</v>
      </c>
      <c r="C515" t="s">
        <v>926</v>
      </c>
      <c r="F515">
        <v>10</v>
      </c>
      <c r="G515" t="s">
        <v>16</v>
      </c>
      <c r="H515">
        <v>0</v>
      </c>
      <c r="I515" s="2" t="s">
        <v>1067</v>
      </c>
      <c r="J515" s="2" t="s">
        <v>1066</v>
      </c>
      <c r="K515">
        <v>20</v>
      </c>
      <c r="L515">
        <v>20</v>
      </c>
      <c r="M515">
        <v>20</v>
      </c>
    </row>
    <row r="516" spans="1:13" x14ac:dyDescent="0.25">
      <c r="A516" t="s">
        <v>1068</v>
      </c>
      <c r="B516" t="s">
        <v>1069</v>
      </c>
      <c r="C516" t="s">
        <v>926</v>
      </c>
      <c r="F516">
        <v>4</v>
      </c>
      <c r="G516" t="s">
        <v>16</v>
      </c>
      <c r="H516">
        <v>0</v>
      </c>
      <c r="I516" s="2" t="s">
        <v>389</v>
      </c>
      <c r="J516" s="2">
        <v>1682244980</v>
      </c>
      <c r="K516">
        <v>20</v>
      </c>
      <c r="L516">
        <v>20</v>
      </c>
      <c r="M516">
        <v>20</v>
      </c>
    </row>
    <row r="517" spans="1:13" x14ac:dyDescent="0.25">
      <c r="A517" t="s">
        <v>1070</v>
      </c>
      <c r="B517" t="s">
        <v>1072</v>
      </c>
      <c r="C517" t="s">
        <v>926</v>
      </c>
      <c r="G517" t="s">
        <v>16</v>
      </c>
      <c r="H517">
        <v>0</v>
      </c>
      <c r="I517" s="2" t="s">
        <v>1067</v>
      </c>
      <c r="J517" s="2" t="s">
        <v>1071</v>
      </c>
      <c r="K517">
        <v>20</v>
      </c>
      <c r="L517">
        <v>20</v>
      </c>
      <c r="M517">
        <v>20</v>
      </c>
    </row>
    <row r="518" spans="1:13" x14ac:dyDescent="0.25">
      <c r="A518" t="s">
        <v>1073</v>
      </c>
      <c r="B518" t="s">
        <v>1074</v>
      </c>
      <c r="C518" t="s">
        <v>926</v>
      </c>
      <c r="D518" t="s">
        <v>1036</v>
      </c>
      <c r="F518">
        <v>24</v>
      </c>
      <c r="G518" t="s">
        <v>16</v>
      </c>
      <c r="H518">
        <v>0</v>
      </c>
      <c r="I518" s="2" t="s">
        <v>383</v>
      </c>
      <c r="J518" s="2" t="str">
        <f>"0242240707"</f>
        <v>0242240707</v>
      </c>
      <c r="K518">
        <v>20</v>
      </c>
      <c r="L518">
        <v>20</v>
      </c>
      <c r="M518">
        <v>20</v>
      </c>
    </row>
    <row r="519" spans="1:13" x14ac:dyDescent="0.25">
      <c r="A519" t="s">
        <v>1075</v>
      </c>
      <c r="B519" t="s">
        <v>1076</v>
      </c>
      <c r="C519" t="s">
        <v>926</v>
      </c>
      <c r="D519" t="s">
        <v>1036</v>
      </c>
      <c r="G519" t="s">
        <v>16</v>
      </c>
      <c r="H519">
        <v>0</v>
      </c>
      <c r="I519" s="2" t="s">
        <v>1062</v>
      </c>
      <c r="J519" s="2" t="s">
        <v>1077</v>
      </c>
      <c r="K519">
        <v>20</v>
      </c>
      <c r="L519">
        <v>20</v>
      </c>
      <c r="M519">
        <v>20</v>
      </c>
    </row>
    <row r="520" spans="1:13" x14ac:dyDescent="0.25">
      <c r="A520" t="s">
        <v>1078</v>
      </c>
      <c r="B520" t="s">
        <v>1079</v>
      </c>
      <c r="C520" t="s">
        <v>926</v>
      </c>
      <c r="F520">
        <v>1</v>
      </c>
      <c r="G520" t="s">
        <v>16</v>
      </c>
      <c r="H520">
        <v>0</v>
      </c>
      <c r="I520" s="2" t="s">
        <v>1080</v>
      </c>
      <c r="J520" s="2" t="s">
        <v>1081</v>
      </c>
      <c r="K520">
        <v>20</v>
      </c>
      <c r="L520">
        <v>20</v>
      </c>
      <c r="M520">
        <v>20</v>
      </c>
    </row>
    <row r="521" spans="1:13" x14ac:dyDescent="0.25">
      <c r="A521" t="s">
        <v>1082</v>
      </c>
      <c r="B521" t="s">
        <v>1083</v>
      </c>
      <c r="C521" t="s">
        <v>926</v>
      </c>
      <c r="D521" t="s">
        <v>1036</v>
      </c>
      <c r="F521">
        <v>6</v>
      </c>
      <c r="G521" t="s">
        <v>16</v>
      </c>
      <c r="H521">
        <v>0</v>
      </c>
      <c r="I521" s="2" t="s">
        <v>685</v>
      </c>
      <c r="J521" s="2" t="str">
        <f>"0242235663"</f>
        <v>0242235663</v>
      </c>
      <c r="K521">
        <v>20</v>
      </c>
      <c r="L521">
        <v>20</v>
      </c>
      <c r="M521">
        <v>20</v>
      </c>
    </row>
    <row r="522" spans="1:13" x14ac:dyDescent="0.25">
      <c r="A522" t="s">
        <v>1084</v>
      </c>
      <c r="B522" t="s">
        <v>1085</v>
      </c>
      <c r="C522" t="s">
        <v>926</v>
      </c>
      <c r="D522" t="s">
        <v>1036</v>
      </c>
      <c r="G522" t="s">
        <v>16</v>
      </c>
      <c r="H522">
        <v>0</v>
      </c>
      <c r="I522" s="2" t="s">
        <v>1046</v>
      </c>
      <c r="J522" s="2">
        <v>91970</v>
      </c>
      <c r="K522">
        <v>20</v>
      </c>
      <c r="L522">
        <v>20</v>
      </c>
      <c r="M522">
        <v>20</v>
      </c>
    </row>
    <row r="523" spans="1:13" x14ac:dyDescent="0.25">
      <c r="A523" t="s">
        <v>1086</v>
      </c>
      <c r="B523" t="s">
        <v>1087</v>
      </c>
      <c r="C523" t="s">
        <v>926</v>
      </c>
      <c r="D523" t="s">
        <v>1036</v>
      </c>
      <c r="F523">
        <v>12</v>
      </c>
      <c r="G523" t="s">
        <v>16</v>
      </c>
      <c r="H523">
        <v>0</v>
      </c>
      <c r="I523" s="2" t="s">
        <v>383</v>
      </c>
      <c r="J523" s="2" t="str">
        <f>"0242236564"</f>
        <v>0242236564</v>
      </c>
      <c r="K523">
        <v>20</v>
      </c>
      <c r="L523">
        <v>20</v>
      </c>
      <c r="M523">
        <v>20</v>
      </c>
    </row>
    <row r="524" spans="1:13" x14ac:dyDescent="0.25">
      <c r="A524" t="s">
        <v>1088</v>
      </c>
      <c r="B524" t="s">
        <v>1089</v>
      </c>
      <c r="C524" t="s">
        <v>926</v>
      </c>
      <c r="D524" t="s">
        <v>1036</v>
      </c>
      <c r="G524" t="s">
        <v>16</v>
      </c>
      <c r="H524">
        <v>0</v>
      </c>
      <c r="I524" s="2" t="s">
        <v>1046</v>
      </c>
      <c r="J524" s="2">
        <v>1748</v>
      </c>
      <c r="K524">
        <v>20</v>
      </c>
      <c r="L524">
        <v>20</v>
      </c>
      <c r="M524">
        <v>20</v>
      </c>
    </row>
    <row r="525" spans="1:13" x14ac:dyDescent="0.25">
      <c r="A525" t="s">
        <v>1090</v>
      </c>
      <c r="B525" t="s">
        <v>1091</v>
      </c>
      <c r="C525" t="s">
        <v>151</v>
      </c>
      <c r="D525" t="s">
        <v>1092</v>
      </c>
      <c r="F525">
        <v>1</v>
      </c>
      <c r="G525" t="s">
        <v>16</v>
      </c>
      <c r="H525">
        <v>0</v>
      </c>
      <c r="K525">
        <v>20</v>
      </c>
      <c r="L525">
        <v>20</v>
      </c>
      <c r="M525">
        <v>20</v>
      </c>
    </row>
    <row r="526" spans="1:13" x14ac:dyDescent="0.25">
      <c r="A526" t="s">
        <v>1093</v>
      </c>
      <c r="B526" t="s">
        <v>1091</v>
      </c>
      <c r="C526" t="s">
        <v>151</v>
      </c>
      <c r="D526" t="s">
        <v>1092</v>
      </c>
      <c r="F526">
        <v>1</v>
      </c>
      <c r="G526" t="s">
        <v>16</v>
      </c>
      <c r="H526">
        <v>0</v>
      </c>
      <c r="I526" s="2" t="s">
        <v>1094</v>
      </c>
      <c r="J526" s="2" t="s">
        <v>1095</v>
      </c>
      <c r="K526">
        <v>20</v>
      </c>
      <c r="L526">
        <v>20</v>
      </c>
      <c r="M526">
        <v>20</v>
      </c>
    </row>
    <row r="527" spans="1:13" x14ac:dyDescent="0.25">
      <c r="A527" t="s">
        <v>1096</v>
      </c>
      <c r="B527" t="s">
        <v>1097</v>
      </c>
      <c r="C527" t="s">
        <v>151</v>
      </c>
      <c r="D527" t="s">
        <v>1092</v>
      </c>
      <c r="F527">
        <v>1</v>
      </c>
      <c r="G527" t="s">
        <v>16</v>
      </c>
      <c r="H527">
        <v>0</v>
      </c>
      <c r="K527">
        <v>20</v>
      </c>
      <c r="L527">
        <v>20</v>
      </c>
      <c r="M527">
        <v>20</v>
      </c>
    </row>
    <row r="528" spans="1:13" x14ac:dyDescent="0.25">
      <c r="A528" t="s">
        <v>1098</v>
      </c>
      <c r="B528" t="s">
        <v>1097</v>
      </c>
      <c r="C528" t="s">
        <v>151</v>
      </c>
      <c r="D528" t="s">
        <v>1092</v>
      </c>
      <c r="F528">
        <v>1</v>
      </c>
      <c r="G528" t="s">
        <v>16</v>
      </c>
      <c r="H528">
        <v>0</v>
      </c>
      <c r="I528" s="2" t="s">
        <v>1094</v>
      </c>
      <c r="J528" s="2" t="s">
        <v>1099</v>
      </c>
      <c r="K528">
        <v>20</v>
      </c>
      <c r="L528">
        <v>20</v>
      </c>
      <c r="M528">
        <v>20</v>
      </c>
    </row>
    <row r="529" spans="1:13" x14ac:dyDescent="0.25">
      <c r="A529" t="s">
        <v>1100</v>
      </c>
      <c r="B529" t="s">
        <v>1101</v>
      </c>
      <c r="C529" t="s">
        <v>151</v>
      </c>
      <c r="D529" t="s">
        <v>1092</v>
      </c>
      <c r="F529">
        <v>1</v>
      </c>
      <c r="G529" t="s">
        <v>16</v>
      </c>
      <c r="H529">
        <v>0</v>
      </c>
      <c r="I529" s="2" t="s">
        <v>1094</v>
      </c>
      <c r="J529" s="2" t="s">
        <v>1102</v>
      </c>
      <c r="K529">
        <v>20</v>
      </c>
      <c r="L529">
        <v>20</v>
      </c>
      <c r="M529">
        <v>20</v>
      </c>
    </row>
    <row r="530" spans="1:13" x14ac:dyDescent="0.25">
      <c r="A530" t="s">
        <v>1103</v>
      </c>
      <c r="B530" t="s">
        <v>1104</v>
      </c>
      <c r="C530" t="s">
        <v>151</v>
      </c>
      <c r="D530" t="s">
        <v>1092</v>
      </c>
      <c r="F530">
        <v>0</v>
      </c>
      <c r="G530" t="s">
        <v>16</v>
      </c>
      <c r="H530">
        <v>0</v>
      </c>
      <c r="I530" s="2" t="s">
        <v>1094</v>
      </c>
      <c r="J530" s="2" t="s">
        <v>1105</v>
      </c>
      <c r="K530">
        <v>20</v>
      </c>
      <c r="L530">
        <v>20</v>
      </c>
      <c r="M530">
        <v>20</v>
      </c>
    </row>
    <row r="531" spans="1:13" x14ac:dyDescent="0.25">
      <c r="A531" t="s">
        <v>1106</v>
      </c>
      <c r="B531" t="s">
        <v>1104</v>
      </c>
      <c r="C531" t="s">
        <v>151</v>
      </c>
      <c r="D531" t="s">
        <v>1092</v>
      </c>
      <c r="F531">
        <v>0</v>
      </c>
      <c r="G531" t="s">
        <v>16</v>
      </c>
      <c r="H531">
        <v>0</v>
      </c>
      <c r="I531" s="2" t="s">
        <v>1107</v>
      </c>
      <c r="J531" s="2">
        <v>2243117</v>
      </c>
      <c r="K531">
        <v>20</v>
      </c>
      <c r="L531">
        <v>20</v>
      </c>
      <c r="M531">
        <v>20</v>
      </c>
    </row>
    <row r="532" spans="1:13" x14ac:dyDescent="0.25">
      <c r="A532" t="s">
        <v>1108</v>
      </c>
      <c r="B532" t="s">
        <v>1109</v>
      </c>
      <c r="C532" t="s">
        <v>151</v>
      </c>
      <c r="D532" t="s">
        <v>1092</v>
      </c>
      <c r="F532">
        <v>0</v>
      </c>
      <c r="G532" t="s">
        <v>16</v>
      </c>
      <c r="H532">
        <v>0</v>
      </c>
      <c r="I532" s="2" t="s">
        <v>1094</v>
      </c>
      <c r="J532" s="2" t="s">
        <v>1110</v>
      </c>
      <c r="K532">
        <v>20</v>
      </c>
      <c r="L532">
        <v>20</v>
      </c>
      <c r="M532">
        <v>20</v>
      </c>
    </row>
    <row r="533" spans="1:13" x14ac:dyDescent="0.25">
      <c r="A533" t="s">
        <v>1111</v>
      </c>
      <c r="B533" t="s">
        <v>1112</v>
      </c>
      <c r="C533" t="s">
        <v>151</v>
      </c>
      <c r="D533" t="s">
        <v>1092</v>
      </c>
      <c r="F533">
        <v>0</v>
      </c>
      <c r="G533" t="s">
        <v>16</v>
      </c>
      <c r="H533">
        <v>0</v>
      </c>
      <c r="I533" s="2" t="s">
        <v>1107</v>
      </c>
      <c r="J533" s="2" t="s">
        <v>1113</v>
      </c>
      <c r="K533">
        <v>20</v>
      </c>
      <c r="L533">
        <v>20</v>
      </c>
      <c r="M533">
        <v>20</v>
      </c>
    </row>
    <row r="534" spans="1:13" x14ac:dyDescent="0.25">
      <c r="A534" t="s">
        <v>1114</v>
      </c>
      <c r="B534" t="s">
        <v>1115</v>
      </c>
      <c r="C534" t="s">
        <v>151</v>
      </c>
      <c r="D534" t="s">
        <v>1092</v>
      </c>
      <c r="G534" t="s">
        <v>16</v>
      </c>
      <c r="H534">
        <v>0</v>
      </c>
      <c r="I534" s="2" t="s">
        <v>854</v>
      </c>
      <c r="J534" s="2" t="str">
        <f>"088512"</f>
        <v>088512</v>
      </c>
      <c r="K534">
        <v>20</v>
      </c>
      <c r="L534">
        <v>20</v>
      </c>
      <c r="M534">
        <v>20</v>
      </c>
    </row>
    <row r="535" spans="1:13" x14ac:dyDescent="0.25">
      <c r="A535" t="s">
        <v>1116</v>
      </c>
      <c r="B535" t="s">
        <v>1117</v>
      </c>
      <c r="C535" t="s">
        <v>151</v>
      </c>
      <c r="D535" t="s">
        <v>1092</v>
      </c>
      <c r="G535" t="s">
        <v>16</v>
      </c>
      <c r="H535">
        <v>0</v>
      </c>
      <c r="I535" s="2" t="s">
        <v>500</v>
      </c>
      <c r="J535" s="2" t="s">
        <v>1118</v>
      </c>
      <c r="K535">
        <v>20</v>
      </c>
      <c r="L535">
        <v>20</v>
      </c>
      <c r="M535">
        <v>20</v>
      </c>
    </row>
    <row r="536" spans="1:13" x14ac:dyDescent="0.25">
      <c r="A536" t="s">
        <v>1119</v>
      </c>
      <c r="B536" t="s">
        <v>1120</v>
      </c>
      <c r="C536" t="s">
        <v>151</v>
      </c>
      <c r="D536" t="s">
        <v>1092</v>
      </c>
      <c r="G536" t="s">
        <v>16</v>
      </c>
      <c r="H536">
        <v>0</v>
      </c>
      <c r="I536" s="2" t="s">
        <v>500</v>
      </c>
      <c r="J536" s="2" t="s">
        <v>1121</v>
      </c>
      <c r="K536">
        <v>20</v>
      </c>
      <c r="L536">
        <v>20</v>
      </c>
      <c r="M536">
        <v>20</v>
      </c>
    </row>
    <row r="537" spans="1:13" x14ac:dyDescent="0.25">
      <c r="A537" t="s">
        <v>1122</v>
      </c>
      <c r="B537" t="s">
        <v>1123</v>
      </c>
      <c r="C537" t="s">
        <v>151</v>
      </c>
      <c r="D537" t="s">
        <v>1092</v>
      </c>
      <c r="G537" t="s">
        <v>16</v>
      </c>
      <c r="H537">
        <v>0</v>
      </c>
      <c r="I537" s="2" t="s">
        <v>1094</v>
      </c>
      <c r="J537" s="2" t="s">
        <v>1124</v>
      </c>
      <c r="K537">
        <v>20</v>
      </c>
      <c r="L537">
        <v>20</v>
      </c>
      <c r="M537">
        <v>20</v>
      </c>
    </row>
    <row r="538" spans="1:13" x14ac:dyDescent="0.25">
      <c r="A538" t="s">
        <v>1125</v>
      </c>
      <c r="B538" t="s">
        <v>1126</v>
      </c>
      <c r="C538" t="s">
        <v>151</v>
      </c>
      <c r="D538" t="s">
        <v>1092</v>
      </c>
      <c r="G538" t="s">
        <v>16</v>
      </c>
      <c r="H538">
        <v>0</v>
      </c>
      <c r="I538" s="2" t="s">
        <v>500</v>
      </c>
      <c r="J538" s="2" t="s">
        <v>1127</v>
      </c>
      <c r="K538">
        <v>20</v>
      </c>
      <c r="L538">
        <v>20</v>
      </c>
      <c r="M538">
        <v>20</v>
      </c>
    </row>
    <row r="539" spans="1:13" x14ac:dyDescent="0.25">
      <c r="A539" t="s">
        <v>1128</v>
      </c>
      <c r="B539" t="s">
        <v>1129</v>
      </c>
      <c r="C539" t="s">
        <v>151</v>
      </c>
      <c r="D539" t="s">
        <v>1092</v>
      </c>
      <c r="F539">
        <v>0</v>
      </c>
      <c r="G539" t="s">
        <v>16</v>
      </c>
      <c r="H539">
        <v>0</v>
      </c>
      <c r="K539">
        <v>20</v>
      </c>
      <c r="L539">
        <v>20</v>
      </c>
      <c r="M539">
        <v>20</v>
      </c>
    </row>
    <row r="540" spans="1:13" x14ac:dyDescent="0.25">
      <c r="A540" t="s">
        <v>1130</v>
      </c>
      <c r="B540" t="s">
        <v>1131</v>
      </c>
      <c r="C540" t="s">
        <v>151</v>
      </c>
      <c r="D540" t="s">
        <v>1092</v>
      </c>
      <c r="F540">
        <v>1</v>
      </c>
      <c r="G540" t="s">
        <v>16</v>
      </c>
      <c r="H540">
        <v>0</v>
      </c>
      <c r="I540" s="2" t="s">
        <v>500</v>
      </c>
      <c r="J540" s="2" t="s">
        <v>1132</v>
      </c>
      <c r="K540">
        <v>20</v>
      </c>
      <c r="L540">
        <v>20</v>
      </c>
      <c r="M540">
        <v>20</v>
      </c>
    </row>
    <row r="541" spans="1:13" x14ac:dyDescent="0.25">
      <c r="A541" t="s">
        <v>1133</v>
      </c>
      <c r="B541" t="s">
        <v>1134</v>
      </c>
      <c r="C541" t="s">
        <v>151</v>
      </c>
      <c r="D541" t="s">
        <v>1092</v>
      </c>
      <c r="F541">
        <v>0</v>
      </c>
      <c r="G541" t="s">
        <v>16</v>
      </c>
      <c r="H541">
        <v>0</v>
      </c>
      <c r="K541">
        <v>20</v>
      </c>
      <c r="L541">
        <v>20</v>
      </c>
      <c r="M541">
        <v>20</v>
      </c>
    </row>
    <row r="542" spans="1:13" x14ac:dyDescent="0.25">
      <c r="A542" t="s">
        <v>1135</v>
      </c>
      <c r="B542" t="s">
        <v>1136</v>
      </c>
      <c r="C542" t="s">
        <v>151</v>
      </c>
      <c r="D542" t="s">
        <v>1092</v>
      </c>
      <c r="F542">
        <v>0</v>
      </c>
      <c r="G542" t="s">
        <v>16</v>
      </c>
      <c r="H542">
        <v>0</v>
      </c>
      <c r="I542" s="2" t="s">
        <v>1137</v>
      </c>
      <c r="J542" s="2">
        <v>1216194</v>
      </c>
      <c r="K542">
        <v>20</v>
      </c>
      <c r="L542">
        <v>20</v>
      </c>
      <c r="M542">
        <v>20</v>
      </c>
    </row>
    <row r="543" spans="1:13" x14ac:dyDescent="0.25">
      <c r="A543" t="s">
        <v>1138</v>
      </c>
      <c r="B543" t="s">
        <v>1139</v>
      </c>
      <c r="C543" t="s">
        <v>151</v>
      </c>
      <c r="D543" t="s">
        <v>1092</v>
      </c>
      <c r="F543">
        <v>1</v>
      </c>
      <c r="G543" t="s">
        <v>16</v>
      </c>
      <c r="H543">
        <v>0</v>
      </c>
      <c r="I543" s="2" t="s">
        <v>1140</v>
      </c>
      <c r="J543" s="2">
        <v>1216471</v>
      </c>
      <c r="K543">
        <v>20</v>
      </c>
      <c r="L543">
        <v>20</v>
      </c>
      <c r="M543">
        <v>20</v>
      </c>
    </row>
    <row r="544" spans="1:13" x14ac:dyDescent="0.25">
      <c r="A544" t="s">
        <v>1141</v>
      </c>
      <c r="B544" t="s">
        <v>1142</v>
      </c>
      <c r="C544" t="s">
        <v>151</v>
      </c>
      <c r="D544" t="s">
        <v>1092</v>
      </c>
      <c r="F544">
        <v>1</v>
      </c>
      <c r="G544" t="s">
        <v>16</v>
      </c>
      <c r="H544">
        <v>0</v>
      </c>
      <c r="I544" s="2" t="s">
        <v>1140</v>
      </c>
      <c r="J544" s="2">
        <v>1216472</v>
      </c>
      <c r="K544">
        <v>20</v>
      </c>
      <c r="L544">
        <v>20</v>
      </c>
      <c r="M544">
        <v>20</v>
      </c>
    </row>
    <row r="545" spans="1:13" x14ac:dyDescent="0.25">
      <c r="A545" t="s">
        <v>1143</v>
      </c>
      <c r="B545" t="s">
        <v>1144</v>
      </c>
      <c r="C545" t="s">
        <v>151</v>
      </c>
      <c r="D545" t="s">
        <v>1092</v>
      </c>
      <c r="F545">
        <v>1</v>
      </c>
      <c r="G545" t="s">
        <v>16</v>
      </c>
      <c r="H545">
        <v>0</v>
      </c>
      <c r="I545" s="2" t="s">
        <v>1145</v>
      </c>
      <c r="J545" s="2" t="s">
        <v>1146</v>
      </c>
      <c r="K545">
        <v>20</v>
      </c>
      <c r="L545">
        <v>20</v>
      </c>
      <c r="M545">
        <v>20</v>
      </c>
    </row>
    <row r="546" spans="1:13" x14ac:dyDescent="0.25">
      <c r="A546" t="s">
        <v>1147</v>
      </c>
      <c r="B546" t="s">
        <v>1148</v>
      </c>
      <c r="C546" t="s">
        <v>151</v>
      </c>
      <c r="D546" t="s">
        <v>1092</v>
      </c>
      <c r="F546">
        <v>1</v>
      </c>
      <c r="G546" t="s">
        <v>16</v>
      </c>
      <c r="H546">
        <v>0</v>
      </c>
      <c r="I546" s="2" t="s">
        <v>1145</v>
      </c>
      <c r="J546" s="2" t="s">
        <v>1149</v>
      </c>
      <c r="K546">
        <v>20</v>
      </c>
      <c r="L546">
        <v>20</v>
      </c>
      <c r="M546">
        <v>20</v>
      </c>
    </row>
    <row r="547" spans="1:13" x14ac:dyDescent="0.25">
      <c r="A547" t="s">
        <v>1150</v>
      </c>
      <c r="B547" t="s">
        <v>1151</v>
      </c>
      <c r="C547" t="s">
        <v>151</v>
      </c>
      <c r="D547" t="s">
        <v>1092</v>
      </c>
      <c r="F547">
        <v>1</v>
      </c>
      <c r="G547" t="s">
        <v>16</v>
      </c>
      <c r="H547">
        <v>0</v>
      </c>
      <c r="I547" s="2" t="s">
        <v>1094</v>
      </c>
      <c r="J547" s="2" t="s">
        <v>1152</v>
      </c>
      <c r="K547">
        <v>20</v>
      </c>
      <c r="L547">
        <v>20</v>
      </c>
      <c r="M547">
        <v>20</v>
      </c>
    </row>
    <row r="548" spans="1:13" x14ac:dyDescent="0.25">
      <c r="A548" t="s">
        <v>1153</v>
      </c>
      <c r="B548" t="s">
        <v>1154</v>
      </c>
      <c r="C548" t="s">
        <v>151</v>
      </c>
      <c r="D548" t="s">
        <v>1092</v>
      </c>
      <c r="F548">
        <v>5</v>
      </c>
      <c r="G548" t="s">
        <v>16</v>
      </c>
      <c r="H548">
        <v>0</v>
      </c>
      <c r="K548">
        <v>20</v>
      </c>
      <c r="L548">
        <v>20</v>
      </c>
      <c r="M548">
        <v>20</v>
      </c>
    </row>
    <row r="549" spans="1:13" x14ac:dyDescent="0.25">
      <c r="A549" t="s">
        <v>1155</v>
      </c>
      <c r="B549" t="s">
        <v>1156</v>
      </c>
      <c r="C549" t="s">
        <v>151</v>
      </c>
      <c r="D549" t="s">
        <v>1092</v>
      </c>
      <c r="F549">
        <v>1</v>
      </c>
      <c r="G549" t="s">
        <v>16</v>
      </c>
      <c r="H549">
        <v>0</v>
      </c>
      <c r="I549" s="2" t="s">
        <v>1145</v>
      </c>
      <c r="J549" s="2" t="s">
        <v>1157</v>
      </c>
      <c r="K549">
        <v>20</v>
      </c>
      <c r="L549">
        <v>20</v>
      </c>
      <c r="M549">
        <v>20</v>
      </c>
    </row>
    <row r="550" spans="1:13" x14ac:dyDescent="0.25">
      <c r="A550" t="s">
        <v>1158</v>
      </c>
      <c r="B550" t="s">
        <v>1156</v>
      </c>
      <c r="C550" t="s">
        <v>151</v>
      </c>
      <c r="D550" t="s">
        <v>1092</v>
      </c>
      <c r="F550">
        <v>1</v>
      </c>
      <c r="G550" t="s">
        <v>16</v>
      </c>
      <c r="H550">
        <v>0</v>
      </c>
      <c r="I550" s="2" t="s">
        <v>1094</v>
      </c>
      <c r="J550" s="2" t="s">
        <v>1159</v>
      </c>
      <c r="K550">
        <v>20</v>
      </c>
      <c r="L550">
        <v>20</v>
      </c>
      <c r="M550">
        <v>20</v>
      </c>
    </row>
    <row r="551" spans="1:13" x14ac:dyDescent="0.25">
      <c r="A551" t="s">
        <v>1160</v>
      </c>
      <c r="B551" t="s">
        <v>1161</v>
      </c>
      <c r="C551" t="s">
        <v>151</v>
      </c>
      <c r="D551" t="s">
        <v>1092</v>
      </c>
      <c r="F551">
        <v>6</v>
      </c>
      <c r="G551" t="s">
        <v>16</v>
      </c>
      <c r="H551">
        <v>0</v>
      </c>
      <c r="K551">
        <v>20</v>
      </c>
      <c r="L551">
        <v>20</v>
      </c>
      <c r="M551">
        <v>20</v>
      </c>
    </row>
    <row r="552" spans="1:13" x14ac:dyDescent="0.25">
      <c r="A552" t="s">
        <v>1162</v>
      </c>
      <c r="B552" t="s">
        <v>1163</v>
      </c>
      <c r="C552" t="s">
        <v>151</v>
      </c>
      <c r="D552" t="s">
        <v>1092</v>
      </c>
      <c r="F552">
        <v>1</v>
      </c>
      <c r="G552" t="s">
        <v>16</v>
      </c>
      <c r="H552">
        <v>0</v>
      </c>
      <c r="I552" s="2" t="s">
        <v>1107</v>
      </c>
      <c r="J552" s="2" t="s">
        <v>1164</v>
      </c>
      <c r="K552">
        <v>20</v>
      </c>
      <c r="L552">
        <v>20</v>
      </c>
      <c r="M552">
        <v>20</v>
      </c>
    </row>
    <row r="553" spans="1:13" x14ac:dyDescent="0.25">
      <c r="A553" t="s">
        <v>1165</v>
      </c>
      <c r="B553" t="s">
        <v>1166</v>
      </c>
      <c r="C553" t="s">
        <v>151</v>
      </c>
      <c r="D553" t="s">
        <v>1092</v>
      </c>
      <c r="F553">
        <v>1</v>
      </c>
      <c r="G553" t="s">
        <v>16</v>
      </c>
      <c r="H553">
        <v>0</v>
      </c>
      <c r="I553" s="2" t="s">
        <v>500</v>
      </c>
      <c r="J553" s="2" t="s">
        <v>1167</v>
      </c>
      <c r="K553">
        <v>20</v>
      </c>
      <c r="L553">
        <v>20</v>
      </c>
      <c r="M553">
        <v>20</v>
      </c>
    </row>
    <row r="554" spans="1:13" x14ac:dyDescent="0.25">
      <c r="A554" t="s">
        <v>1168</v>
      </c>
      <c r="B554" t="s">
        <v>1166</v>
      </c>
      <c r="C554" t="s">
        <v>151</v>
      </c>
      <c r="D554" t="s">
        <v>1092</v>
      </c>
      <c r="F554">
        <v>1</v>
      </c>
      <c r="G554" t="s">
        <v>16</v>
      </c>
      <c r="H554">
        <v>0</v>
      </c>
      <c r="I554" s="2" t="s">
        <v>1107</v>
      </c>
      <c r="J554" s="2" t="s">
        <v>1169</v>
      </c>
      <c r="K554">
        <v>20</v>
      </c>
      <c r="L554">
        <v>20</v>
      </c>
      <c r="M554">
        <v>20</v>
      </c>
    </row>
    <row r="555" spans="1:13" x14ac:dyDescent="0.25">
      <c r="A555" t="s">
        <v>1170</v>
      </c>
      <c r="B555" t="s">
        <v>1171</v>
      </c>
      <c r="C555" t="s">
        <v>151</v>
      </c>
      <c r="D555" t="s">
        <v>1092</v>
      </c>
      <c r="F555">
        <v>1</v>
      </c>
      <c r="G555" t="s">
        <v>16</v>
      </c>
      <c r="H555">
        <v>0</v>
      </c>
      <c r="I555" s="2" t="s">
        <v>1145</v>
      </c>
      <c r="J555" s="2" t="s">
        <v>1172</v>
      </c>
      <c r="K555">
        <v>20</v>
      </c>
      <c r="L555">
        <v>20</v>
      </c>
      <c r="M555">
        <v>20</v>
      </c>
    </row>
    <row r="556" spans="1:13" x14ac:dyDescent="0.25">
      <c r="A556" t="s">
        <v>1173</v>
      </c>
      <c r="B556" t="s">
        <v>1174</v>
      </c>
      <c r="C556" t="s">
        <v>151</v>
      </c>
      <c r="D556" t="s">
        <v>1092</v>
      </c>
      <c r="F556">
        <v>0</v>
      </c>
      <c r="G556" t="s">
        <v>16</v>
      </c>
      <c r="H556">
        <v>0</v>
      </c>
      <c r="I556" s="2" t="s">
        <v>1175</v>
      </c>
      <c r="J556" s="2" t="s">
        <v>1176</v>
      </c>
      <c r="K556">
        <v>20</v>
      </c>
      <c r="L556">
        <v>20</v>
      </c>
      <c r="M556">
        <v>20</v>
      </c>
    </row>
    <row r="557" spans="1:13" x14ac:dyDescent="0.25">
      <c r="A557" t="s">
        <v>1177</v>
      </c>
      <c r="B557" t="s">
        <v>1178</v>
      </c>
      <c r="C557" t="s">
        <v>151</v>
      </c>
      <c r="D557" t="s">
        <v>1092</v>
      </c>
      <c r="F557">
        <v>1</v>
      </c>
      <c r="G557" t="s">
        <v>16</v>
      </c>
      <c r="H557">
        <v>0</v>
      </c>
      <c r="I557" s="2" t="s">
        <v>1179</v>
      </c>
      <c r="J557" s="2" t="s">
        <v>1180</v>
      </c>
      <c r="K557">
        <v>20</v>
      </c>
      <c r="L557">
        <v>20</v>
      </c>
      <c r="M557">
        <v>20</v>
      </c>
    </row>
    <row r="558" spans="1:13" x14ac:dyDescent="0.25">
      <c r="A558" t="s">
        <v>1181</v>
      </c>
      <c r="B558" t="s">
        <v>1178</v>
      </c>
      <c r="C558" t="s">
        <v>151</v>
      </c>
      <c r="D558" t="s">
        <v>1092</v>
      </c>
      <c r="F558">
        <v>0</v>
      </c>
      <c r="G558" t="s">
        <v>16</v>
      </c>
      <c r="H558">
        <v>0</v>
      </c>
      <c r="I558" s="2" t="s">
        <v>1175</v>
      </c>
      <c r="J558" s="2" t="s">
        <v>1182</v>
      </c>
      <c r="K558">
        <v>20</v>
      </c>
      <c r="L558">
        <v>20</v>
      </c>
      <c r="M558">
        <v>20</v>
      </c>
    </row>
    <row r="559" spans="1:13" x14ac:dyDescent="0.25">
      <c r="A559" t="s">
        <v>1183</v>
      </c>
      <c r="B559" t="s">
        <v>1178</v>
      </c>
      <c r="C559" t="s">
        <v>151</v>
      </c>
      <c r="D559" t="s">
        <v>1092</v>
      </c>
      <c r="F559">
        <v>0</v>
      </c>
      <c r="G559" t="s">
        <v>16</v>
      </c>
      <c r="H559">
        <v>0</v>
      </c>
      <c r="I559" s="2" t="s">
        <v>1094</v>
      </c>
      <c r="J559" s="2" t="s">
        <v>1184</v>
      </c>
      <c r="K559">
        <v>20</v>
      </c>
      <c r="L559">
        <v>20</v>
      </c>
      <c r="M559">
        <v>20</v>
      </c>
    </row>
    <row r="560" spans="1:13" x14ac:dyDescent="0.25">
      <c r="A560" t="s">
        <v>1185</v>
      </c>
      <c r="B560" t="s">
        <v>1186</v>
      </c>
      <c r="C560" t="s">
        <v>151</v>
      </c>
      <c r="D560" t="s">
        <v>1092</v>
      </c>
      <c r="F560">
        <v>0</v>
      </c>
      <c r="G560" t="s">
        <v>16</v>
      </c>
      <c r="H560">
        <v>0</v>
      </c>
      <c r="I560" s="2" t="s">
        <v>1145</v>
      </c>
      <c r="J560" s="2" t="s">
        <v>1187</v>
      </c>
      <c r="K560">
        <v>20</v>
      </c>
      <c r="L560">
        <v>20</v>
      </c>
      <c r="M560">
        <v>20</v>
      </c>
    </row>
    <row r="561" spans="1:13" x14ac:dyDescent="0.25">
      <c r="A561" t="s">
        <v>1188</v>
      </c>
      <c r="B561" t="s">
        <v>1189</v>
      </c>
      <c r="C561" t="s">
        <v>151</v>
      </c>
      <c r="D561" t="s">
        <v>1092</v>
      </c>
      <c r="F561">
        <v>0</v>
      </c>
      <c r="G561" t="s">
        <v>16</v>
      </c>
      <c r="H561">
        <v>0</v>
      </c>
      <c r="I561" s="2" t="s">
        <v>1145</v>
      </c>
      <c r="J561" s="2" t="s">
        <v>1190</v>
      </c>
      <c r="K561">
        <v>20</v>
      </c>
      <c r="L561">
        <v>20</v>
      </c>
      <c r="M561">
        <v>20</v>
      </c>
    </row>
    <row r="562" spans="1:13" x14ac:dyDescent="0.25">
      <c r="A562">
        <v>1216688</v>
      </c>
      <c r="B562" t="s">
        <v>1191</v>
      </c>
      <c r="C562" t="s">
        <v>151</v>
      </c>
      <c r="D562" t="s">
        <v>1092</v>
      </c>
      <c r="F562">
        <v>0</v>
      </c>
      <c r="G562" t="s">
        <v>16</v>
      </c>
      <c r="H562">
        <v>0</v>
      </c>
      <c r="I562" s="2" t="s">
        <v>497</v>
      </c>
      <c r="J562" s="2">
        <v>22831927</v>
      </c>
      <c r="K562">
        <v>20</v>
      </c>
      <c r="L562">
        <v>20</v>
      </c>
      <c r="M562">
        <v>20</v>
      </c>
    </row>
    <row r="563" spans="1:13" x14ac:dyDescent="0.25">
      <c r="A563" t="s">
        <v>1192</v>
      </c>
      <c r="B563" t="s">
        <v>1193</v>
      </c>
      <c r="C563" t="s">
        <v>151</v>
      </c>
      <c r="D563" t="s">
        <v>1092</v>
      </c>
      <c r="F563">
        <v>1</v>
      </c>
      <c r="G563" t="s">
        <v>16</v>
      </c>
      <c r="H563">
        <v>0</v>
      </c>
      <c r="I563" s="2" t="s">
        <v>1094</v>
      </c>
      <c r="J563" s="2" t="s">
        <v>1194</v>
      </c>
      <c r="K563">
        <v>20</v>
      </c>
      <c r="L563">
        <v>20</v>
      </c>
      <c r="M563">
        <v>20</v>
      </c>
    </row>
    <row r="564" spans="1:13" x14ac:dyDescent="0.25">
      <c r="A564" t="s">
        <v>1195</v>
      </c>
      <c r="B564" t="s">
        <v>1196</v>
      </c>
      <c r="C564" t="s">
        <v>151</v>
      </c>
      <c r="D564" t="s">
        <v>1092</v>
      </c>
      <c r="G564" t="s">
        <v>16</v>
      </c>
      <c r="H564">
        <v>0</v>
      </c>
      <c r="I564" s="2" t="s">
        <v>500</v>
      </c>
      <c r="J564" s="2" t="s">
        <v>1197</v>
      </c>
      <c r="K564">
        <v>20</v>
      </c>
      <c r="L564">
        <v>20</v>
      </c>
      <c r="M564">
        <v>20</v>
      </c>
    </row>
    <row r="565" spans="1:13" x14ac:dyDescent="0.25">
      <c r="A565" t="s">
        <v>1198</v>
      </c>
      <c r="B565" t="s">
        <v>1199</v>
      </c>
      <c r="C565" t="s">
        <v>151</v>
      </c>
      <c r="D565" t="s">
        <v>1092</v>
      </c>
      <c r="G565" t="s">
        <v>16</v>
      </c>
      <c r="H565">
        <v>0</v>
      </c>
      <c r="I565" s="2" t="s">
        <v>1200</v>
      </c>
      <c r="K565">
        <v>20</v>
      </c>
      <c r="L565">
        <v>20</v>
      </c>
      <c r="M565">
        <v>20</v>
      </c>
    </row>
    <row r="566" spans="1:13" x14ac:dyDescent="0.25">
      <c r="A566" t="s">
        <v>1201</v>
      </c>
      <c r="B566" t="s">
        <v>1202</v>
      </c>
      <c r="C566" t="s">
        <v>151</v>
      </c>
      <c r="D566" t="s">
        <v>1092</v>
      </c>
      <c r="F566">
        <v>1</v>
      </c>
      <c r="G566" t="s">
        <v>16</v>
      </c>
      <c r="H566">
        <v>0</v>
      </c>
      <c r="I566" s="2" t="s">
        <v>1145</v>
      </c>
      <c r="J566" s="2" t="s">
        <v>1203</v>
      </c>
      <c r="K566">
        <v>20</v>
      </c>
      <c r="L566">
        <v>20</v>
      </c>
      <c r="M566">
        <v>20</v>
      </c>
    </row>
    <row r="567" spans="1:13" x14ac:dyDescent="0.25">
      <c r="A567" t="s">
        <v>1204</v>
      </c>
      <c r="B567" t="s">
        <v>1202</v>
      </c>
      <c r="C567" t="s">
        <v>151</v>
      </c>
      <c r="D567" t="s">
        <v>1092</v>
      </c>
      <c r="G567" t="s">
        <v>16</v>
      </c>
      <c r="H567">
        <v>0</v>
      </c>
      <c r="K567">
        <v>20</v>
      </c>
      <c r="L567">
        <v>20</v>
      </c>
      <c r="M567">
        <v>20</v>
      </c>
    </row>
    <row r="568" spans="1:13" x14ac:dyDescent="0.25">
      <c r="A568" t="s">
        <v>1205</v>
      </c>
      <c r="B568" t="s">
        <v>1202</v>
      </c>
      <c r="C568" t="s">
        <v>151</v>
      </c>
      <c r="D568" t="s">
        <v>1092</v>
      </c>
      <c r="F568">
        <v>1</v>
      </c>
      <c r="G568" t="s">
        <v>16</v>
      </c>
      <c r="H568">
        <v>0</v>
      </c>
      <c r="I568" s="2" t="s">
        <v>1175</v>
      </c>
      <c r="J568" s="2" t="s">
        <v>1206</v>
      </c>
      <c r="K568">
        <v>20</v>
      </c>
      <c r="L568">
        <v>20</v>
      </c>
      <c r="M568">
        <v>20</v>
      </c>
    </row>
    <row r="569" spans="1:13" x14ac:dyDescent="0.25">
      <c r="A569" t="s">
        <v>1207</v>
      </c>
      <c r="B569" t="s">
        <v>1208</v>
      </c>
      <c r="C569" t="s">
        <v>151</v>
      </c>
      <c r="D569" t="s">
        <v>1092</v>
      </c>
      <c r="F569">
        <v>1</v>
      </c>
      <c r="G569" t="s">
        <v>16</v>
      </c>
      <c r="H569">
        <v>0</v>
      </c>
      <c r="I569" s="2" t="s">
        <v>1145</v>
      </c>
      <c r="J569" s="2" t="s">
        <v>1209</v>
      </c>
      <c r="K569">
        <v>20</v>
      </c>
      <c r="L569">
        <v>20</v>
      </c>
      <c r="M569">
        <v>20</v>
      </c>
    </row>
    <row r="570" spans="1:13" x14ac:dyDescent="0.25">
      <c r="A570" t="s">
        <v>1210</v>
      </c>
      <c r="B570" t="s">
        <v>1208</v>
      </c>
      <c r="C570" t="s">
        <v>151</v>
      </c>
      <c r="D570" t="s">
        <v>1092</v>
      </c>
      <c r="F570">
        <v>1</v>
      </c>
      <c r="G570" t="s">
        <v>16</v>
      </c>
      <c r="H570">
        <v>0</v>
      </c>
      <c r="I570" s="2" t="s">
        <v>1175</v>
      </c>
      <c r="J570" s="2" t="s">
        <v>1211</v>
      </c>
      <c r="K570">
        <v>20</v>
      </c>
      <c r="L570">
        <v>20</v>
      </c>
      <c r="M570">
        <v>20</v>
      </c>
    </row>
    <row r="571" spans="1:13" x14ac:dyDescent="0.25">
      <c r="A571" t="s">
        <v>1212</v>
      </c>
      <c r="B571" t="s">
        <v>1213</v>
      </c>
      <c r="C571" t="s">
        <v>151</v>
      </c>
      <c r="D571" t="s">
        <v>1092</v>
      </c>
      <c r="G571" t="s">
        <v>16</v>
      </c>
      <c r="H571">
        <v>0</v>
      </c>
      <c r="I571" s="2" t="s">
        <v>1107</v>
      </c>
      <c r="J571" s="2">
        <v>2243315</v>
      </c>
      <c r="K571">
        <v>20</v>
      </c>
      <c r="L571">
        <v>20</v>
      </c>
      <c r="M571">
        <v>20</v>
      </c>
    </row>
    <row r="572" spans="1:13" x14ac:dyDescent="0.25">
      <c r="A572" t="s">
        <v>1214</v>
      </c>
      <c r="B572" t="s">
        <v>1215</v>
      </c>
      <c r="C572" t="s">
        <v>151</v>
      </c>
      <c r="D572" t="s">
        <v>1092</v>
      </c>
      <c r="G572" t="s">
        <v>16</v>
      </c>
      <c r="H572">
        <v>0</v>
      </c>
      <c r="I572" s="2" t="s">
        <v>1200</v>
      </c>
      <c r="J572" s="2">
        <v>2243316</v>
      </c>
      <c r="K572">
        <v>20</v>
      </c>
      <c r="L572">
        <v>20</v>
      </c>
      <c r="M572">
        <v>20</v>
      </c>
    </row>
    <row r="573" spans="1:13" x14ac:dyDescent="0.25">
      <c r="A573">
        <v>1216835</v>
      </c>
      <c r="B573" t="s">
        <v>1216</v>
      </c>
      <c r="C573" t="s">
        <v>151</v>
      </c>
      <c r="D573" t="s">
        <v>1092</v>
      </c>
      <c r="F573">
        <v>0</v>
      </c>
      <c r="G573" t="s">
        <v>16</v>
      </c>
      <c r="H573">
        <v>0</v>
      </c>
      <c r="I573" s="2" t="s">
        <v>497</v>
      </c>
      <c r="J573" s="2">
        <v>13446803</v>
      </c>
      <c r="K573">
        <v>20</v>
      </c>
      <c r="L573">
        <v>20</v>
      </c>
      <c r="M573">
        <v>20</v>
      </c>
    </row>
    <row r="574" spans="1:13" x14ac:dyDescent="0.25">
      <c r="A574" t="s">
        <v>1217</v>
      </c>
      <c r="B574" t="s">
        <v>1218</v>
      </c>
      <c r="C574" t="s">
        <v>151</v>
      </c>
      <c r="D574" t="s">
        <v>1092</v>
      </c>
      <c r="F574">
        <v>0</v>
      </c>
      <c r="G574" t="s">
        <v>16</v>
      </c>
      <c r="H574">
        <v>0</v>
      </c>
      <c r="I574" s="2" t="s">
        <v>1145</v>
      </c>
      <c r="J574" s="2" t="s">
        <v>1219</v>
      </c>
      <c r="K574">
        <v>20</v>
      </c>
      <c r="L574">
        <v>20</v>
      </c>
      <c r="M574">
        <v>20</v>
      </c>
    </row>
    <row r="575" spans="1:13" x14ac:dyDescent="0.25">
      <c r="A575" t="s">
        <v>1220</v>
      </c>
      <c r="B575" t="s">
        <v>1221</v>
      </c>
      <c r="C575" t="s">
        <v>151</v>
      </c>
      <c r="D575" t="s">
        <v>1092</v>
      </c>
      <c r="G575" t="s">
        <v>16</v>
      </c>
      <c r="H575">
        <v>0</v>
      </c>
      <c r="I575" s="2" t="s">
        <v>1222</v>
      </c>
      <c r="J575" s="2">
        <v>511019</v>
      </c>
      <c r="K575">
        <v>20</v>
      </c>
      <c r="L575">
        <v>20</v>
      </c>
      <c r="M575">
        <v>20</v>
      </c>
    </row>
    <row r="576" spans="1:13" x14ac:dyDescent="0.25">
      <c r="A576" t="s">
        <v>1223</v>
      </c>
      <c r="B576" t="s">
        <v>1224</v>
      </c>
      <c r="C576" t="s">
        <v>540</v>
      </c>
      <c r="D576" t="s">
        <v>1092</v>
      </c>
      <c r="F576">
        <v>1</v>
      </c>
      <c r="G576" t="s">
        <v>16</v>
      </c>
      <c r="H576">
        <v>0</v>
      </c>
      <c r="I576" s="2" t="s">
        <v>1179</v>
      </c>
      <c r="J576" s="2" t="s">
        <v>1225</v>
      </c>
      <c r="K576">
        <v>20</v>
      </c>
      <c r="L576">
        <v>20</v>
      </c>
      <c r="M576">
        <v>20</v>
      </c>
    </row>
    <row r="577" spans="1:13" x14ac:dyDescent="0.25">
      <c r="A577" t="s">
        <v>1226</v>
      </c>
      <c r="B577" t="s">
        <v>1227</v>
      </c>
      <c r="C577" t="s">
        <v>151</v>
      </c>
      <c r="D577" t="s">
        <v>1092</v>
      </c>
      <c r="G577" t="s">
        <v>16</v>
      </c>
      <c r="H577">
        <v>0</v>
      </c>
      <c r="I577" s="2" t="s">
        <v>1222</v>
      </c>
      <c r="J577" s="2">
        <v>511018</v>
      </c>
      <c r="K577">
        <v>20</v>
      </c>
      <c r="L577">
        <v>20</v>
      </c>
      <c r="M577">
        <v>20</v>
      </c>
    </row>
    <row r="578" spans="1:13" x14ac:dyDescent="0.25">
      <c r="A578" t="s">
        <v>1228</v>
      </c>
      <c r="B578" t="s">
        <v>1230</v>
      </c>
      <c r="C578" t="s">
        <v>151</v>
      </c>
      <c r="D578" t="s">
        <v>1092</v>
      </c>
      <c r="F578">
        <v>1</v>
      </c>
      <c r="G578" t="s">
        <v>16</v>
      </c>
      <c r="H578">
        <v>0</v>
      </c>
      <c r="I578" s="2" t="s">
        <v>288</v>
      </c>
      <c r="J578" s="2" t="s">
        <v>1229</v>
      </c>
      <c r="K578">
        <v>20</v>
      </c>
      <c r="L578">
        <v>20</v>
      </c>
      <c r="M578">
        <v>20</v>
      </c>
    </row>
    <row r="579" spans="1:13" x14ac:dyDescent="0.25">
      <c r="A579" t="s">
        <v>1231</v>
      </c>
      <c r="B579" t="s">
        <v>1230</v>
      </c>
      <c r="C579" t="s">
        <v>151</v>
      </c>
      <c r="D579" t="s">
        <v>1092</v>
      </c>
      <c r="F579">
        <v>1</v>
      </c>
      <c r="G579" t="s">
        <v>16</v>
      </c>
      <c r="H579">
        <v>0</v>
      </c>
      <c r="I579" s="2" t="s">
        <v>1222</v>
      </c>
      <c r="J579" s="2" t="s">
        <v>1232</v>
      </c>
      <c r="K579">
        <v>20</v>
      </c>
      <c r="L579">
        <v>20</v>
      </c>
      <c r="M579">
        <v>20</v>
      </c>
    </row>
    <row r="580" spans="1:13" x14ac:dyDescent="0.25">
      <c r="A580" t="s">
        <v>1233</v>
      </c>
      <c r="B580" t="s">
        <v>1235</v>
      </c>
      <c r="C580" t="s">
        <v>151</v>
      </c>
      <c r="D580" t="s">
        <v>1092</v>
      </c>
      <c r="F580">
        <v>1</v>
      </c>
      <c r="G580" t="s">
        <v>16</v>
      </c>
      <c r="H580">
        <v>0</v>
      </c>
      <c r="I580" s="2" t="s">
        <v>765</v>
      </c>
      <c r="J580" s="2" t="s">
        <v>1234</v>
      </c>
      <c r="K580">
        <v>20</v>
      </c>
      <c r="L580">
        <v>20</v>
      </c>
      <c r="M580">
        <v>20</v>
      </c>
    </row>
    <row r="581" spans="1:13" x14ac:dyDescent="0.25">
      <c r="A581" t="s">
        <v>1236</v>
      </c>
      <c r="B581" t="s">
        <v>1235</v>
      </c>
      <c r="C581" t="s">
        <v>151</v>
      </c>
      <c r="D581" t="s">
        <v>1092</v>
      </c>
      <c r="F581">
        <v>1</v>
      </c>
      <c r="G581" t="s">
        <v>16</v>
      </c>
      <c r="H581">
        <v>0</v>
      </c>
      <c r="I581" s="2" t="s">
        <v>1222</v>
      </c>
      <c r="J581" s="2" t="s">
        <v>1237</v>
      </c>
      <c r="K581">
        <v>20</v>
      </c>
      <c r="L581">
        <v>20</v>
      </c>
      <c r="M581">
        <v>20</v>
      </c>
    </row>
    <row r="582" spans="1:13" x14ac:dyDescent="0.25">
      <c r="A582" t="s">
        <v>1238</v>
      </c>
      <c r="B582" t="s">
        <v>1239</v>
      </c>
      <c r="C582" t="s">
        <v>151</v>
      </c>
      <c r="D582" t="s">
        <v>1092</v>
      </c>
      <c r="G582" t="s">
        <v>16</v>
      </c>
      <c r="H582">
        <v>0</v>
      </c>
      <c r="I582" s="2" t="s">
        <v>491</v>
      </c>
      <c r="J582" s="2">
        <v>714021651701</v>
      </c>
      <c r="K582">
        <v>20</v>
      </c>
      <c r="L582">
        <v>20</v>
      </c>
      <c r="M582">
        <v>20</v>
      </c>
    </row>
    <row r="583" spans="1:13" x14ac:dyDescent="0.25">
      <c r="A583" t="s">
        <v>1240</v>
      </c>
      <c r="B583" t="s">
        <v>1241</v>
      </c>
      <c r="C583" t="s">
        <v>151</v>
      </c>
      <c r="D583" t="s">
        <v>1092</v>
      </c>
      <c r="F583">
        <v>1</v>
      </c>
      <c r="G583" t="s">
        <v>16</v>
      </c>
      <c r="H583">
        <v>0</v>
      </c>
      <c r="I583" s="2" t="s">
        <v>1242</v>
      </c>
      <c r="J583" s="2" t="s">
        <v>1243</v>
      </c>
      <c r="K583">
        <v>20</v>
      </c>
      <c r="L583">
        <v>20</v>
      </c>
      <c r="M583">
        <v>20</v>
      </c>
    </row>
    <row r="584" spans="1:13" x14ac:dyDescent="0.25">
      <c r="A584" t="s">
        <v>1244</v>
      </c>
      <c r="B584" t="s">
        <v>1241</v>
      </c>
      <c r="C584" t="s">
        <v>151</v>
      </c>
      <c r="D584" t="s">
        <v>1092</v>
      </c>
      <c r="G584" t="s">
        <v>16</v>
      </c>
      <c r="H584">
        <v>0</v>
      </c>
      <c r="I584" s="2" t="s">
        <v>491</v>
      </c>
      <c r="J584" s="2">
        <v>714021651801</v>
      </c>
      <c r="K584">
        <v>20</v>
      </c>
      <c r="L584">
        <v>20</v>
      </c>
      <c r="M584">
        <v>20</v>
      </c>
    </row>
    <row r="585" spans="1:13" x14ac:dyDescent="0.25">
      <c r="A585" t="s">
        <v>1245</v>
      </c>
      <c r="B585" t="s">
        <v>1246</v>
      </c>
      <c r="C585" t="s">
        <v>540</v>
      </c>
      <c r="D585" t="s">
        <v>1092</v>
      </c>
      <c r="F585">
        <v>1</v>
      </c>
      <c r="G585" t="s">
        <v>16</v>
      </c>
      <c r="H585">
        <v>0</v>
      </c>
      <c r="I585" s="2" t="s">
        <v>1179</v>
      </c>
      <c r="J585" s="2" t="s">
        <v>1247</v>
      </c>
      <c r="K585">
        <v>20</v>
      </c>
      <c r="L585">
        <v>20</v>
      </c>
      <c r="M585">
        <v>20</v>
      </c>
    </row>
    <row r="586" spans="1:13" x14ac:dyDescent="0.25">
      <c r="A586" t="s">
        <v>1248</v>
      </c>
      <c r="B586" t="s">
        <v>1249</v>
      </c>
      <c r="C586" t="s">
        <v>151</v>
      </c>
      <c r="D586" t="s">
        <v>1092</v>
      </c>
      <c r="F586">
        <v>1</v>
      </c>
      <c r="G586" t="s">
        <v>16</v>
      </c>
      <c r="H586">
        <v>0</v>
      </c>
      <c r="I586" s="2" t="s">
        <v>1145</v>
      </c>
      <c r="J586" s="2" t="s">
        <v>1250</v>
      </c>
      <c r="K586">
        <v>20</v>
      </c>
      <c r="L586">
        <v>20</v>
      </c>
      <c r="M586">
        <v>20</v>
      </c>
    </row>
    <row r="587" spans="1:13" x14ac:dyDescent="0.25">
      <c r="A587" t="s">
        <v>1251</v>
      </c>
      <c r="B587" t="s">
        <v>1252</v>
      </c>
      <c r="C587" t="s">
        <v>151</v>
      </c>
      <c r="D587" t="s">
        <v>1092</v>
      </c>
      <c r="F587">
        <v>0</v>
      </c>
      <c r="G587" t="s">
        <v>16</v>
      </c>
      <c r="H587">
        <v>0</v>
      </c>
      <c r="I587" s="2" t="s">
        <v>1175</v>
      </c>
      <c r="J587" s="2" t="s">
        <v>1253</v>
      </c>
      <c r="K587">
        <v>20</v>
      </c>
      <c r="L587">
        <v>20</v>
      </c>
      <c r="M587">
        <v>20</v>
      </c>
    </row>
    <row r="588" spans="1:13" x14ac:dyDescent="0.25">
      <c r="A588" t="s">
        <v>1254</v>
      </c>
      <c r="B588" t="s">
        <v>1255</v>
      </c>
      <c r="C588" t="s">
        <v>151</v>
      </c>
      <c r="D588" t="s">
        <v>1092</v>
      </c>
      <c r="F588">
        <v>1</v>
      </c>
      <c r="G588" t="s">
        <v>16</v>
      </c>
      <c r="H588">
        <v>0</v>
      </c>
      <c r="I588" s="2" t="s">
        <v>500</v>
      </c>
      <c r="J588" s="2" t="s">
        <v>1256</v>
      </c>
      <c r="K588">
        <v>20</v>
      </c>
      <c r="L588">
        <v>20</v>
      </c>
      <c r="M588">
        <v>20</v>
      </c>
    </row>
    <row r="589" spans="1:13" x14ac:dyDescent="0.25">
      <c r="A589" t="s">
        <v>1257</v>
      </c>
      <c r="B589" t="s">
        <v>1258</v>
      </c>
      <c r="C589" t="s">
        <v>151</v>
      </c>
      <c r="D589" t="s">
        <v>1092</v>
      </c>
      <c r="F589">
        <v>0</v>
      </c>
      <c r="G589" t="s">
        <v>16</v>
      </c>
      <c r="H589">
        <v>0</v>
      </c>
      <c r="I589" s="2" t="s">
        <v>1137</v>
      </c>
      <c r="J589" s="2">
        <v>25870153</v>
      </c>
      <c r="K589">
        <v>20</v>
      </c>
      <c r="L589">
        <v>20</v>
      </c>
      <c r="M589">
        <v>20</v>
      </c>
    </row>
    <row r="590" spans="1:13" x14ac:dyDescent="0.25">
      <c r="A590" t="s">
        <v>1259</v>
      </c>
      <c r="B590" t="s">
        <v>1260</v>
      </c>
      <c r="C590" t="s">
        <v>151</v>
      </c>
      <c r="D590" t="s">
        <v>1092</v>
      </c>
      <c r="F590">
        <v>1</v>
      </c>
      <c r="G590" t="s">
        <v>16</v>
      </c>
      <c r="H590">
        <v>0</v>
      </c>
      <c r="I590" s="2" t="s">
        <v>1145</v>
      </c>
      <c r="J590" s="2" t="s">
        <v>1261</v>
      </c>
      <c r="K590">
        <v>20</v>
      </c>
      <c r="L590">
        <v>20</v>
      </c>
      <c r="M590">
        <v>20</v>
      </c>
    </row>
    <row r="591" spans="1:13" x14ac:dyDescent="0.25">
      <c r="A591" t="s">
        <v>1262</v>
      </c>
      <c r="B591" t="s">
        <v>1260</v>
      </c>
      <c r="C591" t="s">
        <v>151</v>
      </c>
      <c r="D591" t="s">
        <v>1092</v>
      </c>
      <c r="F591">
        <v>1</v>
      </c>
      <c r="G591" t="s">
        <v>16</v>
      </c>
      <c r="H591">
        <v>0</v>
      </c>
      <c r="I591" s="2" t="s">
        <v>500</v>
      </c>
      <c r="J591" s="2" t="s">
        <v>1263</v>
      </c>
      <c r="K591">
        <v>20</v>
      </c>
      <c r="L591">
        <v>20</v>
      </c>
      <c r="M591">
        <v>20</v>
      </c>
    </row>
    <row r="592" spans="1:13" x14ac:dyDescent="0.25">
      <c r="A592" t="s">
        <v>1264</v>
      </c>
      <c r="B592" t="s">
        <v>1265</v>
      </c>
      <c r="C592" t="s">
        <v>151</v>
      </c>
      <c r="D592" t="s">
        <v>1092</v>
      </c>
      <c r="F592">
        <v>0</v>
      </c>
      <c r="G592" t="s">
        <v>16</v>
      </c>
      <c r="H592">
        <v>0</v>
      </c>
      <c r="I592" s="2" t="s">
        <v>854</v>
      </c>
      <c r="J592" s="2">
        <v>44959</v>
      </c>
      <c r="K592">
        <v>20</v>
      </c>
      <c r="L592">
        <v>20</v>
      </c>
      <c r="M592">
        <v>20</v>
      </c>
    </row>
    <row r="593" spans="1:13" x14ac:dyDescent="0.25">
      <c r="A593" t="s">
        <v>1266</v>
      </c>
      <c r="B593" t="s">
        <v>1267</v>
      </c>
      <c r="C593" t="s">
        <v>151</v>
      </c>
      <c r="D593" t="s">
        <v>1092</v>
      </c>
      <c r="F593">
        <v>2</v>
      </c>
      <c r="G593" t="s">
        <v>16</v>
      </c>
      <c r="H593">
        <v>0</v>
      </c>
      <c r="I593" s="2" t="s">
        <v>1094</v>
      </c>
      <c r="J593" s="2" t="s">
        <v>1268</v>
      </c>
      <c r="K593">
        <v>20</v>
      </c>
      <c r="L593">
        <v>20</v>
      </c>
      <c r="M593">
        <v>20</v>
      </c>
    </row>
    <row r="594" spans="1:13" x14ac:dyDescent="0.25">
      <c r="A594" t="s">
        <v>1269</v>
      </c>
      <c r="B594" t="s">
        <v>1270</v>
      </c>
      <c r="C594" t="s">
        <v>151</v>
      </c>
      <c r="D594" t="s">
        <v>1092</v>
      </c>
      <c r="F594">
        <v>1</v>
      </c>
      <c r="G594" t="s">
        <v>16</v>
      </c>
      <c r="H594">
        <v>0</v>
      </c>
      <c r="I594" s="2" t="s">
        <v>1094</v>
      </c>
      <c r="J594" s="2" t="s">
        <v>1271</v>
      </c>
      <c r="K594">
        <v>20</v>
      </c>
      <c r="L594">
        <v>20</v>
      </c>
      <c r="M594">
        <v>20</v>
      </c>
    </row>
    <row r="595" spans="1:13" x14ac:dyDescent="0.25">
      <c r="A595">
        <v>1222486</v>
      </c>
      <c r="B595" t="s">
        <v>1272</v>
      </c>
      <c r="C595" t="s">
        <v>151</v>
      </c>
      <c r="D595" t="s">
        <v>1092</v>
      </c>
      <c r="G595" t="s">
        <v>16</v>
      </c>
      <c r="H595">
        <v>0</v>
      </c>
      <c r="I595" s="2" t="s">
        <v>497</v>
      </c>
      <c r="J595" s="2">
        <v>22756339</v>
      </c>
      <c r="K595">
        <v>20</v>
      </c>
      <c r="L595">
        <v>20</v>
      </c>
      <c r="M595">
        <v>20</v>
      </c>
    </row>
    <row r="596" spans="1:13" x14ac:dyDescent="0.25">
      <c r="A596" t="s">
        <v>1273</v>
      </c>
      <c r="B596" t="s">
        <v>1274</v>
      </c>
      <c r="C596" t="s">
        <v>151</v>
      </c>
      <c r="D596" t="s">
        <v>1092</v>
      </c>
      <c r="F596">
        <v>1</v>
      </c>
      <c r="G596" t="s">
        <v>16</v>
      </c>
      <c r="H596">
        <v>0</v>
      </c>
      <c r="I596" s="2" t="s">
        <v>1175</v>
      </c>
      <c r="J596" s="2" t="s">
        <v>1275</v>
      </c>
      <c r="K596">
        <v>20</v>
      </c>
      <c r="L596">
        <v>20</v>
      </c>
      <c r="M596">
        <v>20</v>
      </c>
    </row>
    <row r="597" spans="1:13" x14ac:dyDescent="0.25">
      <c r="A597" t="s">
        <v>1276</v>
      </c>
      <c r="B597" t="s">
        <v>1278</v>
      </c>
      <c r="C597" t="s">
        <v>151</v>
      </c>
      <c r="D597" t="s">
        <v>1092</v>
      </c>
      <c r="F597">
        <v>1</v>
      </c>
      <c r="G597" t="s">
        <v>16</v>
      </c>
      <c r="H597">
        <v>0</v>
      </c>
      <c r="I597" s="2" t="s">
        <v>288</v>
      </c>
      <c r="J597" s="2" t="s">
        <v>1277</v>
      </c>
      <c r="K597">
        <v>20</v>
      </c>
      <c r="L597">
        <v>20</v>
      </c>
      <c r="M597">
        <v>20</v>
      </c>
    </row>
    <row r="598" spans="1:13" x14ac:dyDescent="0.25">
      <c r="A598" t="s">
        <v>1279</v>
      </c>
      <c r="B598" t="s">
        <v>1278</v>
      </c>
      <c r="C598" t="s">
        <v>540</v>
      </c>
      <c r="D598" t="s">
        <v>1092</v>
      </c>
      <c r="F598">
        <v>1</v>
      </c>
      <c r="G598" t="s">
        <v>16</v>
      </c>
      <c r="H598">
        <v>0</v>
      </c>
      <c r="I598" s="2" t="s">
        <v>1280</v>
      </c>
      <c r="J598" s="2" t="s">
        <v>1281</v>
      </c>
      <c r="K598">
        <v>20</v>
      </c>
      <c r="L598">
        <v>20</v>
      </c>
      <c r="M598">
        <v>20</v>
      </c>
    </row>
    <row r="599" spans="1:13" x14ac:dyDescent="0.25">
      <c r="A599" t="s">
        <v>1282</v>
      </c>
      <c r="B599" t="s">
        <v>1283</v>
      </c>
      <c r="C599" t="s">
        <v>151</v>
      </c>
      <c r="D599" t="s">
        <v>1092</v>
      </c>
      <c r="G599" t="s">
        <v>16</v>
      </c>
      <c r="H599">
        <v>0</v>
      </c>
      <c r="I599" s="2" t="s">
        <v>288</v>
      </c>
      <c r="J599" s="2">
        <v>820138116</v>
      </c>
      <c r="K599">
        <v>20</v>
      </c>
      <c r="L599">
        <v>20</v>
      </c>
      <c r="M599">
        <v>20</v>
      </c>
    </row>
    <row r="600" spans="1:13" x14ac:dyDescent="0.25">
      <c r="A600" t="s">
        <v>1284</v>
      </c>
      <c r="B600" t="s">
        <v>1283</v>
      </c>
      <c r="C600" t="s">
        <v>540</v>
      </c>
      <c r="D600" t="s">
        <v>1092</v>
      </c>
      <c r="F600">
        <v>1</v>
      </c>
      <c r="G600" t="s">
        <v>16</v>
      </c>
      <c r="H600">
        <v>0</v>
      </c>
      <c r="I600" s="2" t="s">
        <v>1280</v>
      </c>
      <c r="J600" s="2" t="s">
        <v>1285</v>
      </c>
      <c r="K600">
        <v>20</v>
      </c>
      <c r="L600">
        <v>20</v>
      </c>
      <c r="M600">
        <v>20</v>
      </c>
    </row>
    <row r="601" spans="1:13" x14ac:dyDescent="0.25">
      <c r="A601" t="s">
        <v>1286</v>
      </c>
      <c r="B601" t="s">
        <v>1287</v>
      </c>
      <c r="C601" t="s">
        <v>151</v>
      </c>
      <c r="D601" t="s">
        <v>1092</v>
      </c>
      <c r="F601">
        <v>1</v>
      </c>
      <c r="G601" t="s">
        <v>16</v>
      </c>
      <c r="H601">
        <v>0</v>
      </c>
      <c r="I601" s="2" t="s">
        <v>1094</v>
      </c>
      <c r="J601" s="2" t="s">
        <v>1288</v>
      </c>
      <c r="K601">
        <v>20</v>
      </c>
      <c r="L601">
        <v>20</v>
      </c>
      <c r="M601">
        <v>20</v>
      </c>
    </row>
    <row r="602" spans="1:13" x14ac:dyDescent="0.25">
      <c r="A602" t="s">
        <v>1289</v>
      </c>
      <c r="B602" t="s">
        <v>1290</v>
      </c>
      <c r="C602" t="s">
        <v>151</v>
      </c>
      <c r="D602" t="s">
        <v>1092</v>
      </c>
      <c r="F602">
        <v>2</v>
      </c>
      <c r="G602" t="s">
        <v>16</v>
      </c>
      <c r="H602">
        <v>0</v>
      </c>
      <c r="I602" s="2" t="s">
        <v>1145</v>
      </c>
      <c r="J602" s="2" t="s">
        <v>1291</v>
      </c>
      <c r="K602">
        <v>20</v>
      </c>
      <c r="L602">
        <v>20</v>
      </c>
      <c r="M602">
        <v>20</v>
      </c>
    </row>
    <row r="603" spans="1:13" x14ac:dyDescent="0.25">
      <c r="A603" t="s">
        <v>1292</v>
      </c>
      <c r="B603" t="s">
        <v>1293</v>
      </c>
      <c r="C603" t="s">
        <v>151</v>
      </c>
      <c r="D603" t="s">
        <v>1092</v>
      </c>
      <c r="F603">
        <v>1</v>
      </c>
      <c r="G603" t="s">
        <v>16</v>
      </c>
      <c r="H603">
        <v>0</v>
      </c>
      <c r="I603" s="2" t="s">
        <v>500</v>
      </c>
      <c r="J603" s="2" t="s">
        <v>1294</v>
      </c>
      <c r="K603">
        <v>20</v>
      </c>
      <c r="L603">
        <v>20</v>
      </c>
      <c r="M603">
        <v>20</v>
      </c>
    </row>
    <row r="604" spans="1:13" x14ac:dyDescent="0.25">
      <c r="A604" t="s">
        <v>1295</v>
      </c>
      <c r="B604" t="s">
        <v>1296</v>
      </c>
      <c r="C604" t="s">
        <v>151</v>
      </c>
      <c r="D604" t="s">
        <v>1092</v>
      </c>
      <c r="F604">
        <v>2</v>
      </c>
      <c r="G604" t="s">
        <v>16</v>
      </c>
      <c r="H604">
        <v>0</v>
      </c>
      <c r="I604" s="2" t="s">
        <v>1107</v>
      </c>
      <c r="J604" s="2" t="s">
        <v>1297</v>
      </c>
      <c r="K604">
        <v>20</v>
      </c>
      <c r="L604">
        <v>20</v>
      </c>
      <c r="M604">
        <v>20</v>
      </c>
    </row>
    <row r="605" spans="1:13" x14ac:dyDescent="0.25">
      <c r="A605" t="s">
        <v>1298</v>
      </c>
      <c r="B605" t="s">
        <v>1299</v>
      </c>
      <c r="C605" t="s">
        <v>151</v>
      </c>
      <c r="D605" t="s">
        <v>1092</v>
      </c>
      <c r="F605">
        <v>1</v>
      </c>
      <c r="G605" t="s">
        <v>16</v>
      </c>
      <c r="H605">
        <v>0</v>
      </c>
      <c r="I605" s="2" t="s">
        <v>1107</v>
      </c>
      <c r="J605" s="2">
        <v>224315</v>
      </c>
      <c r="K605">
        <v>20</v>
      </c>
      <c r="L605">
        <v>20</v>
      </c>
      <c r="M605">
        <v>20</v>
      </c>
    </row>
    <row r="606" spans="1:13" x14ac:dyDescent="0.25">
      <c r="A606" t="s">
        <v>1300</v>
      </c>
      <c r="B606" t="s">
        <v>1301</v>
      </c>
      <c r="C606" t="s">
        <v>151</v>
      </c>
      <c r="D606" t="s">
        <v>1092</v>
      </c>
      <c r="G606" t="s">
        <v>16</v>
      </c>
      <c r="H606">
        <v>0</v>
      </c>
      <c r="I606" s="2" t="s">
        <v>491</v>
      </c>
      <c r="J606" s="2">
        <v>714098290376</v>
      </c>
      <c r="K606">
        <v>20</v>
      </c>
      <c r="L606">
        <v>20</v>
      </c>
      <c r="M606">
        <v>20</v>
      </c>
    </row>
    <row r="607" spans="1:13" x14ac:dyDescent="0.25">
      <c r="A607" t="s">
        <v>1302</v>
      </c>
      <c r="B607" t="s">
        <v>1303</v>
      </c>
      <c r="C607" t="s">
        <v>151</v>
      </c>
      <c r="D607" t="s">
        <v>1092</v>
      </c>
      <c r="F607">
        <v>1</v>
      </c>
      <c r="G607" t="s">
        <v>16</v>
      </c>
      <c r="H607">
        <v>0</v>
      </c>
      <c r="I607" s="2" t="s">
        <v>1107</v>
      </c>
      <c r="J607" s="2" t="s">
        <v>1304</v>
      </c>
      <c r="K607">
        <v>20</v>
      </c>
      <c r="L607">
        <v>20</v>
      </c>
      <c r="M607">
        <v>20</v>
      </c>
    </row>
    <row r="608" spans="1:13" x14ac:dyDescent="0.25">
      <c r="A608" t="s">
        <v>1305</v>
      </c>
      <c r="B608" t="s">
        <v>1306</v>
      </c>
      <c r="C608" t="s">
        <v>540</v>
      </c>
      <c r="G608" t="s">
        <v>16</v>
      </c>
      <c r="H608">
        <v>0</v>
      </c>
      <c r="I608" s="2" t="s">
        <v>734</v>
      </c>
      <c r="J608" s="2">
        <v>111116</v>
      </c>
      <c r="K608">
        <v>20</v>
      </c>
      <c r="L608">
        <v>20</v>
      </c>
      <c r="M608">
        <v>20</v>
      </c>
    </row>
    <row r="609" spans="1:13" x14ac:dyDescent="0.25">
      <c r="A609" t="s">
        <v>1307</v>
      </c>
      <c r="B609" t="s">
        <v>1308</v>
      </c>
      <c r="C609" t="s">
        <v>151</v>
      </c>
      <c r="D609" t="s">
        <v>1092</v>
      </c>
      <c r="F609">
        <v>1</v>
      </c>
      <c r="G609" t="s">
        <v>16</v>
      </c>
      <c r="H609">
        <v>0</v>
      </c>
      <c r="I609" s="2" t="s">
        <v>500</v>
      </c>
      <c r="J609" s="2" t="s">
        <v>1309</v>
      </c>
      <c r="K609">
        <v>20</v>
      </c>
      <c r="L609">
        <v>20</v>
      </c>
      <c r="M609">
        <v>20</v>
      </c>
    </row>
    <row r="610" spans="1:13" x14ac:dyDescent="0.25">
      <c r="A610" t="s">
        <v>1310</v>
      </c>
      <c r="B610" t="s">
        <v>1311</v>
      </c>
      <c r="C610" t="s">
        <v>151</v>
      </c>
      <c r="D610" t="s">
        <v>1092</v>
      </c>
      <c r="F610">
        <v>0</v>
      </c>
      <c r="G610" t="s">
        <v>16</v>
      </c>
      <c r="H610">
        <v>0</v>
      </c>
      <c r="I610" s="2" t="s">
        <v>1107</v>
      </c>
      <c r="J610" s="2" t="s">
        <v>1312</v>
      </c>
      <c r="K610">
        <v>20</v>
      </c>
      <c r="L610">
        <v>20</v>
      </c>
      <c r="M610">
        <v>20</v>
      </c>
    </row>
    <row r="611" spans="1:13" x14ac:dyDescent="0.25">
      <c r="A611" t="s">
        <v>1313</v>
      </c>
      <c r="B611" t="s">
        <v>1314</v>
      </c>
      <c r="C611" t="s">
        <v>151</v>
      </c>
      <c r="D611" t="s">
        <v>1092</v>
      </c>
      <c r="F611">
        <v>0</v>
      </c>
      <c r="G611" t="s">
        <v>16</v>
      </c>
      <c r="H611">
        <v>0</v>
      </c>
      <c r="I611" s="2" t="s">
        <v>1107</v>
      </c>
      <c r="J611" s="2" t="s">
        <v>1315</v>
      </c>
      <c r="K611">
        <v>20</v>
      </c>
      <c r="L611">
        <v>20</v>
      </c>
      <c r="M611">
        <v>20</v>
      </c>
    </row>
    <row r="612" spans="1:13" x14ac:dyDescent="0.25">
      <c r="A612" t="s">
        <v>1316</v>
      </c>
      <c r="B612" t="s">
        <v>1317</v>
      </c>
      <c r="C612" t="s">
        <v>151</v>
      </c>
      <c r="D612" t="s">
        <v>1092</v>
      </c>
      <c r="F612">
        <v>1</v>
      </c>
      <c r="G612" t="s">
        <v>16</v>
      </c>
      <c r="H612">
        <v>0</v>
      </c>
      <c r="I612" s="2" t="s">
        <v>1107</v>
      </c>
      <c r="J612" s="2" t="s">
        <v>1318</v>
      </c>
      <c r="K612">
        <v>20</v>
      </c>
      <c r="L612">
        <v>20</v>
      </c>
      <c r="M612">
        <v>20</v>
      </c>
    </row>
    <row r="613" spans="1:13" x14ac:dyDescent="0.25">
      <c r="A613" t="s">
        <v>1319</v>
      </c>
      <c r="B613" t="s">
        <v>1320</v>
      </c>
      <c r="C613" t="s">
        <v>151</v>
      </c>
      <c r="D613" t="s">
        <v>1092</v>
      </c>
      <c r="F613">
        <v>1</v>
      </c>
      <c r="G613" t="s">
        <v>16</v>
      </c>
      <c r="H613">
        <v>0</v>
      </c>
      <c r="I613" s="2" t="s">
        <v>1145</v>
      </c>
      <c r="J613" s="2" t="s">
        <v>1321</v>
      </c>
      <c r="K613">
        <v>20</v>
      </c>
      <c r="L613">
        <v>20</v>
      </c>
      <c r="M613">
        <v>20</v>
      </c>
    </row>
    <row r="614" spans="1:13" x14ac:dyDescent="0.25">
      <c r="A614" t="s">
        <v>1322</v>
      </c>
      <c r="B614" t="s">
        <v>1323</v>
      </c>
      <c r="C614" t="s">
        <v>151</v>
      </c>
      <c r="D614" t="s">
        <v>1092</v>
      </c>
      <c r="F614">
        <v>0</v>
      </c>
      <c r="G614" t="s">
        <v>16</v>
      </c>
      <c r="H614">
        <v>0</v>
      </c>
      <c r="I614" s="2" t="s">
        <v>1107</v>
      </c>
      <c r="J614" s="2" t="s">
        <v>1324</v>
      </c>
      <c r="K614">
        <v>20</v>
      </c>
      <c r="L614">
        <v>20</v>
      </c>
      <c r="M614">
        <v>20</v>
      </c>
    </row>
    <row r="615" spans="1:13" x14ac:dyDescent="0.25">
      <c r="A615" t="s">
        <v>1325</v>
      </c>
      <c r="B615" t="s">
        <v>1326</v>
      </c>
      <c r="C615" t="s">
        <v>540</v>
      </c>
      <c r="D615" t="s">
        <v>1092</v>
      </c>
      <c r="F615">
        <v>1</v>
      </c>
      <c r="G615" t="s">
        <v>16</v>
      </c>
      <c r="H615">
        <v>0</v>
      </c>
      <c r="I615" s="2" t="s">
        <v>1145</v>
      </c>
      <c r="J615" s="2" t="s">
        <v>1327</v>
      </c>
      <c r="K615">
        <v>20</v>
      </c>
      <c r="L615">
        <v>20</v>
      </c>
      <c r="M615">
        <v>20</v>
      </c>
    </row>
    <row r="616" spans="1:13" x14ac:dyDescent="0.25">
      <c r="A616" t="s">
        <v>1328</v>
      </c>
      <c r="B616" t="s">
        <v>1329</v>
      </c>
      <c r="C616" t="s">
        <v>151</v>
      </c>
      <c r="D616" t="s">
        <v>1092</v>
      </c>
      <c r="F616">
        <v>1</v>
      </c>
      <c r="G616" t="s">
        <v>16</v>
      </c>
      <c r="H616">
        <v>0</v>
      </c>
      <c r="I616" s="2" t="s">
        <v>1107</v>
      </c>
      <c r="J616" s="2" t="s">
        <v>1330</v>
      </c>
      <c r="K616">
        <v>20</v>
      </c>
      <c r="L616">
        <v>20</v>
      </c>
      <c r="M616">
        <v>20</v>
      </c>
    </row>
    <row r="617" spans="1:13" x14ac:dyDescent="0.25">
      <c r="A617" t="s">
        <v>1331</v>
      </c>
      <c r="B617" t="s">
        <v>1332</v>
      </c>
      <c r="C617" t="s">
        <v>151</v>
      </c>
      <c r="D617" t="s">
        <v>1092</v>
      </c>
      <c r="F617">
        <v>3</v>
      </c>
      <c r="G617" t="s">
        <v>16</v>
      </c>
      <c r="H617">
        <v>0</v>
      </c>
      <c r="I617" s="2" t="s">
        <v>500</v>
      </c>
      <c r="J617" s="2" t="s">
        <v>1333</v>
      </c>
      <c r="K617">
        <v>20</v>
      </c>
      <c r="L617">
        <v>20</v>
      </c>
      <c r="M617">
        <v>20</v>
      </c>
    </row>
    <row r="618" spans="1:13" x14ac:dyDescent="0.25">
      <c r="A618" t="s">
        <v>1334</v>
      </c>
      <c r="B618" t="s">
        <v>1335</v>
      </c>
      <c r="C618" t="s">
        <v>1092</v>
      </c>
      <c r="G618" t="s">
        <v>16</v>
      </c>
      <c r="H618">
        <v>0</v>
      </c>
      <c r="I618" s="2" t="s">
        <v>500</v>
      </c>
      <c r="J618" s="2" t="s">
        <v>1336</v>
      </c>
      <c r="K618">
        <v>20</v>
      </c>
      <c r="L618">
        <v>20</v>
      </c>
      <c r="M618">
        <v>20</v>
      </c>
    </row>
    <row r="619" spans="1:13" x14ac:dyDescent="0.25">
      <c r="A619" t="s">
        <v>1337</v>
      </c>
      <c r="B619" t="s">
        <v>1338</v>
      </c>
      <c r="C619" t="s">
        <v>540</v>
      </c>
      <c r="D619" t="s">
        <v>1092</v>
      </c>
      <c r="G619" t="s">
        <v>16</v>
      </c>
      <c r="H619">
        <v>0</v>
      </c>
      <c r="K619">
        <v>20</v>
      </c>
      <c r="L619">
        <v>20</v>
      </c>
      <c r="M619">
        <v>20</v>
      </c>
    </row>
    <row r="620" spans="1:13" x14ac:dyDescent="0.25">
      <c r="A620" t="s">
        <v>1339</v>
      </c>
      <c r="B620" t="s">
        <v>1340</v>
      </c>
      <c r="C620" t="s">
        <v>151</v>
      </c>
      <c r="D620" t="s">
        <v>1092</v>
      </c>
      <c r="F620">
        <v>3</v>
      </c>
      <c r="G620" t="s">
        <v>16</v>
      </c>
      <c r="H620">
        <v>0</v>
      </c>
      <c r="I620" s="2" t="s">
        <v>500</v>
      </c>
      <c r="J620" s="2" t="s">
        <v>1341</v>
      </c>
      <c r="K620">
        <v>20</v>
      </c>
      <c r="L620">
        <v>20</v>
      </c>
      <c r="M620">
        <v>20</v>
      </c>
    </row>
    <row r="621" spans="1:13" x14ac:dyDescent="0.25">
      <c r="A621" t="s">
        <v>1342</v>
      </c>
      <c r="B621" t="s">
        <v>1343</v>
      </c>
      <c r="C621" t="s">
        <v>151</v>
      </c>
      <c r="D621" t="s">
        <v>1092</v>
      </c>
      <c r="F621">
        <v>1</v>
      </c>
      <c r="G621" t="s">
        <v>16</v>
      </c>
      <c r="H621">
        <v>0</v>
      </c>
      <c r="I621" s="2" t="s">
        <v>1107</v>
      </c>
      <c r="K621">
        <v>20</v>
      </c>
      <c r="L621">
        <v>20</v>
      </c>
      <c r="M621">
        <v>20</v>
      </c>
    </row>
    <row r="622" spans="1:13" x14ac:dyDescent="0.25">
      <c r="A622" t="s">
        <v>1344</v>
      </c>
      <c r="B622" t="s">
        <v>1345</v>
      </c>
      <c r="C622" t="s">
        <v>151</v>
      </c>
      <c r="D622" t="s">
        <v>1092</v>
      </c>
      <c r="F622">
        <v>2</v>
      </c>
      <c r="G622" t="s">
        <v>16</v>
      </c>
      <c r="H622">
        <v>0</v>
      </c>
      <c r="I622" s="2" t="s">
        <v>500</v>
      </c>
      <c r="J622" s="2" t="s">
        <v>1346</v>
      </c>
      <c r="K622">
        <v>20</v>
      </c>
      <c r="L622">
        <v>20</v>
      </c>
      <c r="M622">
        <v>20</v>
      </c>
    </row>
    <row r="623" spans="1:13" x14ac:dyDescent="0.25">
      <c r="A623" t="s">
        <v>1347</v>
      </c>
      <c r="B623" t="s">
        <v>1345</v>
      </c>
      <c r="C623" t="s">
        <v>151</v>
      </c>
      <c r="D623" t="s">
        <v>1092</v>
      </c>
      <c r="F623">
        <v>2</v>
      </c>
      <c r="G623" t="s">
        <v>16</v>
      </c>
      <c r="H623">
        <v>0</v>
      </c>
      <c r="I623" s="2" t="s">
        <v>1107</v>
      </c>
      <c r="J623" s="2" t="s">
        <v>1348</v>
      </c>
      <c r="K623">
        <v>20</v>
      </c>
      <c r="L623">
        <v>20</v>
      </c>
      <c r="M623">
        <v>20</v>
      </c>
    </row>
    <row r="624" spans="1:13" x14ac:dyDescent="0.25">
      <c r="A624" t="s">
        <v>1349</v>
      </c>
      <c r="B624" t="s">
        <v>1350</v>
      </c>
      <c r="C624" t="s">
        <v>151</v>
      </c>
      <c r="D624" t="s">
        <v>1092</v>
      </c>
      <c r="G624" t="s">
        <v>16</v>
      </c>
      <c r="H624">
        <v>0</v>
      </c>
      <c r="J624" s="2">
        <v>90511732</v>
      </c>
      <c r="K624">
        <v>20</v>
      </c>
      <c r="L624">
        <v>20</v>
      </c>
      <c r="M624">
        <v>20</v>
      </c>
    </row>
    <row r="625" spans="1:13" x14ac:dyDescent="0.25">
      <c r="A625" t="s">
        <v>1351</v>
      </c>
      <c r="B625" t="s">
        <v>1352</v>
      </c>
      <c r="C625" t="s">
        <v>151</v>
      </c>
      <c r="D625" t="s">
        <v>1092</v>
      </c>
      <c r="F625">
        <v>1</v>
      </c>
      <c r="G625" t="s">
        <v>16</v>
      </c>
      <c r="H625">
        <v>0</v>
      </c>
      <c r="K625">
        <v>20</v>
      </c>
      <c r="L625">
        <v>20</v>
      </c>
      <c r="M625">
        <v>20</v>
      </c>
    </row>
    <row r="626" spans="1:13" x14ac:dyDescent="0.25">
      <c r="A626" t="s">
        <v>1353</v>
      </c>
      <c r="B626" t="s">
        <v>1354</v>
      </c>
      <c r="C626" t="s">
        <v>151</v>
      </c>
      <c r="D626" t="s">
        <v>1092</v>
      </c>
      <c r="F626">
        <v>1</v>
      </c>
      <c r="G626" t="s">
        <v>16</v>
      </c>
      <c r="H626">
        <v>0</v>
      </c>
      <c r="K626">
        <v>20</v>
      </c>
      <c r="L626">
        <v>20</v>
      </c>
      <c r="M626">
        <v>20</v>
      </c>
    </row>
    <row r="627" spans="1:13" x14ac:dyDescent="0.25">
      <c r="A627" t="s">
        <v>1355</v>
      </c>
      <c r="B627" t="s">
        <v>1356</v>
      </c>
      <c r="C627" t="s">
        <v>151</v>
      </c>
      <c r="D627" t="s">
        <v>1092</v>
      </c>
      <c r="F627">
        <v>3</v>
      </c>
      <c r="G627" t="s">
        <v>16</v>
      </c>
      <c r="H627">
        <v>0</v>
      </c>
      <c r="I627" s="2" t="s">
        <v>500</v>
      </c>
      <c r="J627" s="2" t="s">
        <v>1357</v>
      </c>
      <c r="K627">
        <v>20</v>
      </c>
      <c r="L627">
        <v>20</v>
      </c>
      <c r="M627">
        <v>20</v>
      </c>
    </row>
    <row r="628" spans="1:13" x14ac:dyDescent="0.25">
      <c r="A628" t="s">
        <v>1358</v>
      </c>
      <c r="B628" t="s">
        <v>1356</v>
      </c>
      <c r="C628" t="s">
        <v>151</v>
      </c>
      <c r="D628" t="s">
        <v>1092</v>
      </c>
      <c r="F628">
        <v>1</v>
      </c>
      <c r="G628" t="s">
        <v>16</v>
      </c>
      <c r="H628">
        <v>0</v>
      </c>
      <c r="I628" s="2" t="s">
        <v>1094</v>
      </c>
      <c r="J628" s="2" t="s">
        <v>1359</v>
      </c>
      <c r="K628">
        <v>20</v>
      </c>
      <c r="L628">
        <v>20</v>
      </c>
      <c r="M628">
        <v>20</v>
      </c>
    </row>
    <row r="629" spans="1:13" x14ac:dyDescent="0.25">
      <c r="A629" t="s">
        <v>1360</v>
      </c>
      <c r="B629" t="s">
        <v>1356</v>
      </c>
      <c r="C629" t="s">
        <v>151</v>
      </c>
      <c r="D629" t="s">
        <v>1092</v>
      </c>
      <c r="F629">
        <v>1</v>
      </c>
      <c r="G629" t="s">
        <v>16</v>
      </c>
      <c r="H629">
        <v>0</v>
      </c>
      <c r="K629">
        <v>20</v>
      </c>
      <c r="L629">
        <v>20</v>
      </c>
      <c r="M629">
        <v>20</v>
      </c>
    </row>
    <row r="630" spans="1:13" x14ac:dyDescent="0.25">
      <c r="A630" t="s">
        <v>1361</v>
      </c>
      <c r="B630" t="s">
        <v>1362</v>
      </c>
      <c r="C630" t="s">
        <v>151</v>
      </c>
      <c r="D630" t="s">
        <v>1092</v>
      </c>
      <c r="F630">
        <v>2</v>
      </c>
      <c r="G630" t="s">
        <v>16</v>
      </c>
      <c r="H630">
        <v>0</v>
      </c>
      <c r="I630" s="2" t="s">
        <v>500</v>
      </c>
      <c r="J630" s="2" t="s">
        <v>1363</v>
      </c>
      <c r="K630">
        <v>20</v>
      </c>
      <c r="L630">
        <v>20</v>
      </c>
      <c r="M630">
        <v>20</v>
      </c>
    </row>
    <row r="631" spans="1:13" x14ac:dyDescent="0.25">
      <c r="A631" t="s">
        <v>1364</v>
      </c>
      <c r="B631" t="s">
        <v>1365</v>
      </c>
      <c r="C631" t="s">
        <v>151</v>
      </c>
      <c r="D631" t="s">
        <v>1092</v>
      </c>
      <c r="F631">
        <v>1</v>
      </c>
      <c r="G631" t="s">
        <v>16</v>
      </c>
      <c r="H631">
        <v>0</v>
      </c>
      <c r="I631" s="2" t="s">
        <v>1094</v>
      </c>
      <c r="J631" s="2" t="s">
        <v>1366</v>
      </c>
      <c r="K631">
        <v>20</v>
      </c>
      <c r="L631">
        <v>20</v>
      </c>
      <c r="M631">
        <v>20</v>
      </c>
    </row>
    <row r="632" spans="1:13" x14ac:dyDescent="0.25">
      <c r="A632" t="s">
        <v>1367</v>
      </c>
      <c r="B632" t="s">
        <v>1365</v>
      </c>
      <c r="C632" t="s">
        <v>151</v>
      </c>
      <c r="D632" t="s">
        <v>1092</v>
      </c>
      <c r="F632">
        <v>1</v>
      </c>
      <c r="G632" t="s">
        <v>16</v>
      </c>
      <c r="H632">
        <v>0</v>
      </c>
      <c r="K632">
        <v>20</v>
      </c>
      <c r="L632">
        <v>20</v>
      </c>
      <c r="M632">
        <v>20</v>
      </c>
    </row>
    <row r="633" spans="1:13" x14ac:dyDescent="0.25">
      <c r="A633" t="s">
        <v>1368</v>
      </c>
      <c r="B633" t="s">
        <v>1369</v>
      </c>
      <c r="C633" t="s">
        <v>151</v>
      </c>
      <c r="F633">
        <v>2</v>
      </c>
      <c r="G633" t="s">
        <v>16</v>
      </c>
      <c r="H633">
        <v>0</v>
      </c>
      <c r="I633" s="2" t="s">
        <v>500</v>
      </c>
      <c r="J633" s="2" t="s">
        <v>1370</v>
      </c>
      <c r="K633">
        <v>20</v>
      </c>
      <c r="L633">
        <v>20</v>
      </c>
      <c r="M633">
        <v>20</v>
      </c>
    </row>
    <row r="634" spans="1:13" x14ac:dyDescent="0.25">
      <c r="A634" t="s">
        <v>1371</v>
      </c>
      <c r="B634" t="s">
        <v>1373</v>
      </c>
      <c r="C634" t="s">
        <v>151</v>
      </c>
      <c r="D634" t="s">
        <v>1092</v>
      </c>
      <c r="G634" t="s">
        <v>16</v>
      </c>
      <c r="H634">
        <v>0</v>
      </c>
      <c r="I634" s="2" t="s">
        <v>1107</v>
      </c>
      <c r="J634" s="2" t="s">
        <v>1372</v>
      </c>
      <c r="K634">
        <v>20</v>
      </c>
      <c r="L634">
        <v>20</v>
      </c>
      <c r="M634">
        <v>20</v>
      </c>
    </row>
    <row r="635" spans="1:13" x14ac:dyDescent="0.25">
      <c r="A635" t="s">
        <v>1374</v>
      </c>
      <c r="B635" t="s">
        <v>1373</v>
      </c>
      <c r="C635" t="s">
        <v>151</v>
      </c>
      <c r="D635" t="s">
        <v>1092</v>
      </c>
      <c r="F635">
        <v>2</v>
      </c>
      <c r="G635" t="s">
        <v>16</v>
      </c>
      <c r="H635">
        <v>0</v>
      </c>
      <c r="K635">
        <v>20</v>
      </c>
      <c r="L635">
        <v>20</v>
      </c>
      <c r="M635">
        <v>20</v>
      </c>
    </row>
    <row r="636" spans="1:13" x14ac:dyDescent="0.25">
      <c r="A636" t="s">
        <v>1375</v>
      </c>
      <c r="B636" t="s">
        <v>1376</v>
      </c>
      <c r="C636" t="s">
        <v>151</v>
      </c>
      <c r="D636" t="s">
        <v>1092</v>
      </c>
      <c r="F636">
        <v>1</v>
      </c>
      <c r="G636" t="s">
        <v>16</v>
      </c>
      <c r="H636">
        <v>0</v>
      </c>
      <c r="I636" s="2" t="s">
        <v>1175</v>
      </c>
      <c r="J636" s="2" t="s">
        <v>1377</v>
      </c>
      <c r="K636">
        <v>20</v>
      </c>
      <c r="L636">
        <v>20</v>
      </c>
      <c r="M636">
        <v>20</v>
      </c>
    </row>
    <row r="637" spans="1:13" x14ac:dyDescent="0.25">
      <c r="A637" t="s">
        <v>1378</v>
      </c>
      <c r="B637" t="s">
        <v>1376</v>
      </c>
      <c r="C637" t="s">
        <v>151</v>
      </c>
      <c r="D637" t="s">
        <v>1092</v>
      </c>
      <c r="G637" t="s">
        <v>16</v>
      </c>
      <c r="H637">
        <v>0</v>
      </c>
      <c r="I637" s="2" t="s">
        <v>1107</v>
      </c>
      <c r="J637" s="2" t="s">
        <v>1379</v>
      </c>
      <c r="K637">
        <v>20</v>
      </c>
      <c r="L637">
        <v>20</v>
      </c>
      <c r="M637">
        <v>20</v>
      </c>
    </row>
    <row r="638" spans="1:13" x14ac:dyDescent="0.25">
      <c r="A638" t="s">
        <v>1380</v>
      </c>
      <c r="B638" t="s">
        <v>1376</v>
      </c>
      <c r="C638" t="s">
        <v>151</v>
      </c>
      <c r="D638" t="s">
        <v>1381</v>
      </c>
      <c r="F638">
        <v>1</v>
      </c>
      <c r="G638" t="s">
        <v>16</v>
      </c>
      <c r="H638">
        <v>0</v>
      </c>
      <c r="K638">
        <v>20</v>
      </c>
      <c r="L638">
        <v>20</v>
      </c>
      <c r="M638">
        <v>20</v>
      </c>
    </row>
    <row r="639" spans="1:13" x14ac:dyDescent="0.25">
      <c r="A639" t="s">
        <v>1382</v>
      </c>
      <c r="B639" t="s">
        <v>1383</v>
      </c>
      <c r="C639" t="s">
        <v>151</v>
      </c>
      <c r="D639" t="s">
        <v>1092</v>
      </c>
      <c r="F639">
        <v>2</v>
      </c>
      <c r="G639" t="s">
        <v>16</v>
      </c>
      <c r="H639">
        <v>0</v>
      </c>
      <c r="I639" s="2" t="s">
        <v>1175</v>
      </c>
      <c r="J639" s="2" t="s">
        <v>1384</v>
      </c>
      <c r="K639">
        <v>20</v>
      </c>
      <c r="L639">
        <v>20</v>
      </c>
      <c r="M639">
        <v>20</v>
      </c>
    </row>
    <row r="640" spans="1:13" x14ac:dyDescent="0.25">
      <c r="A640" t="s">
        <v>1385</v>
      </c>
      <c r="B640" t="s">
        <v>1386</v>
      </c>
      <c r="C640" t="s">
        <v>151</v>
      </c>
      <c r="D640" t="s">
        <v>1092</v>
      </c>
      <c r="F640">
        <v>1</v>
      </c>
      <c r="G640" t="s">
        <v>16</v>
      </c>
      <c r="H640">
        <v>0</v>
      </c>
      <c r="I640" s="2" t="s">
        <v>1094</v>
      </c>
      <c r="J640" s="2" t="s">
        <v>1387</v>
      </c>
      <c r="K640">
        <v>20</v>
      </c>
      <c r="L640">
        <v>20</v>
      </c>
      <c r="M640">
        <v>20</v>
      </c>
    </row>
    <row r="641" spans="1:13" x14ac:dyDescent="0.25">
      <c r="A641" t="s">
        <v>1388</v>
      </c>
      <c r="B641" t="s">
        <v>1386</v>
      </c>
      <c r="C641" t="s">
        <v>151</v>
      </c>
      <c r="D641" t="s">
        <v>1092</v>
      </c>
      <c r="F641">
        <v>1</v>
      </c>
      <c r="G641" t="s">
        <v>16</v>
      </c>
      <c r="H641">
        <v>0</v>
      </c>
      <c r="K641">
        <v>20</v>
      </c>
      <c r="L641">
        <v>20</v>
      </c>
      <c r="M641">
        <v>20</v>
      </c>
    </row>
    <row r="642" spans="1:13" x14ac:dyDescent="0.25">
      <c r="A642" t="s">
        <v>1389</v>
      </c>
      <c r="B642" t="s">
        <v>1390</v>
      </c>
      <c r="C642" t="s">
        <v>151</v>
      </c>
      <c r="D642" t="s">
        <v>1092</v>
      </c>
      <c r="F642">
        <v>1</v>
      </c>
      <c r="G642" t="s">
        <v>16</v>
      </c>
      <c r="H642">
        <v>0</v>
      </c>
      <c r="I642" s="2" t="s">
        <v>1145</v>
      </c>
      <c r="J642" s="2" t="s">
        <v>1391</v>
      </c>
      <c r="K642">
        <v>20</v>
      </c>
      <c r="L642">
        <v>20</v>
      </c>
      <c r="M642">
        <v>20</v>
      </c>
    </row>
    <row r="643" spans="1:13" x14ac:dyDescent="0.25">
      <c r="A643" t="s">
        <v>1392</v>
      </c>
      <c r="B643" t="s">
        <v>1393</v>
      </c>
      <c r="C643" t="s">
        <v>151</v>
      </c>
      <c r="D643" t="s">
        <v>1092</v>
      </c>
      <c r="F643">
        <v>1</v>
      </c>
      <c r="G643" t="s">
        <v>16</v>
      </c>
      <c r="H643">
        <v>0</v>
      </c>
      <c r="I643" s="2" t="s">
        <v>500</v>
      </c>
      <c r="J643" s="2" t="s">
        <v>1394</v>
      </c>
      <c r="K643">
        <v>20</v>
      </c>
      <c r="L643">
        <v>20</v>
      </c>
      <c r="M643">
        <v>20</v>
      </c>
    </row>
    <row r="644" spans="1:13" x14ac:dyDescent="0.25">
      <c r="A644" t="s">
        <v>1395</v>
      </c>
      <c r="B644" t="s">
        <v>1393</v>
      </c>
      <c r="C644" t="s">
        <v>151</v>
      </c>
      <c r="D644" t="s">
        <v>1092</v>
      </c>
      <c r="F644">
        <v>2</v>
      </c>
      <c r="G644" t="s">
        <v>16</v>
      </c>
      <c r="H644">
        <v>0</v>
      </c>
      <c r="I644" s="2" t="s">
        <v>1094</v>
      </c>
      <c r="J644" s="2" t="s">
        <v>1396</v>
      </c>
      <c r="K644">
        <v>20</v>
      </c>
      <c r="L644">
        <v>20</v>
      </c>
      <c r="M644">
        <v>20</v>
      </c>
    </row>
    <row r="645" spans="1:13" x14ac:dyDescent="0.25">
      <c r="A645" t="s">
        <v>1397</v>
      </c>
      <c r="B645" t="s">
        <v>1393</v>
      </c>
      <c r="C645" t="s">
        <v>151</v>
      </c>
      <c r="D645" t="s">
        <v>1092</v>
      </c>
      <c r="F645">
        <v>3</v>
      </c>
      <c r="G645" t="s">
        <v>16</v>
      </c>
      <c r="H645">
        <v>0</v>
      </c>
      <c r="K645">
        <v>20</v>
      </c>
      <c r="L645">
        <v>20</v>
      </c>
      <c r="M645">
        <v>20</v>
      </c>
    </row>
    <row r="646" spans="1:13" x14ac:dyDescent="0.25">
      <c r="A646" t="s">
        <v>1398</v>
      </c>
      <c r="B646" t="s">
        <v>1399</v>
      </c>
      <c r="C646" t="s">
        <v>151</v>
      </c>
      <c r="D646" t="s">
        <v>1092</v>
      </c>
      <c r="F646">
        <v>1</v>
      </c>
      <c r="G646" t="s">
        <v>16</v>
      </c>
      <c r="H646">
        <v>0</v>
      </c>
      <c r="I646" s="2" t="s">
        <v>64</v>
      </c>
      <c r="J646" s="2">
        <v>21031118</v>
      </c>
      <c r="K646">
        <v>20</v>
      </c>
      <c r="L646">
        <v>20</v>
      </c>
      <c r="M646">
        <v>20</v>
      </c>
    </row>
    <row r="647" spans="1:13" x14ac:dyDescent="0.25">
      <c r="A647" t="s">
        <v>1400</v>
      </c>
      <c r="B647" t="s">
        <v>1401</v>
      </c>
      <c r="C647" t="s">
        <v>151</v>
      </c>
      <c r="D647" t="s">
        <v>1092</v>
      </c>
      <c r="F647">
        <v>0</v>
      </c>
      <c r="G647" t="s">
        <v>16</v>
      </c>
      <c r="H647">
        <v>0</v>
      </c>
      <c r="I647" s="2" t="s">
        <v>1137</v>
      </c>
      <c r="J647" s="2" t="s">
        <v>1402</v>
      </c>
      <c r="K647">
        <v>20</v>
      </c>
      <c r="L647">
        <v>20</v>
      </c>
      <c r="M647">
        <v>20</v>
      </c>
    </row>
    <row r="648" spans="1:13" x14ac:dyDescent="0.25">
      <c r="A648" t="s">
        <v>1403</v>
      </c>
      <c r="B648" t="s">
        <v>1399</v>
      </c>
      <c r="C648" t="s">
        <v>151</v>
      </c>
      <c r="D648" t="s">
        <v>1092</v>
      </c>
      <c r="G648" t="s">
        <v>16</v>
      </c>
      <c r="H648">
        <v>0</v>
      </c>
      <c r="K648">
        <v>20</v>
      </c>
      <c r="L648">
        <v>20</v>
      </c>
      <c r="M648">
        <v>20</v>
      </c>
    </row>
    <row r="649" spans="1:13" x14ac:dyDescent="0.25">
      <c r="A649" t="s">
        <v>1404</v>
      </c>
      <c r="B649" t="s">
        <v>1405</v>
      </c>
      <c r="C649" t="s">
        <v>151</v>
      </c>
      <c r="D649" t="s">
        <v>1092</v>
      </c>
      <c r="F649">
        <v>1</v>
      </c>
      <c r="G649" t="s">
        <v>16</v>
      </c>
      <c r="H649">
        <v>0</v>
      </c>
      <c r="I649" s="2" t="s">
        <v>1137</v>
      </c>
      <c r="J649" s="2" t="s">
        <v>1406</v>
      </c>
      <c r="K649">
        <v>20</v>
      </c>
      <c r="L649">
        <v>20</v>
      </c>
      <c r="M649">
        <v>20</v>
      </c>
    </row>
    <row r="650" spans="1:13" x14ac:dyDescent="0.25">
      <c r="A650" t="s">
        <v>1407</v>
      </c>
      <c r="B650" t="s">
        <v>1408</v>
      </c>
      <c r="C650" t="s">
        <v>151</v>
      </c>
      <c r="D650" t="s">
        <v>1092</v>
      </c>
      <c r="G650" t="s">
        <v>16</v>
      </c>
      <c r="H650">
        <v>0</v>
      </c>
      <c r="K650">
        <v>20</v>
      </c>
      <c r="L650">
        <v>20</v>
      </c>
      <c r="M650">
        <v>20</v>
      </c>
    </row>
    <row r="651" spans="1:13" x14ac:dyDescent="0.25">
      <c r="A651">
        <v>1226201</v>
      </c>
      <c r="B651" t="s">
        <v>1409</v>
      </c>
      <c r="C651" t="s">
        <v>151</v>
      </c>
      <c r="D651" t="s">
        <v>1092</v>
      </c>
      <c r="F651">
        <v>1</v>
      </c>
      <c r="G651" t="s">
        <v>16</v>
      </c>
      <c r="H651">
        <v>0</v>
      </c>
      <c r="I651" s="2" t="s">
        <v>497</v>
      </c>
      <c r="J651" s="2">
        <v>9196416</v>
      </c>
      <c r="K651">
        <v>20</v>
      </c>
      <c r="L651">
        <v>20</v>
      </c>
      <c r="M651">
        <v>20</v>
      </c>
    </row>
    <row r="652" spans="1:13" x14ac:dyDescent="0.25">
      <c r="A652" t="s">
        <v>1410</v>
      </c>
      <c r="B652" t="s">
        <v>1411</v>
      </c>
      <c r="C652" t="s">
        <v>540</v>
      </c>
      <c r="F652">
        <v>2</v>
      </c>
      <c r="G652" t="s">
        <v>16</v>
      </c>
      <c r="H652">
        <v>0</v>
      </c>
      <c r="I652" s="2" t="s">
        <v>1175</v>
      </c>
      <c r="J652" s="2" t="s">
        <v>1412</v>
      </c>
      <c r="K652">
        <v>20</v>
      </c>
      <c r="L652">
        <v>20</v>
      </c>
      <c r="M652">
        <v>20</v>
      </c>
    </row>
    <row r="653" spans="1:13" x14ac:dyDescent="0.25">
      <c r="A653" t="s">
        <v>1413</v>
      </c>
      <c r="B653" t="s">
        <v>1414</v>
      </c>
      <c r="C653" t="s">
        <v>540</v>
      </c>
      <c r="F653">
        <v>2</v>
      </c>
      <c r="G653" t="s">
        <v>16</v>
      </c>
      <c r="H653">
        <v>0</v>
      </c>
      <c r="I653" s="2" t="s">
        <v>1175</v>
      </c>
      <c r="J653" s="2" t="s">
        <v>1415</v>
      </c>
      <c r="K653">
        <v>20</v>
      </c>
      <c r="L653">
        <v>20</v>
      </c>
      <c r="M653">
        <v>20</v>
      </c>
    </row>
    <row r="654" spans="1:13" x14ac:dyDescent="0.25">
      <c r="A654" t="s">
        <v>1416</v>
      </c>
      <c r="B654" t="s">
        <v>1417</v>
      </c>
      <c r="C654" t="s">
        <v>540</v>
      </c>
      <c r="G654" t="s">
        <v>16</v>
      </c>
      <c r="H654">
        <v>0</v>
      </c>
      <c r="I654" s="2" t="s">
        <v>737</v>
      </c>
      <c r="J654" s="2" t="s">
        <v>1418</v>
      </c>
      <c r="K654">
        <v>20</v>
      </c>
      <c r="L654">
        <v>20</v>
      </c>
      <c r="M654">
        <v>20</v>
      </c>
    </row>
    <row r="655" spans="1:13" x14ac:dyDescent="0.25">
      <c r="A655" t="s">
        <v>1419</v>
      </c>
      <c r="B655" t="s">
        <v>1421</v>
      </c>
      <c r="C655" t="s">
        <v>540</v>
      </c>
      <c r="F655">
        <v>1</v>
      </c>
      <c r="G655" t="s">
        <v>16</v>
      </c>
      <c r="H655">
        <v>0</v>
      </c>
      <c r="I655" s="2" t="s">
        <v>288</v>
      </c>
      <c r="J655" s="2" t="s">
        <v>1420</v>
      </c>
      <c r="K655">
        <v>20</v>
      </c>
      <c r="L655">
        <v>20</v>
      </c>
      <c r="M655">
        <v>20</v>
      </c>
    </row>
    <row r="656" spans="1:13" x14ac:dyDescent="0.25">
      <c r="A656" t="s">
        <v>1422</v>
      </c>
      <c r="B656" t="s">
        <v>1421</v>
      </c>
      <c r="C656" t="s">
        <v>540</v>
      </c>
      <c r="F656">
        <v>4</v>
      </c>
      <c r="G656" t="s">
        <v>16</v>
      </c>
      <c r="H656">
        <v>0</v>
      </c>
      <c r="I656" s="2" t="s">
        <v>64</v>
      </c>
      <c r="J656" s="2">
        <v>21030257</v>
      </c>
      <c r="K656">
        <v>20</v>
      </c>
      <c r="L656">
        <v>20</v>
      </c>
      <c r="M656">
        <v>20</v>
      </c>
    </row>
    <row r="657" spans="1:13" x14ac:dyDescent="0.25">
      <c r="A657" t="s">
        <v>1423</v>
      </c>
      <c r="B657" t="s">
        <v>1425</v>
      </c>
      <c r="C657" t="s">
        <v>1426</v>
      </c>
      <c r="F657">
        <v>3</v>
      </c>
      <c r="G657" t="s">
        <v>16</v>
      </c>
      <c r="H657">
        <v>0</v>
      </c>
      <c r="I657" s="2" t="s">
        <v>765</v>
      </c>
      <c r="J657" s="2" t="s">
        <v>1424</v>
      </c>
      <c r="K657">
        <v>20</v>
      </c>
      <c r="L657">
        <v>20</v>
      </c>
      <c r="M657">
        <v>20</v>
      </c>
    </row>
    <row r="658" spans="1:13" x14ac:dyDescent="0.25">
      <c r="A658" t="s">
        <v>1427</v>
      </c>
      <c r="B658" t="s">
        <v>1425</v>
      </c>
      <c r="C658" t="s">
        <v>540</v>
      </c>
      <c r="F658">
        <v>2</v>
      </c>
      <c r="G658" t="s">
        <v>16</v>
      </c>
      <c r="H658">
        <v>0</v>
      </c>
      <c r="I658" s="2" t="s">
        <v>64</v>
      </c>
      <c r="J658" s="2">
        <v>21030258</v>
      </c>
      <c r="K658">
        <v>20</v>
      </c>
      <c r="L658">
        <v>20</v>
      </c>
      <c r="M658">
        <v>20</v>
      </c>
    </row>
    <row r="659" spans="1:13" x14ac:dyDescent="0.25">
      <c r="A659" t="s">
        <v>1428</v>
      </c>
      <c r="B659" t="s">
        <v>1429</v>
      </c>
      <c r="C659" t="s">
        <v>151</v>
      </c>
      <c r="D659" t="s">
        <v>1381</v>
      </c>
      <c r="F659">
        <v>1</v>
      </c>
      <c r="G659" t="s">
        <v>16</v>
      </c>
      <c r="H659">
        <v>0</v>
      </c>
      <c r="I659" s="2" t="s">
        <v>64</v>
      </c>
      <c r="J659" s="2" t="str">
        <f>"05090058"</f>
        <v>05090058</v>
      </c>
      <c r="K659">
        <v>20</v>
      </c>
      <c r="L659">
        <v>20</v>
      </c>
      <c r="M659">
        <v>20</v>
      </c>
    </row>
    <row r="660" spans="1:13" x14ac:dyDescent="0.25">
      <c r="A660" t="s">
        <v>1430</v>
      </c>
      <c r="B660" t="s">
        <v>1431</v>
      </c>
      <c r="C660" t="s">
        <v>1432</v>
      </c>
      <c r="F660">
        <v>1</v>
      </c>
      <c r="G660" t="s">
        <v>16</v>
      </c>
      <c r="H660">
        <v>0</v>
      </c>
      <c r="I660" s="2" t="s">
        <v>1433</v>
      </c>
      <c r="J660" s="2">
        <v>587913</v>
      </c>
      <c r="K660">
        <v>20</v>
      </c>
      <c r="L660">
        <v>20</v>
      </c>
      <c r="M660">
        <v>20</v>
      </c>
    </row>
    <row r="661" spans="1:13" x14ac:dyDescent="0.25">
      <c r="A661" t="s">
        <v>1434</v>
      </c>
      <c r="B661" t="s">
        <v>1435</v>
      </c>
      <c r="C661" t="s">
        <v>1436</v>
      </c>
      <c r="D661" t="s">
        <v>1437</v>
      </c>
      <c r="F661">
        <v>0</v>
      </c>
      <c r="G661" t="s">
        <v>16</v>
      </c>
      <c r="H661">
        <v>0</v>
      </c>
      <c r="I661" s="2" t="s">
        <v>685</v>
      </c>
      <c r="J661" s="2" t="str">
        <f>"0580200369"</f>
        <v>0580200369</v>
      </c>
      <c r="K661">
        <v>20</v>
      </c>
      <c r="L661">
        <v>20</v>
      </c>
      <c r="M661">
        <v>20</v>
      </c>
    </row>
    <row r="662" spans="1:13" x14ac:dyDescent="0.25">
      <c r="A662" t="s">
        <v>1438</v>
      </c>
      <c r="B662" t="s">
        <v>1439</v>
      </c>
      <c r="C662" t="s">
        <v>151</v>
      </c>
      <c r="D662" t="s">
        <v>1092</v>
      </c>
      <c r="F662">
        <v>0</v>
      </c>
      <c r="G662" t="s">
        <v>16</v>
      </c>
      <c r="H662">
        <v>0</v>
      </c>
      <c r="I662" s="2" t="s">
        <v>937</v>
      </c>
      <c r="J662" s="2" t="s">
        <v>1440</v>
      </c>
      <c r="K662">
        <v>20</v>
      </c>
      <c r="L662">
        <v>20</v>
      </c>
      <c r="M662">
        <v>20</v>
      </c>
    </row>
    <row r="663" spans="1:13" x14ac:dyDescent="0.25">
      <c r="A663" t="s">
        <v>1441</v>
      </c>
      <c r="B663" t="s">
        <v>1442</v>
      </c>
      <c r="C663" t="s">
        <v>151</v>
      </c>
      <c r="F663">
        <v>1</v>
      </c>
      <c r="G663" t="s">
        <v>16</v>
      </c>
      <c r="H663">
        <v>0</v>
      </c>
      <c r="I663" s="2" t="s">
        <v>685</v>
      </c>
      <c r="J663" s="2" t="str">
        <f>"0286006076"</f>
        <v>0286006076</v>
      </c>
      <c r="K663">
        <v>20</v>
      </c>
      <c r="L663">
        <v>20</v>
      </c>
      <c r="M663">
        <v>20</v>
      </c>
    </row>
    <row r="664" spans="1:13" x14ac:dyDescent="0.25">
      <c r="A664">
        <v>1235052</v>
      </c>
      <c r="B664" t="s">
        <v>1443</v>
      </c>
      <c r="C664" t="s">
        <v>151</v>
      </c>
      <c r="D664" t="s">
        <v>706</v>
      </c>
      <c r="G664" t="s">
        <v>16</v>
      </c>
      <c r="H664">
        <v>0</v>
      </c>
      <c r="I664" s="2" t="s">
        <v>1444</v>
      </c>
      <c r="J664" s="2">
        <v>55575097</v>
      </c>
      <c r="K664">
        <v>20</v>
      </c>
      <c r="L664">
        <v>20</v>
      </c>
      <c r="M664">
        <v>20</v>
      </c>
    </row>
    <row r="665" spans="1:13" x14ac:dyDescent="0.25">
      <c r="A665" t="s">
        <v>1445</v>
      </c>
      <c r="B665" t="s">
        <v>1446</v>
      </c>
      <c r="C665" t="s">
        <v>20</v>
      </c>
      <c r="D665" t="s">
        <v>26</v>
      </c>
      <c r="F665">
        <v>2</v>
      </c>
      <c r="G665" t="s">
        <v>16</v>
      </c>
      <c r="H665">
        <v>0</v>
      </c>
      <c r="I665" s="2" t="s">
        <v>97</v>
      </c>
      <c r="J665" s="3">
        <v>689350</v>
      </c>
      <c r="K665">
        <v>20</v>
      </c>
      <c r="L665">
        <v>20</v>
      </c>
      <c r="M665">
        <v>20</v>
      </c>
    </row>
    <row r="666" spans="1:13" x14ac:dyDescent="0.25">
      <c r="A666" t="s">
        <v>1447</v>
      </c>
      <c r="B666" t="s">
        <v>1448</v>
      </c>
      <c r="C666" t="s">
        <v>151</v>
      </c>
      <c r="F666">
        <v>2</v>
      </c>
      <c r="G666" t="s">
        <v>16</v>
      </c>
      <c r="H666">
        <v>0</v>
      </c>
      <c r="I666" s="2" t="s">
        <v>988</v>
      </c>
      <c r="J666" s="2" t="s">
        <v>1449</v>
      </c>
      <c r="K666">
        <v>20</v>
      </c>
      <c r="L666">
        <v>20</v>
      </c>
      <c r="M666">
        <v>20</v>
      </c>
    </row>
    <row r="667" spans="1:13" x14ac:dyDescent="0.25">
      <c r="A667">
        <v>1235299</v>
      </c>
      <c r="B667" t="s">
        <v>1450</v>
      </c>
      <c r="C667" t="s">
        <v>151</v>
      </c>
      <c r="G667" t="s">
        <v>16</v>
      </c>
      <c r="H667">
        <v>0</v>
      </c>
      <c r="I667" s="2" t="s">
        <v>1444</v>
      </c>
      <c r="J667" s="2">
        <v>55567050</v>
      </c>
      <c r="K667">
        <v>20</v>
      </c>
      <c r="L667">
        <v>20</v>
      </c>
      <c r="M667">
        <v>20</v>
      </c>
    </row>
    <row r="668" spans="1:13" x14ac:dyDescent="0.25">
      <c r="A668" t="s">
        <v>1451</v>
      </c>
      <c r="B668" t="s">
        <v>1450</v>
      </c>
      <c r="C668" t="s">
        <v>20</v>
      </c>
      <c r="D668" t="s">
        <v>161</v>
      </c>
      <c r="F668">
        <v>2</v>
      </c>
      <c r="G668" t="s">
        <v>16</v>
      </c>
      <c r="H668">
        <v>0</v>
      </c>
      <c r="I668" s="2" t="s">
        <v>1452</v>
      </c>
      <c r="J668" s="2">
        <v>55567050</v>
      </c>
      <c r="K668">
        <v>20</v>
      </c>
      <c r="L668">
        <v>20</v>
      </c>
      <c r="M668">
        <v>20</v>
      </c>
    </row>
    <row r="669" spans="1:13" x14ac:dyDescent="0.25">
      <c r="A669" t="s">
        <v>1453</v>
      </c>
      <c r="B669" t="s">
        <v>1450</v>
      </c>
      <c r="C669" t="s">
        <v>20</v>
      </c>
      <c r="D669" t="s">
        <v>161</v>
      </c>
      <c r="G669" t="s">
        <v>16</v>
      </c>
      <c r="H669">
        <v>0</v>
      </c>
      <c r="I669" s="2" t="s">
        <v>486</v>
      </c>
      <c r="J669" s="2">
        <v>40946085</v>
      </c>
      <c r="K669">
        <v>20</v>
      </c>
      <c r="L669">
        <v>20</v>
      </c>
      <c r="M669">
        <v>20</v>
      </c>
    </row>
    <row r="670" spans="1:13" x14ac:dyDescent="0.25">
      <c r="A670" t="s">
        <v>1454</v>
      </c>
      <c r="B670" t="s">
        <v>1455</v>
      </c>
      <c r="C670" t="s">
        <v>151</v>
      </c>
      <c r="G670" t="s">
        <v>16</v>
      </c>
      <c r="H670">
        <v>0</v>
      </c>
      <c r="K670">
        <v>20</v>
      </c>
      <c r="L670">
        <v>20</v>
      </c>
      <c r="M670">
        <v>20</v>
      </c>
    </row>
    <row r="671" spans="1:13" x14ac:dyDescent="0.25">
      <c r="A671" t="s">
        <v>1456</v>
      </c>
      <c r="B671" t="s">
        <v>1457</v>
      </c>
      <c r="C671" t="s">
        <v>151</v>
      </c>
      <c r="F671">
        <v>6</v>
      </c>
      <c r="G671" t="s">
        <v>16</v>
      </c>
      <c r="H671">
        <v>0</v>
      </c>
      <c r="I671" s="2" t="s">
        <v>759</v>
      </c>
      <c r="J671" s="2" t="s">
        <v>1458</v>
      </c>
      <c r="K671">
        <v>20</v>
      </c>
      <c r="L671">
        <v>20</v>
      </c>
      <c r="M671">
        <v>20</v>
      </c>
    </row>
    <row r="672" spans="1:13" x14ac:dyDescent="0.25">
      <c r="A672" t="s">
        <v>1459</v>
      </c>
      <c r="B672" t="s">
        <v>1457</v>
      </c>
      <c r="C672" t="s">
        <v>151</v>
      </c>
      <c r="G672" t="s">
        <v>16</v>
      </c>
      <c r="H672">
        <v>0</v>
      </c>
      <c r="I672" s="2" t="s">
        <v>953</v>
      </c>
      <c r="J672" s="2">
        <v>33501</v>
      </c>
      <c r="K672">
        <v>20</v>
      </c>
      <c r="L672">
        <v>20</v>
      </c>
      <c r="M672">
        <v>20</v>
      </c>
    </row>
    <row r="673" spans="1:13" x14ac:dyDescent="0.25">
      <c r="A673" t="s">
        <v>1460</v>
      </c>
      <c r="B673" t="s">
        <v>1457</v>
      </c>
      <c r="C673" t="s">
        <v>151</v>
      </c>
      <c r="G673" t="s">
        <v>16</v>
      </c>
      <c r="H673">
        <v>0</v>
      </c>
      <c r="I673" s="2" t="s">
        <v>988</v>
      </c>
      <c r="J673" s="2" t="s">
        <v>1461</v>
      </c>
      <c r="K673">
        <v>20</v>
      </c>
      <c r="L673">
        <v>20</v>
      </c>
      <c r="M673">
        <v>20</v>
      </c>
    </row>
    <row r="674" spans="1:13" x14ac:dyDescent="0.25">
      <c r="A674" t="s">
        <v>1462</v>
      </c>
      <c r="B674" t="s">
        <v>1457</v>
      </c>
      <c r="C674" t="s">
        <v>151</v>
      </c>
      <c r="G674" t="s">
        <v>16</v>
      </c>
      <c r="H674">
        <v>0</v>
      </c>
      <c r="I674" s="2" t="s">
        <v>1463</v>
      </c>
      <c r="J674" s="2">
        <v>50212</v>
      </c>
      <c r="K674">
        <v>20</v>
      </c>
      <c r="L674">
        <v>20</v>
      </c>
      <c r="M674">
        <v>20</v>
      </c>
    </row>
    <row r="675" spans="1:13" x14ac:dyDescent="0.25">
      <c r="A675" t="s">
        <v>1464</v>
      </c>
      <c r="B675" t="s">
        <v>1465</v>
      </c>
      <c r="C675" t="s">
        <v>151</v>
      </c>
      <c r="D675" t="s">
        <v>152</v>
      </c>
      <c r="F675">
        <v>2</v>
      </c>
      <c r="G675" t="s">
        <v>16</v>
      </c>
      <c r="H675">
        <v>0</v>
      </c>
      <c r="I675" s="2" t="s">
        <v>988</v>
      </c>
      <c r="J675" s="2" t="s">
        <v>1466</v>
      </c>
      <c r="K675">
        <v>20</v>
      </c>
      <c r="L675">
        <v>20</v>
      </c>
      <c r="M675">
        <v>20</v>
      </c>
    </row>
    <row r="676" spans="1:13" x14ac:dyDescent="0.25">
      <c r="A676" t="s">
        <v>1467</v>
      </c>
      <c r="B676" t="s">
        <v>1468</v>
      </c>
      <c r="C676" t="s">
        <v>151</v>
      </c>
      <c r="G676" t="s">
        <v>16</v>
      </c>
      <c r="H676">
        <v>0</v>
      </c>
      <c r="I676" s="2" t="s">
        <v>941</v>
      </c>
      <c r="J676" s="2" t="s">
        <v>1469</v>
      </c>
      <c r="K676">
        <v>20</v>
      </c>
      <c r="L676">
        <v>20</v>
      </c>
      <c r="M676">
        <v>20</v>
      </c>
    </row>
    <row r="677" spans="1:13" x14ac:dyDescent="0.25">
      <c r="A677" t="s">
        <v>1470</v>
      </c>
      <c r="B677" t="s">
        <v>1468</v>
      </c>
      <c r="C677" t="s">
        <v>151</v>
      </c>
      <c r="G677" t="s">
        <v>16</v>
      </c>
      <c r="H677">
        <v>0</v>
      </c>
      <c r="I677" s="2" t="s">
        <v>953</v>
      </c>
      <c r="J677" s="2">
        <v>79308</v>
      </c>
      <c r="K677">
        <v>20</v>
      </c>
      <c r="L677">
        <v>20</v>
      </c>
      <c r="M677">
        <v>20</v>
      </c>
    </row>
    <row r="678" spans="1:13" x14ac:dyDescent="0.25">
      <c r="A678" t="s">
        <v>1471</v>
      </c>
      <c r="B678" t="s">
        <v>1468</v>
      </c>
      <c r="C678" t="s">
        <v>151</v>
      </c>
      <c r="G678" t="s">
        <v>16</v>
      </c>
      <c r="H678">
        <v>0</v>
      </c>
      <c r="I678" s="2" t="s">
        <v>842</v>
      </c>
      <c r="J678" s="2">
        <v>366132</v>
      </c>
      <c r="K678">
        <v>20</v>
      </c>
      <c r="L678">
        <v>20</v>
      </c>
      <c r="M678">
        <v>20</v>
      </c>
    </row>
    <row r="679" spans="1:13" x14ac:dyDescent="0.25">
      <c r="A679" t="s">
        <v>1472</v>
      </c>
      <c r="B679" t="s">
        <v>1473</v>
      </c>
      <c r="C679" t="s">
        <v>540</v>
      </c>
      <c r="G679" t="s">
        <v>16</v>
      </c>
      <c r="H679">
        <v>0</v>
      </c>
      <c r="I679" s="2" t="s">
        <v>511</v>
      </c>
      <c r="J679" s="2">
        <v>220638</v>
      </c>
      <c r="K679">
        <v>20</v>
      </c>
      <c r="L679">
        <v>20</v>
      </c>
      <c r="M679">
        <v>20</v>
      </c>
    </row>
    <row r="680" spans="1:13" x14ac:dyDescent="0.25">
      <c r="A680" t="s">
        <v>1474</v>
      </c>
      <c r="B680" t="s">
        <v>1475</v>
      </c>
      <c r="C680" t="s">
        <v>151</v>
      </c>
      <c r="D680" t="s">
        <v>1476</v>
      </c>
      <c r="F680">
        <v>1</v>
      </c>
      <c r="G680" t="s">
        <v>16</v>
      </c>
      <c r="H680">
        <v>0</v>
      </c>
      <c r="I680" s="2" t="s">
        <v>1477</v>
      </c>
      <c r="J680" s="2">
        <v>79396</v>
      </c>
      <c r="K680">
        <v>20</v>
      </c>
      <c r="L680">
        <v>20</v>
      </c>
      <c r="M680">
        <v>20</v>
      </c>
    </row>
    <row r="681" spans="1:13" x14ac:dyDescent="0.25">
      <c r="A681" t="s">
        <v>1478</v>
      </c>
      <c r="B681" t="s">
        <v>1479</v>
      </c>
      <c r="C681" t="s">
        <v>151</v>
      </c>
      <c r="F681">
        <v>1</v>
      </c>
      <c r="G681" t="s">
        <v>16</v>
      </c>
      <c r="H681">
        <v>0</v>
      </c>
      <c r="I681" s="2" t="s">
        <v>707</v>
      </c>
      <c r="J681" s="2" t="s">
        <v>1480</v>
      </c>
      <c r="K681">
        <v>20</v>
      </c>
      <c r="L681">
        <v>20</v>
      </c>
      <c r="M681">
        <v>20</v>
      </c>
    </row>
    <row r="682" spans="1:13" x14ac:dyDescent="0.25">
      <c r="A682" t="s">
        <v>1481</v>
      </c>
      <c r="B682" t="s">
        <v>1479</v>
      </c>
      <c r="C682" t="s">
        <v>151</v>
      </c>
      <c r="G682" t="s">
        <v>16</v>
      </c>
      <c r="H682">
        <v>0</v>
      </c>
      <c r="I682" s="2" t="s">
        <v>953</v>
      </c>
      <c r="J682" s="2">
        <v>33225</v>
      </c>
      <c r="K682">
        <v>20</v>
      </c>
      <c r="L682">
        <v>20</v>
      </c>
      <c r="M682">
        <v>20</v>
      </c>
    </row>
    <row r="683" spans="1:13" x14ac:dyDescent="0.25">
      <c r="A683" t="s">
        <v>1482</v>
      </c>
      <c r="B683" t="s">
        <v>1483</v>
      </c>
      <c r="C683" t="s">
        <v>151</v>
      </c>
      <c r="G683" t="s">
        <v>16</v>
      </c>
      <c r="H683">
        <v>0</v>
      </c>
      <c r="I683" s="2" t="s">
        <v>165</v>
      </c>
      <c r="J683" s="2">
        <v>206225</v>
      </c>
      <c r="K683">
        <v>20</v>
      </c>
      <c r="L683">
        <v>20</v>
      </c>
      <c r="M683">
        <v>20</v>
      </c>
    </row>
    <row r="684" spans="1:13" x14ac:dyDescent="0.25">
      <c r="A684">
        <v>1238228</v>
      </c>
      <c r="B684" t="s">
        <v>1484</v>
      </c>
      <c r="C684" t="s">
        <v>151</v>
      </c>
      <c r="D684" t="s">
        <v>1476</v>
      </c>
      <c r="F684">
        <v>1</v>
      </c>
      <c r="G684" t="s">
        <v>16</v>
      </c>
      <c r="H684">
        <v>0</v>
      </c>
      <c r="I684" s="2" t="s">
        <v>497</v>
      </c>
      <c r="J684" s="2">
        <v>9174621</v>
      </c>
      <c r="K684">
        <v>20</v>
      </c>
      <c r="L684">
        <v>20</v>
      </c>
      <c r="M684">
        <v>20</v>
      </c>
    </row>
    <row r="685" spans="1:13" x14ac:dyDescent="0.25">
      <c r="A685" t="s">
        <v>1485</v>
      </c>
      <c r="B685" t="s">
        <v>1484</v>
      </c>
      <c r="C685" t="s">
        <v>151</v>
      </c>
      <c r="D685" t="s">
        <v>1476</v>
      </c>
      <c r="G685" t="s">
        <v>16</v>
      </c>
      <c r="H685">
        <v>0</v>
      </c>
      <c r="I685" s="2" t="s">
        <v>707</v>
      </c>
      <c r="J685" s="2" t="s">
        <v>1486</v>
      </c>
      <c r="K685">
        <v>20</v>
      </c>
      <c r="L685">
        <v>20</v>
      </c>
      <c r="M685">
        <v>20</v>
      </c>
    </row>
    <row r="686" spans="1:13" x14ac:dyDescent="0.25">
      <c r="A686" t="s">
        <v>1487</v>
      </c>
      <c r="B686" t="s">
        <v>1484</v>
      </c>
      <c r="C686" t="s">
        <v>151</v>
      </c>
      <c r="D686" t="s">
        <v>1476</v>
      </c>
      <c r="G686" t="s">
        <v>16</v>
      </c>
      <c r="H686">
        <v>0</v>
      </c>
      <c r="I686" s="2" t="s">
        <v>1488</v>
      </c>
      <c r="J686" s="3">
        <v>90314</v>
      </c>
      <c r="K686">
        <v>20</v>
      </c>
      <c r="L686">
        <v>20</v>
      </c>
      <c r="M686">
        <v>20</v>
      </c>
    </row>
    <row r="687" spans="1:13" x14ac:dyDescent="0.25">
      <c r="A687" t="s">
        <v>1489</v>
      </c>
      <c r="B687" t="s">
        <v>1484</v>
      </c>
      <c r="C687" t="s">
        <v>151</v>
      </c>
      <c r="D687" t="s">
        <v>1476</v>
      </c>
      <c r="F687">
        <v>3</v>
      </c>
      <c r="G687" t="s">
        <v>16</v>
      </c>
      <c r="H687">
        <v>0</v>
      </c>
      <c r="I687" s="2" t="s">
        <v>1477</v>
      </c>
      <c r="J687" s="2">
        <v>79113</v>
      </c>
      <c r="K687">
        <v>20</v>
      </c>
      <c r="L687">
        <v>20</v>
      </c>
      <c r="M687">
        <v>20</v>
      </c>
    </row>
    <row r="688" spans="1:13" x14ac:dyDescent="0.25">
      <c r="A688" t="s">
        <v>1490</v>
      </c>
      <c r="B688" t="s">
        <v>1492</v>
      </c>
      <c r="C688" t="s">
        <v>151</v>
      </c>
      <c r="D688" t="s">
        <v>1381</v>
      </c>
      <c r="F688">
        <v>1</v>
      </c>
      <c r="G688" t="s">
        <v>16</v>
      </c>
      <c r="H688">
        <v>0</v>
      </c>
      <c r="I688" s="2" t="s">
        <v>288</v>
      </c>
      <c r="J688" s="2" t="s">
        <v>1491</v>
      </c>
      <c r="K688">
        <v>20</v>
      </c>
      <c r="L688">
        <v>20</v>
      </c>
      <c r="M688">
        <v>20</v>
      </c>
    </row>
    <row r="689" spans="1:13" x14ac:dyDescent="0.25">
      <c r="A689" t="s">
        <v>1493</v>
      </c>
      <c r="B689" t="s">
        <v>1492</v>
      </c>
      <c r="C689" t="s">
        <v>151</v>
      </c>
      <c r="D689" t="s">
        <v>1381</v>
      </c>
      <c r="F689">
        <v>1</v>
      </c>
      <c r="G689" t="s">
        <v>16</v>
      </c>
      <c r="H689">
        <v>0</v>
      </c>
      <c r="I689" s="2" t="s">
        <v>707</v>
      </c>
      <c r="J689" s="2" t="s">
        <v>1494</v>
      </c>
      <c r="K689">
        <v>20</v>
      </c>
      <c r="L689">
        <v>20</v>
      </c>
      <c r="M689">
        <v>20</v>
      </c>
    </row>
    <row r="690" spans="1:13" x14ac:dyDescent="0.25">
      <c r="A690" t="s">
        <v>1495</v>
      </c>
      <c r="B690" t="s">
        <v>1492</v>
      </c>
      <c r="C690" t="s">
        <v>151</v>
      </c>
      <c r="D690" t="s">
        <v>1381</v>
      </c>
      <c r="F690">
        <v>1</v>
      </c>
      <c r="G690" t="s">
        <v>16</v>
      </c>
      <c r="H690">
        <v>0</v>
      </c>
      <c r="I690" s="2" t="s">
        <v>953</v>
      </c>
      <c r="J690" s="2">
        <v>78077</v>
      </c>
      <c r="K690">
        <v>20</v>
      </c>
      <c r="L690">
        <v>20</v>
      </c>
      <c r="M690">
        <v>20</v>
      </c>
    </row>
    <row r="691" spans="1:13" x14ac:dyDescent="0.25">
      <c r="A691" t="s">
        <v>1496</v>
      </c>
      <c r="B691" t="s">
        <v>1492</v>
      </c>
      <c r="C691" t="s">
        <v>151</v>
      </c>
      <c r="D691" t="s">
        <v>1381</v>
      </c>
      <c r="G691" t="s">
        <v>16</v>
      </c>
      <c r="H691">
        <v>0</v>
      </c>
      <c r="I691" s="2" t="s">
        <v>486</v>
      </c>
      <c r="J691" s="2">
        <v>40924615</v>
      </c>
      <c r="K691">
        <v>20</v>
      </c>
      <c r="L691">
        <v>20</v>
      </c>
      <c r="M691">
        <v>20</v>
      </c>
    </row>
    <row r="692" spans="1:13" x14ac:dyDescent="0.25">
      <c r="A692" t="s">
        <v>1497</v>
      </c>
      <c r="B692" t="s">
        <v>1498</v>
      </c>
      <c r="C692" t="s">
        <v>151</v>
      </c>
      <c r="F692">
        <v>1</v>
      </c>
      <c r="G692" t="s">
        <v>16</v>
      </c>
      <c r="H692">
        <v>0</v>
      </c>
      <c r="I692" s="2" t="s">
        <v>1488</v>
      </c>
      <c r="J692" s="3">
        <v>103082</v>
      </c>
      <c r="K692">
        <v>20</v>
      </c>
      <c r="L692">
        <v>20</v>
      </c>
      <c r="M692">
        <v>20</v>
      </c>
    </row>
    <row r="693" spans="1:13" x14ac:dyDescent="0.25">
      <c r="A693" t="s">
        <v>1499</v>
      </c>
      <c r="B693" t="s">
        <v>1500</v>
      </c>
      <c r="C693" t="s">
        <v>151</v>
      </c>
      <c r="G693" t="s">
        <v>16</v>
      </c>
      <c r="H693">
        <v>0</v>
      </c>
      <c r="I693" s="2" t="s">
        <v>953</v>
      </c>
      <c r="J693" s="2">
        <v>15100</v>
      </c>
      <c r="K693">
        <v>20</v>
      </c>
      <c r="L693">
        <v>20</v>
      </c>
      <c r="M693">
        <v>20</v>
      </c>
    </row>
    <row r="694" spans="1:13" x14ac:dyDescent="0.25">
      <c r="A694" t="s">
        <v>1501</v>
      </c>
      <c r="B694" t="s">
        <v>1503</v>
      </c>
      <c r="C694" t="s">
        <v>151</v>
      </c>
      <c r="D694" t="s">
        <v>1381</v>
      </c>
      <c r="F694">
        <v>4</v>
      </c>
      <c r="G694" t="s">
        <v>16</v>
      </c>
      <c r="H694">
        <v>0</v>
      </c>
      <c r="I694" s="2" t="s">
        <v>288</v>
      </c>
      <c r="J694" s="2" t="s">
        <v>1502</v>
      </c>
      <c r="K694">
        <v>20</v>
      </c>
      <c r="L694">
        <v>20</v>
      </c>
      <c r="M694">
        <v>20</v>
      </c>
    </row>
    <row r="695" spans="1:13" x14ac:dyDescent="0.25">
      <c r="A695" t="s">
        <v>1504</v>
      </c>
      <c r="B695" t="s">
        <v>1505</v>
      </c>
      <c r="C695" t="s">
        <v>151</v>
      </c>
      <c r="D695" t="s">
        <v>1381</v>
      </c>
      <c r="G695" t="s">
        <v>16</v>
      </c>
      <c r="H695">
        <v>0</v>
      </c>
      <c r="I695" s="2" t="s">
        <v>383</v>
      </c>
      <c r="J695" s="2" t="str">
        <f>"0265008089"</f>
        <v>0265008089</v>
      </c>
      <c r="K695">
        <v>20</v>
      </c>
      <c r="L695">
        <v>20</v>
      </c>
      <c r="M695">
        <v>20</v>
      </c>
    </row>
    <row r="696" spans="1:13" x14ac:dyDescent="0.25">
      <c r="A696" t="s">
        <v>1506</v>
      </c>
      <c r="B696" t="s">
        <v>1503</v>
      </c>
      <c r="C696" t="s">
        <v>151</v>
      </c>
      <c r="D696" t="s">
        <v>1381</v>
      </c>
      <c r="F696">
        <v>1</v>
      </c>
      <c r="G696" t="s">
        <v>16</v>
      </c>
      <c r="H696">
        <v>0</v>
      </c>
      <c r="I696" s="2" t="s">
        <v>707</v>
      </c>
      <c r="J696" s="2" t="s">
        <v>1507</v>
      </c>
      <c r="K696">
        <v>20</v>
      </c>
      <c r="L696">
        <v>20</v>
      </c>
      <c r="M696">
        <v>20</v>
      </c>
    </row>
    <row r="697" spans="1:13" x14ac:dyDescent="0.25">
      <c r="A697">
        <v>1238401</v>
      </c>
      <c r="B697" t="s">
        <v>1508</v>
      </c>
      <c r="C697" t="s">
        <v>151</v>
      </c>
      <c r="G697" t="s">
        <v>16</v>
      </c>
      <c r="H697">
        <v>0</v>
      </c>
      <c r="I697" s="2" t="s">
        <v>497</v>
      </c>
      <c r="J697" s="2">
        <v>90346055</v>
      </c>
      <c r="K697">
        <v>20</v>
      </c>
      <c r="L697">
        <v>20</v>
      </c>
      <c r="M697">
        <v>20</v>
      </c>
    </row>
    <row r="698" spans="1:13" x14ac:dyDescent="0.25">
      <c r="A698" t="s">
        <v>1509</v>
      </c>
      <c r="B698" t="s">
        <v>1510</v>
      </c>
      <c r="C698" t="s">
        <v>362</v>
      </c>
      <c r="D698" t="s">
        <v>1511</v>
      </c>
      <c r="G698" t="s">
        <v>16</v>
      </c>
      <c r="H698">
        <v>0</v>
      </c>
      <c r="I698" s="2" t="s">
        <v>685</v>
      </c>
      <c r="J698" s="2">
        <v>1987474587</v>
      </c>
      <c r="K698">
        <v>20</v>
      </c>
      <c r="L698">
        <v>20</v>
      </c>
      <c r="M698">
        <v>20</v>
      </c>
    </row>
    <row r="699" spans="1:13" x14ac:dyDescent="0.25">
      <c r="A699" t="s">
        <v>1512</v>
      </c>
      <c r="B699" t="s">
        <v>1510</v>
      </c>
      <c r="C699" t="s">
        <v>362</v>
      </c>
      <c r="D699" t="s">
        <v>1511</v>
      </c>
      <c r="G699" t="s">
        <v>16</v>
      </c>
      <c r="H699">
        <v>0</v>
      </c>
      <c r="I699" s="2" t="s">
        <v>1513</v>
      </c>
      <c r="J699" s="2">
        <v>40917489</v>
      </c>
      <c r="K699">
        <v>20</v>
      </c>
      <c r="L699">
        <v>20</v>
      </c>
      <c r="M699">
        <v>20</v>
      </c>
    </row>
    <row r="700" spans="1:13" x14ac:dyDescent="0.25">
      <c r="A700" t="s">
        <v>1514</v>
      </c>
      <c r="B700" t="s">
        <v>1515</v>
      </c>
      <c r="C700" t="s">
        <v>151</v>
      </c>
      <c r="G700" t="s">
        <v>16</v>
      </c>
      <c r="H700">
        <v>0</v>
      </c>
      <c r="K700">
        <v>20</v>
      </c>
      <c r="L700">
        <v>20</v>
      </c>
      <c r="M700">
        <v>20</v>
      </c>
    </row>
    <row r="701" spans="1:13" x14ac:dyDescent="0.25">
      <c r="A701">
        <v>1238719</v>
      </c>
      <c r="B701" t="s">
        <v>1516</v>
      </c>
      <c r="C701" t="s">
        <v>20</v>
      </c>
      <c r="D701" t="s">
        <v>26</v>
      </c>
      <c r="F701">
        <v>2</v>
      </c>
      <c r="G701" t="s">
        <v>16</v>
      </c>
      <c r="H701">
        <v>0</v>
      </c>
      <c r="I701" s="2" t="s">
        <v>497</v>
      </c>
      <c r="J701" s="2">
        <v>90542913</v>
      </c>
      <c r="K701">
        <v>20</v>
      </c>
      <c r="L701">
        <v>20</v>
      </c>
      <c r="M701">
        <v>20</v>
      </c>
    </row>
    <row r="702" spans="1:13" x14ac:dyDescent="0.25">
      <c r="A702" t="s">
        <v>1517</v>
      </c>
      <c r="B702" t="s">
        <v>1518</v>
      </c>
      <c r="C702" t="s">
        <v>151</v>
      </c>
      <c r="F702">
        <v>1</v>
      </c>
      <c r="G702" t="s">
        <v>16</v>
      </c>
      <c r="H702">
        <v>0</v>
      </c>
      <c r="I702" s="2" t="s">
        <v>685</v>
      </c>
      <c r="J702" s="2" t="str">
        <f>"0281006051"</f>
        <v>0281006051</v>
      </c>
      <c r="K702">
        <v>20</v>
      </c>
      <c r="L702">
        <v>20</v>
      </c>
      <c r="M702">
        <v>20</v>
      </c>
    </row>
    <row r="703" spans="1:13" x14ac:dyDescent="0.25">
      <c r="A703" t="s">
        <v>1519</v>
      </c>
      <c r="B703" t="s">
        <v>1520</v>
      </c>
      <c r="C703" t="s">
        <v>151</v>
      </c>
      <c r="D703" t="s">
        <v>1476</v>
      </c>
      <c r="F703">
        <v>1</v>
      </c>
      <c r="G703" t="s">
        <v>16</v>
      </c>
      <c r="H703">
        <v>0</v>
      </c>
      <c r="I703" s="2" t="s">
        <v>950</v>
      </c>
      <c r="J703" s="2">
        <v>60182</v>
      </c>
      <c r="K703">
        <v>20</v>
      </c>
      <c r="L703">
        <v>20</v>
      </c>
      <c r="M703">
        <v>20</v>
      </c>
    </row>
    <row r="704" spans="1:13" x14ac:dyDescent="0.25">
      <c r="A704" t="s">
        <v>1521</v>
      </c>
      <c r="B704" t="s">
        <v>1523</v>
      </c>
      <c r="C704" t="s">
        <v>151</v>
      </c>
      <c r="D704" t="s">
        <v>1524</v>
      </c>
      <c r="G704" t="s">
        <v>16</v>
      </c>
      <c r="H704">
        <v>0</v>
      </c>
      <c r="I704" s="2" t="s">
        <v>288</v>
      </c>
      <c r="J704" s="2" t="s">
        <v>1522</v>
      </c>
      <c r="K704">
        <v>20</v>
      </c>
      <c r="L704">
        <v>20</v>
      </c>
      <c r="M704">
        <v>20</v>
      </c>
    </row>
    <row r="705" spans="1:13" x14ac:dyDescent="0.25">
      <c r="A705" t="s">
        <v>1525</v>
      </c>
      <c r="B705" t="s">
        <v>1523</v>
      </c>
      <c r="C705" t="s">
        <v>151</v>
      </c>
      <c r="D705" t="s">
        <v>1524</v>
      </c>
      <c r="F705">
        <v>1</v>
      </c>
      <c r="G705" t="s">
        <v>16</v>
      </c>
      <c r="H705">
        <v>0</v>
      </c>
      <c r="I705" s="2" t="s">
        <v>1477</v>
      </c>
      <c r="J705" s="2">
        <v>79166</v>
      </c>
      <c r="K705">
        <v>20</v>
      </c>
      <c r="L705">
        <v>20</v>
      </c>
      <c r="M705">
        <v>20</v>
      </c>
    </row>
    <row r="706" spans="1:13" x14ac:dyDescent="0.25">
      <c r="A706" t="s">
        <v>1526</v>
      </c>
      <c r="B706" t="s">
        <v>1523</v>
      </c>
      <c r="C706" t="s">
        <v>151</v>
      </c>
      <c r="D706" t="s">
        <v>1524</v>
      </c>
      <c r="G706" t="s">
        <v>16</v>
      </c>
      <c r="H706">
        <v>0</v>
      </c>
      <c r="I706" s="2" t="s">
        <v>842</v>
      </c>
      <c r="J706" s="2">
        <v>253832</v>
      </c>
      <c r="K706">
        <v>20</v>
      </c>
      <c r="L706">
        <v>20</v>
      </c>
      <c r="M706">
        <v>20</v>
      </c>
    </row>
    <row r="707" spans="1:13" x14ac:dyDescent="0.25">
      <c r="A707" t="s">
        <v>1527</v>
      </c>
      <c r="B707" t="s">
        <v>1529</v>
      </c>
      <c r="C707" t="s">
        <v>151</v>
      </c>
      <c r="D707" t="s">
        <v>1381</v>
      </c>
      <c r="G707" t="s">
        <v>16</v>
      </c>
      <c r="H707">
        <v>0</v>
      </c>
      <c r="I707" s="2" t="s">
        <v>288</v>
      </c>
      <c r="J707" s="2" t="s">
        <v>1528</v>
      </c>
      <c r="K707">
        <v>20</v>
      </c>
      <c r="L707">
        <v>20</v>
      </c>
      <c r="M707">
        <v>20</v>
      </c>
    </row>
    <row r="708" spans="1:13" x14ac:dyDescent="0.25">
      <c r="A708" t="s">
        <v>1530</v>
      </c>
      <c r="B708" t="s">
        <v>1531</v>
      </c>
      <c r="C708" t="s">
        <v>151</v>
      </c>
      <c r="D708" t="s">
        <v>1524</v>
      </c>
      <c r="G708" t="s">
        <v>16</v>
      </c>
      <c r="H708">
        <v>0</v>
      </c>
      <c r="I708" s="2" t="s">
        <v>707</v>
      </c>
      <c r="J708" s="2" t="s">
        <v>1532</v>
      </c>
      <c r="K708">
        <v>20</v>
      </c>
      <c r="L708">
        <v>20</v>
      </c>
      <c r="M708">
        <v>20</v>
      </c>
    </row>
    <row r="709" spans="1:13" x14ac:dyDescent="0.25">
      <c r="A709" t="s">
        <v>1533</v>
      </c>
      <c r="B709" t="s">
        <v>1531</v>
      </c>
      <c r="C709" t="s">
        <v>151</v>
      </c>
      <c r="D709" t="s">
        <v>1524</v>
      </c>
      <c r="F709">
        <v>2</v>
      </c>
      <c r="G709" t="s">
        <v>16</v>
      </c>
      <c r="H709">
        <v>0</v>
      </c>
      <c r="I709" s="2" t="s">
        <v>953</v>
      </c>
      <c r="J709" s="2">
        <v>79121</v>
      </c>
      <c r="K709">
        <v>20</v>
      </c>
      <c r="L709">
        <v>20</v>
      </c>
      <c r="M709">
        <v>20</v>
      </c>
    </row>
    <row r="710" spans="1:13" x14ac:dyDescent="0.25">
      <c r="A710" t="s">
        <v>1534</v>
      </c>
      <c r="B710" t="s">
        <v>1535</v>
      </c>
      <c r="C710" t="s">
        <v>151</v>
      </c>
      <c r="F710">
        <v>2</v>
      </c>
      <c r="G710" t="s">
        <v>16</v>
      </c>
      <c r="H710">
        <v>0</v>
      </c>
      <c r="I710" s="2" t="s">
        <v>707</v>
      </c>
      <c r="J710" s="2" t="s">
        <v>1536</v>
      </c>
      <c r="K710">
        <v>20</v>
      </c>
      <c r="L710">
        <v>20</v>
      </c>
      <c r="M710">
        <v>20</v>
      </c>
    </row>
    <row r="711" spans="1:13" x14ac:dyDescent="0.25">
      <c r="A711" t="s">
        <v>1537</v>
      </c>
      <c r="B711" t="s">
        <v>1535</v>
      </c>
      <c r="C711" t="s">
        <v>151</v>
      </c>
      <c r="D711" t="s">
        <v>1476</v>
      </c>
      <c r="F711">
        <v>1</v>
      </c>
      <c r="G711" t="s">
        <v>16</v>
      </c>
      <c r="H711">
        <v>0</v>
      </c>
      <c r="I711" s="2" t="s">
        <v>1538</v>
      </c>
      <c r="J711" s="2">
        <v>6148000015</v>
      </c>
      <c r="K711">
        <v>20</v>
      </c>
      <c r="L711">
        <v>20</v>
      </c>
      <c r="M711">
        <v>20</v>
      </c>
    </row>
    <row r="712" spans="1:13" x14ac:dyDescent="0.25">
      <c r="A712" t="s">
        <v>1539</v>
      </c>
      <c r="B712" t="s">
        <v>1540</v>
      </c>
      <c r="C712" t="s">
        <v>151</v>
      </c>
      <c r="F712">
        <v>3</v>
      </c>
      <c r="G712" t="s">
        <v>16</v>
      </c>
      <c r="H712">
        <v>0</v>
      </c>
      <c r="I712" s="2" t="s">
        <v>165</v>
      </c>
      <c r="J712" s="2">
        <v>202155</v>
      </c>
      <c r="K712">
        <v>20</v>
      </c>
      <c r="L712">
        <v>20</v>
      </c>
      <c r="M712">
        <v>20</v>
      </c>
    </row>
    <row r="713" spans="1:13" x14ac:dyDescent="0.25">
      <c r="A713" t="s">
        <v>1541</v>
      </c>
      <c r="B713" t="s">
        <v>1542</v>
      </c>
      <c r="C713" t="s">
        <v>151</v>
      </c>
      <c r="F713">
        <v>1</v>
      </c>
      <c r="G713" t="s">
        <v>16</v>
      </c>
      <c r="H713">
        <v>0</v>
      </c>
      <c r="I713" s="2" t="s">
        <v>1543</v>
      </c>
      <c r="J713" s="2" t="s">
        <v>1544</v>
      </c>
      <c r="K713">
        <v>20</v>
      </c>
      <c r="L713">
        <v>20</v>
      </c>
      <c r="M713">
        <v>20</v>
      </c>
    </row>
    <row r="714" spans="1:13" x14ac:dyDescent="0.25">
      <c r="A714" t="s">
        <v>1545</v>
      </c>
      <c r="B714" t="s">
        <v>1546</v>
      </c>
      <c r="C714" t="s">
        <v>151</v>
      </c>
      <c r="D714" t="s">
        <v>1547</v>
      </c>
      <c r="F714">
        <v>1</v>
      </c>
      <c r="G714" t="s">
        <v>16</v>
      </c>
      <c r="H714">
        <v>0</v>
      </c>
      <c r="I714" s="2" t="s">
        <v>1543</v>
      </c>
      <c r="J714" s="2" t="s">
        <v>1548</v>
      </c>
      <c r="K714">
        <v>20</v>
      </c>
      <c r="L714">
        <v>20</v>
      </c>
      <c r="M714">
        <v>20</v>
      </c>
    </row>
    <row r="715" spans="1:13" x14ac:dyDescent="0.25">
      <c r="A715" t="s">
        <v>1549</v>
      </c>
      <c r="B715" t="s">
        <v>1550</v>
      </c>
      <c r="C715" t="s">
        <v>151</v>
      </c>
      <c r="D715" t="s">
        <v>1551</v>
      </c>
      <c r="F715">
        <v>2</v>
      </c>
      <c r="G715" t="s">
        <v>16</v>
      </c>
      <c r="H715">
        <v>0</v>
      </c>
      <c r="I715" s="2" t="s">
        <v>953</v>
      </c>
      <c r="J715" s="2">
        <v>40511</v>
      </c>
      <c r="K715">
        <v>20</v>
      </c>
      <c r="L715">
        <v>20</v>
      </c>
      <c r="M715">
        <v>20</v>
      </c>
    </row>
    <row r="716" spans="1:13" x14ac:dyDescent="0.25">
      <c r="A716" t="s">
        <v>1552</v>
      </c>
      <c r="B716" t="s">
        <v>1553</v>
      </c>
      <c r="C716" t="s">
        <v>151</v>
      </c>
      <c r="D716" t="s">
        <v>1551</v>
      </c>
      <c r="F716">
        <v>3</v>
      </c>
      <c r="G716" t="s">
        <v>16</v>
      </c>
      <c r="H716">
        <v>0</v>
      </c>
      <c r="I716" s="2" t="s">
        <v>759</v>
      </c>
      <c r="J716" s="2" t="s">
        <v>1554</v>
      </c>
      <c r="K716">
        <v>20</v>
      </c>
      <c r="L716">
        <v>20</v>
      </c>
      <c r="M716">
        <v>20</v>
      </c>
    </row>
    <row r="717" spans="1:13" x14ac:dyDescent="0.25">
      <c r="A717" t="s">
        <v>1555</v>
      </c>
      <c r="B717" t="s">
        <v>1553</v>
      </c>
      <c r="C717" t="s">
        <v>151</v>
      </c>
      <c r="D717" t="s">
        <v>1551</v>
      </c>
      <c r="F717">
        <v>2</v>
      </c>
      <c r="G717" t="s">
        <v>16</v>
      </c>
      <c r="H717">
        <v>0</v>
      </c>
      <c r="I717" s="2" t="s">
        <v>1556</v>
      </c>
      <c r="J717" s="2">
        <v>140087</v>
      </c>
      <c r="K717">
        <v>20</v>
      </c>
      <c r="L717">
        <v>20</v>
      </c>
      <c r="M717">
        <v>20</v>
      </c>
    </row>
    <row r="718" spans="1:13" x14ac:dyDescent="0.25">
      <c r="A718" t="s">
        <v>1557</v>
      </c>
      <c r="B718" t="s">
        <v>1553</v>
      </c>
      <c r="C718" t="s">
        <v>151</v>
      </c>
      <c r="D718" t="s">
        <v>1551</v>
      </c>
      <c r="F718">
        <v>4</v>
      </c>
      <c r="G718" t="s">
        <v>16</v>
      </c>
      <c r="H718">
        <v>0</v>
      </c>
      <c r="I718" s="2" t="s">
        <v>500</v>
      </c>
      <c r="J718" s="2" t="s">
        <v>1558</v>
      </c>
      <c r="K718">
        <v>20</v>
      </c>
      <c r="L718">
        <v>20</v>
      </c>
      <c r="M718">
        <v>20</v>
      </c>
    </row>
    <row r="719" spans="1:13" x14ac:dyDescent="0.25">
      <c r="A719" t="s">
        <v>1559</v>
      </c>
      <c r="B719" t="s">
        <v>1553</v>
      </c>
      <c r="C719" t="s">
        <v>151</v>
      </c>
      <c r="D719" t="s">
        <v>1551</v>
      </c>
      <c r="G719" t="s">
        <v>16</v>
      </c>
      <c r="H719">
        <v>0</v>
      </c>
      <c r="I719" s="2" t="s">
        <v>1463</v>
      </c>
      <c r="J719" s="2">
        <v>70173</v>
      </c>
      <c r="K719">
        <v>20</v>
      </c>
      <c r="L719">
        <v>20</v>
      </c>
      <c r="M719">
        <v>20</v>
      </c>
    </row>
    <row r="720" spans="1:13" x14ac:dyDescent="0.25">
      <c r="A720" t="s">
        <v>1560</v>
      </c>
      <c r="B720" t="s">
        <v>1553</v>
      </c>
      <c r="C720" t="s">
        <v>151</v>
      </c>
      <c r="D720" t="s">
        <v>1551</v>
      </c>
      <c r="G720" t="s">
        <v>16</v>
      </c>
      <c r="H720">
        <v>0</v>
      </c>
      <c r="I720" s="2" t="s">
        <v>165</v>
      </c>
      <c r="J720" s="2">
        <v>202162</v>
      </c>
      <c r="K720">
        <v>20</v>
      </c>
      <c r="L720">
        <v>20</v>
      </c>
      <c r="M720">
        <v>20</v>
      </c>
    </row>
    <row r="721" spans="1:13" x14ac:dyDescent="0.25">
      <c r="A721" t="s">
        <v>1561</v>
      </c>
      <c r="B721" t="s">
        <v>1562</v>
      </c>
      <c r="C721" t="s">
        <v>151</v>
      </c>
      <c r="D721" t="s">
        <v>1547</v>
      </c>
      <c r="F721">
        <v>2</v>
      </c>
      <c r="G721" t="s">
        <v>16</v>
      </c>
      <c r="H721">
        <v>0</v>
      </c>
      <c r="I721" s="2" t="s">
        <v>759</v>
      </c>
      <c r="J721" s="2" t="s">
        <v>1563</v>
      </c>
      <c r="K721">
        <v>20</v>
      </c>
      <c r="L721">
        <v>20</v>
      </c>
      <c r="M721">
        <v>20</v>
      </c>
    </row>
    <row r="722" spans="1:13" x14ac:dyDescent="0.25">
      <c r="A722" t="s">
        <v>1564</v>
      </c>
      <c r="B722" t="s">
        <v>1565</v>
      </c>
      <c r="C722" t="s">
        <v>151</v>
      </c>
      <c r="D722" t="s">
        <v>1547</v>
      </c>
      <c r="G722" t="s">
        <v>16</v>
      </c>
      <c r="H722">
        <v>0</v>
      </c>
      <c r="I722" s="2" t="s">
        <v>953</v>
      </c>
      <c r="J722" s="2">
        <v>24518</v>
      </c>
      <c r="K722">
        <v>20</v>
      </c>
      <c r="L722">
        <v>20</v>
      </c>
      <c r="M722">
        <v>20</v>
      </c>
    </row>
    <row r="723" spans="1:13" x14ac:dyDescent="0.25">
      <c r="A723" t="s">
        <v>1566</v>
      </c>
      <c r="B723" t="s">
        <v>1567</v>
      </c>
      <c r="C723" t="s">
        <v>151</v>
      </c>
      <c r="D723" t="s">
        <v>1547</v>
      </c>
      <c r="G723" t="s">
        <v>16</v>
      </c>
      <c r="H723">
        <v>0</v>
      </c>
      <c r="I723" s="2" t="s">
        <v>953</v>
      </c>
      <c r="J723" s="2">
        <v>24516</v>
      </c>
      <c r="K723">
        <v>20</v>
      </c>
      <c r="L723">
        <v>20</v>
      </c>
      <c r="M723">
        <v>20</v>
      </c>
    </row>
    <row r="724" spans="1:13" x14ac:dyDescent="0.25">
      <c r="A724" t="s">
        <v>1568</v>
      </c>
      <c r="B724" t="s">
        <v>1569</v>
      </c>
      <c r="C724" t="s">
        <v>151</v>
      </c>
      <c r="D724" t="s">
        <v>1547</v>
      </c>
      <c r="G724" t="s">
        <v>16</v>
      </c>
      <c r="H724">
        <v>0</v>
      </c>
      <c r="I724" s="2" t="s">
        <v>953</v>
      </c>
      <c r="J724" s="2">
        <v>24505</v>
      </c>
      <c r="K724">
        <v>20</v>
      </c>
      <c r="L724">
        <v>20</v>
      </c>
      <c r="M724">
        <v>20</v>
      </c>
    </row>
    <row r="725" spans="1:13" x14ac:dyDescent="0.25">
      <c r="A725" t="s">
        <v>1570</v>
      </c>
      <c r="B725" t="s">
        <v>1571</v>
      </c>
      <c r="C725" t="s">
        <v>151</v>
      </c>
      <c r="D725" t="s">
        <v>1092</v>
      </c>
      <c r="F725">
        <v>1</v>
      </c>
      <c r="G725" t="s">
        <v>16</v>
      </c>
      <c r="H725">
        <v>0</v>
      </c>
      <c r="I725" s="2" t="s">
        <v>64</v>
      </c>
      <c r="J725" s="2" t="str">
        <f>"04050012"</f>
        <v>04050012</v>
      </c>
      <c r="K725">
        <v>20</v>
      </c>
      <c r="L725">
        <v>20</v>
      </c>
      <c r="M725">
        <v>20</v>
      </c>
    </row>
    <row r="726" spans="1:13" x14ac:dyDescent="0.25">
      <c r="A726" t="s">
        <v>1572</v>
      </c>
      <c r="B726" t="s">
        <v>1571</v>
      </c>
      <c r="C726" t="s">
        <v>151</v>
      </c>
      <c r="D726" t="s">
        <v>1092</v>
      </c>
      <c r="G726" t="s">
        <v>16</v>
      </c>
      <c r="H726">
        <v>0</v>
      </c>
      <c r="I726" s="2" t="s">
        <v>165</v>
      </c>
      <c r="J726" s="2">
        <v>202169</v>
      </c>
      <c r="K726">
        <v>20</v>
      </c>
      <c r="L726">
        <v>20</v>
      </c>
      <c r="M726">
        <v>20</v>
      </c>
    </row>
    <row r="727" spans="1:13" x14ac:dyDescent="0.25">
      <c r="A727" t="s">
        <v>1573</v>
      </c>
      <c r="B727" t="s">
        <v>1574</v>
      </c>
      <c r="C727" t="s">
        <v>151</v>
      </c>
      <c r="F727">
        <v>2</v>
      </c>
      <c r="G727" t="s">
        <v>16</v>
      </c>
      <c r="H727">
        <v>0</v>
      </c>
      <c r="I727" s="2" t="s">
        <v>1575</v>
      </c>
      <c r="J727" s="2">
        <v>13422270</v>
      </c>
      <c r="K727">
        <v>20</v>
      </c>
      <c r="L727">
        <v>20</v>
      </c>
      <c r="M727">
        <v>20</v>
      </c>
    </row>
    <row r="728" spans="1:13" x14ac:dyDescent="0.25">
      <c r="A728" t="s">
        <v>1576</v>
      </c>
      <c r="B728" t="s">
        <v>1577</v>
      </c>
      <c r="C728" t="s">
        <v>151</v>
      </c>
      <c r="F728">
        <v>2</v>
      </c>
      <c r="G728" t="s">
        <v>16</v>
      </c>
      <c r="H728">
        <v>0</v>
      </c>
      <c r="I728" s="2" t="s">
        <v>64</v>
      </c>
      <c r="J728" s="2" t="str">
        <f>"04050154"</f>
        <v>04050154</v>
      </c>
      <c r="K728">
        <v>20</v>
      </c>
      <c r="L728">
        <v>20</v>
      </c>
      <c r="M728">
        <v>20</v>
      </c>
    </row>
    <row r="729" spans="1:13" x14ac:dyDescent="0.25">
      <c r="A729" t="s">
        <v>1578</v>
      </c>
      <c r="B729" t="s">
        <v>1577</v>
      </c>
      <c r="C729" t="s">
        <v>151</v>
      </c>
      <c r="F729">
        <v>1</v>
      </c>
      <c r="G729" t="s">
        <v>16</v>
      </c>
      <c r="H729">
        <v>0</v>
      </c>
      <c r="I729" s="2" t="s">
        <v>504</v>
      </c>
      <c r="J729" s="2" t="s">
        <v>1579</v>
      </c>
      <c r="K729">
        <v>20</v>
      </c>
      <c r="L729">
        <v>20</v>
      </c>
      <c r="M729">
        <v>20</v>
      </c>
    </row>
    <row r="730" spans="1:13" x14ac:dyDescent="0.25">
      <c r="A730" t="s">
        <v>1580</v>
      </c>
      <c r="B730" t="s">
        <v>1581</v>
      </c>
      <c r="C730" t="s">
        <v>151</v>
      </c>
      <c r="F730">
        <v>1</v>
      </c>
      <c r="G730" t="s">
        <v>16</v>
      </c>
      <c r="H730">
        <v>0</v>
      </c>
      <c r="I730" s="2" t="s">
        <v>1543</v>
      </c>
      <c r="J730" s="2" t="s">
        <v>1582</v>
      </c>
      <c r="K730">
        <v>20</v>
      </c>
      <c r="L730">
        <v>20</v>
      </c>
      <c r="M730">
        <v>20</v>
      </c>
    </row>
    <row r="731" spans="1:13" x14ac:dyDescent="0.25">
      <c r="A731" t="s">
        <v>1583</v>
      </c>
      <c r="B731" t="s">
        <v>1584</v>
      </c>
      <c r="C731" t="s">
        <v>151</v>
      </c>
      <c r="F731">
        <v>1</v>
      </c>
      <c r="G731" t="s">
        <v>16</v>
      </c>
      <c r="H731">
        <v>0</v>
      </c>
      <c r="I731" s="2" t="s">
        <v>1585</v>
      </c>
      <c r="J731" s="2">
        <v>90383584</v>
      </c>
      <c r="K731">
        <v>20</v>
      </c>
      <c r="L731">
        <v>20</v>
      </c>
      <c r="M731">
        <v>20</v>
      </c>
    </row>
    <row r="732" spans="1:13" x14ac:dyDescent="0.25">
      <c r="A732" t="s">
        <v>1586</v>
      </c>
      <c r="B732" t="s">
        <v>1587</v>
      </c>
      <c r="C732" t="s">
        <v>151</v>
      </c>
      <c r="F732">
        <v>1</v>
      </c>
      <c r="G732" t="s">
        <v>16</v>
      </c>
      <c r="H732">
        <v>0</v>
      </c>
      <c r="I732" s="2" t="s">
        <v>1588</v>
      </c>
      <c r="J732" s="2" t="s">
        <v>1589</v>
      </c>
      <c r="K732">
        <v>20</v>
      </c>
      <c r="L732">
        <v>20</v>
      </c>
      <c r="M732">
        <v>20</v>
      </c>
    </row>
    <row r="733" spans="1:13" x14ac:dyDescent="0.25">
      <c r="A733" t="s">
        <v>1590</v>
      </c>
      <c r="B733" t="s">
        <v>1591</v>
      </c>
      <c r="C733" t="s">
        <v>151</v>
      </c>
      <c r="G733" t="s">
        <v>16</v>
      </c>
      <c r="H733">
        <v>0</v>
      </c>
      <c r="I733" s="2" t="s">
        <v>988</v>
      </c>
      <c r="J733" s="2" t="s">
        <v>1592</v>
      </c>
      <c r="K733">
        <v>20</v>
      </c>
      <c r="L733">
        <v>20</v>
      </c>
      <c r="M733">
        <v>20</v>
      </c>
    </row>
    <row r="734" spans="1:13" x14ac:dyDescent="0.25">
      <c r="A734" t="s">
        <v>1593</v>
      </c>
      <c r="B734" t="s">
        <v>1591</v>
      </c>
      <c r="C734" t="s">
        <v>151</v>
      </c>
      <c r="G734" t="s">
        <v>16</v>
      </c>
      <c r="H734">
        <v>0</v>
      </c>
      <c r="K734">
        <v>20</v>
      </c>
      <c r="L734">
        <v>20</v>
      </c>
      <c r="M734">
        <v>20</v>
      </c>
    </row>
    <row r="735" spans="1:13" x14ac:dyDescent="0.25">
      <c r="A735" t="s">
        <v>1594</v>
      </c>
      <c r="B735" t="s">
        <v>1595</v>
      </c>
      <c r="C735" t="s">
        <v>151</v>
      </c>
      <c r="F735">
        <v>2</v>
      </c>
      <c r="G735" t="s">
        <v>16</v>
      </c>
      <c r="H735">
        <v>0</v>
      </c>
      <c r="I735" s="2" t="s">
        <v>64</v>
      </c>
      <c r="J735" s="2" t="str">
        <f>"04050326"</f>
        <v>04050326</v>
      </c>
      <c r="K735">
        <v>20</v>
      </c>
      <c r="L735">
        <v>20</v>
      </c>
      <c r="M735">
        <v>20</v>
      </c>
    </row>
    <row r="736" spans="1:13" x14ac:dyDescent="0.25">
      <c r="A736" t="s">
        <v>1596</v>
      </c>
      <c r="B736" t="s">
        <v>1595</v>
      </c>
      <c r="C736" t="s">
        <v>151</v>
      </c>
      <c r="G736" t="s">
        <v>16</v>
      </c>
      <c r="H736">
        <v>0</v>
      </c>
      <c r="I736" s="2" t="s">
        <v>500</v>
      </c>
      <c r="J736" s="2" t="s">
        <v>1597</v>
      </c>
      <c r="K736">
        <v>20</v>
      </c>
      <c r="L736">
        <v>20</v>
      </c>
      <c r="M736">
        <v>20</v>
      </c>
    </row>
    <row r="737" spans="1:13" x14ac:dyDescent="0.25">
      <c r="A737" t="s">
        <v>1598</v>
      </c>
      <c r="B737" t="s">
        <v>1595</v>
      </c>
      <c r="C737" t="s">
        <v>151</v>
      </c>
      <c r="G737" t="s">
        <v>16</v>
      </c>
      <c r="H737">
        <v>0</v>
      </c>
      <c r="I737" s="2" t="s">
        <v>165</v>
      </c>
      <c r="J737" s="2">
        <v>206216</v>
      </c>
      <c r="K737">
        <v>20</v>
      </c>
      <c r="L737">
        <v>20</v>
      </c>
      <c r="M737">
        <v>20</v>
      </c>
    </row>
    <row r="738" spans="1:13" x14ac:dyDescent="0.25">
      <c r="A738" t="s">
        <v>1599</v>
      </c>
      <c r="B738" t="s">
        <v>1600</v>
      </c>
      <c r="C738" t="s">
        <v>151</v>
      </c>
      <c r="F738">
        <v>7</v>
      </c>
      <c r="G738" t="s">
        <v>16</v>
      </c>
      <c r="H738">
        <v>0</v>
      </c>
      <c r="I738" s="2" t="s">
        <v>142</v>
      </c>
      <c r="J738" s="2" t="s">
        <v>1601</v>
      </c>
      <c r="K738">
        <v>20</v>
      </c>
      <c r="L738">
        <v>20</v>
      </c>
      <c r="M738">
        <v>20</v>
      </c>
    </row>
    <row r="739" spans="1:13" x14ac:dyDescent="0.25">
      <c r="A739" t="s">
        <v>1602</v>
      </c>
      <c r="B739" t="s">
        <v>1600</v>
      </c>
      <c r="C739" t="s">
        <v>151</v>
      </c>
      <c r="G739" t="s">
        <v>16</v>
      </c>
      <c r="H739">
        <v>0</v>
      </c>
      <c r="I739" s="2" t="s">
        <v>1603</v>
      </c>
      <c r="J739" s="2">
        <v>2103006</v>
      </c>
      <c r="K739">
        <v>20</v>
      </c>
      <c r="L739">
        <v>20</v>
      </c>
      <c r="M739">
        <v>20</v>
      </c>
    </row>
    <row r="740" spans="1:13" x14ac:dyDescent="0.25">
      <c r="A740" t="s">
        <v>1604</v>
      </c>
      <c r="B740" t="s">
        <v>1600</v>
      </c>
      <c r="C740" t="s">
        <v>151</v>
      </c>
      <c r="G740" t="s">
        <v>16</v>
      </c>
      <c r="H740">
        <v>0</v>
      </c>
      <c r="I740" s="2" t="s">
        <v>1588</v>
      </c>
      <c r="J740" s="2" t="s">
        <v>1605</v>
      </c>
      <c r="K740">
        <v>20</v>
      </c>
      <c r="L740">
        <v>20</v>
      </c>
      <c r="M740">
        <v>20</v>
      </c>
    </row>
    <row r="741" spans="1:13" x14ac:dyDescent="0.25">
      <c r="A741" t="s">
        <v>1606</v>
      </c>
      <c r="B741" t="s">
        <v>1607</v>
      </c>
      <c r="C741" t="s">
        <v>151</v>
      </c>
      <c r="G741" t="s">
        <v>16</v>
      </c>
      <c r="H741">
        <v>0</v>
      </c>
      <c r="I741" s="2" t="s">
        <v>500</v>
      </c>
      <c r="J741" s="2" t="s">
        <v>1608</v>
      </c>
      <c r="K741">
        <v>20</v>
      </c>
      <c r="L741">
        <v>20</v>
      </c>
      <c r="M741">
        <v>20</v>
      </c>
    </row>
    <row r="742" spans="1:13" x14ac:dyDescent="0.25">
      <c r="A742" t="s">
        <v>1609</v>
      </c>
      <c r="B742" t="s">
        <v>1600</v>
      </c>
      <c r="C742" t="s">
        <v>151</v>
      </c>
      <c r="G742" t="s">
        <v>16</v>
      </c>
      <c r="H742">
        <v>0</v>
      </c>
      <c r="I742" s="2" t="s">
        <v>165</v>
      </c>
      <c r="J742" s="2">
        <v>202193</v>
      </c>
      <c r="K742">
        <v>20</v>
      </c>
      <c r="L742">
        <v>20</v>
      </c>
      <c r="M742">
        <v>20</v>
      </c>
    </row>
    <row r="743" spans="1:13" x14ac:dyDescent="0.25">
      <c r="A743" t="s">
        <v>1610</v>
      </c>
      <c r="B743" t="s">
        <v>1600</v>
      </c>
      <c r="C743" t="s">
        <v>151</v>
      </c>
      <c r="G743" t="s">
        <v>16</v>
      </c>
      <c r="H743">
        <v>0</v>
      </c>
      <c r="I743" s="2" t="s">
        <v>1611</v>
      </c>
      <c r="J743" s="2">
        <v>18807667</v>
      </c>
      <c r="K743">
        <v>20</v>
      </c>
      <c r="L743">
        <v>20</v>
      </c>
      <c r="M743">
        <v>20</v>
      </c>
    </row>
    <row r="744" spans="1:13" x14ac:dyDescent="0.25">
      <c r="A744">
        <v>1241227</v>
      </c>
      <c r="B744" t="s">
        <v>1612</v>
      </c>
      <c r="C744" t="s">
        <v>151</v>
      </c>
      <c r="F744">
        <v>1</v>
      </c>
      <c r="G744" t="s">
        <v>16</v>
      </c>
      <c r="H744">
        <v>0</v>
      </c>
      <c r="I744" s="2" t="s">
        <v>497</v>
      </c>
      <c r="J744" s="2">
        <v>13129640</v>
      </c>
      <c r="K744">
        <v>20</v>
      </c>
      <c r="L744">
        <v>20</v>
      </c>
      <c r="M744">
        <v>20</v>
      </c>
    </row>
    <row r="745" spans="1:13" x14ac:dyDescent="0.25">
      <c r="A745">
        <v>1241457</v>
      </c>
      <c r="B745" t="s">
        <v>1613</v>
      </c>
      <c r="C745" t="s">
        <v>151</v>
      </c>
      <c r="F745">
        <v>1</v>
      </c>
      <c r="G745" t="s">
        <v>16</v>
      </c>
      <c r="H745">
        <v>0</v>
      </c>
      <c r="I745" s="2" t="s">
        <v>497</v>
      </c>
      <c r="J745" s="2">
        <v>13422268</v>
      </c>
      <c r="K745">
        <v>20</v>
      </c>
      <c r="L745">
        <v>20</v>
      </c>
      <c r="M745">
        <v>20</v>
      </c>
    </row>
    <row r="746" spans="1:13" x14ac:dyDescent="0.25">
      <c r="A746" t="s">
        <v>1614</v>
      </c>
      <c r="B746" t="s">
        <v>1613</v>
      </c>
      <c r="C746" t="s">
        <v>151</v>
      </c>
      <c r="G746" t="s">
        <v>16</v>
      </c>
      <c r="H746">
        <v>0</v>
      </c>
      <c r="I746" s="2" t="s">
        <v>238</v>
      </c>
      <c r="J746" s="2">
        <v>107975</v>
      </c>
      <c r="K746">
        <v>20</v>
      </c>
      <c r="L746">
        <v>20</v>
      </c>
      <c r="M746">
        <v>20</v>
      </c>
    </row>
    <row r="747" spans="1:13" x14ac:dyDescent="0.25">
      <c r="A747" t="s">
        <v>1615</v>
      </c>
      <c r="B747" t="s">
        <v>1616</v>
      </c>
      <c r="C747" t="s">
        <v>151</v>
      </c>
      <c r="F747">
        <v>1</v>
      </c>
      <c r="G747" t="s">
        <v>16</v>
      </c>
      <c r="H747">
        <v>0</v>
      </c>
      <c r="I747" s="2" t="s">
        <v>500</v>
      </c>
      <c r="J747" s="2" t="s">
        <v>1617</v>
      </c>
      <c r="K747">
        <v>20</v>
      </c>
      <c r="L747">
        <v>20</v>
      </c>
      <c r="M747">
        <v>20</v>
      </c>
    </row>
    <row r="748" spans="1:13" x14ac:dyDescent="0.25">
      <c r="A748" t="s">
        <v>1618</v>
      </c>
      <c r="B748" t="s">
        <v>1619</v>
      </c>
      <c r="C748" t="s">
        <v>151</v>
      </c>
      <c r="F748">
        <v>1</v>
      </c>
      <c r="G748" t="s">
        <v>16</v>
      </c>
      <c r="H748">
        <v>0</v>
      </c>
      <c r="I748" s="2" t="s">
        <v>142</v>
      </c>
      <c r="J748" s="2" t="s">
        <v>1620</v>
      </c>
      <c r="K748">
        <v>20</v>
      </c>
      <c r="L748">
        <v>20</v>
      </c>
      <c r="M748">
        <v>20</v>
      </c>
    </row>
    <row r="749" spans="1:13" x14ac:dyDescent="0.25">
      <c r="A749" t="s">
        <v>1621</v>
      </c>
      <c r="B749" t="s">
        <v>1622</v>
      </c>
      <c r="C749" t="s">
        <v>151</v>
      </c>
      <c r="F749">
        <v>1</v>
      </c>
      <c r="G749" t="s">
        <v>16</v>
      </c>
      <c r="H749">
        <v>0</v>
      </c>
      <c r="I749" s="2" t="s">
        <v>142</v>
      </c>
      <c r="J749" s="2" t="s">
        <v>1623</v>
      </c>
      <c r="K749">
        <v>20</v>
      </c>
      <c r="L749">
        <v>20</v>
      </c>
      <c r="M749">
        <v>20</v>
      </c>
    </row>
    <row r="750" spans="1:13" x14ac:dyDescent="0.25">
      <c r="A750" t="s">
        <v>1624</v>
      </c>
      <c r="B750" t="s">
        <v>1625</v>
      </c>
      <c r="C750" t="s">
        <v>151</v>
      </c>
      <c r="D750" t="s">
        <v>1381</v>
      </c>
      <c r="F750">
        <v>8</v>
      </c>
      <c r="G750" t="s">
        <v>16</v>
      </c>
      <c r="H750">
        <v>0</v>
      </c>
      <c r="I750" s="2" t="s">
        <v>941</v>
      </c>
      <c r="J750" s="2" t="s">
        <v>1626</v>
      </c>
      <c r="K750">
        <v>20</v>
      </c>
      <c r="L750">
        <v>20</v>
      </c>
      <c r="M750">
        <v>20</v>
      </c>
    </row>
    <row r="751" spans="1:13" x14ac:dyDescent="0.25">
      <c r="A751" t="s">
        <v>1627</v>
      </c>
      <c r="B751" t="s">
        <v>1628</v>
      </c>
      <c r="C751" t="s">
        <v>151</v>
      </c>
      <c r="D751" t="s">
        <v>1381</v>
      </c>
      <c r="G751" t="s">
        <v>16</v>
      </c>
      <c r="H751">
        <v>0</v>
      </c>
      <c r="I751" s="2" t="s">
        <v>953</v>
      </c>
      <c r="J751" s="2">
        <v>78111</v>
      </c>
      <c r="K751">
        <v>20</v>
      </c>
      <c r="L751">
        <v>20</v>
      </c>
      <c r="M751">
        <v>20</v>
      </c>
    </row>
    <row r="752" spans="1:13" x14ac:dyDescent="0.25">
      <c r="A752" t="s">
        <v>1629</v>
      </c>
      <c r="B752" t="s">
        <v>1630</v>
      </c>
      <c r="C752" t="s">
        <v>151</v>
      </c>
      <c r="D752" t="s">
        <v>1381</v>
      </c>
      <c r="G752" t="s">
        <v>16</v>
      </c>
      <c r="H752">
        <v>0</v>
      </c>
      <c r="I752" s="2" t="s">
        <v>941</v>
      </c>
      <c r="J752" s="2" t="s">
        <v>1631</v>
      </c>
      <c r="K752">
        <v>20</v>
      </c>
      <c r="L752">
        <v>20</v>
      </c>
      <c r="M752">
        <v>20</v>
      </c>
    </row>
    <row r="753" spans="1:13" x14ac:dyDescent="0.25">
      <c r="A753" t="s">
        <v>1632</v>
      </c>
      <c r="B753" t="s">
        <v>1633</v>
      </c>
      <c r="C753" t="s">
        <v>151</v>
      </c>
      <c r="D753" t="s">
        <v>1381</v>
      </c>
      <c r="G753" t="s">
        <v>16</v>
      </c>
      <c r="H753">
        <v>0</v>
      </c>
      <c r="I753" s="2" t="s">
        <v>941</v>
      </c>
      <c r="J753" s="2" t="s">
        <v>1634</v>
      </c>
      <c r="K753">
        <v>20</v>
      </c>
      <c r="L753">
        <v>20</v>
      </c>
      <c r="M753">
        <v>20</v>
      </c>
    </row>
    <row r="754" spans="1:13" x14ac:dyDescent="0.25">
      <c r="A754" t="s">
        <v>1635</v>
      </c>
      <c r="B754" t="s">
        <v>1636</v>
      </c>
      <c r="C754" t="s">
        <v>151</v>
      </c>
      <c r="D754" t="s">
        <v>1524</v>
      </c>
      <c r="F754">
        <v>0</v>
      </c>
      <c r="G754" t="s">
        <v>16</v>
      </c>
      <c r="H754">
        <v>0</v>
      </c>
      <c r="I754" s="2" t="s">
        <v>953</v>
      </c>
      <c r="J754" s="2">
        <v>79337</v>
      </c>
      <c r="K754">
        <v>20</v>
      </c>
      <c r="L754">
        <v>20</v>
      </c>
      <c r="M754">
        <v>20</v>
      </c>
    </row>
    <row r="755" spans="1:13" x14ac:dyDescent="0.25">
      <c r="A755" t="s">
        <v>1637</v>
      </c>
      <c r="B755" t="s">
        <v>1638</v>
      </c>
      <c r="C755" t="s">
        <v>151</v>
      </c>
      <c r="D755" t="s">
        <v>1524</v>
      </c>
      <c r="F755">
        <v>1</v>
      </c>
      <c r="G755" t="s">
        <v>16</v>
      </c>
      <c r="H755">
        <v>0</v>
      </c>
      <c r="I755" s="2" t="s">
        <v>906</v>
      </c>
      <c r="J755" s="2" t="s">
        <v>1639</v>
      </c>
      <c r="K755">
        <v>20</v>
      </c>
      <c r="L755">
        <v>20</v>
      </c>
      <c r="M755">
        <v>20</v>
      </c>
    </row>
    <row r="756" spans="1:13" x14ac:dyDescent="0.25">
      <c r="A756" t="s">
        <v>1640</v>
      </c>
      <c r="B756" t="s">
        <v>1638</v>
      </c>
      <c r="C756" t="s">
        <v>151</v>
      </c>
      <c r="D756" t="s">
        <v>1524</v>
      </c>
      <c r="F756">
        <v>1</v>
      </c>
      <c r="G756" t="s">
        <v>16</v>
      </c>
      <c r="H756">
        <v>0</v>
      </c>
      <c r="I756" s="2" t="s">
        <v>486</v>
      </c>
      <c r="J756" s="2">
        <v>40103552</v>
      </c>
      <c r="K756">
        <v>20</v>
      </c>
      <c r="L756">
        <v>20</v>
      </c>
      <c r="M756">
        <v>20</v>
      </c>
    </row>
    <row r="757" spans="1:13" x14ac:dyDescent="0.25">
      <c r="A757" t="s">
        <v>1641</v>
      </c>
      <c r="B757" t="s">
        <v>1642</v>
      </c>
      <c r="C757" t="s">
        <v>151</v>
      </c>
      <c r="D757" t="s">
        <v>706</v>
      </c>
      <c r="F757">
        <v>2</v>
      </c>
      <c r="G757" t="s">
        <v>16</v>
      </c>
      <c r="H757">
        <v>0</v>
      </c>
      <c r="I757" s="2" t="s">
        <v>1452</v>
      </c>
      <c r="J757" s="2">
        <v>55582713</v>
      </c>
      <c r="K757">
        <v>20</v>
      </c>
      <c r="L757">
        <v>20</v>
      </c>
      <c r="M757">
        <v>20</v>
      </c>
    </row>
    <row r="758" spans="1:13" x14ac:dyDescent="0.25">
      <c r="A758" t="s">
        <v>1643</v>
      </c>
      <c r="B758" t="s">
        <v>1644</v>
      </c>
      <c r="C758" t="s">
        <v>151</v>
      </c>
      <c r="D758" t="s">
        <v>1381</v>
      </c>
      <c r="F758">
        <v>1</v>
      </c>
      <c r="G758" t="s">
        <v>16</v>
      </c>
      <c r="H758">
        <v>0</v>
      </c>
      <c r="I758" s="2" t="s">
        <v>941</v>
      </c>
      <c r="J758" s="2" t="s">
        <v>1645</v>
      </c>
      <c r="K758">
        <v>20</v>
      </c>
      <c r="L758">
        <v>20</v>
      </c>
      <c r="M758">
        <v>20</v>
      </c>
    </row>
    <row r="759" spans="1:13" x14ac:dyDescent="0.25">
      <c r="A759" t="s">
        <v>1646</v>
      </c>
      <c r="B759" t="s">
        <v>1647</v>
      </c>
      <c r="C759" t="s">
        <v>151</v>
      </c>
      <c r="D759" t="s">
        <v>1476</v>
      </c>
      <c r="G759" t="s">
        <v>16</v>
      </c>
      <c r="H759">
        <v>0</v>
      </c>
      <c r="I759" s="2" t="s">
        <v>1477</v>
      </c>
      <c r="J759" s="2">
        <v>79395</v>
      </c>
      <c r="K759">
        <v>20</v>
      </c>
      <c r="L759">
        <v>20</v>
      </c>
      <c r="M759">
        <v>20</v>
      </c>
    </row>
    <row r="760" spans="1:13" x14ac:dyDescent="0.25">
      <c r="A760" t="s">
        <v>1648</v>
      </c>
      <c r="B760" t="s">
        <v>1649</v>
      </c>
      <c r="C760" t="s">
        <v>151</v>
      </c>
      <c r="D760" t="s">
        <v>706</v>
      </c>
      <c r="F760">
        <v>2</v>
      </c>
      <c r="G760" t="s">
        <v>16</v>
      </c>
      <c r="H760">
        <v>0</v>
      </c>
      <c r="I760" s="2" t="s">
        <v>1488</v>
      </c>
      <c r="J760" s="3">
        <v>70141</v>
      </c>
      <c r="K760">
        <v>20</v>
      </c>
      <c r="L760">
        <v>20</v>
      </c>
      <c r="M760">
        <v>20</v>
      </c>
    </row>
    <row r="761" spans="1:13" x14ac:dyDescent="0.25">
      <c r="A761" t="s">
        <v>1650</v>
      </c>
      <c r="B761" t="s">
        <v>1649</v>
      </c>
      <c r="C761" t="s">
        <v>151</v>
      </c>
      <c r="D761" t="s">
        <v>706</v>
      </c>
      <c r="F761">
        <v>4</v>
      </c>
      <c r="G761" t="s">
        <v>16</v>
      </c>
      <c r="H761">
        <v>0</v>
      </c>
      <c r="I761" s="2" t="s">
        <v>953</v>
      </c>
      <c r="J761" s="2">
        <v>12436</v>
      </c>
      <c r="K761">
        <v>20</v>
      </c>
      <c r="L761">
        <v>20</v>
      </c>
      <c r="M761">
        <v>20</v>
      </c>
    </row>
    <row r="762" spans="1:13" x14ac:dyDescent="0.25">
      <c r="A762" t="s">
        <v>1651</v>
      </c>
      <c r="B762" t="s">
        <v>1649</v>
      </c>
      <c r="C762" t="s">
        <v>151</v>
      </c>
      <c r="D762" t="s">
        <v>706</v>
      </c>
      <c r="F762">
        <v>3</v>
      </c>
      <c r="G762" t="s">
        <v>16</v>
      </c>
      <c r="H762">
        <v>0</v>
      </c>
      <c r="I762" s="2" t="s">
        <v>238</v>
      </c>
      <c r="J762" s="2">
        <v>17665</v>
      </c>
      <c r="K762">
        <v>20</v>
      </c>
      <c r="L762">
        <v>20</v>
      </c>
      <c r="M762">
        <v>20</v>
      </c>
    </row>
    <row r="763" spans="1:13" x14ac:dyDescent="0.25">
      <c r="A763" t="s">
        <v>1652</v>
      </c>
      <c r="B763" t="s">
        <v>1653</v>
      </c>
      <c r="C763" t="s">
        <v>151</v>
      </c>
      <c r="D763" t="s">
        <v>706</v>
      </c>
      <c r="F763">
        <v>3</v>
      </c>
      <c r="G763" t="s">
        <v>16</v>
      </c>
      <c r="H763">
        <v>0</v>
      </c>
      <c r="I763" s="2" t="s">
        <v>1556</v>
      </c>
      <c r="J763" s="2">
        <v>110245</v>
      </c>
      <c r="K763">
        <v>20</v>
      </c>
      <c r="L763">
        <v>20</v>
      </c>
      <c r="M763">
        <v>20</v>
      </c>
    </row>
    <row r="764" spans="1:13" x14ac:dyDescent="0.25">
      <c r="A764" t="s">
        <v>1654</v>
      </c>
      <c r="B764" t="s">
        <v>1655</v>
      </c>
      <c r="C764" t="s">
        <v>151</v>
      </c>
      <c r="D764" t="s">
        <v>706</v>
      </c>
      <c r="F764">
        <v>1</v>
      </c>
      <c r="G764" t="s">
        <v>16</v>
      </c>
      <c r="H764">
        <v>0</v>
      </c>
      <c r="I764" s="2" t="s">
        <v>941</v>
      </c>
      <c r="J764" s="2" t="s">
        <v>1656</v>
      </c>
      <c r="K764">
        <v>20</v>
      </c>
      <c r="L764">
        <v>20</v>
      </c>
      <c r="M764">
        <v>20</v>
      </c>
    </row>
    <row r="765" spans="1:13" x14ac:dyDescent="0.25">
      <c r="A765" t="s">
        <v>1657</v>
      </c>
      <c r="B765" t="s">
        <v>1655</v>
      </c>
      <c r="C765" t="s">
        <v>151</v>
      </c>
      <c r="F765">
        <v>7</v>
      </c>
      <c r="G765" t="s">
        <v>16</v>
      </c>
      <c r="H765">
        <v>0</v>
      </c>
      <c r="I765" s="2" t="s">
        <v>1477</v>
      </c>
      <c r="J765" s="2">
        <v>12430</v>
      </c>
      <c r="K765">
        <v>20</v>
      </c>
      <c r="L765">
        <v>20</v>
      </c>
      <c r="M765">
        <v>20</v>
      </c>
    </row>
    <row r="766" spans="1:13" x14ac:dyDescent="0.25">
      <c r="A766" t="s">
        <v>1658</v>
      </c>
      <c r="B766" t="s">
        <v>1659</v>
      </c>
      <c r="C766" t="s">
        <v>151</v>
      </c>
      <c r="D766" t="s">
        <v>706</v>
      </c>
      <c r="F766">
        <v>4</v>
      </c>
      <c r="G766" t="s">
        <v>16</v>
      </c>
      <c r="H766">
        <v>0</v>
      </c>
      <c r="I766" s="2" t="s">
        <v>238</v>
      </c>
      <c r="J766" s="2" t="str">
        <f>"06972"</f>
        <v>06972</v>
      </c>
      <c r="K766">
        <v>20</v>
      </c>
      <c r="L766">
        <v>20</v>
      </c>
      <c r="M766">
        <v>20</v>
      </c>
    </row>
    <row r="767" spans="1:13" x14ac:dyDescent="0.25">
      <c r="A767" t="s">
        <v>1660</v>
      </c>
      <c r="B767" t="s">
        <v>1655</v>
      </c>
      <c r="C767" t="s">
        <v>151</v>
      </c>
      <c r="D767" t="s">
        <v>706</v>
      </c>
      <c r="F767">
        <v>3</v>
      </c>
      <c r="G767" t="s">
        <v>16</v>
      </c>
      <c r="H767">
        <v>0</v>
      </c>
      <c r="I767" s="2" t="s">
        <v>165</v>
      </c>
      <c r="J767" s="2">
        <v>205691</v>
      </c>
      <c r="K767">
        <v>20</v>
      </c>
      <c r="L767">
        <v>20</v>
      </c>
      <c r="M767">
        <v>20</v>
      </c>
    </row>
    <row r="768" spans="1:13" x14ac:dyDescent="0.25">
      <c r="A768" t="s">
        <v>1661</v>
      </c>
      <c r="B768" t="s">
        <v>1662</v>
      </c>
      <c r="C768" t="s">
        <v>151</v>
      </c>
      <c r="D768" t="s">
        <v>706</v>
      </c>
      <c r="G768" t="s">
        <v>16</v>
      </c>
      <c r="H768">
        <v>0</v>
      </c>
      <c r="I768" s="2" t="s">
        <v>1663</v>
      </c>
      <c r="J768" s="2" t="s">
        <v>1664</v>
      </c>
      <c r="K768">
        <v>20</v>
      </c>
      <c r="L768">
        <v>20</v>
      </c>
      <c r="M768">
        <v>20</v>
      </c>
    </row>
    <row r="769" spans="1:13" x14ac:dyDescent="0.25">
      <c r="A769" t="s">
        <v>1665</v>
      </c>
      <c r="B769" t="s">
        <v>1667</v>
      </c>
      <c r="C769" t="s">
        <v>151</v>
      </c>
      <c r="D769" t="s">
        <v>706</v>
      </c>
      <c r="F769">
        <v>1</v>
      </c>
      <c r="G769" t="s">
        <v>16</v>
      </c>
      <c r="H769">
        <v>0</v>
      </c>
      <c r="I769" s="2" t="s">
        <v>142</v>
      </c>
      <c r="J769" s="2" t="s">
        <v>1666</v>
      </c>
      <c r="K769">
        <v>20</v>
      </c>
      <c r="L769">
        <v>20</v>
      </c>
      <c r="M769">
        <v>20</v>
      </c>
    </row>
    <row r="770" spans="1:13" x14ac:dyDescent="0.25">
      <c r="A770" t="s">
        <v>1668</v>
      </c>
      <c r="B770" t="s">
        <v>1669</v>
      </c>
      <c r="C770" t="s">
        <v>151</v>
      </c>
      <c r="D770" t="s">
        <v>1670</v>
      </c>
      <c r="F770">
        <v>1</v>
      </c>
      <c r="G770" t="s">
        <v>16</v>
      </c>
      <c r="H770">
        <v>0</v>
      </c>
      <c r="I770" s="2" t="s">
        <v>1671</v>
      </c>
      <c r="J770" s="2">
        <v>420000</v>
      </c>
      <c r="K770">
        <v>20</v>
      </c>
      <c r="L770">
        <v>20</v>
      </c>
      <c r="M770">
        <v>20</v>
      </c>
    </row>
    <row r="771" spans="1:13" x14ac:dyDescent="0.25">
      <c r="A771" t="s">
        <v>1672</v>
      </c>
      <c r="B771" t="s">
        <v>1673</v>
      </c>
      <c r="C771" t="s">
        <v>151</v>
      </c>
      <c r="D771" t="s">
        <v>1670</v>
      </c>
      <c r="G771" t="s">
        <v>16</v>
      </c>
      <c r="H771">
        <v>0</v>
      </c>
      <c r="I771" s="2" t="s">
        <v>1674</v>
      </c>
      <c r="J771" s="2" t="s">
        <v>1675</v>
      </c>
      <c r="K771">
        <v>20</v>
      </c>
      <c r="L771">
        <v>20</v>
      </c>
      <c r="M771">
        <v>20</v>
      </c>
    </row>
    <row r="772" spans="1:13" x14ac:dyDescent="0.25">
      <c r="A772" t="s">
        <v>1676</v>
      </c>
      <c r="B772" t="s">
        <v>1677</v>
      </c>
      <c r="C772" t="s">
        <v>151</v>
      </c>
      <c r="D772" t="s">
        <v>1670</v>
      </c>
      <c r="F772">
        <v>1</v>
      </c>
      <c r="G772" t="s">
        <v>16</v>
      </c>
      <c r="H772">
        <v>0</v>
      </c>
      <c r="I772" s="2" t="s">
        <v>87</v>
      </c>
      <c r="J772" s="2" t="s">
        <v>1678</v>
      </c>
      <c r="K772">
        <v>20</v>
      </c>
      <c r="L772">
        <v>20</v>
      </c>
      <c r="M772">
        <v>20</v>
      </c>
    </row>
    <row r="773" spans="1:13" x14ac:dyDescent="0.25">
      <c r="A773" t="s">
        <v>1679</v>
      </c>
      <c r="B773" t="s">
        <v>1680</v>
      </c>
      <c r="C773" t="s">
        <v>151</v>
      </c>
      <c r="D773" t="s">
        <v>1670</v>
      </c>
      <c r="F773">
        <v>1</v>
      </c>
      <c r="G773" t="s">
        <v>16</v>
      </c>
      <c r="H773">
        <v>0</v>
      </c>
      <c r="I773" s="2" t="s">
        <v>598</v>
      </c>
      <c r="J773" s="2">
        <v>414100</v>
      </c>
      <c r="K773">
        <v>20</v>
      </c>
      <c r="L773">
        <v>20</v>
      </c>
      <c r="M773">
        <v>20</v>
      </c>
    </row>
    <row r="774" spans="1:13" x14ac:dyDescent="0.25">
      <c r="A774" t="s">
        <v>1681</v>
      </c>
      <c r="B774" t="s">
        <v>1682</v>
      </c>
      <c r="C774" t="s">
        <v>151</v>
      </c>
      <c r="D774" t="s">
        <v>1670</v>
      </c>
      <c r="F774">
        <v>1</v>
      </c>
      <c r="G774" t="s">
        <v>16</v>
      </c>
      <c r="H774">
        <v>0</v>
      </c>
      <c r="K774">
        <v>20</v>
      </c>
      <c r="L774">
        <v>20</v>
      </c>
      <c r="M774">
        <v>20</v>
      </c>
    </row>
    <row r="775" spans="1:13" x14ac:dyDescent="0.25">
      <c r="A775" t="s">
        <v>1683</v>
      </c>
      <c r="B775" t="s">
        <v>1684</v>
      </c>
      <c r="C775" t="s">
        <v>151</v>
      </c>
      <c r="D775" t="s">
        <v>1670</v>
      </c>
      <c r="F775">
        <v>1</v>
      </c>
      <c r="G775" t="s">
        <v>16</v>
      </c>
      <c r="H775">
        <v>0</v>
      </c>
      <c r="I775" s="2" t="s">
        <v>87</v>
      </c>
      <c r="J775" s="2" t="s">
        <v>1685</v>
      </c>
      <c r="K775">
        <v>20</v>
      </c>
      <c r="L775">
        <v>20</v>
      </c>
      <c r="M775">
        <v>20</v>
      </c>
    </row>
    <row r="776" spans="1:13" x14ac:dyDescent="0.25">
      <c r="A776" t="s">
        <v>1686</v>
      </c>
      <c r="B776" t="s">
        <v>1687</v>
      </c>
      <c r="C776" t="s">
        <v>151</v>
      </c>
      <c r="D776" t="s">
        <v>1670</v>
      </c>
      <c r="F776">
        <v>1</v>
      </c>
      <c r="G776" t="s">
        <v>16</v>
      </c>
      <c r="H776">
        <v>0</v>
      </c>
      <c r="I776" s="2" t="s">
        <v>1671</v>
      </c>
      <c r="J776" s="2">
        <v>347185</v>
      </c>
      <c r="K776">
        <v>20</v>
      </c>
      <c r="L776">
        <v>20</v>
      </c>
      <c r="M776">
        <v>20</v>
      </c>
    </row>
    <row r="777" spans="1:13" x14ac:dyDescent="0.25">
      <c r="A777" t="s">
        <v>1688</v>
      </c>
      <c r="B777" t="s">
        <v>1689</v>
      </c>
      <c r="C777" t="s">
        <v>151</v>
      </c>
      <c r="D777" t="s">
        <v>1670</v>
      </c>
      <c r="F777">
        <v>0</v>
      </c>
      <c r="G777" t="s">
        <v>16</v>
      </c>
      <c r="H777">
        <v>0</v>
      </c>
      <c r="K777">
        <v>20</v>
      </c>
      <c r="L777">
        <v>20</v>
      </c>
      <c r="M777">
        <v>20</v>
      </c>
    </row>
    <row r="778" spans="1:13" x14ac:dyDescent="0.25">
      <c r="A778" t="s">
        <v>1690</v>
      </c>
      <c r="B778" t="s">
        <v>1691</v>
      </c>
      <c r="C778" t="s">
        <v>1436</v>
      </c>
      <c r="D778" t="s">
        <v>1437</v>
      </c>
      <c r="G778" t="s">
        <v>16</v>
      </c>
      <c r="H778">
        <v>0</v>
      </c>
      <c r="I778" s="2" t="s">
        <v>737</v>
      </c>
      <c r="J778" s="2" t="s">
        <v>1692</v>
      </c>
      <c r="K778">
        <v>20</v>
      </c>
      <c r="L778">
        <v>20</v>
      </c>
      <c r="M778">
        <v>20</v>
      </c>
    </row>
    <row r="779" spans="1:13" x14ac:dyDescent="0.25">
      <c r="A779" t="s">
        <v>1693</v>
      </c>
      <c r="B779" t="s">
        <v>1694</v>
      </c>
      <c r="C779" t="s">
        <v>1436</v>
      </c>
      <c r="G779" t="s">
        <v>16</v>
      </c>
      <c r="H779">
        <v>0</v>
      </c>
      <c r="I779" s="2" t="s">
        <v>243</v>
      </c>
      <c r="J779" s="2">
        <v>21625</v>
      </c>
      <c r="K779">
        <v>20</v>
      </c>
      <c r="L779">
        <v>20</v>
      </c>
      <c r="M779">
        <v>20</v>
      </c>
    </row>
    <row r="780" spans="1:13" x14ac:dyDescent="0.25">
      <c r="A780" t="s">
        <v>1695</v>
      </c>
      <c r="B780" t="s">
        <v>1694</v>
      </c>
      <c r="C780" t="s">
        <v>1436</v>
      </c>
      <c r="G780" t="s">
        <v>16</v>
      </c>
      <c r="H780">
        <v>0</v>
      </c>
      <c r="I780" s="2" t="s">
        <v>64</v>
      </c>
      <c r="J780" s="2">
        <v>10030875</v>
      </c>
      <c r="K780">
        <v>20</v>
      </c>
      <c r="L780">
        <v>20</v>
      </c>
      <c r="M780">
        <v>20</v>
      </c>
    </row>
    <row r="781" spans="1:13" x14ac:dyDescent="0.25">
      <c r="A781" t="s">
        <v>1696</v>
      </c>
      <c r="B781" t="s">
        <v>1697</v>
      </c>
      <c r="C781" t="s">
        <v>20</v>
      </c>
      <c r="D781" t="s">
        <v>26</v>
      </c>
      <c r="F781">
        <v>0</v>
      </c>
      <c r="G781" t="s">
        <v>16</v>
      </c>
      <c r="H781">
        <v>0</v>
      </c>
      <c r="I781" s="2" t="s">
        <v>83</v>
      </c>
      <c r="J781" s="2" t="s">
        <v>1698</v>
      </c>
      <c r="K781">
        <v>20</v>
      </c>
      <c r="L781">
        <v>20</v>
      </c>
      <c r="M781">
        <v>20</v>
      </c>
    </row>
    <row r="782" spans="1:13" x14ac:dyDescent="0.25">
      <c r="A782">
        <v>12627010</v>
      </c>
      <c r="B782" t="s">
        <v>1699</v>
      </c>
      <c r="C782" t="s">
        <v>20</v>
      </c>
      <c r="D782" t="s">
        <v>26</v>
      </c>
      <c r="G782" t="s">
        <v>16</v>
      </c>
      <c r="H782">
        <v>0</v>
      </c>
      <c r="I782" s="2" t="s">
        <v>497</v>
      </c>
      <c r="J782" s="2">
        <v>12627010</v>
      </c>
      <c r="K782">
        <v>20</v>
      </c>
      <c r="L782">
        <v>20</v>
      </c>
      <c r="M782">
        <v>20</v>
      </c>
    </row>
    <row r="783" spans="1:13" x14ac:dyDescent="0.25">
      <c r="A783" t="s">
        <v>1700</v>
      </c>
      <c r="B783" t="s">
        <v>1701</v>
      </c>
      <c r="C783" t="s">
        <v>151</v>
      </c>
      <c r="F783">
        <v>2</v>
      </c>
      <c r="G783" t="s">
        <v>16</v>
      </c>
      <c r="H783">
        <v>0</v>
      </c>
      <c r="I783" s="2" t="s">
        <v>55</v>
      </c>
      <c r="J783" s="2" t="s">
        <v>1702</v>
      </c>
      <c r="K783">
        <v>20</v>
      </c>
      <c r="L783">
        <v>20</v>
      </c>
      <c r="M783">
        <v>20</v>
      </c>
    </row>
    <row r="784" spans="1:13" x14ac:dyDescent="0.25">
      <c r="A784">
        <v>12641870</v>
      </c>
      <c r="B784" t="s">
        <v>1703</v>
      </c>
      <c r="C784" t="s">
        <v>20</v>
      </c>
      <c r="D784" t="s">
        <v>26</v>
      </c>
      <c r="F784">
        <v>1</v>
      </c>
      <c r="G784" t="s">
        <v>16</v>
      </c>
      <c r="H784">
        <v>0</v>
      </c>
      <c r="I784" s="2" t="s">
        <v>497</v>
      </c>
      <c r="J784" s="2">
        <v>12641870</v>
      </c>
      <c r="K784">
        <v>20</v>
      </c>
      <c r="L784">
        <v>20</v>
      </c>
      <c r="M784">
        <v>20</v>
      </c>
    </row>
    <row r="785" spans="1:13" x14ac:dyDescent="0.25">
      <c r="A785" t="s">
        <v>1704</v>
      </c>
      <c r="B785" t="s">
        <v>1705</v>
      </c>
      <c r="C785" t="s">
        <v>151</v>
      </c>
      <c r="D785" t="s">
        <v>1670</v>
      </c>
      <c r="F785">
        <v>1</v>
      </c>
      <c r="G785" t="s">
        <v>16</v>
      </c>
      <c r="H785">
        <v>0</v>
      </c>
      <c r="I785" s="2" t="s">
        <v>51</v>
      </c>
      <c r="J785" s="2" t="s">
        <v>1704</v>
      </c>
      <c r="K785">
        <v>20</v>
      </c>
      <c r="L785">
        <v>20</v>
      </c>
      <c r="M785">
        <v>20</v>
      </c>
    </row>
    <row r="786" spans="1:13" x14ac:dyDescent="0.25">
      <c r="A786" t="s">
        <v>1706</v>
      </c>
      <c r="B786" t="s">
        <v>1705</v>
      </c>
      <c r="C786" t="s">
        <v>151</v>
      </c>
      <c r="D786" t="s">
        <v>1670</v>
      </c>
      <c r="F786">
        <v>2</v>
      </c>
      <c r="G786" t="s">
        <v>16</v>
      </c>
      <c r="H786">
        <v>0</v>
      </c>
      <c r="I786" s="2" t="s">
        <v>491</v>
      </c>
      <c r="J786" s="2">
        <v>359000603150</v>
      </c>
      <c r="K786">
        <v>20</v>
      </c>
      <c r="L786">
        <v>20</v>
      </c>
      <c r="M786">
        <v>20</v>
      </c>
    </row>
    <row r="787" spans="1:13" x14ac:dyDescent="0.25">
      <c r="A787" t="s">
        <v>1707</v>
      </c>
      <c r="B787" t="s">
        <v>1708</v>
      </c>
      <c r="C787" t="s">
        <v>151</v>
      </c>
      <c r="D787" t="s">
        <v>1670</v>
      </c>
      <c r="F787">
        <v>1</v>
      </c>
      <c r="G787" t="s">
        <v>16</v>
      </c>
      <c r="H787">
        <v>0</v>
      </c>
      <c r="I787" s="2" t="s">
        <v>51</v>
      </c>
      <c r="J787" s="2" t="s">
        <v>1707</v>
      </c>
      <c r="K787">
        <v>20</v>
      </c>
      <c r="L787">
        <v>20</v>
      </c>
      <c r="M787">
        <v>20</v>
      </c>
    </row>
    <row r="788" spans="1:13" x14ac:dyDescent="0.25">
      <c r="A788" t="s">
        <v>1709</v>
      </c>
      <c r="B788" t="s">
        <v>1708</v>
      </c>
      <c r="C788" t="s">
        <v>151</v>
      </c>
      <c r="F788">
        <v>1</v>
      </c>
      <c r="G788" t="s">
        <v>16</v>
      </c>
      <c r="H788">
        <v>0</v>
      </c>
      <c r="I788" s="2" t="s">
        <v>1710</v>
      </c>
      <c r="J788" s="2">
        <v>359000603140</v>
      </c>
      <c r="K788">
        <v>20</v>
      </c>
      <c r="L788">
        <v>20</v>
      </c>
      <c r="M788">
        <v>20</v>
      </c>
    </row>
    <row r="789" spans="1:13" x14ac:dyDescent="0.25">
      <c r="A789" t="s">
        <v>1711</v>
      </c>
      <c r="B789" t="s">
        <v>1712</v>
      </c>
      <c r="F789">
        <v>1</v>
      </c>
      <c r="G789" t="s">
        <v>16</v>
      </c>
      <c r="H789">
        <v>0</v>
      </c>
      <c r="I789" s="2" t="s">
        <v>1713</v>
      </c>
      <c r="J789" s="2">
        <v>5907602</v>
      </c>
      <c r="K789">
        <v>20</v>
      </c>
      <c r="L789">
        <v>20</v>
      </c>
      <c r="M789">
        <v>20</v>
      </c>
    </row>
    <row r="790" spans="1:13" x14ac:dyDescent="0.25">
      <c r="A790" t="s">
        <v>1714</v>
      </c>
      <c r="B790" t="s">
        <v>1715</v>
      </c>
      <c r="C790" t="s">
        <v>151</v>
      </c>
      <c r="F790">
        <v>4</v>
      </c>
      <c r="G790" t="s">
        <v>16</v>
      </c>
      <c r="H790">
        <v>0</v>
      </c>
      <c r="I790" s="2" t="s">
        <v>142</v>
      </c>
      <c r="J790" s="2" t="s">
        <v>1716</v>
      </c>
      <c r="K790">
        <v>20</v>
      </c>
      <c r="L790">
        <v>20</v>
      </c>
      <c r="M790">
        <v>20</v>
      </c>
    </row>
    <row r="791" spans="1:13" x14ac:dyDescent="0.25">
      <c r="A791" t="s">
        <v>1717</v>
      </c>
      <c r="B791" t="s">
        <v>1715</v>
      </c>
      <c r="C791" t="s">
        <v>151</v>
      </c>
      <c r="G791" t="s">
        <v>16</v>
      </c>
      <c r="H791">
        <v>0</v>
      </c>
      <c r="I791" s="2" t="s">
        <v>1713</v>
      </c>
      <c r="J791" s="2" t="s">
        <v>1718</v>
      </c>
      <c r="K791">
        <v>20</v>
      </c>
      <c r="L791">
        <v>20</v>
      </c>
      <c r="M791">
        <v>20</v>
      </c>
    </row>
    <row r="792" spans="1:13" x14ac:dyDescent="0.25">
      <c r="A792" t="s">
        <v>1719</v>
      </c>
      <c r="B792" t="s">
        <v>1715</v>
      </c>
      <c r="C792" t="s">
        <v>151</v>
      </c>
      <c r="F792">
        <v>1</v>
      </c>
      <c r="G792" t="s">
        <v>16</v>
      </c>
      <c r="H792">
        <v>0</v>
      </c>
      <c r="I792" s="2" t="s">
        <v>64</v>
      </c>
      <c r="J792" s="2" t="str">
        <f>"01090033"</f>
        <v>01090033</v>
      </c>
      <c r="K792">
        <v>20</v>
      </c>
      <c r="L792">
        <v>20</v>
      </c>
      <c r="M792">
        <v>20</v>
      </c>
    </row>
    <row r="793" spans="1:13" x14ac:dyDescent="0.25">
      <c r="A793" t="s">
        <v>1720</v>
      </c>
      <c r="B793" t="s">
        <v>1722</v>
      </c>
      <c r="G793" t="s">
        <v>16</v>
      </c>
      <c r="H793">
        <v>0</v>
      </c>
      <c r="I793" s="2" t="s">
        <v>1723</v>
      </c>
      <c r="J793" s="2" t="s">
        <v>1721</v>
      </c>
      <c r="K793">
        <v>20</v>
      </c>
      <c r="L793">
        <v>20</v>
      </c>
      <c r="M793">
        <v>20</v>
      </c>
    </row>
    <row r="794" spans="1:13" x14ac:dyDescent="0.25">
      <c r="A794" t="s">
        <v>1724</v>
      </c>
      <c r="B794" t="s">
        <v>1725</v>
      </c>
      <c r="C794" t="s">
        <v>151</v>
      </c>
      <c r="F794">
        <v>1</v>
      </c>
      <c r="G794" t="s">
        <v>16</v>
      </c>
      <c r="H794">
        <v>0</v>
      </c>
      <c r="I794" s="2" t="s">
        <v>1713</v>
      </c>
      <c r="J794" s="2">
        <v>59076010</v>
      </c>
      <c r="K794">
        <v>20</v>
      </c>
      <c r="L794">
        <v>20</v>
      </c>
      <c r="M794">
        <v>20</v>
      </c>
    </row>
    <row r="795" spans="1:13" x14ac:dyDescent="0.25">
      <c r="A795" t="s">
        <v>1726</v>
      </c>
      <c r="B795" t="s">
        <v>1725</v>
      </c>
      <c r="C795" t="s">
        <v>151</v>
      </c>
      <c r="G795" t="s">
        <v>16</v>
      </c>
      <c r="H795">
        <v>0</v>
      </c>
      <c r="I795" s="2" t="s">
        <v>1107</v>
      </c>
      <c r="J795" s="2" t="s">
        <v>1727</v>
      </c>
      <c r="K795">
        <v>20</v>
      </c>
      <c r="L795">
        <v>20</v>
      </c>
      <c r="M795">
        <v>20</v>
      </c>
    </row>
    <row r="796" spans="1:13" x14ac:dyDescent="0.25">
      <c r="A796" t="s">
        <v>1728</v>
      </c>
      <c r="B796" t="s">
        <v>1729</v>
      </c>
      <c r="F796">
        <v>3</v>
      </c>
      <c r="G796" t="s">
        <v>16</v>
      </c>
      <c r="H796">
        <v>0</v>
      </c>
      <c r="I796" s="2" t="s">
        <v>759</v>
      </c>
      <c r="J796" s="2" t="s">
        <v>1730</v>
      </c>
      <c r="K796">
        <v>20</v>
      </c>
      <c r="L796">
        <v>20</v>
      </c>
      <c r="M796">
        <v>20</v>
      </c>
    </row>
    <row r="797" spans="1:13" x14ac:dyDescent="0.25">
      <c r="A797" t="s">
        <v>1731</v>
      </c>
      <c r="B797" t="s">
        <v>1732</v>
      </c>
      <c r="C797" t="s">
        <v>151</v>
      </c>
      <c r="G797" t="s">
        <v>16</v>
      </c>
      <c r="H797">
        <v>0</v>
      </c>
      <c r="I797" s="2" t="s">
        <v>500</v>
      </c>
      <c r="J797" s="2" t="s">
        <v>1733</v>
      </c>
      <c r="K797">
        <v>20</v>
      </c>
      <c r="L797">
        <v>20</v>
      </c>
      <c r="M797">
        <v>20</v>
      </c>
    </row>
    <row r="798" spans="1:13" x14ac:dyDescent="0.25">
      <c r="A798" t="s">
        <v>1734</v>
      </c>
      <c r="B798" t="s">
        <v>1735</v>
      </c>
      <c r="C798" t="s">
        <v>1736</v>
      </c>
      <c r="G798" t="s">
        <v>16</v>
      </c>
      <c r="H798">
        <v>0</v>
      </c>
      <c r="I798" s="2" t="s">
        <v>1737</v>
      </c>
      <c r="J798" s="2" t="s">
        <v>1738</v>
      </c>
      <c r="K798">
        <v>20</v>
      </c>
      <c r="L798">
        <v>20</v>
      </c>
      <c r="M798">
        <v>20</v>
      </c>
    </row>
    <row r="799" spans="1:13" x14ac:dyDescent="0.25">
      <c r="A799" t="s">
        <v>1739</v>
      </c>
      <c r="B799" t="s">
        <v>1740</v>
      </c>
      <c r="C799" t="s">
        <v>1736</v>
      </c>
      <c r="F799">
        <v>3</v>
      </c>
      <c r="G799" t="s">
        <v>16</v>
      </c>
      <c r="H799">
        <v>0</v>
      </c>
      <c r="I799" s="2" t="s">
        <v>1741</v>
      </c>
      <c r="J799" s="2" t="s">
        <v>1742</v>
      </c>
      <c r="K799">
        <v>20</v>
      </c>
      <c r="L799">
        <v>20</v>
      </c>
      <c r="M799">
        <v>20</v>
      </c>
    </row>
    <row r="800" spans="1:13" x14ac:dyDescent="0.25">
      <c r="A800" t="s">
        <v>1743</v>
      </c>
      <c r="B800" t="s">
        <v>1744</v>
      </c>
      <c r="C800" t="s">
        <v>1736</v>
      </c>
      <c r="F800">
        <v>2</v>
      </c>
      <c r="G800" t="s">
        <v>16</v>
      </c>
      <c r="H800">
        <v>0</v>
      </c>
      <c r="I800" s="2" t="s">
        <v>1745</v>
      </c>
      <c r="J800" s="2">
        <v>12107303</v>
      </c>
      <c r="K800">
        <v>20</v>
      </c>
      <c r="L800">
        <v>20</v>
      </c>
      <c r="M800">
        <v>20</v>
      </c>
    </row>
    <row r="801" spans="1:13" x14ac:dyDescent="0.25">
      <c r="A801" t="s">
        <v>1746</v>
      </c>
      <c r="B801" t="s">
        <v>1744</v>
      </c>
      <c r="C801" t="s">
        <v>1736</v>
      </c>
      <c r="F801">
        <v>2</v>
      </c>
      <c r="G801" t="s">
        <v>16</v>
      </c>
      <c r="H801">
        <v>0</v>
      </c>
      <c r="I801" s="2" t="s">
        <v>522</v>
      </c>
      <c r="J801" s="2" t="str">
        <f>"01032"</f>
        <v>01032</v>
      </c>
      <c r="K801">
        <v>20</v>
      </c>
      <c r="L801">
        <v>20</v>
      </c>
      <c r="M801">
        <v>20</v>
      </c>
    </row>
    <row r="802" spans="1:13" x14ac:dyDescent="0.25">
      <c r="A802" t="s">
        <v>1747</v>
      </c>
      <c r="B802" t="s">
        <v>1740</v>
      </c>
      <c r="C802" t="s">
        <v>540</v>
      </c>
      <c r="D802" t="s">
        <v>1736</v>
      </c>
      <c r="F802">
        <v>1</v>
      </c>
      <c r="G802" t="s">
        <v>16</v>
      </c>
      <c r="H802">
        <v>0</v>
      </c>
      <c r="I802" s="2" t="s">
        <v>1748</v>
      </c>
      <c r="J802" s="2" t="s">
        <v>1749</v>
      </c>
      <c r="K802">
        <v>20</v>
      </c>
      <c r="L802">
        <v>20</v>
      </c>
      <c r="M802">
        <v>20</v>
      </c>
    </row>
    <row r="803" spans="1:13" x14ac:dyDescent="0.25">
      <c r="A803" t="s">
        <v>1750</v>
      </c>
      <c r="B803" t="s">
        <v>1751</v>
      </c>
      <c r="C803" t="s">
        <v>540</v>
      </c>
      <c r="D803" t="s">
        <v>1736</v>
      </c>
      <c r="G803" t="s">
        <v>16</v>
      </c>
      <c r="H803">
        <v>0</v>
      </c>
      <c r="I803" s="2" t="s">
        <v>1748</v>
      </c>
      <c r="J803" s="2" t="s">
        <v>1752</v>
      </c>
      <c r="K803">
        <v>20</v>
      </c>
      <c r="L803">
        <v>20</v>
      </c>
      <c r="M803">
        <v>20</v>
      </c>
    </row>
    <row r="804" spans="1:13" x14ac:dyDescent="0.25">
      <c r="A804" t="s">
        <v>1753</v>
      </c>
      <c r="B804" t="s">
        <v>1754</v>
      </c>
      <c r="C804" t="s">
        <v>1736</v>
      </c>
      <c r="F804">
        <v>5</v>
      </c>
      <c r="G804" t="s">
        <v>16</v>
      </c>
      <c r="H804">
        <v>0</v>
      </c>
      <c r="I804" s="2" t="s">
        <v>1107</v>
      </c>
      <c r="J804" s="2" t="s">
        <v>1755</v>
      </c>
      <c r="K804">
        <v>20</v>
      </c>
      <c r="L804">
        <v>20</v>
      </c>
      <c r="M804">
        <v>20</v>
      </c>
    </row>
    <row r="805" spans="1:13" x14ac:dyDescent="0.25">
      <c r="A805" t="s">
        <v>1756</v>
      </c>
      <c r="B805" t="s">
        <v>1757</v>
      </c>
      <c r="C805" t="s">
        <v>1736</v>
      </c>
      <c r="F805">
        <v>1</v>
      </c>
      <c r="G805" t="s">
        <v>16</v>
      </c>
      <c r="H805">
        <v>0</v>
      </c>
      <c r="I805" s="2" t="s">
        <v>1748</v>
      </c>
      <c r="J805" s="2" t="s">
        <v>1758</v>
      </c>
      <c r="K805">
        <v>20</v>
      </c>
      <c r="L805">
        <v>20</v>
      </c>
      <c r="M805">
        <v>20</v>
      </c>
    </row>
    <row r="806" spans="1:13" x14ac:dyDescent="0.25">
      <c r="A806" t="s">
        <v>1759</v>
      </c>
      <c r="B806" t="s">
        <v>1760</v>
      </c>
      <c r="C806" t="s">
        <v>540</v>
      </c>
      <c r="D806" t="s">
        <v>1736</v>
      </c>
      <c r="G806" t="s">
        <v>16</v>
      </c>
      <c r="H806">
        <v>0</v>
      </c>
      <c r="I806" s="2" t="s">
        <v>1745</v>
      </c>
      <c r="J806" s="2">
        <v>12607541</v>
      </c>
      <c r="K806">
        <v>20</v>
      </c>
      <c r="L806">
        <v>20</v>
      </c>
      <c r="M806">
        <v>20</v>
      </c>
    </row>
    <row r="807" spans="1:13" x14ac:dyDescent="0.25">
      <c r="A807" t="s">
        <v>1761</v>
      </c>
      <c r="B807" t="s">
        <v>1762</v>
      </c>
      <c r="C807" t="s">
        <v>1736</v>
      </c>
      <c r="F807">
        <v>2</v>
      </c>
      <c r="G807" t="s">
        <v>16</v>
      </c>
      <c r="H807">
        <v>0</v>
      </c>
      <c r="I807" s="2" t="s">
        <v>1763</v>
      </c>
      <c r="J807" s="2" t="s">
        <v>1764</v>
      </c>
      <c r="K807">
        <v>20</v>
      </c>
      <c r="L807">
        <v>20</v>
      </c>
      <c r="M807">
        <v>20</v>
      </c>
    </row>
    <row r="808" spans="1:13" x14ac:dyDescent="0.25">
      <c r="A808" t="s">
        <v>1765</v>
      </c>
      <c r="B808" t="s">
        <v>1762</v>
      </c>
      <c r="C808" t="s">
        <v>1736</v>
      </c>
      <c r="F808">
        <v>2</v>
      </c>
      <c r="G808" t="s">
        <v>16</v>
      </c>
      <c r="H808">
        <v>0</v>
      </c>
      <c r="I808" s="2" t="s">
        <v>1745</v>
      </c>
      <c r="J808" s="2">
        <v>12107301</v>
      </c>
      <c r="K808">
        <v>20</v>
      </c>
      <c r="L808">
        <v>20</v>
      </c>
      <c r="M808">
        <v>20</v>
      </c>
    </row>
    <row r="809" spans="1:13" x14ac:dyDescent="0.25">
      <c r="A809" t="s">
        <v>1766</v>
      </c>
      <c r="B809" t="s">
        <v>1762</v>
      </c>
      <c r="C809" t="s">
        <v>1736</v>
      </c>
      <c r="F809">
        <v>3</v>
      </c>
      <c r="G809" t="s">
        <v>16</v>
      </c>
      <c r="H809">
        <v>0</v>
      </c>
      <c r="I809" s="2" t="s">
        <v>522</v>
      </c>
      <c r="J809" s="2" t="str">
        <f>"01004"</f>
        <v>01004</v>
      </c>
      <c r="K809">
        <v>20</v>
      </c>
      <c r="L809">
        <v>20</v>
      </c>
      <c r="M809">
        <v>20</v>
      </c>
    </row>
    <row r="810" spans="1:13" x14ac:dyDescent="0.25">
      <c r="A810" t="s">
        <v>1767</v>
      </c>
      <c r="B810" t="s">
        <v>1768</v>
      </c>
      <c r="C810" t="s">
        <v>1736</v>
      </c>
      <c r="G810" t="s">
        <v>16</v>
      </c>
      <c r="H810">
        <v>0</v>
      </c>
      <c r="I810" s="2" t="s">
        <v>1748</v>
      </c>
      <c r="J810" s="2" t="s">
        <v>1769</v>
      </c>
      <c r="K810">
        <v>20</v>
      </c>
      <c r="L810">
        <v>20</v>
      </c>
      <c r="M810">
        <v>20</v>
      </c>
    </row>
    <row r="811" spans="1:13" x14ac:dyDescent="0.25">
      <c r="A811" t="s">
        <v>1770</v>
      </c>
      <c r="B811" t="s">
        <v>1771</v>
      </c>
      <c r="C811" t="s">
        <v>1736</v>
      </c>
      <c r="F811">
        <v>3</v>
      </c>
      <c r="G811" t="s">
        <v>16</v>
      </c>
      <c r="H811">
        <v>0</v>
      </c>
      <c r="I811" s="2" t="s">
        <v>383</v>
      </c>
      <c r="J811" s="2">
        <v>3397004629</v>
      </c>
      <c r="K811">
        <v>20</v>
      </c>
      <c r="L811">
        <v>20</v>
      </c>
      <c r="M811">
        <v>20</v>
      </c>
    </row>
    <row r="812" spans="1:13" x14ac:dyDescent="0.25">
      <c r="A812" t="s">
        <v>1772</v>
      </c>
      <c r="B812" t="s">
        <v>1773</v>
      </c>
      <c r="C812" t="s">
        <v>1736</v>
      </c>
      <c r="G812" t="s">
        <v>16</v>
      </c>
      <c r="H812">
        <v>0</v>
      </c>
      <c r="I812" s="2" t="s">
        <v>1748</v>
      </c>
      <c r="J812" s="2" t="s">
        <v>1774</v>
      </c>
      <c r="K812">
        <v>20</v>
      </c>
      <c r="L812">
        <v>20</v>
      </c>
      <c r="M812">
        <v>20</v>
      </c>
    </row>
    <row r="813" spans="1:13" x14ac:dyDescent="0.25">
      <c r="A813" t="s">
        <v>1775</v>
      </c>
      <c r="B813" t="s">
        <v>1776</v>
      </c>
      <c r="C813" t="s">
        <v>540</v>
      </c>
      <c r="D813" t="s">
        <v>1736</v>
      </c>
      <c r="G813" t="s">
        <v>16</v>
      </c>
      <c r="H813">
        <v>0</v>
      </c>
      <c r="I813" s="2" t="s">
        <v>1748</v>
      </c>
      <c r="J813" s="2" t="s">
        <v>1777</v>
      </c>
      <c r="K813">
        <v>20</v>
      </c>
      <c r="L813">
        <v>20</v>
      </c>
      <c r="M813">
        <v>20</v>
      </c>
    </row>
    <row r="814" spans="1:13" x14ac:dyDescent="0.25">
      <c r="A814" t="s">
        <v>1778</v>
      </c>
      <c r="B814" t="s">
        <v>1779</v>
      </c>
      <c r="C814" t="s">
        <v>1736</v>
      </c>
      <c r="F814">
        <v>1</v>
      </c>
      <c r="G814" t="s">
        <v>16</v>
      </c>
      <c r="H814">
        <v>0</v>
      </c>
      <c r="I814" s="2" t="s">
        <v>988</v>
      </c>
      <c r="J814" s="2" t="s">
        <v>1780</v>
      </c>
      <c r="K814">
        <v>20</v>
      </c>
      <c r="L814">
        <v>20</v>
      </c>
      <c r="M814">
        <v>20</v>
      </c>
    </row>
    <row r="815" spans="1:13" x14ac:dyDescent="0.25">
      <c r="A815" t="s">
        <v>1781</v>
      </c>
      <c r="B815" t="s">
        <v>1782</v>
      </c>
      <c r="C815" t="s">
        <v>1736</v>
      </c>
      <c r="F815">
        <v>1</v>
      </c>
      <c r="G815" t="s">
        <v>16</v>
      </c>
      <c r="H815">
        <v>0</v>
      </c>
      <c r="I815" s="2" t="s">
        <v>759</v>
      </c>
      <c r="J815" s="2" t="s">
        <v>1783</v>
      </c>
      <c r="K815">
        <v>20</v>
      </c>
      <c r="L815">
        <v>20</v>
      </c>
      <c r="M815">
        <v>20</v>
      </c>
    </row>
    <row r="816" spans="1:13" x14ac:dyDescent="0.25">
      <c r="A816" t="s">
        <v>1784</v>
      </c>
      <c r="B816" t="s">
        <v>1782</v>
      </c>
      <c r="C816" t="s">
        <v>1736</v>
      </c>
      <c r="F816">
        <v>0</v>
      </c>
      <c r="G816" t="s">
        <v>16</v>
      </c>
      <c r="H816">
        <v>0</v>
      </c>
      <c r="I816" s="2" t="s">
        <v>685</v>
      </c>
      <c r="J816" s="2" t="str">
        <f>"0390241538"</f>
        <v>0390241538</v>
      </c>
      <c r="K816">
        <v>20</v>
      </c>
      <c r="L816">
        <v>20</v>
      </c>
      <c r="M816">
        <v>20</v>
      </c>
    </row>
    <row r="817" spans="1:13" x14ac:dyDescent="0.25">
      <c r="A817" t="s">
        <v>1785</v>
      </c>
      <c r="B817" t="s">
        <v>1786</v>
      </c>
      <c r="C817" t="s">
        <v>1736</v>
      </c>
      <c r="G817" t="s">
        <v>16</v>
      </c>
      <c r="H817">
        <v>0</v>
      </c>
      <c r="I817" s="2" t="s">
        <v>1107</v>
      </c>
      <c r="K817">
        <v>20</v>
      </c>
      <c r="L817">
        <v>20</v>
      </c>
      <c r="M817">
        <v>20</v>
      </c>
    </row>
    <row r="818" spans="1:13" x14ac:dyDescent="0.25">
      <c r="A818" t="s">
        <v>1787</v>
      </c>
      <c r="B818" t="s">
        <v>1782</v>
      </c>
      <c r="C818" t="s">
        <v>1736</v>
      </c>
      <c r="F818">
        <v>2</v>
      </c>
      <c r="G818" t="s">
        <v>16</v>
      </c>
      <c r="H818">
        <v>0</v>
      </c>
      <c r="I818" s="2" t="s">
        <v>500</v>
      </c>
      <c r="J818" s="2" t="s">
        <v>1788</v>
      </c>
      <c r="K818">
        <v>20</v>
      </c>
      <c r="L818">
        <v>20</v>
      </c>
      <c r="M818">
        <v>20</v>
      </c>
    </row>
    <row r="819" spans="1:13" x14ac:dyDescent="0.25">
      <c r="A819" t="s">
        <v>1789</v>
      </c>
      <c r="B819" t="s">
        <v>1791</v>
      </c>
      <c r="C819" t="s">
        <v>1736</v>
      </c>
      <c r="F819">
        <v>1</v>
      </c>
      <c r="G819" t="s">
        <v>16</v>
      </c>
      <c r="H819">
        <v>0</v>
      </c>
      <c r="I819" s="2" t="s">
        <v>1137</v>
      </c>
      <c r="J819" s="2" t="s">
        <v>1790</v>
      </c>
      <c r="K819">
        <v>20</v>
      </c>
      <c r="L819">
        <v>20</v>
      </c>
      <c r="M819">
        <v>20</v>
      </c>
    </row>
    <row r="820" spans="1:13" x14ac:dyDescent="0.25">
      <c r="A820" t="s">
        <v>1792</v>
      </c>
      <c r="B820" t="s">
        <v>1782</v>
      </c>
      <c r="C820" t="s">
        <v>1736</v>
      </c>
      <c r="F820">
        <v>1</v>
      </c>
      <c r="G820" t="s">
        <v>16</v>
      </c>
      <c r="H820">
        <v>0</v>
      </c>
      <c r="I820" s="2" t="s">
        <v>1137</v>
      </c>
      <c r="J820" s="2" t="s">
        <v>1793</v>
      </c>
      <c r="K820">
        <v>20</v>
      </c>
      <c r="L820">
        <v>20</v>
      </c>
      <c r="M820">
        <v>20</v>
      </c>
    </row>
    <row r="821" spans="1:13" x14ac:dyDescent="0.25">
      <c r="A821" t="s">
        <v>1794</v>
      </c>
      <c r="B821" t="s">
        <v>1795</v>
      </c>
      <c r="C821" t="s">
        <v>1736</v>
      </c>
      <c r="F821">
        <v>4</v>
      </c>
      <c r="G821" t="s">
        <v>16</v>
      </c>
      <c r="H821">
        <v>0</v>
      </c>
      <c r="I821" s="2" t="s">
        <v>500</v>
      </c>
      <c r="J821" s="2" t="s">
        <v>1796</v>
      </c>
      <c r="K821">
        <v>20</v>
      </c>
      <c r="L821">
        <v>20</v>
      </c>
      <c r="M821">
        <v>20</v>
      </c>
    </row>
    <row r="822" spans="1:13" x14ac:dyDescent="0.25">
      <c r="A822" t="s">
        <v>1797</v>
      </c>
      <c r="B822" t="s">
        <v>1798</v>
      </c>
      <c r="C822" t="s">
        <v>1736</v>
      </c>
      <c r="F822">
        <v>1</v>
      </c>
      <c r="G822" t="s">
        <v>16</v>
      </c>
      <c r="H822">
        <v>0</v>
      </c>
      <c r="I822" s="2" t="s">
        <v>500</v>
      </c>
      <c r="J822" s="2" t="s">
        <v>1799</v>
      </c>
      <c r="K822">
        <v>20</v>
      </c>
      <c r="L822">
        <v>20</v>
      </c>
      <c r="M822">
        <v>20</v>
      </c>
    </row>
    <row r="823" spans="1:13" x14ac:dyDescent="0.25">
      <c r="A823" t="s">
        <v>1800</v>
      </c>
      <c r="B823" t="s">
        <v>1798</v>
      </c>
      <c r="C823" t="s">
        <v>1736</v>
      </c>
      <c r="F823">
        <v>1</v>
      </c>
      <c r="G823" t="s">
        <v>16</v>
      </c>
      <c r="H823">
        <v>0</v>
      </c>
      <c r="I823" s="2" t="s">
        <v>1802</v>
      </c>
      <c r="J823" s="2" t="s">
        <v>1801</v>
      </c>
      <c r="K823">
        <v>20</v>
      </c>
      <c r="L823">
        <v>20</v>
      </c>
      <c r="M823">
        <v>20</v>
      </c>
    </row>
    <row r="824" spans="1:13" x14ac:dyDescent="0.25">
      <c r="A824" t="s">
        <v>1803</v>
      </c>
      <c r="B824" t="s">
        <v>1798</v>
      </c>
      <c r="C824" t="s">
        <v>540</v>
      </c>
      <c r="D824" t="s">
        <v>1736</v>
      </c>
      <c r="G824" t="s">
        <v>16</v>
      </c>
      <c r="H824">
        <v>0</v>
      </c>
      <c r="I824" s="2" t="s">
        <v>1463</v>
      </c>
      <c r="K824">
        <v>20</v>
      </c>
      <c r="L824">
        <v>20</v>
      </c>
      <c r="M824">
        <v>20</v>
      </c>
    </row>
    <row r="825" spans="1:13" x14ac:dyDescent="0.25">
      <c r="A825" t="s">
        <v>1804</v>
      </c>
      <c r="B825" t="s">
        <v>1798</v>
      </c>
      <c r="C825" t="s">
        <v>540</v>
      </c>
      <c r="D825" t="s">
        <v>1736</v>
      </c>
      <c r="G825" t="s">
        <v>16</v>
      </c>
      <c r="H825">
        <v>0</v>
      </c>
      <c r="I825" s="2" t="s">
        <v>1107</v>
      </c>
      <c r="J825" s="2" t="s">
        <v>1805</v>
      </c>
      <c r="K825">
        <v>20</v>
      </c>
      <c r="L825">
        <v>20</v>
      </c>
      <c r="M825">
        <v>20</v>
      </c>
    </row>
    <row r="826" spans="1:13" x14ac:dyDescent="0.25">
      <c r="A826" t="s">
        <v>1806</v>
      </c>
      <c r="B826" t="s">
        <v>1798</v>
      </c>
      <c r="C826" t="s">
        <v>1736</v>
      </c>
      <c r="F826">
        <v>1</v>
      </c>
      <c r="G826" t="s">
        <v>16</v>
      </c>
      <c r="H826">
        <v>0</v>
      </c>
      <c r="I826" s="2" t="s">
        <v>1807</v>
      </c>
      <c r="J826" s="2" t="s">
        <v>1808</v>
      </c>
      <c r="K826">
        <v>20</v>
      </c>
      <c r="L826">
        <v>20</v>
      </c>
      <c r="M826">
        <v>20</v>
      </c>
    </row>
    <row r="827" spans="1:13" x14ac:dyDescent="0.25">
      <c r="A827" t="s">
        <v>1809</v>
      </c>
      <c r="B827" t="s">
        <v>1810</v>
      </c>
      <c r="C827" t="s">
        <v>1736</v>
      </c>
      <c r="F827">
        <v>1</v>
      </c>
      <c r="G827" t="s">
        <v>16</v>
      </c>
      <c r="H827">
        <v>0</v>
      </c>
      <c r="I827" s="2" t="s">
        <v>1745</v>
      </c>
      <c r="J827" s="2" t="s">
        <v>1811</v>
      </c>
      <c r="K827">
        <v>20</v>
      </c>
      <c r="L827">
        <v>20</v>
      </c>
      <c r="M827">
        <v>20</v>
      </c>
    </row>
    <row r="828" spans="1:13" x14ac:dyDescent="0.25">
      <c r="A828" t="s">
        <v>1812</v>
      </c>
      <c r="B828" t="s">
        <v>1810</v>
      </c>
      <c r="C828" t="s">
        <v>1736</v>
      </c>
      <c r="F828">
        <v>1</v>
      </c>
      <c r="G828" t="s">
        <v>16</v>
      </c>
      <c r="H828">
        <v>0</v>
      </c>
      <c r="I828" s="2" t="s">
        <v>500</v>
      </c>
      <c r="J828" s="2" t="s">
        <v>1813</v>
      </c>
      <c r="K828">
        <v>20</v>
      </c>
      <c r="L828">
        <v>20</v>
      </c>
      <c r="M828">
        <v>20</v>
      </c>
    </row>
    <row r="829" spans="1:13" x14ac:dyDescent="0.25">
      <c r="A829" t="s">
        <v>1814</v>
      </c>
      <c r="B829" t="s">
        <v>1810</v>
      </c>
      <c r="C829" t="s">
        <v>540</v>
      </c>
      <c r="D829" t="s">
        <v>1736</v>
      </c>
      <c r="G829" t="s">
        <v>16</v>
      </c>
      <c r="H829">
        <v>0</v>
      </c>
      <c r="I829" s="2" t="s">
        <v>1200</v>
      </c>
      <c r="J829" s="2" t="s">
        <v>1815</v>
      </c>
      <c r="K829">
        <v>20</v>
      </c>
      <c r="L829">
        <v>20</v>
      </c>
      <c r="M829">
        <v>20</v>
      </c>
    </row>
    <row r="830" spans="1:13" x14ac:dyDescent="0.25">
      <c r="A830" t="s">
        <v>1816</v>
      </c>
      <c r="B830" t="s">
        <v>1817</v>
      </c>
      <c r="C830" t="s">
        <v>1736</v>
      </c>
      <c r="G830" t="s">
        <v>16</v>
      </c>
      <c r="H830">
        <v>0</v>
      </c>
      <c r="K830">
        <v>20</v>
      </c>
      <c r="L830">
        <v>20</v>
      </c>
      <c r="M830">
        <v>20</v>
      </c>
    </row>
    <row r="831" spans="1:13" x14ac:dyDescent="0.25">
      <c r="A831" t="s">
        <v>1818</v>
      </c>
      <c r="B831" t="s">
        <v>1819</v>
      </c>
      <c r="C831" t="s">
        <v>1736</v>
      </c>
      <c r="F831">
        <v>3</v>
      </c>
      <c r="G831" t="s">
        <v>16</v>
      </c>
      <c r="H831">
        <v>0</v>
      </c>
      <c r="I831" s="2" t="s">
        <v>500</v>
      </c>
      <c r="J831" s="2" t="s">
        <v>1820</v>
      </c>
      <c r="K831">
        <v>20</v>
      </c>
      <c r="L831">
        <v>20</v>
      </c>
      <c r="M831">
        <v>20</v>
      </c>
    </row>
    <row r="832" spans="1:13" x14ac:dyDescent="0.25">
      <c r="A832" t="s">
        <v>1821</v>
      </c>
      <c r="B832" t="s">
        <v>1819</v>
      </c>
      <c r="C832" t="s">
        <v>540</v>
      </c>
      <c r="D832" t="s">
        <v>1736</v>
      </c>
      <c r="G832" t="s">
        <v>16</v>
      </c>
      <c r="H832">
        <v>0</v>
      </c>
      <c r="I832" s="2" t="s">
        <v>1463</v>
      </c>
      <c r="J832" s="2" t="s">
        <v>1822</v>
      </c>
      <c r="K832">
        <v>20</v>
      </c>
      <c r="L832">
        <v>20</v>
      </c>
      <c r="M832">
        <v>20</v>
      </c>
    </row>
    <row r="833" spans="1:13" x14ac:dyDescent="0.25">
      <c r="A833" t="s">
        <v>1823</v>
      </c>
      <c r="B833" t="s">
        <v>1819</v>
      </c>
      <c r="C833" t="s">
        <v>540</v>
      </c>
      <c r="D833" t="s">
        <v>1736</v>
      </c>
      <c r="G833" t="s">
        <v>16</v>
      </c>
      <c r="H833">
        <v>0</v>
      </c>
      <c r="I833" s="2" t="s">
        <v>1200</v>
      </c>
      <c r="J833" s="2" t="s">
        <v>1824</v>
      </c>
      <c r="K833">
        <v>20</v>
      </c>
      <c r="L833">
        <v>20</v>
      </c>
      <c r="M833">
        <v>20</v>
      </c>
    </row>
    <row r="834" spans="1:13" x14ac:dyDescent="0.25">
      <c r="A834" t="s">
        <v>1825</v>
      </c>
      <c r="B834" t="s">
        <v>1819</v>
      </c>
      <c r="C834" t="s">
        <v>1736</v>
      </c>
      <c r="G834" t="s">
        <v>16</v>
      </c>
      <c r="H834">
        <v>0</v>
      </c>
      <c r="I834" s="2" t="s">
        <v>1737</v>
      </c>
      <c r="J834" s="2" t="s">
        <v>1826</v>
      </c>
      <c r="K834">
        <v>20</v>
      </c>
      <c r="L834">
        <v>20</v>
      </c>
      <c r="M834">
        <v>20</v>
      </c>
    </row>
    <row r="835" spans="1:13" x14ac:dyDescent="0.25">
      <c r="A835" t="s">
        <v>1827</v>
      </c>
      <c r="B835" t="s">
        <v>1819</v>
      </c>
      <c r="C835" t="s">
        <v>1736</v>
      </c>
      <c r="F835">
        <v>1</v>
      </c>
      <c r="G835" t="s">
        <v>16</v>
      </c>
      <c r="H835">
        <v>0</v>
      </c>
      <c r="I835" s="2" t="s">
        <v>1807</v>
      </c>
      <c r="J835" s="2" t="s">
        <v>1826</v>
      </c>
      <c r="K835">
        <v>20</v>
      </c>
      <c r="L835">
        <v>20</v>
      </c>
      <c r="M835">
        <v>20</v>
      </c>
    </row>
    <row r="836" spans="1:13" x14ac:dyDescent="0.25">
      <c r="A836" t="s">
        <v>1828</v>
      </c>
      <c r="B836" t="s">
        <v>1829</v>
      </c>
      <c r="C836" t="s">
        <v>1736</v>
      </c>
      <c r="F836">
        <v>1</v>
      </c>
      <c r="G836" t="s">
        <v>16</v>
      </c>
      <c r="H836">
        <v>0</v>
      </c>
      <c r="I836" s="2" t="s">
        <v>64</v>
      </c>
      <c r="J836" s="2" t="str">
        <f>"05110044"</f>
        <v>05110044</v>
      </c>
      <c r="K836">
        <v>20</v>
      </c>
      <c r="L836">
        <v>20</v>
      </c>
      <c r="M836">
        <v>20</v>
      </c>
    </row>
    <row r="837" spans="1:13" x14ac:dyDescent="0.25">
      <c r="A837" t="s">
        <v>1830</v>
      </c>
      <c r="B837" t="s">
        <v>1831</v>
      </c>
      <c r="C837" t="s">
        <v>1736</v>
      </c>
      <c r="G837" t="s">
        <v>16</v>
      </c>
      <c r="H837">
        <v>0</v>
      </c>
      <c r="I837" s="2" t="s">
        <v>165</v>
      </c>
      <c r="J837" s="2">
        <v>207944</v>
      </c>
      <c r="K837">
        <v>20</v>
      </c>
      <c r="L837">
        <v>20</v>
      </c>
      <c r="M837">
        <v>20</v>
      </c>
    </row>
    <row r="838" spans="1:13" x14ac:dyDescent="0.25">
      <c r="A838">
        <v>12855195</v>
      </c>
      <c r="B838" t="s">
        <v>1832</v>
      </c>
      <c r="C838" t="s">
        <v>20</v>
      </c>
      <c r="F838">
        <v>40</v>
      </c>
      <c r="G838" t="s">
        <v>16</v>
      </c>
      <c r="H838">
        <v>0</v>
      </c>
      <c r="I838" s="2" t="s">
        <v>497</v>
      </c>
      <c r="J838" s="2">
        <v>12855195</v>
      </c>
      <c r="K838">
        <v>20</v>
      </c>
      <c r="L838">
        <v>20</v>
      </c>
      <c r="M838">
        <v>20</v>
      </c>
    </row>
    <row r="839" spans="1:13" x14ac:dyDescent="0.25">
      <c r="A839">
        <v>12992338</v>
      </c>
      <c r="B839" t="s">
        <v>1833</v>
      </c>
      <c r="C839" t="s">
        <v>20</v>
      </c>
      <c r="G839" t="s">
        <v>16</v>
      </c>
      <c r="H839">
        <v>0</v>
      </c>
      <c r="I839" s="2" t="s">
        <v>497</v>
      </c>
      <c r="J839" s="2">
        <v>12992338</v>
      </c>
      <c r="K839">
        <v>20</v>
      </c>
      <c r="L839">
        <v>20</v>
      </c>
      <c r="M839">
        <v>20</v>
      </c>
    </row>
    <row r="840" spans="1:13" x14ac:dyDescent="0.25">
      <c r="A840" t="s">
        <v>1834</v>
      </c>
      <c r="B840" t="s">
        <v>1835</v>
      </c>
      <c r="C840" t="s">
        <v>357</v>
      </c>
      <c r="D840" t="s">
        <v>1836</v>
      </c>
      <c r="G840" t="s">
        <v>16</v>
      </c>
      <c r="H840">
        <v>0</v>
      </c>
      <c r="I840" s="2" t="s">
        <v>598</v>
      </c>
      <c r="J840" s="2">
        <v>356995</v>
      </c>
      <c r="K840">
        <v>20</v>
      </c>
      <c r="L840">
        <v>20</v>
      </c>
      <c r="M840">
        <v>20</v>
      </c>
    </row>
    <row r="841" spans="1:13" x14ac:dyDescent="0.25">
      <c r="A841" t="s">
        <v>1837</v>
      </c>
      <c r="B841" t="s">
        <v>1838</v>
      </c>
      <c r="C841" t="s">
        <v>357</v>
      </c>
      <c r="D841" t="s">
        <v>1836</v>
      </c>
      <c r="G841" t="s">
        <v>16</v>
      </c>
      <c r="H841">
        <v>0</v>
      </c>
      <c r="I841" s="2" t="s">
        <v>500</v>
      </c>
      <c r="J841" s="2" t="s">
        <v>1839</v>
      </c>
      <c r="K841">
        <v>20</v>
      </c>
      <c r="L841">
        <v>20</v>
      </c>
      <c r="M841">
        <v>20</v>
      </c>
    </row>
    <row r="842" spans="1:13" x14ac:dyDescent="0.25">
      <c r="A842" t="s">
        <v>1840</v>
      </c>
      <c r="B842" t="s">
        <v>1841</v>
      </c>
      <c r="C842" t="s">
        <v>357</v>
      </c>
      <c r="D842" t="s">
        <v>1836</v>
      </c>
      <c r="G842" t="s">
        <v>16</v>
      </c>
      <c r="H842">
        <v>0</v>
      </c>
      <c r="I842" s="2" t="s">
        <v>500</v>
      </c>
      <c r="J842" s="2" t="s">
        <v>1842</v>
      </c>
      <c r="K842">
        <v>20</v>
      </c>
      <c r="L842">
        <v>20</v>
      </c>
      <c r="M842">
        <v>20</v>
      </c>
    </row>
    <row r="843" spans="1:13" x14ac:dyDescent="0.25">
      <c r="A843" t="s">
        <v>1843</v>
      </c>
      <c r="B843" t="s">
        <v>1844</v>
      </c>
      <c r="C843" t="s">
        <v>357</v>
      </c>
      <c r="D843" t="s">
        <v>1836</v>
      </c>
      <c r="G843" t="s">
        <v>16</v>
      </c>
      <c r="H843">
        <v>0</v>
      </c>
      <c r="I843" s="2" t="s">
        <v>500</v>
      </c>
      <c r="J843" s="2" t="s">
        <v>1845</v>
      </c>
      <c r="K843">
        <v>20</v>
      </c>
      <c r="L843">
        <v>20</v>
      </c>
      <c r="M843">
        <v>20</v>
      </c>
    </row>
    <row r="844" spans="1:13" x14ac:dyDescent="0.25">
      <c r="A844" t="s">
        <v>1846</v>
      </c>
      <c r="B844" t="s">
        <v>1848</v>
      </c>
      <c r="C844" t="s">
        <v>357</v>
      </c>
      <c r="D844" t="s">
        <v>1836</v>
      </c>
      <c r="F844">
        <v>1</v>
      </c>
      <c r="G844" t="s">
        <v>16</v>
      </c>
      <c r="H844">
        <v>0</v>
      </c>
      <c r="I844" s="2" t="s">
        <v>1849</v>
      </c>
      <c r="J844" s="2" t="s">
        <v>1847</v>
      </c>
      <c r="K844">
        <v>20</v>
      </c>
      <c r="L844">
        <v>20</v>
      </c>
      <c r="M844">
        <v>20</v>
      </c>
    </row>
    <row r="845" spans="1:13" x14ac:dyDescent="0.25">
      <c r="A845" t="s">
        <v>1850</v>
      </c>
      <c r="B845" t="s">
        <v>1851</v>
      </c>
      <c r="C845" t="s">
        <v>357</v>
      </c>
      <c r="D845" t="s">
        <v>1836</v>
      </c>
      <c r="F845">
        <v>1</v>
      </c>
      <c r="G845" t="s">
        <v>16</v>
      </c>
      <c r="H845">
        <v>0</v>
      </c>
      <c r="I845" s="2" t="s">
        <v>1852</v>
      </c>
      <c r="J845" s="2" t="s">
        <v>1853</v>
      </c>
      <c r="K845">
        <v>20</v>
      </c>
      <c r="L845">
        <v>20</v>
      </c>
      <c r="M845">
        <v>20</v>
      </c>
    </row>
    <row r="846" spans="1:13" x14ac:dyDescent="0.25">
      <c r="A846" t="s">
        <v>1854</v>
      </c>
      <c r="B846" t="s">
        <v>1855</v>
      </c>
      <c r="C846" t="s">
        <v>357</v>
      </c>
      <c r="D846" t="s">
        <v>1836</v>
      </c>
      <c r="F846">
        <v>1</v>
      </c>
      <c r="G846" t="s">
        <v>16</v>
      </c>
      <c r="H846">
        <v>0</v>
      </c>
      <c r="I846" s="2" t="s">
        <v>598</v>
      </c>
      <c r="J846" s="2">
        <v>371100</v>
      </c>
      <c r="K846">
        <v>20</v>
      </c>
      <c r="L846">
        <v>20</v>
      </c>
      <c r="M846">
        <v>20</v>
      </c>
    </row>
    <row r="847" spans="1:13" x14ac:dyDescent="0.25">
      <c r="A847" t="s">
        <v>1856</v>
      </c>
      <c r="B847" t="s">
        <v>1855</v>
      </c>
      <c r="C847" t="s">
        <v>357</v>
      </c>
      <c r="D847" t="s">
        <v>1836</v>
      </c>
      <c r="G847" t="s">
        <v>16</v>
      </c>
      <c r="H847">
        <v>0</v>
      </c>
      <c r="I847" s="2" t="s">
        <v>1175</v>
      </c>
      <c r="J847" s="2" t="s">
        <v>1857</v>
      </c>
      <c r="K847">
        <v>20</v>
      </c>
      <c r="L847">
        <v>20</v>
      </c>
      <c r="M847">
        <v>20</v>
      </c>
    </row>
    <row r="848" spans="1:13" x14ac:dyDescent="0.25">
      <c r="A848" t="s">
        <v>1858</v>
      </c>
      <c r="B848" t="s">
        <v>1860</v>
      </c>
      <c r="C848" t="s">
        <v>357</v>
      </c>
      <c r="D848" t="s">
        <v>1836</v>
      </c>
      <c r="F848">
        <v>1</v>
      </c>
      <c r="G848" t="s">
        <v>16</v>
      </c>
      <c r="H848">
        <v>0</v>
      </c>
      <c r="I848" s="2" t="s">
        <v>1861</v>
      </c>
      <c r="J848" s="2" t="s">
        <v>1859</v>
      </c>
      <c r="K848">
        <v>20</v>
      </c>
      <c r="L848">
        <v>20</v>
      </c>
      <c r="M848">
        <v>20</v>
      </c>
    </row>
    <row r="849" spans="1:13" x14ac:dyDescent="0.25">
      <c r="A849" t="s">
        <v>1862</v>
      </c>
      <c r="B849" t="s">
        <v>1863</v>
      </c>
      <c r="C849" t="s">
        <v>357</v>
      </c>
      <c r="D849" t="s">
        <v>1836</v>
      </c>
      <c r="F849">
        <v>1</v>
      </c>
      <c r="G849" t="s">
        <v>16</v>
      </c>
      <c r="H849">
        <v>0</v>
      </c>
      <c r="I849" s="2" t="s">
        <v>598</v>
      </c>
      <c r="J849" s="2">
        <v>371400</v>
      </c>
      <c r="K849">
        <v>20</v>
      </c>
      <c r="L849">
        <v>20</v>
      </c>
      <c r="M849">
        <v>20</v>
      </c>
    </row>
    <row r="850" spans="1:13" x14ac:dyDescent="0.25">
      <c r="A850" t="s">
        <v>1864</v>
      </c>
      <c r="B850" t="s">
        <v>1865</v>
      </c>
      <c r="C850" t="s">
        <v>357</v>
      </c>
      <c r="D850" t="s">
        <v>1836</v>
      </c>
      <c r="G850" t="s">
        <v>16</v>
      </c>
      <c r="H850">
        <v>0</v>
      </c>
      <c r="I850" s="2" t="s">
        <v>1671</v>
      </c>
      <c r="J850" s="2">
        <v>346195</v>
      </c>
      <c r="K850">
        <v>20</v>
      </c>
      <c r="L850">
        <v>20</v>
      </c>
      <c r="M850">
        <v>20</v>
      </c>
    </row>
    <row r="851" spans="1:13" x14ac:dyDescent="0.25">
      <c r="A851" t="s">
        <v>1866</v>
      </c>
      <c r="B851" t="s">
        <v>1865</v>
      </c>
      <c r="C851" t="s">
        <v>357</v>
      </c>
      <c r="D851" t="s">
        <v>1836</v>
      </c>
      <c r="F851">
        <v>1</v>
      </c>
      <c r="G851" t="s">
        <v>16</v>
      </c>
      <c r="H851">
        <v>0</v>
      </c>
      <c r="I851" s="2" t="s">
        <v>162</v>
      </c>
      <c r="J851" s="2">
        <v>80154</v>
      </c>
      <c r="K851">
        <v>20</v>
      </c>
      <c r="L851">
        <v>20</v>
      </c>
      <c r="M851">
        <v>20</v>
      </c>
    </row>
    <row r="852" spans="1:13" x14ac:dyDescent="0.25">
      <c r="A852" t="s">
        <v>1867</v>
      </c>
      <c r="B852" t="s">
        <v>1868</v>
      </c>
      <c r="C852" t="s">
        <v>357</v>
      </c>
      <c r="D852" t="s">
        <v>1836</v>
      </c>
      <c r="G852" t="s">
        <v>16</v>
      </c>
      <c r="H852">
        <v>0</v>
      </c>
      <c r="I852" s="2" t="s">
        <v>1107</v>
      </c>
      <c r="J852" s="2" t="s">
        <v>1869</v>
      </c>
      <c r="K852">
        <v>20</v>
      </c>
      <c r="L852">
        <v>20</v>
      </c>
      <c r="M852">
        <v>20</v>
      </c>
    </row>
    <row r="853" spans="1:13" x14ac:dyDescent="0.25">
      <c r="A853" t="s">
        <v>1870</v>
      </c>
      <c r="B853" t="s">
        <v>1871</v>
      </c>
      <c r="C853" t="s">
        <v>357</v>
      </c>
      <c r="D853" t="s">
        <v>1836</v>
      </c>
      <c r="F853">
        <v>0</v>
      </c>
      <c r="G853" t="s">
        <v>16</v>
      </c>
      <c r="H853">
        <v>0</v>
      </c>
      <c r="I853" s="2" t="s">
        <v>1872</v>
      </c>
      <c r="J853" s="2" t="s">
        <v>1873</v>
      </c>
      <c r="K853">
        <v>20</v>
      </c>
      <c r="L853">
        <v>20</v>
      </c>
      <c r="M853">
        <v>20</v>
      </c>
    </row>
    <row r="854" spans="1:13" x14ac:dyDescent="0.25">
      <c r="A854" t="s">
        <v>1874</v>
      </c>
      <c r="B854" t="s">
        <v>1871</v>
      </c>
      <c r="C854" t="s">
        <v>357</v>
      </c>
      <c r="D854" t="s">
        <v>1836</v>
      </c>
      <c r="G854" t="s">
        <v>16</v>
      </c>
      <c r="H854">
        <v>0</v>
      </c>
      <c r="I854" s="2" t="s">
        <v>500</v>
      </c>
      <c r="J854" s="2" t="s">
        <v>1875</v>
      </c>
      <c r="K854">
        <v>20</v>
      </c>
      <c r="L854">
        <v>20</v>
      </c>
      <c r="M854">
        <v>20</v>
      </c>
    </row>
    <row r="855" spans="1:13" x14ac:dyDescent="0.25">
      <c r="A855" t="s">
        <v>1876</v>
      </c>
      <c r="B855" t="s">
        <v>1871</v>
      </c>
      <c r="C855" t="s">
        <v>357</v>
      </c>
      <c r="D855" t="s">
        <v>1836</v>
      </c>
      <c r="G855" t="s">
        <v>16</v>
      </c>
      <c r="H855">
        <v>0</v>
      </c>
      <c r="I855" s="2" t="s">
        <v>500</v>
      </c>
      <c r="J855" s="2" t="s">
        <v>1877</v>
      </c>
      <c r="K855">
        <v>20</v>
      </c>
      <c r="L855">
        <v>20</v>
      </c>
      <c r="M855">
        <v>20</v>
      </c>
    </row>
    <row r="856" spans="1:13" x14ac:dyDescent="0.25">
      <c r="A856" t="s">
        <v>1878</v>
      </c>
      <c r="B856" t="s">
        <v>1879</v>
      </c>
      <c r="C856" t="s">
        <v>357</v>
      </c>
      <c r="D856" t="s">
        <v>1836</v>
      </c>
      <c r="F856">
        <v>1</v>
      </c>
      <c r="G856" t="s">
        <v>16</v>
      </c>
      <c r="H856">
        <v>0</v>
      </c>
      <c r="I856" s="2" t="s">
        <v>1880</v>
      </c>
      <c r="J856" s="2" t="s">
        <v>1873</v>
      </c>
      <c r="K856">
        <v>20</v>
      </c>
      <c r="L856">
        <v>20</v>
      </c>
      <c r="M856">
        <v>20</v>
      </c>
    </row>
    <row r="857" spans="1:13" x14ac:dyDescent="0.25">
      <c r="A857" t="s">
        <v>1881</v>
      </c>
      <c r="B857" t="s">
        <v>1882</v>
      </c>
      <c r="C857" t="s">
        <v>357</v>
      </c>
      <c r="D857" t="s">
        <v>1836</v>
      </c>
      <c r="F857">
        <v>1</v>
      </c>
      <c r="G857" t="s">
        <v>16</v>
      </c>
      <c r="H857">
        <v>0</v>
      </c>
      <c r="I857" s="2" t="s">
        <v>1849</v>
      </c>
      <c r="J857" s="2" t="s">
        <v>1883</v>
      </c>
      <c r="K857">
        <v>20</v>
      </c>
      <c r="L857">
        <v>20</v>
      </c>
      <c r="M857">
        <v>20</v>
      </c>
    </row>
    <row r="858" spans="1:13" x14ac:dyDescent="0.25">
      <c r="A858" t="s">
        <v>1884</v>
      </c>
      <c r="B858" t="s">
        <v>1886</v>
      </c>
      <c r="C858" t="s">
        <v>357</v>
      </c>
      <c r="D858" t="s">
        <v>1836</v>
      </c>
      <c r="F858">
        <v>3</v>
      </c>
      <c r="G858" t="s">
        <v>16</v>
      </c>
      <c r="H858">
        <v>0</v>
      </c>
      <c r="I858" s="2" t="s">
        <v>1849</v>
      </c>
      <c r="J858" s="2" t="s">
        <v>1885</v>
      </c>
      <c r="K858">
        <v>20</v>
      </c>
      <c r="L858">
        <v>20</v>
      </c>
      <c r="M858">
        <v>20</v>
      </c>
    </row>
    <row r="859" spans="1:13" x14ac:dyDescent="0.25">
      <c r="A859" t="s">
        <v>1887</v>
      </c>
      <c r="B859" t="s">
        <v>1889</v>
      </c>
      <c r="C859" t="s">
        <v>357</v>
      </c>
      <c r="D859" t="s">
        <v>1836</v>
      </c>
      <c r="F859">
        <v>1</v>
      </c>
      <c r="G859" t="s">
        <v>16</v>
      </c>
      <c r="H859">
        <v>0</v>
      </c>
      <c r="I859" s="2" t="s">
        <v>1849</v>
      </c>
      <c r="J859" s="2" t="s">
        <v>1888</v>
      </c>
      <c r="K859">
        <v>20</v>
      </c>
      <c r="L859">
        <v>20</v>
      </c>
      <c r="M859">
        <v>20</v>
      </c>
    </row>
    <row r="860" spans="1:13" x14ac:dyDescent="0.25">
      <c r="A860" t="s">
        <v>1890</v>
      </c>
      <c r="B860" t="s">
        <v>1892</v>
      </c>
      <c r="C860" t="s">
        <v>357</v>
      </c>
      <c r="D860" t="s">
        <v>1836</v>
      </c>
      <c r="F860">
        <v>1</v>
      </c>
      <c r="G860" t="s">
        <v>16</v>
      </c>
      <c r="H860">
        <v>0</v>
      </c>
      <c r="I860" s="2" t="s">
        <v>1880</v>
      </c>
      <c r="J860" s="2" t="s">
        <v>1891</v>
      </c>
      <c r="K860">
        <v>20</v>
      </c>
      <c r="L860">
        <v>20</v>
      </c>
      <c r="M860">
        <v>20</v>
      </c>
    </row>
    <row r="861" spans="1:13" x14ac:dyDescent="0.25">
      <c r="A861" t="s">
        <v>1893</v>
      </c>
      <c r="B861" t="s">
        <v>1894</v>
      </c>
      <c r="C861" t="s">
        <v>357</v>
      </c>
      <c r="D861" t="s">
        <v>1836</v>
      </c>
      <c r="F861">
        <v>2</v>
      </c>
      <c r="G861" t="s">
        <v>16</v>
      </c>
      <c r="H861">
        <v>0</v>
      </c>
      <c r="I861" s="2" t="s">
        <v>500</v>
      </c>
      <c r="J861" s="2" t="s">
        <v>1895</v>
      </c>
      <c r="K861">
        <v>20</v>
      </c>
      <c r="L861">
        <v>20</v>
      </c>
      <c r="M861">
        <v>20</v>
      </c>
    </row>
    <row r="862" spans="1:13" x14ac:dyDescent="0.25">
      <c r="A862" t="s">
        <v>1896</v>
      </c>
      <c r="B862" t="s">
        <v>1897</v>
      </c>
      <c r="C862" t="s">
        <v>357</v>
      </c>
      <c r="D862" t="s">
        <v>1836</v>
      </c>
      <c r="G862" t="s">
        <v>16</v>
      </c>
      <c r="H862">
        <v>0</v>
      </c>
      <c r="I862" s="2" t="s">
        <v>500</v>
      </c>
      <c r="J862" s="2" t="s">
        <v>1898</v>
      </c>
      <c r="K862">
        <v>20</v>
      </c>
      <c r="L862">
        <v>20</v>
      </c>
      <c r="M862">
        <v>20</v>
      </c>
    </row>
    <row r="863" spans="1:13" x14ac:dyDescent="0.25">
      <c r="A863" t="s">
        <v>1899</v>
      </c>
      <c r="B863" t="s">
        <v>1900</v>
      </c>
      <c r="C863" t="s">
        <v>357</v>
      </c>
      <c r="D863" t="s">
        <v>1836</v>
      </c>
      <c r="F863">
        <v>1</v>
      </c>
      <c r="G863" t="s">
        <v>16</v>
      </c>
      <c r="H863">
        <v>0</v>
      </c>
      <c r="I863" s="2" t="s">
        <v>842</v>
      </c>
      <c r="J863" s="2">
        <v>732825</v>
      </c>
      <c r="K863">
        <v>20</v>
      </c>
      <c r="L863">
        <v>20</v>
      </c>
      <c r="M863">
        <v>20</v>
      </c>
    </row>
    <row r="864" spans="1:13" x14ac:dyDescent="0.25">
      <c r="A864" t="s">
        <v>1901</v>
      </c>
      <c r="B864" t="s">
        <v>1902</v>
      </c>
      <c r="C864" t="s">
        <v>357</v>
      </c>
      <c r="D864" t="s">
        <v>1836</v>
      </c>
      <c r="G864" t="s">
        <v>16</v>
      </c>
      <c r="H864">
        <v>0</v>
      </c>
      <c r="I864" s="2" t="s">
        <v>500</v>
      </c>
      <c r="J864" s="2" t="s">
        <v>1903</v>
      </c>
      <c r="K864">
        <v>20</v>
      </c>
      <c r="L864">
        <v>20</v>
      </c>
      <c r="M864">
        <v>20</v>
      </c>
    </row>
    <row r="865" spans="1:13" x14ac:dyDescent="0.25">
      <c r="A865" t="s">
        <v>1904</v>
      </c>
      <c r="B865" t="s">
        <v>1905</v>
      </c>
      <c r="C865" t="s">
        <v>357</v>
      </c>
      <c r="D865" t="s">
        <v>1836</v>
      </c>
      <c r="F865">
        <v>1</v>
      </c>
      <c r="G865" t="s">
        <v>16</v>
      </c>
      <c r="H865">
        <v>0</v>
      </c>
      <c r="I865" s="2" t="s">
        <v>1906</v>
      </c>
      <c r="J865" s="2">
        <v>58203</v>
      </c>
      <c r="K865">
        <v>20</v>
      </c>
      <c r="L865">
        <v>20</v>
      </c>
      <c r="M865">
        <v>20</v>
      </c>
    </row>
    <row r="866" spans="1:13" x14ac:dyDescent="0.25">
      <c r="A866" t="s">
        <v>1907</v>
      </c>
      <c r="B866" t="s">
        <v>1908</v>
      </c>
      <c r="C866" t="s">
        <v>357</v>
      </c>
      <c r="D866" t="s">
        <v>1836</v>
      </c>
      <c r="G866" t="s">
        <v>16</v>
      </c>
      <c r="H866">
        <v>0</v>
      </c>
      <c r="I866" s="2" t="s">
        <v>1909</v>
      </c>
      <c r="J866" s="2">
        <v>63096</v>
      </c>
      <c r="K866">
        <v>20</v>
      </c>
      <c r="L866">
        <v>20</v>
      </c>
      <c r="M866">
        <v>20</v>
      </c>
    </row>
    <row r="867" spans="1:13" x14ac:dyDescent="0.25">
      <c r="A867" t="s">
        <v>1910</v>
      </c>
      <c r="B867" t="s">
        <v>1911</v>
      </c>
      <c r="C867" t="s">
        <v>357</v>
      </c>
      <c r="D867" t="s">
        <v>1836</v>
      </c>
      <c r="F867">
        <v>1</v>
      </c>
      <c r="G867" t="s">
        <v>16</v>
      </c>
      <c r="H867">
        <v>0</v>
      </c>
      <c r="I867" s="2" t="s">
        <v>1872</v>
      </c>
      <c r="J867" s="2" t="s">
        <v>1912</v>
      </c>
      <c r="K867">
        <v>20</v>
      </c>
      <c r="L867">
        <v>20</v>
      </c>
      <c r="M867">
        <v>20</v>
      </c>
    </row>
    <row r="868" spans="1:13" x14ac:dyDescent="0.25">
      <c r="A868" t="s">
        <v>1913</v>
      </c>
      <c r="B868" t="s">
        <v>1914</v>
      </c>
      <c r="C868" t="s">
        <v>357</v>
      </c>
      <c r="D868" t="s">
        <v>1836</v>
      </c>
      <c r="F868">
        <v>1</v>
      </c>
      <c r="G868" t="s">
        <v>16</v>
      </c>
      <c r="H868">
        <v>0</v>
      </c>
      <c r="I868" s="2" t="s">
        <v>598</v>
      </c>
      <c r="J868" s="2">
        <v>363500</v>
      </c>
      <c r="K868">
        <v>20</v>
      </c>
      <c r="L868">
        <v>20</v>
      </c>
      <c r="M868">
        <v>20</v>
      </c>
    </row>
    <row r="869" spans="1:13" x14ac:dyDescent="0.25">
      <c r="A869" t="s">
        <v>1915</v>
      </c>
      <c r="B869" t="s">
        <v>1914</v>
      </c>
      <c r="C869" t="s">
        <v>357</v>
      </c>
      <c r="D869" t="s">
        <v>1836</v>
      </c>
      <c r="G869" t="s">
        <v>16</v>
      </c>
      <c r="H869">
        <v>0</v>
      </c>
      <c r="I869" s="2" t="s">
        <v>500</v>
      </c>
      <c r="J869" s="2" t="s">
        <v>1916</v>
      </c>
      <c r="K869">
        <v>20</v>
      </c>
      <c r="L869">
        <v>20</v>
      </c>
      <c r="M869">
        <v>20</v>
      </c>
    </row>
    <row r="870" spans="1:13" x14ac:dyDescent="0.25">
      <c r="A870" t="s">
        <v>1917</v>
      </c>
      <c r="B870" t="s">
        <v>1918</v>
      </c>
      <c r="C870" t="s">
        <v>357</v>
      </c>
      <c r="D870" t="s">
        <v>1836</v>
      </c>
      <c r="F870">
        <v>2</v>
      </c>
      <c r="G870" t="s">
        <v>16</v>
      </c>
      <c r="H870">
        <v>0</v>
      </c>
      <c r="I870" s="2" t="s">
        <v>1906</v>
      </c>
      <c r="J870" s="2">
        <v>54668</v>
      </c>
      <c r="K870">
        <v>20</v>
      </c>
      <c r="L870">
        <v>20</v>
      </c>
      <c r="M870">
        <v>20</v>
      </c>
    </row>
    <row r="871" spans="1:13" x14ac:dyDescent="0.25">
      <c r="A871" t="s">
        <v>1919</v>
      </c>
      <c r="B871" t="s">
        <v>1892</v>
      </c>
      <c r="C871" t="s">
        <v>357</v>
      </c>
      <c r="D871" t="s">
        <v>1836</v>
      </c>
      <c r="F871">
        <v>1</v>
      </c>
      <c r="G871" t="s">
        <v>16</v>
      </c>
      <c r="H871">
        <v>0</v>
      </c>
      <c r="I871" s="2" t="s">
        <v>1906</v>
      </c>
      <c r="J871" s="2">
        <v>50562</v>
      </c>
      <c r="K871">
        <v>20</v>
      </c>
      <c r="L871">
        <v>20</v>
      </c>
      <c r="M871">
        <v>20</v>
      </c>
    </row>
    <row r="872" spans="1:13" x14ac:dyDescent="0.25">
      <c r="A872" t="s">
        <v>1920</v>
      </c>
      <c r="B872" t="s">
        <v>1914</v>
      </c>
      <c r="C872" t="s">
        <v>357</v>
      </c>
      <c r="D872" t="s">
        <v>1836</v>
      </c>
      <c r="G872" t="s">
        <v>16</v>
      </c>
      <c r="H872">
        <v>0</v>
      </c>
      <c r="I872" s="2" t="s">
        <v>1861</v>
      </c>
      <c r="J872" s="2" t="s">
        <v>1921</v>
      </c>
      <c r="K872">
        <v>20</v>
      </c>
      <c r="L872">
        <v>20</v>
      </c>
      <c r="M872">
        <v>20</v>
      </c>
    </row>
    <row r="873" spans="1:13" x14ac:dyDescent="0.25">
      <c r="A873" t="s">
        <v>1922</v>
      </c>
      <c r="B873" t="s">
        <v>1923</v>
      </c>
      <c r="C873" t="s">
        <v>357</v>
      </c>
      <c r="D873" t="s">
        <v>1836</v>
      </c>
      <c r="F873">
        <v>1</v>
      </c>
      <c r="G873" t="s">
        <v>16</v>
      </c>
      <c r="H873">
        <v>0</v>
      </c>
      <c r="I873" s="2" t="s">
        <v>500</v>
      </c>
      <c r="J873" s="2" t="s">
        <v>1924</v>
      </c>
      <c r="K873">
        <v>20</v>
      </c>
      <c r="L873">
        <v>20</v>
      </c>
      <c r="M873">
        <v>20</v>
      </c>
    </row>
    <row r="874" spans="1:13" x14ac:dyDescent="0.25">
      <c r="A874" t="s">
        <v>1925</v>
      </c>
      <c r="B874" t="s">
        <v>1927</v>
      </c>
      <c r="C874" t="s">
        <v>357</v>
      </c>
      <c r="D874" t="s">
        <v>1836</v>
      </c>
      <c r="G874" t="s">
        <v>16</v>
      </c>
      <c r="H874">
        <v>0</v>
      </c>
      <c r="I874" s="2" t="s">
        <v>1872</v>
      </c>
      <c r="J874" s="2" t="s">
        <v>1926</v>
      </c>
      <c r="K874">
        <v>20</v>
      </c>
      <c r="L874">
        <v>20</v>
      </c>
      <c r="M874">
        <v>20</v>
      </c>
    </row>
    <row r="875" spans="1:13" x14ac:dyDescent="0.25">
      <c r="A875" t="s">
        <v>1928</v>
      </c>
      <c r="B875" t="s">
        <v>1927</v>
      </c>
      <c r="C875" t="s">
        <v>357</v>
      </c>
      <c r="D875" t="s">
        <v>1836</v>
      </c>
      <c r="F875">
        <v>1</v>
      </c>
      <c r="G875" t="s">
        <v>16</v>
      </c>
      <c r="H875">
        <v>0</v>
      </c>
      <c r="I875" s="2" t="s">
        <v>1671</v>
      </c>
      <c r="J875" s="2">
        <v>347495</v>
      </c>
      <c r="K875">
        <v>20</v>
      </c>
      <c r="L875">
        <v>20</v>
      </c>
      <c r="M875">
        <v>20</v>
      </c>
    </row>
    <row r="876" spans="1:13" x14ac:dyDescent="0.25">
      <c r="A876" t="s">
        <v>1929</v>
      </c>
      <c r="B876" t="s">
        <v>1927</v>
      </c>
      <c r="C876" t="s">
        <v>357</v>
      </c>
      <c r="D876" t="s">
        <v>1836</v>
      </c>
      <c r="G876" t="s">
        <v>16</v>
      </c>
      <c r="H876">
        <v>0</v>
      </c>
      <c r="I876" s="2" t="s">
        <v>1175</v>
      </c>
      <c r="J876" s="2" t="s">
        <v>1930</v>
      </c>
      <c r="K876">
        <v>20</v>
      </c>
      <c r="L876">
        <v>20</v>
      </c>
      <c r="M876">
        <v>20</v>
      </c>
    </row>
    <row r="877" spans="1:13" x14ac:dyDescent="0.25">
      <c r="A877" t="s">
        <v>1931</v>
      </c>
      <c r="B877" t="s">
        <v>1932</v>
      </c>
      <c r="C877" t="s">
        <v>357</v>
      </c>
      <c r="D877" t="s">
        <v>1836</v>
      </c>
      <c r="G877" t="s">
        <v>16</v>
      </c>
      <c r="H877">
        <v>0</v>
      </c>
      <c r="I877" s="2" t="s">
        <v>1933</v>
      </c>
      <c r="J877" s="2">
        <v>63094</v>
      </c>
      <c r="K877">
        <v>20</v>
      </c>
      <c r="L877">
        <v>20</v>
      </c>
      <c r="M877">
        <v>20</v>
      </c>
    </row>
    <row r="878" spans="1:13" x14ac:dyDescent="0.25">
      <c r="A878" t="s">
        <v>1934</v>
      </c>
      <c r="B878" t="s">
        <v>1935</v>
      </c>
      <c r="C878" t="s">
        <v>357</v>
      </c>
      <c r="D878" t="s">
        <v>1836</v>
      </c>
      <c r="F878">
        <v>2</v>
      </c>
      <c r="G878" t="s">
        <v>16</v>
      </c>
      <c r="H878">
        <v>0</v>
      </c>
      <c r="I878" s="2" t="s">
        <v>1906</v>
      </c>
      <c r="J878" s="2">
        <v>54753</v>
      </c>
      <c r="K878">
        <v>20</v>
      </c>
      <c r="L878">
        <v>20</v>
      </c>
      <c r="M878">
        <v>20</v>
      </c>
    </row>
    <row r="879" spans="1:13" x14ac:dyDescent="0.25">
      <c r="A879" t="s">
        <v>1936</v>
      </c>
      <c r="B879" t="s">
        <v>1938</v>
      </c>
      <c r="C879" t="s">
        <v>357</v>
      </c>
      <c r="D879" t="s">
        <v>1836</v>
      </c>
      <c r="F879">
        <v>0</v>
      </c>
      <c r="G879" t="s">
        <v>16</v>
      </c>
      <c r="H879">
        <v>0</v>
      </c>
      <c r="I879" s="2" t="s">
        <v>1849</v>
      </c>
      <c r="J879" s="2" t="s">
        <v>1937</v>
      </c>
      <c r="K879">
        <v>20</v>
      </c>
      <c r="L879">
        <v>20</v>
      </c>
      <c r="M879">
        <v>20</v>
      </c>
    </row>
    <row r="880" spans="1:13" x14ac:dyDescent="0.25">
      <c r="A880" t="s">
        <v>1939</v>
      </c>
      <c r="B880" t="s">
        <v>1940</v>
      </c>
      <c r="C880" t="s">
        <v>357</v>
      </c>
      <c r="D880" t="s">
        <v>1836</v>
      </c>
      <c r="G880" t="s">
        <v>16</v>
      </c>
      <c r="H880">
        <v>0</v>
      </c>
      <c r="I880" s="2" t="s">
        <v>319</v>
      </c>
      <c r="J880" s="2" t="s">
        <v>1941</v>
      </c>
      <c r="K880">
        <v>20</v>
      </c>
      <c r="L880">
        <v>20</v>
      </c>
      <c r="M880">
        <v>20</v>
      </c>
    </row>
    <row r="881" spans="1:13" x14ac:dyDescent="0.25">
      <c r="A881" t="s">
        <v>1942</v>
      </c>
      <c r="B881" t="s">
        <v>1940</v>
      </c>
      <c r="C881" t="s">
        <v>357</v>
      </c>
      <c r="D881" t="s">
        <v>1836</v>
      </c>
      <c r="F881">
        <v>2</v>
      </c>
      <c r="G881" t="s">
        <v>16</v>
      </c>
      <c r="H881">
        <v>0</v>
      </c>
      <c r="I881" s="2" t="s">
        <v>1906</v>
      </c>
      <c r="J881" s="2">
        <v>53442</v>
      </c>
      <c r="K881">
        <v>20</v>
      </c>
      <c r="L881">
        <v>20</v>
      </c>
      <c r="M881">
        <v>20</v>
      </c>
    </row>
    <row r="882" spans="1:13" x14ac:dyDescent="0.25">
      <c r="A882" t="s">
        <v>1943</v>
      </c>
      <c r="B882" t="s">
        <v>1944</v>
      </c>
      <c r="C882" t="s">
        <v>357</v>
      </c>
      <c r="D882" t="s">
        <v>1836</v>
      </c>
      <c r="F882">
        <v>1</v>
      </c>
      <c r="G882" t="s">
        <v>16</v>
      </c>
      <c r="H882">
        <v>0</v>
      </c>
      <c r="I882" s="2" t="s">
        <v>64</v>
      </c>
      <c r="J882" s="2" t="str">
        <f>"08040056"</f>
        <v>08040056</v>
      </c>
      <c r="K882">
        <v>20</v>
      </c>
      <c r="L882">
        <v>20</v>
      </c>
      <c r="M882">
        <v>20</v>
      </c>
    </row>
    <row r="883" spans="1:13" x14ac:dyDescent="0.25">
      <c r="A883" t="s">
        <v>1945</v>
      </c>
      <c r="B883" t="s">
        <v>1944</v>
      </c>
      <c r="C883" t="s">
        <v>357</v>
      </c>
      <c r="D883" t="s">
        <v>1836</v>
      </c>
      <c r="G883" t="s">
        <v>16</v>
      </c>
      <c r="H883">
        <v>0</v>
      </c>
      <c r="I883" s="2" t="s">
        <v>500</v>
      </c>
      <c r="J883" s="2" t="s">
        <v>1946</v>
      </c>
      <c r="K883">
        <v>20</v>
      </c>
      <c r="L883">
        <v>20</v>
      </c>
      <c r="M883">
        <v>20</v>
      </c>
    </row>
    <row r="884" spans="1:13" x14ac:dyDescent="0.25">
      <c r="A884" t="s">
        <v>1947</v>
      </c>
      <c r="B884" t="s">
        <v>1944</v>
      </c>
      <c r="C884" t="s">
        <v>357</v>
      </c>
      <c r="D884" t="s">
        <v>1836</v>
      </c>
      <c r="F884">
        <v>1</v>
      </c>
      <c r="G884" t="s">
        <v>16</v>
      </c>
      <c r="H884">
        <v>0</v>
      </c>
      <c r="I884" s="2" t="s">
        <v>1906</v>
      </c>
      <c r="J884" s="2">
        <v>53415</v>
      </c>
      <c r="K884">
        <v>20</v>
      </c>
      <c r="L884">
        <v>20</v>
      </c>
      <c r="M884">
        <v>20</v>
      </c>
    </row>
    <row r="885" spans="1:13" x14ac:dyDescent="0.25">
      <c r="A885" t="s">
        <v>1948</v>
      </c>
      <c r="B885" t="s">
        <v>1944</v>
      </c>
      <c r="C885" t="s">
        <v>357</v>
      </c>
      <c r="D885" t="s">
        <v>1836</v>
      </c>
      <c r="F885">
        <v>1</v>
      </c>
      <c r="G885" t="s">
        <v>16</v>
      </c>
      <c r="H885">
        <v>0</v>
      </c>
      <c r="I885" s="2" t="s">
        <v>1849</v>
      </c>
      <c r="J885" s="2" t="s">
        <v>1949</v>
      </c>
      <c r="K885">
        <v>20</v>
      </c>
      <c r="L885">
        <v>20</v>
      </c>
      <c r="M885">
        <v>20</v>
      </c>
    </row>
    <row r="886" spans="1:13" x14ac:dyDescent="0.25">
      <c r="A886" t="s">
        <v>1950</v>
      </c>
      <c r="B886" t="s">
        <v>1951</v>
      </c>
      <c r="C886" t="s">
        <v>357</v>
      </c>
      <c r="D886" t="s">
        <v>1836</v>
      </c>
      <c r="G886" t="s">
        <v>16</v>
      </c>
      <c r="H886">
        <v>0</v>
      </c>
      <c r="K886">
        <v>20</v>
      </c>
      <c r="L886">
        <v>20</v>
      </c>
      <c r="M886">
        <v>20</v>
      </c>
    </row>
    <row r="887" spans="1:13" x14ac:dyDescent="0.25">
      <c r="A887" t="s">
        <v>1952</v>
      </c>
      <c r="B887" t="s">
        <v>1953</v>
      </c>
      <c r="C887" t="s">
        <v>357</v>
      </c>
      <c r="D887" t="s">
        <v>1836</v>
      </c>
      <c r="F887">
        <v>1</v>
      </c>
      <c r="G887" t="s">
        <v>16</v>
      </c>
      <c r="H887">
        <v>0</v>
      </c>
      <c r="I887" s="2" t="s">
        <v>1906</v>
      </c>
      <c r="J887" s="2">
        <v>55341</v>
      </c>
      <c r="K887">
        <v>20</v>
      </c>
      <c r="L887">
        <v>20</v>
      </c>
      <c r="M887">
        <v>20</v>
      </c>
    </row>
    <row r="888" spans="1:13" x14ac:dyDescent="0.25">
      <c r="A888" t="s">
        <v>1954</v>
      </c>
      <c r="B888" t="s">
        <v>1956</v>
      </c>
      <c r="C888" t="s">
        <v>357</v>
      </c>
      <c r="D888" t="s">
        <v>1836</v>
      </c>
      <c r="F888">
        <v>0</v>
      </c>
      <c r="G888" t="s">
        <v>16</v>
      </c>
      <c r="H888">
        <v>0</v>
      </c>
      <c r="I888" s="2" t="s">
        <v>1880</v>
      </c>
      <c r="J888" s="2" t="s">
        <v>1955</v>
      </c>
      <c r="K888">
        <v>20</v>
      </c>
      <c r="L888">
        <v>20</v>
      </c>
      <c r="M888">
        <v>20</v>
      </c>
    </row>
    <row r="889" spans="1:13" x14ac:dyDescent="0.25">
      <c r="A889" t="s">
        <v>1957</v>
      </c>
      <c r="B889" t="s">
        <v>1956</v>
      </c>
      <c r="C889" t="s">
        <v>357</v>
      </c>
      <c r="D889" t="s">
        <v>1836</v>
      </c>
      <c r="F889">
        <v>0</v>
      </c>
      <c r="G889" t="s">
        <v>16</v>
      </c>
      <c r="H889">
        <v>0</v>
      </c>
      <c r="I889" s="2" t="s">
        <v>1861</v>
      </c>
      <c r="J889" s="2" t="s">
        <v>1958</v>
      </c>
      <c r="K889">
        <v>20</v>
      </c>
      <c r="L889">
        <v>20</v>
      </c>
      <c r="M889">
        <v>20</v>
      </c>
    </row>
    <row r="890" spans="1:13" x14ac:dyDescent="0.25">
      <c r="A890" t="s">
        <v>1959</v>
      </c>
      <c r="B890" t="s">
        <v>1960</v>
      </c>
      <c r="C890" t="s">
        <v>357</v>
      </c>
      <c r="D890" t="s">
        <v>1836</v>
      </c>
      <c r="F890">
        <v>1</v>
      </c>
      <c r="G890" t="s">
        <v>16</v>
      </c>
      <c r="H890">
        <v>0</v>
      </c>
      <c r="I890" s="2" t="s">
        <v>285</v>
      </c>
      <c r="J890" s="2">
        <v>80307</v>
      </c>
      <c r="K890">
        <v>20</v>
      </c>
      <c r="L890">
        <v>20</v>
      </c>
      <c r="M890">
        <v>20</v>
      </c>
    </row>
    <row r="891" spans="1:13" x14ac:dyDescent="0.25">
      <c r="A891" t="s">
        <v>1961</v>
      </c>
      <c r="B891" t="s">
        <v>1963</v>
      </c>
      <c r="C891" t="s">
        <v>357</v>
      </c>
      <c r="D891" t="s">
        <v>1836</v>
      </c>
      <c r="F891">
        <v>1</v>
      </c>
      <c r="G891" t="s">
        <v>16</v>
      </c>
      <c r="H891">
        <v>0</v>
      </c>
      <c r="I891" s="2" t="s">
        <v>1849</v>
      </c>
      <c r="J891" s="2" t="s">
        <v>1962</v>
      </c>
      <c r="K891">
        <v>20</v>
      </c>
      <c r="L891">
        <v>20</v>
      </c>
      <c r="M891">
        <v>20</v>
      </c>
    </row>
    <row r="892" spans="1:13" x14ac:dyDescent="0.25">
      <c r="A892" t="s">
        <v>1964</v>
      </c>
      <c r="B892" t="s">
        <v>1965</v>
      </c>
      <c r="C892" t="s">
        <v>357</v>
      </c>
      <c r="D892" t="s">
        <v>1836</v>
      </c>
      <c r="F892">
        <v>1</v>
      </c>
      <c r="G892" t="s">
        <v>16</v>
      </c>
      <c r="H892">
        <v>0</v>
      </c>
      <c r="I892" s="2" t="s">
        <v>162</v>
      </c>
      <c r="J892" s="2">
        <v>80755</v>
      </c>
      <c r="K892">
        <v>20</v>
      </c>
      <c r="L892">
        <v>20</v>
      </c>
      <c r="M892">
        <v>20</v>
      </c>
    </row>
    <row r="893" spans="1:13" x14ac:dyDescent="0.25">
      <c r="A893" t="s">
        <v>1966</v>
      </c>
      <c r="B893" t="s">
        <v>1967</v>
      </c>
      <c r="C893" t="s">
        <v>357</v>
      </c>
      <c r="D893" t="s">
        <v>1836</v>
      </c>
      <c r="F893">
        <v>0</v>
      </c>
      <c r="G893" t="s">
        <v>16</v>
      </c>
      <c r="H893">
        <v>0</v>
      </c>
      <c r="I893" s="2" t="s">
        <v>285</v>
      </c>
      <c r="J893" s="2">
        <v>80736</v>
      </c>
      <c r="K893">
        <v>20</v>
      </c>
      <c r="L893">
        <v>20</v>
      </c>
      <c r="M893">
        <v>20</v>
      </c>
    </row>
    <row r="894" spans="1:13" x14ac:dyDescent="0.25">
      <c r="A894" t="s">
        <v>1968</v>
      </c>
      <c r="B894" t="s">
        <v>1970</v>
      </c>
      <c r="C894" t="s">
        <v>357</v>
      </c>
      <c r="D894" t="s">
        <v>1836</v>
      </c>
      <c r="F894">
        <v>1</v>
      </c>
      <c r="G894" t="s">
        <v>16</v>
      </c>
      <c r="H894">
        <v>0</v>
      </c>
      <c r="I894" s="2" t="s">
        <v>1849</v>
      </c>
      <c r="J894" s="2" t="s">
        <v>1969</v>
      </c>
      <c r="K894">
        <v>20</v>
      </c>
      <c r="L894">
        <v>20</v>
      </c>
      <c r="M894">
        <v>20</v>
      </c>
    </row>
    <row r="895" spans="1:13" x14ac:dyDescent="0.25">
      <c r="A895" t="s">
        <v>1971</v>
      </c>
      <c r="B895" t="s">
        <v>1972</v>
      </c>
      <c r="C895" t="s">
        <v>357</v>
      </c>
      <c r="D895" t="s">
        <v>1836</v>
      </c>
      <c r="G895" t="s">
        <v>16</v>
      </c>
      <c r="H895">
        <v>0</v>
      </c>
      <c r="K895">
        <v>20</v>
      </c>
      <c r="L895">
        <v>20</v>
      </c>
      <c r="M895">
        <v>20</v>
      </c>
    </row>
    <row r="896" spans="1:13" x14ac:dyDescent="0.25">
      <c r="A896" t="s">
        <v>1973</v>
      </c>
      <c r="B896" t="s">
        <v>1974</v>
      </c>
      <c r="C896" t="s">
        <v>357</v>
      </c>
      <c r="D896" t="s">
        <v>1836</v>
      </c>
      <c r="F896">
        <v>1</v>
      </c>
      <c r="G896" t="s">
        <v>16</v>
      </c>
      <c r="H896">
        <v>0</v>
      </c>
      <c r="I896" s="2" t="s">
        <v>285</v>
      </c>
      <c r="J896" s="2">
        <v>80314</v>
      </c>
      <c r="K896">
        <v>20</v>
      </c>
      <c r="L896">
        <v>20</v>
      </c>
      <c r="M896">
        <v>20</v>
      </c>
    </row>
    <row r="897" spans="1:13" x14ac:dyDescent="0.25">
      <c r="A897" t="s">
        <v>1975</v>
      </c>
      <c r="B897" t="s">
        <v>1976</v>
      </c>
      <c r="C897" t="s">
        <v>357</v>
      </c>
      <c r="D897" t="s">
        <v>1836</v>
      </c>
      <c r="F897">
        <v>1</v>
      </c>
      <c r="G897" t="s">
        <v>16</v>
      </c>
      <c r="H897">
        <v>0</v>
      </c>
      <c r="I897" s="2" t="s">
        <v>1852</v>
      </c>
      <c r="J897" s="2">
        <v>53153</v>
      </c>
      <c r="K897">
        <v>20</v>
      </c>
      <c r="L897">
        <v>20</v>
      </c>
      <c r="M897">
        <v>20</v>
      </c>
    </row>
    <row r="898" spans="1:13" x14ac:dyDescent="0.25">
      <c r="A898" t="s">
        <v>1977</v>
      </c>
      <c r="B898" t="s">
        <v>1978</v>
      </c>
      <c r="C898" t="s">
        <v>357</v>
      </c>
      <c r="D898" t="s">
        <v>1836</v>
      </c>
      <c r="F898">
        <v>1</v>
      </c>
      <c r="G898" t="s">
        <v>16</v>
      </c>
      <c r="H898">
        <v>0</v>
      </c>
      <c r="I898" s="2" t="s">
        <v>598</v>
      </c>
      <c r="J898" s="2">
        <v>349300</v>
      </c>
      <c r="K898">
        <v>20</v>
      </c>
      <c r="L898">
        <v>20</v>
      </c>
      <c r="M898">
        <v>20</v>
      </c>
    </row>
    <row r="899" spans="1:13" x14ac:dyDescent="0.25">
      <c r="A899" t="s">
        <v>1979</v>
      </c>
      <c r="B899" t="s">
        <v>1980</v>
      </c>
      <c r="C899" t="s">
        <v>357</v>
      </c>
      <c r="D899" t="s">
        <v>1836</v>
      </c>
      <c r="F899">
        <v>0</v>
      </c>
      <c r="G899" t="s">
        <v>16</v>
      </c>
      <c r="H899">
        <v>0</v>
      </c>
      <c r="I899" s="2" t="s">
        <v>64</v>
      </c>
      <c r="J899" s="2" t="str">
        <f>"08040048"</f>
        <v>08040048</v>
      </c>
      <c r="K899">
        <v>20</v>
      </c>
      <c r="L899">
        <v>20</v>
      </c>
      <c r="M899">
        <v>20</v>
      </c>
    </row>
    <row r="900" spans="1:13" x14ac:dyDescent="0.25">
      <c r="A900" t="s">
        <v>1981</v>
      </c>
      <c r="B900" t="s">
        <v>1982</v>
      </c>
      <c r="C900" t="s">
        <v>357</v>
      </c>
      <c r="D900" t="s">
        <v>1836</v>
      </c>
      <c r="F900">
        <v>2</v>
      </c>
      <c r="G900" t="s">
        <v>16</v>
      </c>
      <c r="H900">
        <v>0</v>
      </c>
      <c r="I900" s="2" t="s">
        <v>285</v>
      </c>
      <c r="J900" s="2">
        <v>87045</v>
      </c>
      <c r="K900">
        <v>20</v>
      </c>
      <c r="L900">
        <v>20</v>
      </c>
      <c r="M900">
        <v>20</v>
      </c>
    </row>
    <row r="901" spans="1:13" x14ac:dyDescent="0.25">
      <c r="A901" t="s">
        <v>1983</v>
      </c>
      <c r="B901" t="s">
        <v>1984</v>
      </c>
      <c r="C901" t="s">
        <v>357</v>
      </c>
      <c r="D901" t="s">
        <v>1836</v>
      </c>
      <c r="F901">
        <v>1</v>
      </c>
      <c r="G901" t="s">
        <v>16</v>
      </c>
      <c r="H901">
        <v>0</v>
      </c>
      <c r="I901" s="2" t="s">
        <v>1849</v>
      </c>
      <c r="J901" s="2" t="s">
        <v>1985</v>
      </c>
      <c r="K901">
        <v>20</v>
      </c>
      <c r="L901">
        <v>20</v>
      </c>
      <c r="M901">
        <v>20</v>
      </c>
    </row>
    <row r="902" spans="1:13" x14ac:dyDescent="0.25">
      <c r="A902" t="s">
        <v>1986</v>
      </c>
      <c r="B902" t="s">
        <v>1988</v>
      </c>
      <c r="C902" t="s">
        <v>357</v>
      </c>
      <c r="D902" t="s">
        <v>1836</v>
      </c>
      <c r="F902">
        <v>0</v>
      </c>
      <c r="G902" t="s">
        <v>16</v>
      </c>
      <c r="H902">
        <v>0</v>
      </c>
      <c r="I902" s="2" t="s">
        <v>598</v>
      </c>
      <c r="J902" s="2" t="s">
        <v>1987</v>
      </c>
      <c r="K902">
        <v>20</v>
      </c>
      <c r="L902">
        <v>20</v>
      </c>
      <c r="M902">
        <v>20</v>
      </c>
    </row>
    <row r="903" spans="1:13" x14ac:dyDescent="0.25">
      <c r="A903" t="s">
        <v>1989</v>
      </c>
      <c r="B903" t="s">
        <v>1988</v>
      </c>
      <c r="C903" t="s">
        <v>357</v>
      </c>
      <c r="D903" t="s">
        <v>1836</v>
      </c>
      <c r="F903">
        <v>0</v>
      </c>
      <c r="G903" t="s">
        <v>16</v>
      </c>
      <c r="H903">
        <v>0</v>
      </c>
      <c r="I903" s="2" t="s">
        <v>162</v>
      </c>
      <c r="J903" s="2">
        <v>80409</v>
      </c>
      <c r="K903">
        <v>20</v>
      </c>
      <c r="L903">
        <v>20</v>
      </c>
      <c r="M903">
        <v>20</v>
      </c>
    </row>
    <row r="904" spans="1:13" x14ac:dyDescent="0.25">
      <c r="A904" t="s">
        <v>1990</v>
      </c>
      <c r="B904" t="s">
        <v>1991</v>
      </c>
      <c r="C904" t="s">
        <v>357</v>
      </c>
      <c r="D904" t="s">
        <v>1836</v>
      </c>
      <c r="F904">
        <v>1</v>
      </c>
      <c r="G904" t="s">
        <v>16</v>
      </c>
      <c r="H904">
        <v>0</v>
      </c>
      <c r="I904" s="2" t="s">
        <v>1861</v>
      </c>
      <c r="J904" s="2" t="s">
        <v>1985</v>
      </c>
      <c r="K904">
        <v>20</v>
      </c>
      <c r="L904">
        <v>20</v>
      </c>
      <c r="M904">
        <v>20</v>
      </c>
    </row>
    <row r="905" spans="1:13" x14ac:dyDescent="0.25">
      <c r="A905" t="s">
        <v>1992</v>
      </c>
      <c r="B905" t="s">
        <v>1993</v>
      </c>
      <c r="C905" t="s">
        <v>357</v>
      </c>
      <c r="D905" t="s">
        <v>1836</v>
      </c>
      <c r="F905">
        <v>1</v>
      </c>
      <c r="G905" t="s">
        <v>16</v>
      </c>
      <c r="H905">
        <v>0</v>
      </c>
      <c r="I905" s="2" t="s">
        <v>1994</v>
      </c>
      <c r="J905" s="2" t="s">
        <v>1995</v>
      </c>
      <c r="K905">
        <v>20</v>
      </c>
      <c r="L905">
        <v>20</v>
      </c>
      <c r="M905">
        <v>20</v>
      </c>
    </row>
    <row r="906" spans="1:13" x14ac:dyDescent="0.25">
      <c r="A906" t="s">
        <v>1996</v>
      </c>
      <c r="B906" t="s">
        <v>1997</v>
      </c>
      <c r="C906" t="s">
        <v>357</v>
      </c>
      <c r="D906" t="s">
        <v>1836</v>
      </c>
      <c r="F906">
        <v>1</v>
      </c>
      <c r="G906" t="s">
        <v>16</v>
      </c>
      <c r="H906">
        <v>0</v>
      </c>
      <c r="I906" s="2" t="s">
        <v>285</v>
      </c>
      <c r="J906" s="2">
        <v>80308</v>
      </c>
      <c r="K906">
        <v>20</v>
      </c>
      <c r="L906">
        <v>20</v>
      </c>
      <c r="M906">
        <v>20</v>
      </c>
    </row>
    <row r="907" spans="1:13" x14ac:dyDescent="0.25">
      <c r="A907" t="s">
        <v>1998</v>
      </c>
      <c r="B907" t="s">
        <v>1999</v>
      </c>
      <c r="C907" t="s">
        <v>357</v>
      </c>
      <c r="D907" t="s">
        <v>1836</v>
      </c>
      <c r="F907">
        <v>1</v>
      </c>
      <c r="G907" t="s">
        <v>16</v>
      </c>
      <c r="H907">
        <v>0</v>
      </c>
      <c r="I907" s="2" t="s">
        <v>2000</v>
      </c>
      <c r="J907" s="2" t="s">
        <v>2001</v>
      </c>
      <c r="K907">
        <v>20</v>
      </c>
      <c r="L907">
        <v>20</v>
      </c>
      <c r="M907">
        <v>20</v>
      </c>
    </row>
    <row r="908" spans="1:13" x14ac:dyDescent="0.25">
      <c r="A908" t="s">
        <v>2002</v>
      </c>
      <c r="B908" t="s">
        <v>2003</v>
      </c>
      <c r="C908" t="s">
        <v>357</v>
      </c>
      <c r="D908" t="s">
        <v>1836</v>
      </c>
      <c r="F908">
        <v>1</v>
      </c>
      <c r="G908" t="s">
        <v>16</v>
      </c>
      <c r="H908">
        <v>0</v>
      </c>
      <c r="I908" s="2" t="s">
        <v>1906</v>
      </c>
      <c r="J908" s="2">
        <v>53455</v>
      </c>
      <c r="K908">
        <v>20</v>
      </c>
      <c r="L908">
        <v>20</v>
      </c>
      <c r="M908">
        <v>20</v>
      </c>
    </row>
    <row r="909" spans="1:13" x14ac:dyDescent="0.25">
      <c r="A909" t="s">
        <v>2004</v>
      </c>
      <c r="B909" t="s">
        <v>2005</v>
      </c>
      <c r="C909" t="s">
        <v>20</v>
      </c>
      <c r="F909">
        <v>1</v>
      </c>
      <c r="G909" t="s">
        <v>16</v>
      </c>
      <c r="H909">
        <v>0</v>
      </c>
      <c r="I909" s="2" t="s">
        <v>1906</v>
      </c>
      <c r="J909" s="2">
        <v>30269</v>
      </c>
      <c r="K909">
        <v>20</v>
      </c>
      <c r="L909">
        <v>20</v>
      </c>
      <c r="M909">
        <v>20</v>
      </c>
    </row>
    <row r="910" spans="1:13" x14ac:dyDescent="0.25">
      <c r="A910" t="s">
        <v>2006</v>
      </c>
      <c r="B910" t="s">
        <v>2007</v>
      </c>
      <c r="C910" t="s">
        <v>357</v>
      </c>
      <c r="D910" t="s">
        <v>1836</v>
      </c>
      <c r="F910">
        <v>2</v>
      </c>
      <c r="G910" t="s">
        <v>16</v>
      </c>
      <c r="H910">
        <v>0</v>
      </c>
      <c r="I910" s="2" t="s">
        <v>598</v>
      </c>
      <c r="J910" s="2">
        <v>354940</v>
      </c>
      <c r="K910">
        <v>20</v>
      </c>
      <c r="L910">
        <v>20</v>
      </c>
      <c r="M910">
        <v>20</v>
      </c>
    </row>
    <row r="911" spans="1:13" x14ac:dyDescent="0.25">
      <c r="A911" t="s">
        <v>2008</v>
      </c>
      <c r="B911" t="s">
        <v>2009</v>
      </c>
      <c r="C911" t="s">
        <v>357</v>
      </c>
      <c r="D911" t="s">
        <v>1836</v>
      </c>
      <c r="F911">
        <v>1</v>
      </c>
      <c r="G911" t="s">
        <v>16</v>
      </c>
      <c r="H911">
        <v>0</v>
      </c>
      <c r="I911" s="2" t="s">
        <v>1107</v>
      </c>
      <c r="J911" s="2" t="s">
        <v>2010</v>
      </c>
      <c r="K911">
        <v>20</v>
      </c>
      <c r="L911">
        <v>20</v>
      </c>
      <c r="M911">
        <v>20</v>
      </c>
    </row>
    <row r="912" spans="1:13" x14ac:dyDescent="0.25">
      <c r="A912" t="s">
        <v>2011</v>
      </c>
      <c r="B912" t="s">
        <v>2012</v>
      </c>
      <c r="C912" t="s">
        <v>20</v>
      </c>
      <c r="F912">
        <v>1</v>
      </c>
      <c r="G912" t="s">
        <v>16</v>
      </c>
      <c r="H912">
        <v>0</v>
      </c>
      <c r="I912" s="2" t="s">
        <v>598</v>
      </c>
      <c r="J912" s="2">
        <v>345070</v>
      </c>
      <c r="K912">
        <v>20</v>
      </c>
      <c r="L912">
        <v>20</v>
      </c>
      <c r="M912">
        <v>20</v>
      </c>
    </row>
    <row r="913" spans="1:13" x14ac:dyDescent="0.25">
      <c r="A913" t="s">
        <v>2013</v>
      </c>
      <c r="B913" t="s">
        <v>2014</v>
      </c>
      <c r="C913" t="s">
        <v>241</v>
      </c>
      <c r="D913" t="s">
        <v>242</v>
      </c>
      <c r="F913">
        <v>10</v>
      </c>
      <c r="G913" t="s">
        <v>16</v>
      </c>
      <c r="H913">
        <v>0</v>
      </c>
      <c r="I913" s="2" t="s">
        <v>221</v>
      </c>
      <c r="J913" s="2">
        <v>21088</v>
      </c>
      <c r="K913">
        <v>20</v>
      </c>
      <c r="L913">
        <v>20</v>
      </c>
      <c r="M913">
        <v>20</v>
      </c>
    </row>
    <row r="914" spans="1:13" x14ac:dyDescent="0.25">
      <c r="A914" t="s">
        <v>2015</v>
      </c>
      <c r="B914" t="s">
        <v>2017</v>
      </c>
      <c r="C914" t="s">
        <v>241</v>
      </c>
      <c r="D914" t="s">
        <v>242</v>
      </c>
      <c r="F914">
        <v>2</v>
      </c>
      <c r="G914" t="s">
        <v>16</v>
      </c>
      <c r="H914">
        <v>0</v>
      </c>
      <c r="I914" s="2" t="s">
        <v>288</v>
      </c>
      <c r="J914" s="2" t="s">
        <v>2016</v>
      </c>
      <c r="K914">
        <v>20</v>
      </c>
      <c r="L914">
        <v>20</v>
      </c>
      <c r="M914">
        <v>20</v>
      </c>
    </row>
    <row r="915" spans="1:13" x14ac:dyDescent="0.25">
      <c r="A915" t="s">
        <v>2018</v>
      </c>
      <c r="B915" t="s">
        <v>2017</v>
      </c>
      <c r="C915" t="s">
        <v>241</v>
      </c>
      <c r="D915" t="s">
        <v>242</v>
      </c>
      <c r="G915" t="s">
        <v>16</v>
      </c>
      <c r="H915">
        <v>0</v>
      </c>
      <c r="I915" s="2" t="s">
        <v>737</v>
      </c>
      <c r="J915" s="2" t="s">
        <v>2019</v>
      </c>
      <c r="K915">
        <v>20</v>
      </c>
      <c r="L915">
        <v>20</v>
      </c>
      <c r="M915">
        <v>20</v>
      </c>
    </row>
    <row r="916" spans="1:13" x14ac:dyDescent="0.25">
      <c r="A916" t="s">
        <v>2020</v>
      </c>
      <c r="B916" t="s">
        <v>2021</v>
      </c>
      <c r="C916" t="s">
        <v>241</v>
      </c>
      <c r="D916" t="s">
        <v>242</v>
      </c>
      <c r="G916" t="s">
        <v>16</v>
      </c>
      <c r="H916">
        <v>0</v>
      </c>
      <c r="I916" s="2" t="s">
        <v>288</v>
      </c>
      <c r="J916" s="2" t="str">
        <f>"098027116"</f>
        <v>098027116</v>
      </c>
      <c r="K916">
        <v>20</v>
      </c>
      <c r="L916">
        <v>20</v>
      </c>
      <c r="M916">
        <v>20</v>
      </c>
    </row>
    <row r="917" spans="1:13" x14ac:dyDescent="0.25">
      <c r="A917">
        <v>1302604</v>
      </c>
      <c r="B917" t="s">
        <v>2022</v>
      </c>
      <c r="C917" t="s">
        <v>241</v>
      </c>
      <c r="D917" t="s">
        <v>242</v>
      </c>
      <c r="G917" t="s">
        <v>16</v>
      </c>
      <c r="H917">
        <v>0</v>
      </c>
      <c r="I917" s="2" t="s">
        <v>243</v>
      </c>
      <c r="J917" s="2">
        <v>21309</v>
      </c>
      <c r="K917">
        <v>20</v>
      </c>
      <c r="L917">
        <v>20</v>
      </c>
      <c r="M917">
        <v>20</v>
      </c>
    </row>
    <row r="918" spans="1:13" x14ac:dyDescent="0.25">
      <c r="A918" t="s">
        <v>2023</v>
      </c>
      <c r="B918" t="s">
        <v>2025</v>
      </c>
      <c r="C918" t="s">
        <v>357</v>
      </c>
      <c r="D918" t="s">
        <v>2026</v>
      </c>
      <c r="F918">
        <v>1</v>
      </c>
      <c r="G918" t="s">
        <v>16</v>
      </c>
      <c r="H918">
        <v>0</v>
      </c>
      <c r="I918" s="2" t="s">
        <v>2027</v>
      </c>
      <c r="J918" s="2" t="s">
        <v>2024</v>
      </c>
      <c r="K918">
        <v>20</v>
      </c>
      <c r="L918">
        <v>20</v>
      </c>
      <c r="M918">
        <v>20</v>
      </c>
    </row>
    <row r="919" spans="1:13" x14ac:dyDescent="0.25">
      <c r="A919">
        <v>1304010</v>
      </c>
      <c r="B919" t="s">
        <v>2028</v>
      </c>
      <c r="C919" t="s">
        <v>357</v>
      </c>
      <c r="D919" t="s">
        <v>2026</v>
      </c>
      <c r="F919">
        <v>5</v>
      </c>
      <c r="G919" t="s">
        <v>16</v>
      </c>
      <c r="H919">
        <v>0</v>
      </c>
      <c r="I919" s="2" t="s">
        <v>1444</v>
      </c>
      <c r="J919" s="2">
        <v>1682640880</v>
      </c>
      <c r="K919">
        <v>20</v>
      </c>
      <c r="L919">
        <v>20</v>
      </c>
      <c r="M919">
        <v>20</v>
      </c>
    </row>
    <row r="920" spans="1:13" x14ac:dyDescent="0.25">
      <c r="A920" t="s">
        <v>2029</v>
      </c>
      <c r="B920" t="s">
        <v>2030</v>
      </c>
      <c r="C920" t="s">
        <v>357</v>
      </c>
      <c r="D920" t="s">
        <v>2026</v>
      </c>
      <c r="G920" t="s">
        <v>16</v>
      </c>
      <c r="H920">
        <v>0</v>
      </c>
      <c r="I920" s="2" t="s">
        <v>1671</v>
      </c>
      <c r="J920" s="2">
        <v>351160</v>
      </c>
      <c r="K920">
        <v>20</v>
      </c>
      <c r="L920">
        <v>20</v>
      </c>
      <c r="M920">
        <v>20</v>
      </c>
    </row>
    <row r="921" spans="1:13" x14ac:dyDescent="0.25">
      <c r="A921" t="s">
        <v>2031</v>
      </c>
      <c r="B921" t="s">
        <v>2028</v>
      </c>
      <c r="C921" t="s">
        <v>357</v>
      </c>
      <c r="D921" t="s">
        <v>2026</v>
      </c>
      <c r="F921">
        <v>1</v>
      </c>
      <c r="G921" t="s">
        <v>16</v>
      </c>
      <c r="H921">
        <v>0</v>
      </c>
      <c r="I921" s="2" t="s">
        <v>2027</v>
      </c>
      <c r="J921" s="2">
        <v>252200116</v>
      </c>
      <c r="K921">
        <v>20</v>
      </c>
      <c r="L921">
        <v>20</v>
      </c>
      <c r="M921">
        <v>20</v>
      </c>
    </row>
    <row r="922" spans="1:13" x14ac:dyDescent="0.25">
      <c r="A922" t="s">
        <v>2032</v>
      </c>
      <c r="B922" t="s">
        <v>2033</v>
      </c>
      <c r="C922" t="s">
        <v>357</v>
      </c>
      <c r="D922" t="s">
        <v>2026</v>
      </c>
      <c r="F922">
        <v>1</v>
      </c>
      <c r="G922" t="s">
        <v>16</v>
      </c>
      <c r="H922">
        <v>0</v>
      </c>
      <c r="I922" s="2" t="s">
        <v>1107</v>
      </c>
      <c r="J922" s="2" t="s">
        <v>2034</v>
      </c>
      <c r="K922">
        <v>20</v>
      </c>
      <c r="L922">
        <v>20</v>
      </c>
      <c r="M922">
        <v>20</v>
      </c>
    </row>
    <row r="923" spans="1:13" x14ac:dyDescent="0.25">
      <c r="A923">
        <v>1304019</v>
      </c>
      <c r="B923" t="s">
        <v>2035</v>
      </c>
      <c r="C923" t="s">
        <v>357</v>
      </c>
      <c r="D923" t="s">
        <v>2026</v>
      </c>
      <c r="F923">
        <v>4</v>
      </c>
      <c r="G923" t="s">
        <v>16</v>
      </c>
      <c r="H923">
        <v>0</v>
      </c>
      <c r="I923" s="2" t="s">
        <v>497</v>
      </c>
      <c r="J923" s="2">
        <v>13370133</v>
      </c>
      <c r="K923">
        <v>20</v>
      </c>
      <c r="L923">
        <v>20</v>
      </c>
      <c r="M923">
        <v>20</v>
      </c>
    </row>
    <row r="924" spans="1:13" x14ac:dyDescent="0.25">
      <c r="A924" t="s">
        <v>2036</v>
      </c>
      <c r="B924" t="s">
        <v>2035</v>
      </c>
      <c r="C924" t="s">
        <v>357</v>
      </c>
      <c r="D924" t="s">
        <v>2026</v>
      </c>
      <c r="F924">
        <v>1</v>
      </c>
      <c r="G924" t="s">
        <v>16</v>
      </c>
      <c r="H924">
        <v>0</v>
      </c>
      <c r="I924" s="2" t="s">
        <v>500</v>
      </c>
      <c r="J924" s="2" t="s">
        <v>2037</v>
      </c>
      <c r="K924">
        <v>20</v>
      </c>
      <c r="L924">
        <v>20</v>
      </c>
      <c r="M924">
        <v>20</v>
      </c>
    </row>
    <row r="925" spans="1:13" x14ac:dyDescent="0.25">
      <c r="A925" t="s">
        <v>2038</v>
      </c>
      <c r="B925" t="s">
        <v>2035</v>
      </c>
      <c r="C925" t="s">
        <v>357</v>
      </c>
      <c r="D925" t="s">
        <v>2026</v>
      </c>
      <c r="F925">
        <v>0</v>
      </c>
      <c r="G925" t="s">
        <v>16</v>
      </c>
      <c r="H925">
        <v>0</v>
      </c>
      <c r="I925" s="2" t="s">
        <v>2039</v>
      </c>
      <c r="J925" s="2">
        <v>163071</v>
      </c>
      <c r="K925">
        <v>20</v>
      </c>
      <c r="L925">
        <v>20</v>
      </c>
      <c r="M925">
        <v>20</v>
      </c>
    </row>
    <row r="926" spans="1:13" x14ac:dyDescent="0.25">
      <c r="A926" t="s">
        <v>2040</v>
      </c>
      <c r="B926" t="s">
        <v>2035</v>
      </c>
      <c r="C926" t="s">
        <v>357</v>
      </c>
      <c r="D926" t="s">
        <v>2026</v>
      </c>
      <c r="F926">
        <v>0</v>
      </c>
      <c r="G926" t="s">
        <v>16</v>
      </c>
      <c r="H926">
        <v>0</v>
      </c>
      <c r="K926">
        <v>20</v>
      </c>
      <c r="L926">
        <v>20</v>
      </c>
      <c r="M926">
        <v>20</v>
      </c>
    </row>
    <row r="927" spans="1:13" x14ac:dyDescent="0.25">
      <c r="A927">
        <v>1304027</v>
      </c>
      <c r="B927" t="s">
        <v>2041</v>
      </c>
      <c r="C927" t="s">
        <v>151</v>
      </c>
      <c r="F927">
        <v>3</v>
      </c>
      <c r="G927" t="s">
        <v>16</v>
      </c>
      <c r="H927">
        <v>0</v>
      </c>
      <c r="I927" s="2" t="s">
        <v>497</v>
      </c>
      <c r="J927" s="2">
        <v>13393366</v>
      </c>
      <c r="K927">
        <v>20</v>
      </c>
      <c r="L927">
        <v>20</v>
      </c>
      <c r="M927">
        <v>20</v>
      </c>
    </row>
    <row r="928" spans="1:13" x14ac:dyDescent="0.25">
      <c r="A928">
        <v>1304028</v>
      </c>
      <c r="B928" t="s">
        <v>2042</v>
      </c>
      <c r="C928" t="s">
        <v>357</v>
      </c>
      <c r="D928" t="s">
        <v>2026</v>
      </c>
      <c r="F928">
        <v>1</v>
      </c>
      <c r="G928" t="s">
        <v>16</v>
      </c>
      <c r="H928">
        <v>0</v>
      </c>
      <c r="I928" s="2" t="s">
        <v>2043</v>
      </c>
      <c r="J928" s="2">
        <v>13393368</v>
      </c>
      <c r="K928">
        <v>20</v>
      </c>
      <c r="L928">
        <v>20</v>
      </c>
      <c r="M928">
        <v>20</v>
      </c>
    </row>
    <row r="929" spans="1:13" x14ac:dyDescent="0.25">
      <c r="A929" t="s">
        <v>2044</v>
      </c>
      <c r="B929" t="s">
        <v>2042</v>
      </c>
      <c r="C929" t="s">
        <v>357</v>
      </c>
      <c r="D929" t="s">
        <v>2026</v>
      </c>
      <c r="F929">
        <v>6</v>
      </c>
      <c r="G929" t="s">
        <v>16</v>
      </c>
      <c r="H929">
        <v>0</v>
      </c>
      <c r="I929" s="2" t="s">
        <v>598</v>
      </c>
      <c r="J929" s="2">
        <v>343790</v>
      </c>
      <c r="K929">
        <v>20</v>
      </c>
      <c r="L929">
        <v>20</v>
      </c>
      <c r="M929">
        <v>20</v>
      </c>
    </row>
    <row r="930" spans="1:13" x14ac:dyDescent="0.25">
      <c r="A930">
        <v>1304034</v>
      </c>
      <c r="B930" t="s">
        <v>2045</v>
      </c>
      <c r="C930" t="s">
        <v>357</v>
      </c>
      <c r="D930" t="s">
        <v>2026</v>
      </c>
      <c r="F930">
        <v>1</v>
      </c>
      <c r="G930" t="s">
        <v>16</v>
      </c>
      <c r="H930">
        <v>0</v>
      </c>
      <c r="I930" s="2" t="s">
        <v>1444</v>
      </c>
      <c r="J930" s="2">
        <v>22953219</v>
      </c>
      <c r="K930">
        <v>20</v>
      </c>
      <c r="L930">
        <v>20</v>
      </c>
      <c r="M930">
        <v>20</v>
      </c>
    </row>
    <row r="931" spans="1:13" x14ac:dyDescent="0.25">
      <c r="A931" t="s">
        <v>2046</v>
      </c>
      <c r="B931" t="s">
        <v>2045</v>
      </c>
      <c r="C931" t="s">
        <v>357</v>
      </c>
      <c r="D931" t="s">
        <v>2026</v>
      </c>
      <c r="F931">
        <v>1</v>
      </c>
      <c r="G931" t="s">
        <v>16</v>
      </c>
      <c r="H931">
        <v>0</v>
      </c>
      <c r="I931" s="2" t="s">
        <v>142</v>
      </c>
      <c r="J931" s="2" t="s">
        <v>2047</v>
      </c>
      <c r="K931">
        <v>20</v>
      </c>
      <c r="L931">
        <v>20</v>
      </c>
      <c r="M931">
        <v>20</v>
      </c>
    </row>
    <row r="932" spans="1:13" x14ac:dyDescent="0.25">
      <c r="A932" t="s">
        <v>2048</v>
      </c>
      <c r="B932" t="s">
        <v>2045</v>
      </c>
      <c r="C932" t="s">
        <v>357</v>
      </c>
      <c r="D932" t="s">
        <v>2026</v>
      </c>
      <c r="G932" t="s">
        <v>16</v>
      </c>
      <c r="H932">
        <v>0</v>
      </c>
      <c r="I932" s="2" t="s">
        <v>2049</v>
      </c>
      <c r="J932" s="2" t="s">
        <v>2050</v>
      </c>
      <c r="K932">
        <v>20</v>
      </c>
      <c r="L932">
        <v>20</v>
      </c>
      <c r="M932">
        <v>20</v>
      </c>
    </row>
    <row r="933" spans="1:13" x14ac:dyDescent="0.25">
      <c r="A933" t="s">
        <v>2051</v>
      </c>
      <c r="B933" t="s">
        <v>2052</v>
      </c>
      <c r="C933" t="s">
        <v>357</v>
      </c>
      <c r="D933" t="s">
        <v>2026</v>
      </c>
      <c r="G933" t="s">
        <v>16</v>
      </c>
      <c r="H933">
        <v>0</v>
      </c>
      <c r="I933" s="2" t="s">
        <v>500</v>
      </c>
      <c r="J933" s="2" t="s">
        <v>2053</v>
      </c>
      <c r="K933">
        <v>20</v>
      </c>
      <c r="L933">
        <v>20</v>
      </c>
      <c r="M933">
        <v>20</v>
      </c>
    </row>
    <row r="934" spans="1:13" x14ac:dyDescent="0.25">
      <c r="A934" t="s">
        <v>2054</v>
      </c>
      <c r="B934" t="s">
        <v>2045</v>
      </c>
      <c r="C934" t="s">
        <v>357</v>
      </c>
      <c r="D934" t="s">
        <v>2026</v>
      </c>
      <c r="G934" t="s">
        <v>16</v>
      </c>
      <c r="H934">
        <v>0</v>
      </c>
      <c r="I934" s="2" t="s">
        <v>2039</v>
      </c>
      <c r="J934" s="2">
        <v>160032</v>
      </c>
      <c r="K934">
        <v>20</v>
      </c>
      <c r="L934">
        <v>20</v>
      </c>
      <c r="M934">
        <v>20</v>
      </c>
    </row>
    <row r="935" spans="1:13" x14ac:dyDescent="0.25">
      <c r="A935" t="s">
        <v>2055</v>
      </c>
      <c r="B935" t="s">
        <v>2045</v>
      </c>
      <c r="C935" t="s">
        <v>357</v>
      </c>
      <c r="D935" t="s">
        <v>2026</v>
      </c>
      <c r="G935" t="s">
        <v>16</v>
      </c>
      <c r="H935">
        <v>0</v>
      </c>
      <c r="K935">
        <v>20</v>
      </c>
      <c r="L935">
        <v>20</v>
      </c>
      <c r="M935">
        <v>20</v>
      </c>
    </row>
    <row r="936" spans="1:13" x14ac:dyDescent="0.25">
      <c r="A936" t="s">
        <v>2056</v>
      </c>
      <c r="B936" t="s">
        <v>2057</v>
      </c>
      <c r="C936" t="s">
        <v>357</v>
      </c>
      <c r="D936" t="s">
        <v>2026</v>
      </c>
      <c r="G936" t="s">
        <v>16</v>
      </c>
      <c r="H936">
        <v>0</v>
      </c>
      <c r="I936" s="2" t="s">
        <v>715</v>
      </c>
      <c r="J936" s="2" t="s">
        <v>2058</v>
      </c>
      <c r="K936">
        <v>20</v>
      </c>
      <c r="L936">
        <v>20</v>
      </c>
      <c r="M936">
        <v>20</v>
      </c>
    </row>
    <row r="937" spans="1:13" x14ac:dyDescent="0.25">
      <c r="A937" t="s">
        <v>2059</v>
      </c>
      <c r="B937" t="s">
        <v>2060</v>
      </c>
      <c r="C937" t="s">
        <v>357</v>
      </c>
      <c r="D937" t="s">
        <v>2026</v>
      </c>
      <c r="G937" t="s">
        <v>16</v>
      </c>
      <c r="H937">
        <v>0</v>
      </c>
      <c r="K937">
        <v>20</v>
      </c>
      <c r="L937">
        <v>20</v>
      </c>
      <c r="M937">
        <v>20</v>
      </c>
    </row>
    <row r="938" spans="1:13" x14ac:dyDescent="0.25">
      <c r="A938" t="s">
        <v>2061</v>
      </c>
      <c r="B938" t="s">
        <v>2062</v>
      </c>
      <c r="C938" t="s">
        <v>357</v>
      </c>
      <c r="D938" t="s">
        <v>2026</v>
      </c>
      <c r="G938" t="s">
        <v>16</v>
      </c>
      <c r="H938">
        <v>0</v>
      </c>
      <c r="K938">
        <v>20</v>
      </c>
      <c r="L938">
        <v>20</v>
      </c>
      <c r="M938">
        <v>20</v>
      </c>
    </row>
    <row r="939" spans="1:13" x14ac:dyDescent="0.25">
      <c r="A939" t="s">
        <v>2063</v>
      </c>
      <c r="B939" t="s">
        <v>2064</v>
      </c>
      <c r="C939" t="s">
        <v>357</v>
      </c>
      <c r="D939" t="s">
        <v>2026</v>
      </c>
      <c r="F939">
        <v>2</v>
      </c>
      <c r="G939" t="s">
        <v>16</v>
      </c>
      <c r="H939">
        <v>0</v>
      </c>
      <c r="I939" s="2" t="s">
        <v>64</v>
      </c>
      <c r="J939" s="2" t="str">
        <f>"08020439"</f>
        <v>08020439</v>
      </c>
      <c r="K939">
        <v>20</v>
      </c>
      <c r="L939">
        <v>20</v>
      </c>
      <c r="M939">
        <v>20</v>
      </c>
    </row>
    <row r="940" spans="1:13" x14ac:dyDescent="0.25">
      <c r="A940" t="s">
        <v>2065</v>
      </c>
      <c r="B940" t="s">
        <v>2066</v>
      </c>
      <c r="C940" t="s">
        <v>357</v>
      </c>
      <c r="D940" t="s">
        <v>2026</v>
      </c>
      <c r="F940">
        <v>2</v>
      </c>
      <c r="G940" t="s">
        <v>16</v>
      </c>
      <c r="H940">
        <v>0</v>
      </c>
      <c r="I940" s="2" t="s">
        <v>142</v>
      </c>
      <c r="J940" s="2" t="s">
        <v>2067</v>
      </c>
      <c r="K940">
        <v>20</v>
      </c>
      <c r="L940">
        <v>20</v>
      </c>
      <c r="M940">
        <v>20</v>
      </c>
    </row>
    <row r="941" spans="1:13" x14ac:dyDescent="0.25">
      <c r="A941" t="s">
        <v>2068</v>
      </c>
      <c r="B941" t="s">
        <v>2066</v>
      </c>
      <c r="C941" t="s">
        <v>357</v>
      </c>
      <c r="D941" t="s">
        <v>2026</v>
      </c>
      <c r="F941">
        <v>2</v>
      </c>
      <c r="G941" t="s">
        <v>16</v>
      </c>
      <c r="H941">
        <v>0</v>
      </c>
      <c r="I941" s="2" t="s">
        <v>64</v>
      </c>
      <c r="J941" s="2" t="str">
        <f>"08020440"</f>
        <v>08020440</v>
      </c>
      <c r="K941">
        <v>20</v>
      </c>
      <c r="L941">
        <v>20</v>
      </c>
      <c r="M941">
        <v>20</v>
      </c>
    </row>
    <row r="942" spans="1:13" x14ac:dyDescent="0.25">
      <c r="A942" t="s">
        <v>2069</v>
      </c>
      <c r="B942" t="s">
        <v>2066</v>
      </c>
      <c r="C942" t="s">
        <v>357</v>
      </c>
      <c r="D942" t="s">
        <v>2026</v>
      </c>
      <c r="G942" t="s">
        <v>16</v>
      </c>
      <c r="H942">
        <v>0</v>
      </c>
      <c r="I942" s="2" t="s">
        <v>2071</v>
      </c>
      <c r="J942" s="2" t="s">
        <v>2070</v>
      </c>
      <c r="K942">
        <v>20</v>
      </c>
      <c r="L942">
        <v>20</v>
      </c>
      <c r="M942">
        <v>20</v>
      </c>
    </row>
    <row r="943" spans="1:13" x14ac:dyDescent="0.25">
      <c r="A943" t="s">
        <v>2072</v>
      </c>
      <c r="B943" t="s">
        <v>2066</v>
      </c>
      <c r="C943" t="s">
        <v>357</v>
      </c>
      <c r="D943" t="s">
        <v>2026</v>
      </c>
      <c r="G943" t="s">
        <v>16</v>
      </c>
      <c r="H943">
        <v>0</v>
      </c>
      <c r="I943" s="2" t="s">
        <v>500</v>
      </c>
      <c r="J943" s="2" t="s">
        <v>2073</v>
      </c>
      <c r="K943">
        <v>20</v>
      </c>
      <c r="L943">
        <v>20</v>
      </c>
      <c r="M943">
        <v>20</v>
      </c>
    </row>
    <row r="944" spans="1:13" x14ac:dyDescent="0.25">
      <c r="A944" t="s">
        <v>2074</v>
      </c>
      <c r="B944" t="s">
        <v>2066</v>
      </c>
      <c r="C944" t="s">
        <v>357</v>
      </c>
      <c r="D944" t="s">
        <v>2026</v>
      </c>
      <c r="F944">
        <v>1</v>
      </c>
      <c r="G944" t="s">
        <v>16</v>
      </c>
      <c r="H944">
        <v>0</v>
      </c>
      <c r="I944" s="2" t="s">
        <v>165</v>
      </c>
      <c r="J944" s="2">
        <v>206903</v>
      </c>
      <c r="K944">
        <v>20</v>
      </c>
      <c r="L944">
        <v>20</v>
      </c>
      <c r="M944">
        <v>20</v>
      </c>
    </row>
    <row r="945" spans="1:13" x14ac:dyDescent="0.25">
      <c r="A945" t="s">
        <v>2075</v>
      </c>
      <c r="B945" t="s">
        <v>2076</v>
      </c>
      <c r="C945" t="s">
        <v>357</v>
      </c>
      <c r="D945" t="s">
        <v>2026</v>
      </c>
      <c r="F945">
        <v>2</v>
      </c>
      <c r="G945" t="s">
        <v>16</v>
      </c>
      <c r="H945">
        <v>0</v>
      </c>
      <c r="I945" s="2" t="s">
        <v>1444</v>
      </c>
      <c r="J945" s="2">
        <v>90542960</v>
      </c>
      <c r="K945">
        <v>20</v>
      </c>
      <c r="L945">
        <v>20</v>
      </c>
      <c r="M945">
        <v>20</v>
      </c>
    </row>
    <row r="946" spans="1:13" x14ac:dyDescent="0.25">
      <c r="A946" t="s">
        <v>2077</v>
      </c>
      <c r="B946" t="s">
        <v>2078</v>
      </c>
      <c r="C946" t="s">
        <v>357</v>
      </c>
      <c r="D946" t="s">
        <v>2026</v>
      </c>
      <c r="F946">
        <v>3</v>
      </c>
      <c r="G946" t="s">
        <v>16</v>
      </c>
      <c r="H946">
        <v>0</v>
      </c>
      <c r="I946" s="2" t="s">
        <v>142</v>
      </c>
      <c r="J946" s="2" t="s">
        <v>2079</v>
      </c>
      <c r="K946">
        <v>20</v>
      </c>
      <c r="L946">
        <v>20</v>
      </c>
      <c r="M946">
        <v>20</v>
      </c>
    </row>
    <row r="947" spans="1:13" x14ac:dyDescent="0.25">
      <c r="A947" t="s">
        <v>2080</v>
      </c>
      <c r="B947" t="s">
        <v>2078</v>
      </c>
      <c r="C947" t="s">
        <v>357</v>
      </c>
      <c r="D947" t="s">
        <v>2026</v>
      </c>
      <c r="F947">
        <v>1</v>
      </c>
      <c r="G947" t="s">
        <v>16</v>
      </c>
      <c r="H947">
        <v>0</v>
      </c>
      <c r="I947" s="2" t="s">
        <v>598</v>
      </c>
      <c r="J947" s="2">
        <v>343745</v>
      </c>
      <c r="K947">
        <v>20</v>
      </c>
      <c r="L947">
        <v>20</v>
      </c>
      <c r="M947">
        <v>20</v>
      </c>
    </row>
    <row r="948" spans="1:13" x14ac:dyDescent="0.25">
      <c r="A948" t="s">
        <v>2081</v>
      </c>
      <c r="B948" t="s">
        <v>2078</v>
      </c>
      <c r="C948" t="s">
        <v>357</v>
      </c>
      <c r="D948" t="s">
        <v>2026</v>
      </c>
      <c r="F948">
        <v>5</v>
      </c>
      <c r="G948" t="s">
        <v>16</v>
      </c>
      <c r="H948">
        <v>0</v>
      </c>
      <c r="I948" s="2" t="s">
        <v>64</v>
      </c>
      <c r="J948" s="2" t="str">
        <f>"08020441"</f>
        <v>08020441</v>
      </c>
      <c r="K948">
        <v>20</v>
      </c>
      <c r="L948">
        <v>20</v>
      </c>
      <c r="M948">
        <v>20</v>
      </c>
    </row>
    <row r="949" spans="1:13" x14ac:dyDescent="0.25">
      <c r="A949" t="s">
        <v>2082</v>
      </c>
      <c r="B949" t="s">
        <v>2078</v>
      </c>
      <c r="C949" t="s">
        <v>357</v>
      </c>
      <c r="D949" t="s">
        <v>2026</v>
      </c>
      <c r="F949">
        <v>1</v>
      </c>
      <c r="G949" t="s">
        <v>16</v>
      </c>
      <c r="H949">
        <v>0</v>
      </c>
      <c r="I949" s="2" t="s">
        <v>491</v>
      </c>
      <c r="J949" s="2">
        <v>359001600370</v>
      </c>
      <c r="K949">
        <v>20</v>
      </c>
      <c r="L949">
        <v>20</v>
      </c>
      <c r="M949">
        <v>20</v>
      </c>
    </row>
    <row r="950" spans="1:13" x14ac:dyDescent="0.25">
      <c r="A950" t="s">
        <v>2083</v>
      </c>
      <c r="B950" t="s">
        <v>2078</v>
      </c>
      <c r="C950" t="s">
        <v>357</v>
      </c>
      <c r="D950" t="s">
        <v>2026</v>
      </c>
      <c r="G950" t="s">
        <v>16</v>
      </c>
      <c r="H950">
        <v>0</v>
      </c>
      <c r="I950" s="2" t="s">
        <v>165</v>
      </c>
      <c r="J950" s="2">
        <v>205699</v>
      </c>
      <c r="K950">
        <v>20</v>
      </c>
      <c r="L950">
        <v>20</v>
      </c>
      <c r="M950">
        <v>20</v>
      </c>
    </row>
    <row r="951" spans="1:13" x14ac:dyDescent="0.25">
      <c r="A951" t="s">
        <v>2084</v>
      </c>
      <c r="B951" t="s">
        <v>2085</v>
      </c>
      <c r="C951" t="s">
        <v>357</v>
      </c>
      <c r="D951" t="s">
        <v>2026</v>
      </c>
      <c r="F951">
        <v>1</v>
      </c>
      <c r="G951" t="s">
        <v>16</v>
      </c>
      <c r="H951">
        <v>0</v>
      </c>
      <c r="I951" s="2" t="s">
        <v>64</v>
      </c>
      <c r="J951" s="2" t="str">
        <f>"08020444"</f>
        <v>08020444</v>
      </c>
      <c r="K951">
        <v>20</v>
      </c>
      <c r="L951">
        <v>20</v>
      </c>
      <c r="M951">
        <v>20</v>
      </c>
    </row>
    <row r="952" spans="1:13" x14ac:dyDescent="0.25">
      <c r="A952" t="s">
        <v>2086</v>
      </c>
      <c r="B952" t="s">
        <v>2085</v>
      </c>
      <c r="C952" t="s">
        <v>357</v>
      </c>
      <c r="D952" t="s">
        <v>2026</v>
      </c>
      <c r="G952" t="s">
        <v>16</v>
      </c>
      <c r="H952">
        <v>0</v>
      </c>
      <c r="I952" s="2" t="s">
        <v>1175</v>
      </c>
      <c r="J952" s="2" t="s">
        <v>2087</v>
      </c>
      <c r="K952">
        <v>20</v>
      </c>
      <c r="L952">
        <v>20</v>
      </c>
      <c r="M952">
        <v>20</v>
      </c>
    </row>
    <row r="953" spans="1:13" x14ac:dyDescent="0.25">
      <c r="A953" t="s">
        <v>2088</v>
      </c>
      <c r="B953" t="s">
        <v>2089</v>
      </c>
      <c r="C953" t="s">
        <v>357</v>
      </c>
      <c r="D953" t="s">
        <v>2026</v>
      </c>
      <c r="G953" t="s">
        <v>16</v>
      </c>
      <c r="H953">
        <v>0</v>
      </c>
      <c r="I953" s="2" t="s">
        <v>598</v>
      </c>
      <c r="J953" s="2">
        <v>343770</v>
      </c>
      <c r="K953">
        <v>20</v>
      </c>
      <c r="L953">
        <v>20</v>
      </c>
      <c r="M953">
        <v>20</v>
      </c>
    </row>
    <row r="954" spans="1:13" x14ac:dyDescent="0.25">
      <c r="A954" t="s">
        <v>2090</v>
      </c>
      <c r="B954" t="s">
        <v>2089</v>
      </c>
      <c r="C954" t="s">
        <v>357</v>
      </c>
      <c r="D954" t="s">
        <v>2026</v>
      </c>
      <c r="F954">
        <v>12</v>
      </c>
      <c r="G954" t="s">
        <v>16</v>
      </c>
      <c r="H954">
        <v>0</v>
      </c>
      <c r="I954" s="2" t="s">
        <v>64</v>
      </c>
      <c r="J954" s="2" t="str">
        <f>"08020504"</f>
        <v>08020504</v>
      </c>
      <c r="K954">
        <v>20</v>
      </c>
      <c r="L954">
        <v>20</v>
      </c>
      <c r="M954">
        <v>20</v>
      </c>
    </row>
    <row r="955" spans="1:13" x14ac:dyDescent="0.25">
      <c r="A955" t="s">
        <v>2091</v>
      </c>
      <c r="B955" t="s">
        <v>2089</v>
      </c>
      <c r="C955" t="s">
        <v>357</v>
      </c>
      <c r="D955" t="s">
        <v>2026</v>
      </c>
      <c r="G955" t="s">
        <v>16</v>
      </c>
      <c r="H955">
        <v>0</v>
      </c>
      <c r="I955" s="2" t="s">
        <v>491</v>
      </c>
      <c r="J955" s="2">
        <v>359001600390</v>
      </c>
      <c r="K955">
        <v>20</v>
      </c>
      <c r="L955">
        <v>20</v>
      </c>
      <c r="M955">
        <v>20</v>
      </c>
    </row>
    <row r="956" spans="1:13" x14ac:dyDescent="0.25">
      <c r="A956" t="s">
        <v>2092</v>
      </c>
      <c r="B956" t="s">
        <v>2089</v>
      </c>
      <c r="C956" t="s">
        <v>357</v>
      </c>
      <c r="D956" t="s">
        <v>2026</v>
      </c>
      <c r="G956" t="s">
        <v>16</v>
      </c>
      <c r="H956">
        <v>0</v>
      </c>
      <c r="I956" s="2" t="s">
        <v>993</v>
      </c>
      <c r="J956" s="2">
        <v>206672</v>
      </c>
      <c r="K956">
        <v>20</v>
      </c>
      <c r="L956">
        <v>20</v>
      </c>
      <c r="M956">
        <v>20</v>
      </c>
    </row>
    <row r="957" spans="1:13" x14ac:dyDescent="0.25">
      <c r="A957" t="s">
        <v>2093</v>
      </c>
      <c r="B957" t="s">
        <v>2094</v>
      </c>
      <c r="C957" t="s">
        <v>357</v>
      </c>
      <c r="D957" t="s">
        <v>2026</v>
      </c>
      <c r="F957">
        <v>1</v>
      </c>
      <c r="G957" t="s">
        <v>16</v>
      </c>
      <c r="H957">
        <v>0</v>
      </c>
      <c r="I957" s="2" t="s">
        <v>142</v>
      </c>
      <c r="J957" s="2" t="s">
        <v>2095</v>
      </c>
      <c r="K957">
        <v>20</v>
      </c>
      <c r="L957">
        <v>20</v>
      </c>
      <c r="M957">
        <v>20</v>
      </c>
    </row>
    <row r="958" spans="1:13" x14ac:dyDescent="0.25">
      <c r="A958" t="s">
        <v>2096</v>
      </c>
      <c r="B958" t="s">
        <v>2094</v>
      </c>
      <c r="C958" t="s">
        <v>357</v>
      </c>
      <c r="D958" t="s">
        <v>2026</v>
      </c>
      <c r="G958" t="s">
        <v>16</v>
      </c>
      <c r="H958">
        <v>0</v>
      </c>
      <c r="I958" s="2" t="s">
        <v>2098</v>
      </c>
      <c r="J958" s="2" t="s">
        <v>2097</v>
      </c>
      <c r="K958">
        <v>20</v>
      </c>
      <c r="L958">
        <v>20</v>
      </c>
      <c r="M958">
        <v>20</v>
      </c>
    </row>
    <row r="959" spans="1:13" x14ac:dyDescent="0.25">
      <c r="A959" t="s">
        <v>2099</v>
      </c>
      <c r="B959" t="s">
        <v>2094</v>
      </c>
      <c r="C959" t="s">
        <v>357</v>
      </c>
      <c r="D959" t="s">
        <v>2026</v>
      </c>
      <c r="G959" t="s">
        <v>16</v>
      </c>
      <c r="H959">
        <v>0</v>
      </c>
      <c r="I959" s="2" t="s">
        <v>598</v>
      </c>
      <c r="J959" s="2">
        <v>343750</v>
      </c>
      <c r="K959">
        <v>20</v>
      </c>
      <c r="L959">
        <v>20</v>
      </c>
      <c r="M959">
        <v>20</v>
      </c>
    </row>
    <row r="960" spans="1:13" x14ac:dyDescent="0.25">
      <c r="A960" t="s">
        <v>2100</v>
      </c>
      <c r="B960" t="s">
        <v>2094</v>
      </c>
      <c r="C960" t="s">
        <v>357</v>
      </c>
      <c r="D960" t="s">
        <v>2026</v>
      </c>
      <c r="F960">
        <v>2</v>
      </c>
      <c r="G960" t="s">
        <v>16</v>
      </c>
      <c r="H960">
        <v>0</v>
      </c>
      <c r="I960" s="2" t="s">
        <v>165</v>
      </c>
      <c r="J960" s="2">
        <v>208556</v>
      </c>
      <c r="K960">
        <v>20</v>
      </c>
      <c r="L960">
        <v>20</v>
      </c>
      <c r="M960">
        <v>20</v>
      </c>
    </row>
    <row r="961" spans="1:13" x14ac:dyDescent="0.25">
      <c r="A961">
        <v>1304241</v>
      </c>
      <c r="B961" t="s">
        <v>2101</v>
      </c>
      <c r="C961" t="s">
        <v>357</v>
      </c>
      <c r="D961" t="s">
        <v>2026</v>
      </c>
      <c r="F961">
        <v>1</v>
      </c>
      <c r="G961" t="s">
        <v>16</v>
      </c>
      <c r="H961">
        <v>0</v>
      </c>
      <c r="I961" s="2" t="s">
        <v>497</v>
      </c>
      <c r="J961" s="2">
        <v>1682641080</v>
      </c>
      <c r="K961">
        <v>20</v>
      </c>
      <c r="L961">
        <v>20</v>
      </c>
      <c r="M961">
        <v>20</v>
      </c>
    </row>
    <row r="962" spans="1:13" x14ac:dyDescent="0.25">
      <c r="A962" t="s">
        <v>2102</v>
      </c>
      <c r="B962" t="s">
        <v>2101</v>
      </c>
      <c r="C962" t="s">
        <v>357</v>
      </c>
      <c r="D962" t="s">
        <v>2026</v>
      </c>
      <c r="F962">
        <v>1</v>
      </c>
      <c r="G962" t="s">
        <v>16</v>
      </c>
      <c r="H962">
        <v>0</v>
      </c>
      <c r="I962" s="2" t="s">
        <v>598</v>
      </c>
      <c r="J962" s="2">
        <v>343755</v>
      </c>
      <c r="K962">
        <v>20</v>
      </c>
      <c r="L962">
        <v>20</v>
      </c>
      <c r="M962">
        <v>20</v>
      </c>
    </row>
    <row r="963" spans="1:13" x14ac:dyDescent="0.25">
      <c r="A963" t="s">
        <v>2103</v>
      </c>
      <c r="B963" t="s">
        <v>2101</v>
      </c>
      <c r="C963" t="s">
        <v>357</v>
      </c>
      <c r="D963" t="s">
        <v>2026</v>
      </c>
      <c r="F963">
        <v>1</v>
      </c>
      <c r="G963" t="s">
        <v>16</v>
      </c>
      <c r="H963">
        <v>0</v>
      </c>
      <c r="I963" s="2" t="s">
        <v>64</v>
      </c>
      <c r="J963" s="2" t="str">
        <f>"08020442"</f>
        <v>08020442</v>
      </c>
      <c r="K963">
        <v>20</v>
      </c>
      <c r="L963">
        <v>20</v>
      </c>
      <c r="M963">
        <v>20</v>
      </c>
    </row>
    <row r="964" spans="1:13" x14ac:dyDescent="0.25">
      <c r="A964" t="s">
        <v>2104</v>
      </c>
      <c r="B964" t="s">
        <v>2101</v>
      </c>
      <c r="C964" t="s">
        <v>357</v>
      </c>
      <c r="D964" t="s">
        <v>2026</v>
      </c>
      <c r="G964" t="s">
        <v>16</v>
      </c>
      <c r="H964">
        <v>0</v>
      </c>
      <c r="I964" s="2" t="s">
        <v>2071</v>
      </c>
      <c r="J964" s="2">
        <v>252200103</v>
      </c>
      <c r="K964">
        <v>20</v>
      </c>
      <c r="L964">
        <v>20</v>
      </c>
      <c r="M964">
        <v>20</v>
      </c>
    </row>
    <row r="965" spans="1:13" x14ac:dyDescent="0.25">
      <c r="A965" t="s">
        <v>2105</v>
      </c>
      <c r="B965" t="s">
        <v>2101</v>
      </c>
      <c r="C965" t="s">
        <v>357</v>
      </c>
      <c r="D965" t="s">
        <v>2026</v>
      </c>
      <c r="G965" t="s">
        <v>16</v>
      </c>
      <c r="H965">
        <v>0</v>
      </c>
      <c r="I965" s="2" t="s">
        <v>491</v>
      </c>
      <c r="J965" s="2">
        <v>359001600410</v>
      </c>
      <c r="K965">
        <v>20</v>
      </c>
      <c r="L965">
        <v>20</v>
      </c>
      <c r="M965">
        <v>20</v>
      </c>
    </row>
    <row r="966" spans="1:13" x14ac:dyDescent="0.25">
      <c r="A966" t="s">
        <v>2106</v>
      </c>
      <c r="B966" t="s">
        <v>2101</v>
      </c>
      <c r="C966" t="s">
        <v>357</v>
      </c>
      <c r="D966" t="s">
        <v>2026</v>
      </c>
      <c r="G966" t="s">
        <v>16</v>
      </c>
      <c r="H966">
        <v>0</v>
      </c>
      <c r="I966" s="2" t="s">
        <v>500</v>
      </c>
      <c r="J966" s="2" t="s">
        <v>2107</v>
      </c>
      <c r="K966">
        <v>20</v>
      </c>
      <c r="L966">
        <v>20</v>
      </c>
      <c r="M966">
        <v>20</v>
      </c>
    </row>
    <row r="967" spans="1:13" x14ac:dyDescent="0.25">
      <c r="A967" t="s">
        <v>2108</v>
      </c>
      <c r="B967" t="s">
        <v>2101</v>
      </c>
      <c r="C967" t="s">
        <v>357</v>
      </c>
      <c r="D967" t="s">
        <v>2026</v>
      </c>
      <c r="G967" t="s">
        <v>16</v>
      </c>
      <c r="H967">
        <v>0</v>
      </c>
      <c r="I967" s="2" t="s">
        <v>165</v>
      </c>
      <c r="J967" s="2">
        <v>208190</v>
      </c>
      <c r="K967">
        <v>20</v>
      </c>
      <c r="L967">
        <v>20</v>
      </c>
      <c r="M967">
        <v>20</v>
      </c>
    </row>
    <row r="968" spans="1:13" x14ac:dyDescent="0.25">
      <c r="A968" t="s">
        <v>2109</v>
      </c>
      <c r="B968" t="s">
        <v>2101</v>
      </c>
      <c r="C968" t="s">
        <v>357</v>
      </c>
      <c r="D968" t="s">
        <v>2026</v>
      </c>
      <c r="F968">
        <v>2</v>
      </c>
      <c r="G968" t="s">
        <v>16</v>
      </c>
      <c r="H968">
        <v>0</v>
      </c>
      <c r="I968" s="2" t="s">
        <v>2039</v>
      </c>
      <c r="J968" s="2">
        <v>163064</v>
      </c>
      <c r="K968">
        <v>20</v>
      </c>
      <c r="L968">
        <v>20</v>
      </c>
      <c r="M968">
        <v>20</v>
      </c>
    </row>
    <row r="969" spans="1:13" x14ac:dyDescent="0.25">
      <c r="A969" t="s">
        <v>2110</v>
      </c>
      <c r="B969" t="s">
        <v>2111</v>
      </c>
      <c r="C969" t="s">
        <v>357</v>
      </c>
      <c r="D969" t="s">
        <v>2026</v>
      </c>
      <c r="G969" t="s">
        <v>16</v>
      </c>
      <c r="H969">
        <v>0</v>
      </c>
      <c r="I969" s="2" t="s">
        <v>2039</v>
      </c>
      <c r="J969" s="2">
        <v>160106</v>
      </c>
      <c r="K969">
        <v>20</v>
      </c>
      <c r="L969">
        <v>20</v>
      </c>
      <c r="M969">
        <v>20</v>
      </c>
    </row>
    <row r="970" spans="1:13" x14ac:dyDescent="0.25">
      <c r="A970" t="s">
        <v>2112</v>
      </c>
      <c r="B970" t="s">
        <v>2113</v>
      </c>
      <c r="C970" t="s">
        <v>357</v>
      </c>
      <c r="D970" t="s">
        <v>2026</v>
      </c>
      <c r="F970">
        <v>2</v>
      </c>
      <c r="G970" t="s">
        <v>16</v>
      </c>
      <c r="H970">
        <v>0</v>
      </c>
      <c r="I970" s="2" t="s">
        <v>2114</v>
      </c>
      <c r="J970" s="2" t="s">
        <v>2115</v>
      </c>
      <c r="K970">
        <v>20</v>
      </c>
      <c r="L970">
        <v>20</v>
      </c>
      <c r="M970">
        <v>20</v>
      </c>
    </row>
    <row r="971" spans="1:13" x14ac:dyDescent="0.25">
      <c r="A971">
        <v>1304611</v>
      </c>
      <c r="B971" t="s">
        <v>2116</v>
      </c>
      <c r="C971" t="s">
        <v>357</v>
      </c>
      <c r="D971" t="s">
        <v>2026</v>
      </c>
      <c r="F971">
        <v>0</v>
      </c>
      <c r="G971" t="s">
        <v>16</v>
      </c>
      <c r="H971">
        <v>0</v>
      </c>
      <c r="I971" s="2" t="s">
        <v>497</v>
      </c>
      <c r="J971" s="2">
        <v>13160252</v>
      </c>
      <c r="K971">
        <v>20</v>
      </c>
      <c r="L971">
        <v>20</v>
      </c>
      <c r="M971">
        <v>20</v>
      </c>
    </row>
    <row r="972" spans="1:13" x14ac:dyDescent="0.25">
      <c r="A972" t="s">
        <v>2117</v>
      </c>
      <c r="B972" t="s">
        <v>2118</v>
      </c>
      <c r="C972" t="s">
        <v>357</v>
      </c>
      <c r="D972" t="s">
        <v>2026</v>
      </c>
      <c r="G972" t="s">
        <v>16</v>
      </c>
      <c r="H972">
        <v>0</v>
      </c>
      <c r="I972" s="2" t="s">
        <v>598</v>
      </c>
      <c r="J972" s="2">
        <v>393705</v>
      </c>
      <c r="K972">
        <v>20</v>
      </c>
      <c r="L972">
        <v>20</v>
      </c>
      <c r="M972">
        <v>20</v>
      </c>
    </row>
    <row r="973" spans="1:13" x14ac:dyDescent="0.25">
      <c r="A973" t="s">
        <v>2119</v>
      </c>
      <c r="B973" t="s">
        <v>2118</v>
      </c>
      <c r="C973" t="s">
        <v>357</v>
      </c>
      <c r="D973" t="s">
        <v>2026</v>
      </c>
      <c r="F973">
        <v>1</v>
      </c>
      <c r="G973" t="s">
        <v>16</v>
      </c>
      <c r="H973">
        <v>0</v>
      </c>
      <c r="I973" s="2" t="s">
        <v>2027</v>
      </c>
      <c r="J973" s="2" t="s">
        <v>2120</v>
      </c>
      <c r="K973">
        <v>20</v>
      </c>
      <c r="L973">
        <v>20</v>
      </c>
      <c r="M973">
        <v>20</v>
      </c>
    </row>
    <row r="974" spans="1:13" x14ac:dyDescent="0.25">
      <c r="A974" t="s">
        <v>2121</v>
      </c>
      <c r="B974" t="s">
        <v>2118</v>
      </c>
      <c r="C974" t="s">
        <v>357</v>
      </c>
      <c r="D974" t="s">
        <v>2026</v>
      </c>
      <c r="F974">
        <v>1</v>
      </c>
      <c r="G974" t="s">
        <v>16</v>
      </c>
      <c r="H974">
        <v>0</v>
      </c>
      <c r="I974" s="2" t="s">
        <v>1175</v>
      </c>
      <c r="J974" s="2" t="s">
        <v>2122</v>
      </c>
      <c r="K974">
        <v>20</v>
      </c>
      <c r="L974">
        <v>20</v>
      </c>
      <c r="M974">
        <v>20</v>
      </c>
    </row>
    <row r="975" spans="1:13" x14ac:dyDescent="0.25">
      <c r="A975" t="s">
        <v>2123</v>
      </c>
      <c r="B975" t="s">
        <v>2118</v>
      </c>
      <c r="C975" t="s">
        <v>357</v>
      </c>
      <c r="D975" t="s">
        <v>2026</v>
      </c>
      <c r="G975" t="s">
        <v>16</v>
      </c>
      <c r="H975">
        <v>0</v>
      </c>
      <c r="I975" s="2" t="s">
        <v>1107</v>
      </c>
      <c r="J975" s="2">
        <v>13160252</v>
      </c>
      <c r="K975">
        <v>20</v>
      </c>
      <c r="L975">
        <v>20</v>
      </c>
      <c r="M975">
        <v>20</v>
      </c>
    </row>
    <row r="976" spans="1:13" x14ac:dyDescent="0.25">
      <c r="A976" t="s">
        <v>2124</v>
      </c>
      <c r="B976" t="s">
        <v>2125</v>
      </c>
      <c r="C976" t="s">
        <v>357</v>
      </c>
      <c r="D976" t="s">
        <v>2026</v>
      </c>
      <c r="F976">
        <v>2</v>
      </c>
      <c r="G976" t="s">
        <v>16</v>
      </c>
      <c r="H976">
        <v>0</v>
      </c>
      <c r="I976" s="2" t="s">
        <v>64</v>
      </c>
      <c r="J976" s="2" t="str">
        <f>"08020520"</f>
        <v>08020520</v>
      </c>
      <c r="K976">
        <v>20</v>
      </c>
      <c r="L976">
        <v>20</v>
      </c>
      <c r="M976">
        <v>20</v>
      </c>
    </row>
    <row r="977" spans="1:13" x14ac:dyDescent="0.25">
      <c r="A977" t="s">
        <v>2126</v>
      </c>
      <c r="B977" t="s">
        <v>2125</v>
      </c>
      <c r="C977" t="s">
        <v>357</v>
      </c>
      <c r="D977" t="s">
        <v>2026</v>
      </c>
      <c r="G977" t="s">
        <v>16</v>
      </c>
      <c r="H977">
        <v>0</v>
      </c>
      <c r="I977" s="2" t="s">
        <v>993</v>
      </c>
      <c r="J977" s="2">
        <v>202255</v>
      </c>
      <c r="K977">
        <v>20</v>
      </c>
      <c r="L977">
        <v>20</v>
      </c>
      <c r="M977">
        <v>20</v>
      </c>
    </row>
    <row r="978" spans="1:13" x14ac:dyDescent="0.25">
      <c r="A978" t="s">
        <v>2127</v>
      </c>
      <c r="B978" t="s">
        <v>2125</v>
      </c>
      <c r="C978" t="s">
        <v>357</v>
      </c>
      <c r="D978" t="s">
        <v>2026</v>
      </c>
      <c r="G978" t="s">
        <v>16</v>
      </c>
      <c r="H978">
        <v>0</v>
      </c>
      <c r="I978" s="2" t="s">
        <v>1107</v>
      </c>
      <c r="J978" s="2" t="s">
        <v>2128</v>
      </c>
      <c r="K978">
        <v>20</v>
      </c>
      <c r="L978">
        <v>20</v>
      </c>
      <c r="M978">
        <v>20</v>
      </c>
    </row>
    <row r="979" spans="1:13" x14ac:dyDescent="0.25">
      <c r="A979" t="s">
        <v>2129</v>
      </c>
      <c r="B979" t="s">
        <v>2130</v>
      </c>
      <c r="C979" t="s">
        <v>357</v>
      </c>
      <c r="D979" t="s">
        <v>2026</v>
      </c>
      <c r="F979">
        <v>1</v>
      </c>
      <c r="G979" t="s">
        <v>16</v>
      </c>
      <c r="H979">
        <v>0</v>
      </c>
      <c r="I979" s="2" t="s">
        <v>64</v>
      </c>
      <c r="J979" s="2" t="str">
        <f>"08020436"</f>
        <v>08020436</v>
      </c>
      <c r="K979">
        <v>20</v>
      </c>
      <c r="L979">
        <v>20</v>
      </c>
      <c r="M979">
        <v>20</v>
      </c>
    </row>
    <row r="980" spans="1:13" x14ac:dyDescent="0.25">
      <c r="A980" t="s">
        <v>2131</v>
      </c>
      <c r="B980" t="s">
        <v>2132</v>
      </c>
      <c r="C980" t="s">
        <v>357</v>
      </c>
      <c r="D980" t="s">
        <v>2026</v>
      </c>
      <c r="F980">
        <v>1</v>
      </c>
      <c r="G980" t="s">
        <v>16</v>
      </c>
      <c r="H980">
        <v>0</v>
      </c>
      <c r="I980" s="2" t="s">
        <v>142</v>
      </c>
      <c r="J980" s="2" t="s">
        <v>2133</v>
      </c>
      <c r="K980">
        <v>20</v>
      </c>
      <c r="L980">
        <v>20</v>
      </c>
      <c r="M980">
        <v>20</v>
      </c>
    </row>
    <row r="981" spans="1:13" x14ac:dyDescent="0.25">
      <c r="A981" t="s">
        <v>2134</v>
      </c>
      <c r="B981" t="s">
        <v>2132</v>
      </c>
      <c r="C981" t="s">
        <v>357</v>
      </c>
      <c r="D981" t="s">
        <v>2026</v>
      </c>
      <c r="F981">
        <v>3</v>
      </c>
      <c r="G981" t="s">
        <v>16</v>
      </c>
      <c r="H981">
        <v>0</v>
      </c>
      <c r="I981" s="2" t="s">
        <v>64</v>
      </c>
      <c r="J981" s="2" t="str">
        <f>"08020435"</f>
        <v>08020435</v>
      </c>
      <c r="K981">
        <v>20</v>
      </c>
      <c r="L981">
        <v>20</v>
      </c>
      <c r="M981">
        <v>20</v>
      </c>
    </row>
    <row r="982" spans="1:13" x14ac:dyDescent="0.25">
      <c r="A982" t="s">
        <v>2135</v>
      </c>
      <c r="B982" t="s">
        <v>2132</v>
      </c>
      <c r="C982" t="s">
        <v>357</v>
      </c>
      <c r="D982" t="s">
        <v>2026</v>
      </c>
      <c r="G982" t="s">
        <v>16</v>
      </c>
      <c r="H982">
        <v>0</v>
      </c>
      <c r="I982" s="2" t="s">
        <v>491</v>
      </c>
      <c r="J982" s="2">
        <v>359001600440</v>
      </c>
      <c r="K982">
        <v>20</v>
      </c>
      <c r="L982">
        <v>20</v>
      </c>
      <c r="M982">
        <v>20</v>
      </c>
    </row>
    <row r="983" spans="1:13" x14ac:dyDescent="0.25">
      <c r="A983" t="s">
        <v>2136</v>
      </c>
      <c r="B983" t="s">
        <v>2132</v>
      </c>
      <c r="C983" t="s">
        <v>357</v>
      </c>
      <c r="D983" t="s">
        <v>2026</v>
      </c>
      <c r="G983" t="s">
        <v>16</v>
      </c>
      <c r="H983">
        <v>0</v>
      </c>
      <c r="I983" s="2" t="s">
        <v>165</v>
      </c>
      <c r="J983" s="2">
        <v>202258</v>
      </c>
      <c r="K983">
        <v>20</v>
      </c>
      <c r="L983">
        <v>20</v>
      </c>
      <c r="M983">
        <v>20</v>
      </c>
    </row>
    <row r="984" spans="1:13" x14ac:dyDescent="0.25">
      <c r="A984" t="s">
        <v>2137</v>
      </c>
      <c r="B984" t="s">
        <v>2138</v>
      </c>
      <c r="C984" t="s">
        <v>357</v>
      </c>
      <c r="D984" t="s">
        <v>2026</v>
      </c>
      <c r="F984">
        <v>13</v>
      </c>
      <c r="G984" t="s">
        <v>16</v>
      </c>
      <c r="H984">
        <v>0</v>
      </c>
      <c r="I984" s="2" t="s">
        <v>238</v>
      </c>
      <c r="J984" s="2" t="str">
        <f>"01211"</f>
        <v>01211</v>
      </c>
      <c r="K984">
        <v>20</v>
      </c>
      <c r="L984">
        <v>20</v>
      </c>
      <c r="M984">
        <v>20</v>
      </c>
    </row>
    <row r="985" spans="1:13" x14ac:dyDescent="0.25">
      <c r="A985" t="s">
        <v>2139</v>
      </c>
      <c r="B985" t="s">
        <v>2138</v>
      </c>
      <c r="C985" t="s">
        <v>357</v>
      </c>
      <c r="D985" t="s">
        <v>2026</v>
      </c>
      <c r="G985" t="s">
        <v>16</v>
      </c>
      <c r="H985">
        <v>0</v>
      </c>
      <c r="I985" s="2" t="s">
        <v>1444</v>
      </c>
      <c r="J985" s="2">
        <v>90467472</v>
      </c>
      <c r="K985">
        <v>20</v>
      </c>
      <c r="L985">
        <v>20</v>
      </c>
      <c r="M985">
        <v>20</v>
      </c>
    </row>
    <row r="986" spans="1:13" x14ac:dyDescent="0.25">
      <c r="A986" t="s">
        <v>2140</v>
      </c>
      <c r="B986" t="s">
        <v>2138</v>
      </c>
      <c r="C986" t="s">
        <v>357</v>
      </c>
      <c r="D986" t="s">
        <v>2026</v>
      </c>
      <c r="F986">
        <v>5</v>
      </c>
      <c r="G986" t="s">
        <v>16</v>
      </c>
      <c r="H986">
        <v>0</v>
      </c>
      <c r="I986" s="2" t="s">
        <v>504</v>
      </c>
      <c r="J986" s="2" t="s">
        <v>2141</v>
      </c>
      <c r="K986">
        <v>20</v>
      </c>
      <c r="L986">
        <v>20</v>
      </c>
      <c r="M986">
        <v>20</v>
      </c>
    </row>
    <row r="987" spans="1:13" x14ac:dyDescent="0.25">
      <c r="A987" t="s">
        <v>2142</v>
      </c>
      <c r="B987" t="s">
        <v>2138</v>
      </c>
      <c r="C987" t="s">
        <v>357</v>
      </c>
      <c r="D987" t="s">
        <v>2026</v>
      </c>
      <c r="F987">
        <v>7</v>
      </c>
      <c r="G987" t="s">
        <v>16</v>
      </c>
      <c r="H987">
        <v>0</v>
      </c>
      <c r="I987" s="2" t="s">
        <v>165</v>
      </c>
      <c r="J987" s="2">
        <v>202261</v>
      </c>
      <c r="K987">
        <v>20</v>
      </c>
      <c r="L987">
        <v>20</v>
      </c>
      <c r="M987">
        <v>20</v>
      </c>
    </row>
    <row r="988" spans="1:13" x14ac:dyDescent="0.25">
      <c r="A988">
        <v>1304677</v>
      </c>
      <c r="B988" t="s">
        <v>2143</v>
      </c>
      <c r="C988" t="s">
        <v>357</v>
      </c>
      <c r="D988" t="s">
        <v>2026</v>
      </c>
      <c r="F988">
        <v>42</v>
      </c>
      <c r="G988" t="s">
        <v>16</v>
      </c>
      <c r="H988">
        <v>0</v>
      </c>
      <c r="I988" s="2" t="s">
        <v>1444</v>
      </c>
      <c r="J988" s="2">
        <v>9202799</v>
      </c>
      <c r="K988">
        <v>20</v>
      </c>
      <c r="L988">
        <v>20</v>
      </c>
      <c r="M988">
        <v>20</v>
      </c>
    </row>
    <row r="989" spans="1:13" x14ac:dyDescent="0.25">
      <c r="A989" t="s">
        <v>2144</v>
      </c>
      <c r="B989" t="s">
        <v>2143</v>
      </c>
      <c r="C989" t="s">
        <v>357</v>
      </c>
      <c r="D989" t="s">
        <v>2026</v>
      </c>
      <c r="G989" t="s">
        <v>16</v>
      </c>
      <c r="H989">
        <v>0</v>
      </c>
      <c r="I989" s="2" t="s">
        <v>238</v>
      </c>
      <c r="J989" s="2">
        <v>28490</v>
      </c>
      <c r="K989">
        <v>20</v>
      </c>
      <c r="L989">
        <v>20</v>
      </c>
      <c r="M989">
        <v>20</v>
      </c>
    </row>
    <row r="990" spans="1:13" x14ac:dyDescent="0.25">
      <c r="A990" t="s">
        <v>2145</v>
      </c>
      <c r="B990" t="s">
        <v>2143</v>
      </c>
      <c r="C990" t="s">
        <v>357</v>
      </c>
      <c r="D990" t="s">
        <v>2026</v>
      </c>
      <c r="G990" t="s">
        <v>16</v>
      </c>
      <c r="H990">
        <v>0</v>
      </c>
      <c r="I990" s="2" t="s">
        <v>486</v>
      </c>
      <c r="J990" s="2">
        <v>40928490</v>
      </c>
      <c r="K990">
        <v>20</v>
      </c>
      <c r="L990">
        <v>20</v>
      </c>
      <c r="M990">
        <v>20</v>
      </c>
    </row>
    <row r="991" spans="1:13" x14ac:dyDescent="0.25">
      <c r="A991">
        <v>1304702</v>
      </c>
      <c r="B991" t="s">
        <v>2146</v>
      </c>
      <c r="C991" t="s">
        <v>357</v>
      </c>
      <c r="D991" t="s">
        <v>2026</v>
      </c>
      <c r="F991">
        <v>3</v>
      </c>
      <c r="G991" t="s">
        <v>16</v>
      </c>
      <c r="H991">
        <v>0</v>
      </c>
      <c r="I991" s="2" t="s">
        <v>497</v>
      </c>
      <c r="J991" s="2">
        <v>93179551</v>
      </c>
      <c r="K991">
        <v>20</v>
      </c>
      <c r="L991">
        <v>20</v>
      </c>
      <c r="M991">
        <v>20</v>
      </c>
    </row>
    <row r="992" spans="1:13" x14ac:dyDescent="0.25">
      <c r="A992" t="s">
        <v>2147</v>
      </c>
      <c r="B992" t="s">
        <v>2148</v>
      </c>
      <c r="C992" t="s">
        <v>1736</v>
      </c>
      <c r="G992" t="s">
        <v>16</v>
      </c>
      <c r="H992">
        <v>0</v>
      </c>
      <c r="I992" s="2" t="s">
        <v>2039</v>
      </c>
      <c r="J992" s="2">
        <v>311004</v>
      </c>
      <c r="K992">
        <v>20</v>
      </c>
      <c r="L992">
        <v>20</v>
      </c>
      <c r="M992">
        <v>20</v>
      </c>
    </row>
    <row r="993" spans="1:13" x14ac:dyDescent="0.25">
      <c r="A993" t="s">
        <v>2149</v>
      </c>
      <c r="B993" t="s">
        <v>2150</v>
      </c>
      <c r="C993" t="s">
        <v>357</v>
      </c>
      <c r="D993" t="s">
        <v>2026</v>
      </c>
      <c r="G993" t="s">
        <v>16</v>
      </c>
      <c r="H993">
        <v>0</v>
      </c>
      <c r="I993" s="2" t="s">
        <v>500</v>
      </c>
      <c r="J993" s="2" t="s">
        <v>2151</v>
      </c>
      <c r="K993">
        <v>20</v>
      </c>
      <c r="L993">
        <v>20</v>
      </c>
      <c r="M993">
        <v>20</v>
      </c>
    </row>
    <row r="994" spans="1:13" x14ac:dyDescent="0.25">
      <c r="A994">
        <v>1305248</v>
      </c>
      <c r="B994" t="s">
        <v>2152</v>
      </c>
      <c r="C994" t="s">
        <v>357</v>
      </c>
      <c r="D994" t="s">
        <v>2026</v>
      </c>
      <c r="F994">
        <v>39</v>
      </c>
      <c r="G994" t="s">
        <v>16</v>
      </c>
      <c r="H994">
        <v>0</v>
      </c>
      <c r="I994" s="2" t="s">
        <v>497</v>
      </c>
      <c r="K994">
        <v>20</v>
      </c>
      <c r="L994">
        <v>20</v>
      </c>
      <c r="M994">
        <v>20</v>
      </c>
    </row>
    <row r="995" spans="1:13" x14ac:dyDescent="0.25">
      <c r="A995" t="s">
        <v>2153</v>
      </c>
      <c r="B995" t="s">
        <v>2152</v>
      </c>
      <c r="C995" t="s">
        <v>357</v>
      </c>
      <c r="D995" t="s">
        <v>2026</v>
      </c>
      <c r="F995">
        <v>2</v>
      </c>
      <c r="G995" t="s">
        <v>16</v>
      </c>
      <c r="H995">
        <v>0</v>
      </c>
      <c r="I995" s="2" t="s">
        <v>288</v>
      </c>
      <c r="J995" s="2" t="s">
        <v>2154</v>
      </c>
      <c r="K995">
        <v>20</v>
      </c>
      <c r="L995">
        <v>20</v>
      </c>
      <c r="M995">
        <v>20</v>
      </c>
    </row>
    <row r="996" spans="1:13" x14ac:dyDescent="0.25">
      <c r="A996" t="s">
        <v>2155</v>
      </c>
      <c r="B996" t="s">
        <v>2152</v>
      </c>
      <c r="C996" t="s">
        <v>357</v>
      </c>
      <c r="D996" t="s">
        <v>2026</v>
      </c>
      <c r="G996" t="s">
        <v>16</v>
      </c>
      <c r="H996">
        <v>0</v>
      </c>
      <c r="I996" s="2" t="s">
        <v>238</v>
      </c>
      <c r="J996" s="2">
        <v>36579</v>
      </c>
      <c r="K996">
        <v>20</v>
      </c>
      <c r="L996">
        <v>20</v>
      </c>
      <c r="M996">
        <v>20</v>
      </c>
    </row>
    <row r="997" spans="1:13" x14ac:dyDescent="0.25">
      <c r="A997" t="s">
        <v>2156</v>
      </c>
      <c r="B997" t="s">
        <v>2152</v>
      </c>
      <c r="C997" t="s">
        <v>357</v>
      </c>
      <c r="D997" t="s">
        <v>2026</v>
      </c>
      <c r="F997">
        <v>1</v>
      </c>
      <c r="G997" t="s">
        <v>16</v>
      </c>
      <c r="H997">
        <v>0</v>
      </c>
      <c r="I997" s="2" t="s">
        <v>245</v>
      </c>
      <c r="J997" s="2" t="s">
        <v>2157</v>
      </c>
      <c r="K997">
        <v>20</v>
      </c>
      <c r="L997">
        <v>20</v>
      </c>
      <c r="M997">
        <v>20</v>
      </c>
    </row>
    <row r="998" spans="1:13" x14ac:dyDescent="0.25">
      <c r="A998" t="s">
        <v>2158</v>
      </c>
      <c r="B998" t="s">
        <v>2152</v>
      </c>
      <c r="C998" t="s">
        <v>357</v>
      </c>
      <c r="D998" t="s">
        <v>2026</v>
      </c>
      <c r="F998">
        <v>1</v>
      </c>
      <c r="G998" t="s">
        <v>16</v>
      </c>
      <c r="H998">
        <v>0</v>
      </c>
      <c r="I998" s="2" t="s">
        <v>486</v>
      </c>
      <c r="J998" s="2">
        <v>40936579</v>
      </c>
      <c r="K998">
        <v>20</v>
      </c>
      <c r="L998">
        <v>20</v>
      </c>
      <c r="M998">
        <v>20</v>
      </c>
    </row>
    <row r="999" spans="1:13" x14ac:dyDescent="0.25">
      <c r="A999" t="s">
        <v>2159</v>
      </c>
      <c r="B999" t="s">
        <v>2160</v>
      </c>
      <c r="C999" t="s">
        <v>357</v>
      </c>
      <c r="D999" t="s">
        <v>2026</v>
      </c>
      <c r="F999">
        <v>1</v>
      </c>
      <c r="G999" t="s">
        <v>16</v>
      </c>
      <c r="H999">
        <v>0</v>
      </c>
      <c r="I999" s="2" t="s">
        <v>51</v>
      </c>
      <c r="J999" s="2" t="s">
        <v>2159</v>
      </c>
      <c r="K999">
        <v>20</v>
      </c>
      <c r="L999">
        <v>20</v>
      </c>
      <c r="M999">
        <v>20</v>
      </c>
    </row>
    <row r="1000" spans="1:13" x14ac:dyDescent="0.25">
      <c r="A1000" t="s">
        <v>2161</v>
      </c>
      <c r="B1000" t="s">
        <v>2162</v>
      </c>
      <c r="C1000" t="s">
        <v>357</v>
      </c>
      <c r="D1000" t="s">
        <v>2026</v>
      </c>
      <c r="F1000">
        <v>6</v>
      </c>
      <c r="G1000" t="s">
        <v>16</v>
      </c>
      <c r="H1000">
        <v>0</v>
      </c>
      <c r="I1000" s="2" t="s">
        <v>87</v>
      </c>
      <c r="J1000" s="2" t="s">
        <v>2163</v>
      </c>
      <c r="K1000">
        <v>20</v>
      </c>
      <c r="L1000">
        <v>20</v>
      </c>
      <c r="M1000">
        <v>20</v>
      </c>
    </row>
    <row r="1001" spans="1:13" x14ac:dyDescent="0.25">
      <c r="A1001" t="s">
        <v>2164</v>
      </c>
      <c r="B1001" t="s">
        <v>2165</v>
      </c>
      <c r="C1001" t="s">
        <v>151</v>
      </c>
      <c r="F1001">
        <v>2</v>
      </c>
      <c r="G1001" t="s">
        <v>16</v>
      </c>
      <c r="H1001">
        <v>0</v>
      </c>
      <c r="I1001" s="2" t="s">
        <v>87</v>
      </c>
      <c r="J1001" s="2" t="s">
        <v>2166</v>
      </c>
      <c r="K1001">
        <v>20</v>
      </c>
      <c r="L1001">
        <v>20</v>
      </c>
      <c r="M1001">
        <v>20</v>
      </c>
    </row>
    <row r="1002" spans="1:13" x14ac:dyDescent="0.25">
      <c r="A1002" t="s">
        <v>2167</v>
      </c>
      <c r="B1002" t="s">
        <v>2169</v>
      </c>
      <c r="C1002" t="s">
        <v>357</v>
      </c>
      <c r="D1002" t="s">
        <v>2026</v>
      </c>
      <c r="F1002">
        <v>2</v>
      </c>
      <c r="G1002" t="s">
        <v>16</v>
      </c>
      <c r="H1002">
        <v>0</v>
      </c>
      <c r="I1002" s="2" t="s">
        <v>69</v>
      </c>
      <c r="J1002" s="2" t="s">
        <v>2168</v>
      </c>
      <c r="K1002">
        <v>20</v>
      </c>
      <c r="L1002">
        <v>20</v>
      </c>
      <c r="M1002">
        <v>20</v>
      </c>
    </row>
    <row r="1003" spans="1:13" x14ac:dyDescent="0.25">
      <c r="A1003" t="s">
        <v>2170</v>
      </c>
      <c r="B1003" t="s">
        <v>2169</v>
      </c>
      <c r="C1003" t="s">
        <v>357</v>
      </c>
      <c r="D1003" t="s">
        <v>2026</v>
      </c>
      <c r="F1003">
        <v>1</v>
      </c>
      <c r="G1003" t="s">
        <v>16</v>
      </c>
      <c r="H1003">
        <v>0</v>
      </c>
      <c r="I1003" s="2" t="s">
        <v>486</v>
      </c>
      <c r="J1003" s="2">
        <v>62922080</v>
      </c>
      <c r="K1003">
        <v>20</v>
      </c>
      <c r="L1003">
        <v>20</v>
      </c>
      <c r="M1003">
        <v>20</v>
      </c>
    </row>
    <row r="1004" spans="1:13" x14ac:dyDescent="0.25">
      <c r="A1004" t="s">
        <v>2171</v>
      </c>
      <c r="B1004" t="s">
        <v>2172</v>
      </c>
      <c r="C1004" t="s">
        <v>151</v>
      </c>
      <c r="F1004">
        <v>1</v>
      </c>
      <c r="G1004" t="s">
        <v>16</v>
      </c>
      <c r="H1004">
        <v>0</v>
      </c>
      <c r="I1004" s="2" t="s">
        <v>87</v>
      </c>
      <c r="J1004" s="2" t="s">
        <v>2166</v>
      </c>
      <c r="K1004">
        <v>20</v>
      </c>
      <c r="L1004">
        <v>20</v>
      </c>
      <c r="M1004">
        <v>20</v>
      </c>
    </row>
    <row r="1005" spans="1:13" x14ac:dyDescent="0.25">
      <c r="A1005" t="s">
        <v>2173</v>
      </c>
      <c r="B1005" t="s">
        <v>2174</v>
      </c>
      <c r="C1005" t="s">
        <v>357</v>
      </c>
      <c r="D1005" t="s">
        <v>2026</v>
      </c>
      <c r="F1005">
        <v>1</v>
      </c>
      <c r="G1005" t="s">
        <v>16</v>
      </c>
      <c r="H1005">
        <v>0</v>
      </c>
      <c r="I1005" s="2" t="s">
        <v>2175</v>
      </c>
      <c r="J1005" s="2">
        <v>72401</v>
      </c>
      <c r="K1005">
        <v>20</v>
      </c>
      <c r="L1005">
        <v>20</v>
      </c>
      <c r="M1005">
        <v>20</v>
      </c>
    </row>
    <row r="1006" spans="1:13" x14ac:dyDescent="0.25">
      <c r="A1006" t="s">
        <v>2176</v>
      </c>
      <c r="B1006" t="s">
        <v>2177</v>
      </c>
      <c r="C1006" t="s">
        <v>357</v>
      </c>
      <c r="D1006" t="s">
        <v>2026</v>
      </c>
      <c r="F1006">
        <v>1</v>
      </c>
      <c r="G1006" t="s">
        <v>16</v>
      </c>
      <c r="H1006">
        <v>0</v>
      </c>
      <c r="I1006" s="2" t="s">
        <v>108</v>
      </c>
      <c r="J1006" s="3">
        <v>2611547001</v>
      </c>
      <c r="K1006">
        <v>20</v>
      </c>
      <c r="L1006">
        <v>20</v>
      </c>
      <c r="M1006">
        <v>20</v>
      </c>
    </row>
    <row r="1007" spans="1:13" x14ac:dyDescent="0.25">
      <c r="A1007" t="s">
        <v>2178</v>
      </c>
      <c r="B1007" t="s">
        <v>2179</v>
      </c>
      <c r="C1007" t="s">
        <v>357</v>
      </c>
      <c r="D1007" t="s">
        <v>1836</v>
      </c>
      <c r="F1007">
        <v>16</v>
      </c>
      <c r="G1007" t="s">
        <v>16</v>
      </c>
      <c r="H1007">
        <v>0</v>
      </c>
      <c r="I1007" s="2" t="s">
        <v>51</v>
      </c>
      <c r="J1007" s="2">
        <v>6501634880</v>
      </c>
      <c r="K1007">
        <v>20</v>
      </c>
      <c r="L1007">
        <v>20</v>
      </c>
      <c r="M1007">
        <v>20</v>
      </c>
    </row>
    <row r="1008" spans="1:13" x14ac:dyDescent="0.25">
      <c r="A1008" t="s">
        <v>2180</v>
      </c>
      <c r="B1008" t="s">
        <v>2179</v>
      </c>
      <c r="C1008" t="s">
        <v>357</v>
      </c>
      <c r="D1008" t="s">
        <v>2026</v>
      </c>
      <c r="F1008">
        <v>9</v>
      </c>
      <c r="G1008" t="s">
        <v>16</v>
      </c>
      <c r="H1008">
        <v>0</v>
      </c>
      <c r="I1008" s="2" t="s">
        <v>2098</v>
      </c>
      <c r="J1008" s="2" t="s">
        <v>2181</v>
      </c>
      <c r="K1008">
        <v>20</v>
      </c>
      <c r="L1008">
        <v>20</v>
      </c>
      <c r="M1008">
        <v>20</v>
      </c>
    </row>
    <row r="1009" spans="1:13" x14ac:dyDescent="0.25">
      <c r="A1009" t="s">
        <v>2182</v>
      </c>
      <c r="B1009" t="s">
        <v>2183</v>
      </c>
      <c r="C1009" t="s">
        <v>357</v>
      </c>
      <c r="D1009" t="s">
        <v>2026</v>
      </c>
      <c r="G1009" t="s">
        <v>16</v>
      </c>
      <c r="H1009">
        <v>0</v>
      </c>
      <c r="I1009" s="2" t="s">
        <v>2184</v>
      </c>
      <c r="J1009" s="2" t="s">
        <v>2185</v>
      </c>
      <c r="K1009">
        <v>20</v>
      </c>
      <c r="L1009">
        <v>20</v>
      </c>
      <c r="M1009">
        <v>20</v>
      </c>
    </row>
    <row r="1010" spans="1:13" x14ac:dyDescent="0.25">
      <c r="A1010" t="s">
        <v>2186</v>
      </c>
      <c r="B1010" t="s">
        <v>2179</v>
      </c>
      <c r="C1010" t="s">
        <v>357</v>
      </c>
      <c r="D1010" t="s">
        <v>2026</v>
      </c>
      <c r="F1010">
        <v>1</v>
      </c>
      <c r="G1010" t="s">
        <v>16</v>
      </c>
      <c r="H1010">
        <v>0</v>
      </c>
      <c r="I1010" s="2" t="s">
        <v>64</v>
      </c>
      <c r="J1010" s="2">
        <v>21031031</v>
      </c>
      <c r="K1010">
        <v>20</v>
      </c>
      <c r="L1010">
        <v>20</v>
      </c>
      <c r="M1010">
        <v>20</v>
      </c>
    </row>
    <row r="1011" spans="1:13" x14ac:dyDescent="0.25">
      <c r="A1011" t="s">
        <v>2187</v>
      </c>
      <c r="B1011" t="s">
        <v>2183</v>
      </c>
      <c r="C1011" t="s">
        <v>357</v>
      </c>
      <c r="D1011" t="s">
        <v>2026</v>
      </c>
      <c r="F1011">
        <v>2</v>
      </c>
      <c r="G1011" t="s">
        <v>16</v>
      </c>
      <c r="H1011">
        <v>0</v>
      </c>
      <c r="I1011" s="2" t="s">
        <v>245</v>
      </c>
      <c r="J1011" s="2" t="s">
        <v>2188</v>
      </c>
      <c r="K1011">
        <v>20</v>
      </c>
      <c r="L1011">
        <v>20</v>
      </c>
      <c r="M1011">
        <v>20</v>
      </c>
    </row>
    <row r="1012" spans="1:13" x14ac:dyDescent="0.25">
      <c r="A1012" t="s">
        <v>2189</v>
      </c>
      <c r="B1012" t="s">
        <v>2190</v>
      </c>
      <c r="C1012" t="s">
        <v>357</v>
      </c>
      <c r="D1012" t="s">
        <v>2026</v>
      </c>
      <c r="F1012">
        <v>1</v>
      </c>
      <c r="G1012" t="s">
        <v>16</v>
      </c>
      <c r="H1012">
        <v>0</v>
      </c>
      <c r="I1012" s="2" t="s">
        <v>87</v>
      </c>
      <c r="J1012" s="2" t="s">
        <v>2191</v>
      </c>
      <c r="K1012">
        <v>20</v>
      </c>
      <c r="L1012">
        <v>20</v>
      </c>
      <c r="M1012">
        <v>20</v>
      </c>
    </row>
    <row r="1013" spans="1:13" x14ac:dyDescent="0.25">
      <c r="A1013" t="s">
        <v>2192</v>
      </c>
      <c r="B1013" t="s">
        <v>2193</v>
      </c>
      <c r="C1013" t="s">
        <v>357</v>
      </c>
      <c r="D1013" t="s">
        <v>241</v>
      </c>
      <c r="F1013">
        <v>1</v>
      </c>
      <c r="G1013" t="s">
        <v>16</v>
      </c>
      <c r="H1013">
        <v>0</v>
      </c>
      <c r="I1013" s="2" t="s">
        <v>245</v>
      </c>
      <c r="J1013" s="2" t="s">
        <v>2194</v>
      </c>
      <c r="K1013">
        <v>20</v>
      </c>
      <c r="L1013">
        <v>20</v>
      </c>
      <c r="M1013">
        <v>20</v>
      </c>
    </row>
    <row r="1014" spans="1:13" x14ac:dyDescent="0.25">
      <c r="A1014" t="s">
        <v>2195</v>
      </c>
      <c r="B1014" t="s">
        <v>2196</v>
      </c>
      <c r="C1014" t="s">
        <v>357</v>
      </c>
      <c r="D1014" t="s">
        <v>241</v>
      </c>
      <c r="G1014" t="s">
        <v>16</v>
      </c>
      <c r="H1014">
        <v>0</v>
      </c>
      <c r="I1014" s="2" t="s">
        <v>245</v>
      </c>
      <c r="J1014" s="2" t="s">
        <v>2197</v>
      </c>
      <c r="K1014">
        <v>20</v>
      </c>
      <c r="L1014">
        <v>20</v>
      </c>
      <c r="M1014">
        <v>20</v>
      </c>
    </row>
    <row r="1015" spans="1:13" x14ac:dyDescent="0.25">
      <c r="A1015" t="s">
        <v>2198</v>
      </c>
      <c r="B1015" t="s">
        <v>2199</v>
      </c>
      <c r="C1015" t="s">
        <v>357</v>
      </c>
      <c r="D1015" t="s">
        <v>241</v>
      </c>
      <c r="G1015" t="s">
        <v>16</v>
      </c>
      <c r="H1015">
        <v>0</v>
      </c>
      <c r="I1015" s="2" t="s">
        <v>245</v>
      </c>
      <c r="J1015" s="2" t="s">
        <v>2200</v>
      </c>
      <c r="K1015">
        <v>20</v>
      </c>
      <c r="L1015">
        <v>20</v>
      </c>
      <c r="M1015">
        <v>20</v>
      </c>
    </row>
    <row r="1016" spans="1:13" x14ac:dyDescent="0.25">
      <c r="A1016" t="s">
        <v>2201</v>
      </c>
      <c r="B1016" t="s">
        <v>2202</v>
      </c>
      <c r="C1016" t="s">
        <v>357</v>
      </c>
      <c r="D1016" t="s">
        <v>241</v>
      </c>
      <c r="F1016">
        <v>5</v>
      </c>
      <c r="G1016" t="s">
        <v>16</v>
      </c>
      <c r="H1016">
        <v>0</v>
      </c>
      <c r="I1016" s="2" t="s">
        <v>243</v>
      </c>
      <c r="J1016" s="2">
        <v>17261</v>
      </c>
      <c r="K1016">
        <v>20</v>
      </c>
      <c r="L1016">
        <v>20</v>
      </c>
      <c r="M1016">
        <v>20</v>
      </c>
    </row>
    <row r="1017" spans="1:13" x14ac:dyDescent="0.25">
      <c r="A1017" t="s">
        <v>2203</v>
      </c>
      <c r="B1017" t="s">
        <v>2204</v>
      </c>
      <c r="C1017" t="s">
        <v>357</v>
      </c>
      <c r="D1017" t="s">
        <v>241</v>
      </c>
      <c r="F1017">
        <v>5</v>
      </c>
      <c r="G1017" t="s">
        <v>16</v>
      </c>
      <c r="H1017">
        <v>0</v>
      </c>
      <c r="I1017" s="2" t="s">
        <v>64</v>
      </c>
      <c r="J1017" s="2">
        <v>10032355</v>
      </c>
      <c r="K1017">
        <v>20</v>
      </c>
      <c r="L1017">
        <v>20</v>
      </c>
      <c r="M1017">
        <v>20</v>
      </c>
    </row>
    <row r="1018" spans="1:13" x14ac:dyDescent="0.25">
      <c r="A1018" t="s">
        <v>2205</v>
      </c>
      <c r="B1018" t="s">
        <v>2206</v>
      </c>
      <c r="C1018" t="s">
        <v>357</v>
      </c>
      <c r="D1018" t="s">
        <v>241</v>
      </c>
      <c r="F1018">
        <v>1</v>
      </c>
      <c r="G1018" t="s">
        <v>16</v>
      </c>
      <c r="H1018">
        <v>0</v>
      </c>
      <c r="I1018" s="2" t="s">
        <v>245</v>
      </c>
      <c r="J1018" s="2" t="s">
        <v>2207</v>
      </c>
      <c r="K1018">
        <v>20</v>
      </c>
      <c r="L1018">
        <v>20</v>
      </c>
      <c r="M1018">
        <v>20</v>
      </c>
    </row>
    <row r="1019" spans="1:13" x14ac:dyDescent="0.25">
      <c r="A1019" t="s">
        <v>2208</v>
      </c>
      <c r="B1019" t="s">
        <v>2209</v>
      </c>
      <c r="C1019" t="s">
        <v>357</v>
      </c>
      <c r="D1019" t="s">
        <v>241</v>
      </c>
      <c r="G1019" t="s">
        <v>16</v>
      </c>
      <c r="H1019">
        <v>0</v>
      </c>
      <c r="I1019" s="2" t="s">
        <v>245</v>
      </c>
      <c r="J1019" s="2" t="s">
        <v>2210</v>
      </c>
      <c r="K1019">
        <v>20</v>
      </c>
      <c r="L1019">
        <v>20</v>
      </c>
      <c r="M1019">
        <v>20</v>
      </c>
    </row>
    <row r="1020" spans="1:13" x14ac:dyDescent="0.25">
      <c r="A1020" t="s">
        <v>2211</v>
      </c>
      <c r="B1020" t="s">
        <v>2212</v>
      </c>
      <c r="C1020" t="s">
        <v>357</v>
      </c>
      <c r="D1020" t="s">
        <v>241</v>
      </c>
      <c r="F1020">
        <v>1</v>
      </c>
      <c r="G1020" t="s">
        <v>16</v>
      </c>
      <c r="H1020">
        <v>0</v>
      </c>
      <c r="I1020" s="2" t="s">
        <v>737</v>
      </c>
      <c r="J1020" s="2" t="s">
        <v>2213</v>
      </c>
      <c r="K1020">
        <v>20</v>
      </c>
      <c r="L1020">
        <v>20</v>
      </c>
      <c r="M1020">
        <v>20</v>
      </c>
    </row>
    <row r="1021" spans="1:13" x14ac:dyDescent="0.25">
      <c r="A1021" t="s">
        <v>2214</v>
      </c>
      <c r="B1021" t="s">
        <v>2215</v>
      </c>
      <c r="C1021" t="s">
        <v>241</v>
      </c>
      <c r="D1021" t="s">
        <v>2216</v>
      </c>
      <c r="F1021">
        <v>1</v>
      </c>
      <c r="G1021" t="s">
        <v>16</v>
      </c>
      <c r="H1021">
        <v>0</v>
      </c>
      <c r="I1021" s="2" t="s">
        <v>51</v>
      </c>
      <c r="J1021" s="2" t="s">
        <v>2214</v>
      </c>
      <c r="K1021">
        <v>20</v>
      </c>
      <c r="L1021">
        <v>20</v>
      </c>
      <c r="M1021">
        <v>20</v>
      </c>
    </row>
    <row r="1022" spans="1:13" x14ac:dyDescent="0.25">
      <c r="A1022" t="s">
        <v>2217</v>
      </c>
      <c r="B1022" t="s">
        <v>2215</v>
      </c>
      <c r="C1022" t="s">
        <v>357</v>
      </c>
      <c r="D1022" t="s">
        <v>241</v>
      </c>
      <c r="F1022">
        <v>1</v>
      </c>
      <c r="G1022" t="s">
        <v>16</v>
      </c>
      <c r="H1022">
        <v>0</v>
      </c>
      <c r="I1022" s="2" t="s">
        <v>64</v>
      </c>
      <c r="J1022" s="2">
        <v>10034822</v>
      </c>
      <c r="K1022">
        <v>20</v>
      </c>
      <c r="L1022">
        <v>20</v>
      </c>
      <c r="M1022">
        <v>20</v>
      </c>
    </row>
    <row r="1023" spans="1:13" x14ac:dyDescent="0.25">
      <c r="A1023" t="s">
        <v>2218</v>
      </c>
      <c r="B1023" t="s">
        <v>2220</v>
      </c>
      <c r="C1023" t="s">
        <v>241</v>
      </c>
      <c r="D1023" t="s">
        <v>2216</v>
      </c>
      <c r="F1023">
        <v>1</v>
      </c>
      <c r="G1023" t="s">
        <v>16</v>
      </c>
      <c r="H1023">
        <v>0</v>
      </c>
      <c r="I1023" s="2" t="s">
        <v>784</v>
      </c>
      <c r="J1023" s="2" t="s">
        <v>2219</v>
      </c>
      <c r="K1023">
        <v>20</v>
      </c>
      <c r="L1023">
        <v>20</v>
      </c>
      <c r="M1023">
        <v>20</v>
      </c>
    </row>
    <row r="1024" spans="1:13" x14ac:dyDescent="0.25">
      <c r="A1024" t="s">
        <v>2221</v>
      </c>
      <c r="B1024" t="s">
        <v>2223</v>
      </c>
      <c r="C1024" t="s">
        <v>357</v>
      </c>
      <c r="D1024" t="s">
        <v>241</v>
      </c>
      <c r="F1024">
        <v>4</v>
      </c>
      <c r="G1024" t="s">
        <v>16</v>
      </c>
      <c r="H1024">
        <v>0</v>
      </c>
      <c r="I1024" s="2" t="s">
        <v>2224</v>
      </c>
      <c r="J1024" s="2" t="s">
        <v>2222</v>
      </c>
      <c r="K1024">
        <v>20</v>
      </c>
      <c r="L1024">
        <v>20</v>
      </c>
      <c r="M1024">
        <v>20</v>
      </c>
    </row>
    <row r="1025" spans="1:13" x14ac:dyDescent="0.25">
      <c r="A1025" t="s">
        <v>2225</v>
      </c>
      <c r="B1025" t="s">
        <v>2226</v>
      </c>
      <c r="C1025" t="s">
        <v>241</v>
      </c>
      <c r="D1025" t="s">
        <v>2216</v>
      </c>
      <c r="G1025" t="s">
        <v>16</v>
      </c>
      <c r="H1025">
        <v>0</v>
      </c>
      <c r="I1025" s="2" t="s">
        <v>737</v>
      </c>
      <c r="J1025" s="2" t="s">
        <v>2227</v>
      </c>
      <c r="K1025">
        <v>20</v>
      </c>
      <c r="L1025">
        <v>20</v>
      </c>
      <c r="M1025">
        <v>20</v>
      </c>
    </row>
    <row r="1026" spans="1:13" x14ac:dyDescent="0.25">
      <c r="A1026" t="s">
        <v>2228</v>
      </c>
      <c r="B1026" t="s">
        <v>2229</v>
      </c>
      <c r="C1026" t="s">
        <v>357</v>
      </c>
      <c r="D1026" t="s">
        <v>2026</v>
      </c>
      <c r="F1026">
        <v>2</v>
      </c>
      <c r="G1026" t="s">
        <v>16</v>
      </c>
      <c r="H1026">
        <v>0</v>
      </c>
      <c r="I1026" s="2" t="s">
        <v>87</v>
      </c>
      <c r="J1026" s="2" t="s">
        <v>2230</v>
      </c>
      <c r="K1026">
        <v>20</v>
      </c>
      <c r="L1026">
        <v>20</v>
      </c>
      <c r="M1026">
        <v>20</v>
      </c>
    </row>
    <row r="1027" spans="1:13" x14ac:dyDescent="0.25">
      <c r="A1027" t="s">
        <v>2231</v>
      </c>
      <c r="B1027" t="s">
        <v>2232</v>
      </c>
      <c r="C1027" t="s">
        <v>357</v>
      </c>
      <c r="D1027" t="s">
        <v>241</v>
      </c>
      <c r="G1027" t="s">
        <v>16</v>
      </c>
      <c r="H1027">
        <v>0</v>
      </c>
      <c r="I1027" s="2" t="s">
        <v>2233</v>
      </c>
      <c r="J1027" s="2">
        <v>17187</v>
      </c>
      <c r="K1027">
        <v>20</v>
      </c>
      <c r="L1027">
        <v>20</v>
      </c>
      <c r="M1027">
        <v>20</v>
      </c>
    </row>
    <row r="1028" spans="1:13" x14ac:dyDescent="0.25">
      <c r="A1028" t="s">
        <v>2234</v>
      </c>
      <c r="B1028" t="s">
        <v>2235</v>
      </c>
      <c r="C1028" t="s">
        <v>357</v>
      </c>
      <c r="D1028" t="s">
        <v>241</v>
      </c>
      <c r="F1028">
        <v>1</v>
      </c>
      <c r="G1028" t="s">
        <v>16</v>
      </c>
      <c r="H1028">
        <v>0</v>
      </c>
      <c r="I1028" s="2" t="s">
        <v>243</v>
      </c>
      <c r="J1028" s="2">
        <v>17165</v>
      </c>
      <c r="K1028">
        <v>20</v>
      </c>
      <c r="L1028">
        <v>20</v>
      </c>
      <c r="M1028">
        <v>20</v>
      </c>
    </row>
    <row r="1029" spans="1:13" x14ac:dyDescent="0.25">
      <c r="A1029" t="s">
        <v>2236</v>
      </c>
      <c r="B1029" t="s">
        <v>2235</v>
      </c>
      <c r="C1029" t="s">
        <v>357</v>
      </c>
      <c r="D1029" t="s">
        <v>241</v>
      </c>
      <c r="F1029">
        <v>1</v>
      </c>
      <c r="G1029" t="s">
        <v>16</v>
      </c>
      <c r="H1029">
        <v>0</v>
      </c>
      <c r="I1029" s="2" t="s">
        <v>2224</v>
      </c>
      <c r="J1029" s="2" t="s">
        <v>2237</v>
      </c>
      <c r="K1029">
        <v>20</v>
      </c>
      <c r="L1029">
        <v>20</v>
      </c>
      <c r="M1029">
        <v>20</v>
      </c>
    </row>
    <row r="1030" spans="1:13" x14ac:dyDescent="0.25">
      <c r="A1030" t="s">
        <v>2238</v>
      </c>
      <c r="B1030" t="s">
        <v>2239</v>
      </c>
      <c r="C1030" t="s">
        <v>357</v>
      </c>
      <c r="D1030" t="s">
        <v>241</v>
      </c>
      <c r="F1030">
        <v>1</v>
      </c>
      <c r="G1030" t="s">
        <v>16</v>
      </c>
      <c r="H1030">
        <v>0</v>
      </c>
      <c r="I1030" s="2" t="s">
        <v>51</v>
      </c>
      <c r="J1030" s="2" t="s">
        <v>2238</v>
      </c>
      <c r="K1030">
        <v>20</v>
      </c>
      <c r="L1030">
        <v>20</v>
      </c>
      <c r="M1030">
        <v>20</v>
      </c>
    </row>
    <row r="1031" spans="1:13" x14ac:dyDescent="0.25">
      <c r="A1031" t="s">
        <v>2240</v>
      </c>
      <c r="B1031" t="s">
        <v>2241</v>
      </c>
      <c r="C1031" t="s">
        <v>241</v>
      </c>
      <c r="D1031" t="s">
        <v>2216</v>
      </c>
      <c r="F1031">
        <v>1</v>
      </c>
      <c r="G1031" t="s">
        <v>16</v>
      </c>
      <c r="H1031">
        <v>0</v>
      </c>
      <c r="I1031" s="2" t="s">
        <v>51</v>
      </c>
      <c r="J1031" s="2" t="s">
        <v>2242</v>
      </c>
      <c r="K1031">
        <v>20</v>
      </c>
      <c r="L1031">
        <v>20</v>
      </c>
      <c r="M1031">
        <v>20</v>
      </c>
    </row>
    <row r="1032" spans="1:13" x14ac:dyDescent="0.25">
      <c r="A1032" t="s">
        <v>2243</v>
      </c>
      <c r="B1032" t="s">
        <v>2245</v>
      </c>
      <c r="C1032" t="s">
        <v>357</v>
      </c>
      <c r="D1032" t="s">
        <v>241</v>
      </c>
      <c r="F1032">
        <v>5</v>
      </c>
      <c r="G1032" t="s">
        <v>16</v>
      </c>
      <c r="H1032">
        <v>0</v>
      </c>
      <c r="I1032" s="2" t="s">
        <v>784</v>
      </c>
      <c r="J1032" s="2" t="s">
        <v>2244</v>
      </c>
      <c r="K1032">
        <v>20</v>
      </c>
      <c r="L1032">
        <v>20</v>
      </c>
      <c r="M1032">
        <v>20</v>
      </c>
    </row>
    <row r="1033" spans="1:13" x14ac:dyDescent="0.25">
      <c r="A1033" t="s">
        <v>2246</v>
      </c>
      <c r="B1033" t="s">
        <v>2247</v>
      </c>
      <c r="C1033" t="s">
        <v>151</v>
      </c>
      <c r="F1033">
        <v>1</v>
      </c>
      <c r="G1033" t="s">
        <v>16</v>
      </c>
      <c r="H1033">
        <v>0</v>
      </c>
      <c r="I1033" s="2" t="s">
        <v>51</v>
      </c>
      <c r="J1033" s="2" t="s">
        <v>2248</v>
      </c>
      <c r="K1033">
        <v>20</v>
      </c>
      <c r="L1033">
        <v>20</v>
      </c>
      <c r="M1033">
        <v>20</v>
      </c>
    </row>
    <row r="1034" spans="1:13" x14ac:dyDescent="0.25">
      <c r="A1034" t="s">
        <v>2249</v>
      </c>
      <c r="B1034" t="s">
        <v>2250</v>
      </c>
      <c r="C1034" t="s">
        <v>540</v>
      </c>
      <c r="G1034" t="s">
        <v>16</v>
      </c>
      <c r="H1034">
        <v>0</v>
      </c>
      <c r="I1034" s="2" t="s">
        <v>2251</v>
      </c>
      <c r="K1034">
        <v>20</v>
      </c>
      <c r="L1034">
        <v>20</v>
      </c>
      <c r="M1034">
        <v>20</v>
      </c>
    </row>
    <row r="1035" spans="1:13" x14ac:dyDescent="0.25">
      <c r="A1035" t="s">
        <v>2252</v>
      </c>
      <c r="B1035" t="s">
        <v>2250</v>
      </c>
      <c r="C1035" t="s">
        <v>540</v>
      </c>
      <c r="F1035">
        <v>1</v>
      </c>
      <c r="G1035" t="s">
        <v>16</v>
      </c>
      <c r="H1035">
        <v>0</v>
      </c>
      <c r="I1035" s="2" t="s">
        <v>504</v>
      </c>
      <c r="J1035" s="2" t="s">
        <v>2253</v>
      </c>
      <c r="K1035">
        <v>20</v>
      </c>
      <c r="L1035">
        <v>20</v>
      </c>
      <c r="M1035">
        <v>20</v>
      </c>
    </row>
    <row r="1036" spans="1:13" x14ac:dyDescent="0.25">
      <c r="A1036">
        <v>1310005</v>
      </c>
      <c r="B1036" t="s">
        <v>2254</v>
      </c>
      <c r="C1036" t="s">
        <v>540</v>
      </c>
      <c r="F1036">
        <v>4</v>
      </c>
      <c r="G1036" t="s">
        <v>16</v>
      </c>
      <c r="H1036">
        <v>0</v>
      </c>
      <c r="I1036" s="2" t="s">
        <v>497</v>
      </c>
      <c r="J1036" s="2">
        <v>13250318</v>
      </c>
      <c r="K1036">
        <v>20</v>
      </c>
      <c r="L1036">
        <v>20</v>
      </c>
      <c r="M1036">
        <v>20</v>
      </c>
    </row>
    <row r="1037" spans="1:13" x14ac:dyDescent="0.25">
      <c r="A1037" t="s">
        <v>2255</v>
      </c>
      <c r="B1037" t="s">
        <v>2256</v>
      </c>
      <c r="C1037" t="s">
        <v>540</v>
      </c>
      <c r="F1037">
        <v>4</v>
      </c>
      <c r="G1037" t="s">
        <v>16</v>
      </c>
      <c r="H1037">
        <v>0</v>
      </c>
      <c r="I1037" s="2" t="s">
        <v>737</v>
      </c>
      <c r="J1037" s="2" t="s">
        <v>2257</v>
      </c>
      <c r="K1037">
        <v>20</v>
      </c>
      <c r="L1037">
        <v>20</v>
      </c>
      <c r="M1037">
        <v>20</v>
      </c>
    </row>
    <row r="1038" spans="1:13" x14ac:dyDescent="0.25">
      <c r="A1038" t="s">
        <v>2258</v>
      </c>
      <c r="B1038" t="s">
        <v>2259</v>
      </c>
      <c r="C1038" t="s">
        <v>540</v>
      </c>
      <c r="G1038" t="s">
        <v>16</v>
      </c>
      <c r="H1038">
        <v>0</v>
      </c>
      <c r="K1038">
        <v>20</v>
      </c>
      <c r="L1038">
        <v>20</v>
      </c>
      <c r="M1038">
        <v>20</v>
      </c>
    </row>
    <row r="1039" spans="1:13" x14ac:dyDescent="0.25">
      <c r="A1039" t="s">
        <v>2260</v>
      </c>
      <c r="B1039" t="s">
        <v>2261</v>
      </c>
      <c r="C1039" t="s">
        <v>357</v>
      </c>
      <c r="G1039" t="s">
        <v>16</v>
      </c>
      <c r="H1039">
        <v>0</v>
      </c>
      <c r="I1039" s="2" t="s">
        <v>288</v>
      </c>
      <c r="J1039" s="2">
        <v>504003116</v>
      </c>
      <c r="K1039">
        <v>20</v>
      </c>
      <c r="L1039">
        <v>20</v>
      </c>
      <c r="M1039">
        <v>20</v>
      </c>
    </row>
    <row r="1040" spans="1:13" x14ac:dyDescent="0.25">
      <c r="A1040" t="s">
        <v>2262</v>
      </c>
      <c r="B1040" t="s">
        <v>2263</v>
      </c>
      <c r="C1040" t="s">
        <v>357</v>
      </c>
      <c r="D1040" t="s">
        <v>1836</v>
      </c>
      <c r="F1040">
        <v>10</v>
      </c>
      <c r="G1040" t="s">
        <v>16</v>
      </c>
      <c r="H1040">
        <v>0</v>
      </c>
      <c r="I1040" s="2" t="s">
        <v>245</v>
      </c>
      <c r="J1040" s="2" t="s">
        <v>2264</v>
      </c>
      <c r="K1040">
        <v>20</v>
      </c>
      <c r="L1040">
        <v>20</v>
      </c>
      <c r="M1040">
        <v>20</v>
      </c>
    </row>
    <row r="1041" spans="1:13" x14ac:dyDescent="0.25">
      <c r="A1041" t="s">
        <v>2265</v>
      </c>
      <c r="B1041" t="s">
        <v>2266</v>
      </c>
      <c r="C1041" t="s">
        <v>357</v>
      </c>
      <c r="D1041" t="s">
        <v>1836</v>
      </c>
      <c r="F1041">
        <v>5</v>
      </c>
      <c r="G1041" t="s">
        <v>16</v>
      </c>
      <c r="H1041">
        <v>0</v>
      </c>
      <c r="I1041" s="2" t="s">
        <v>737</v>
      </c>
      <c r="J1041" s="2" t="s">
        <v>2267</v>
      </c>
      <c r="K1041">
        <v>20</v>
      </c>
      <c r="L1041">
        <v>20</v>
      </c>
      <c r="M1041">
        <v>20</v>
      </c>
    </row>
    <row r="1042" spans="1:13" x14ac:dyDescent="0.25">
      <c r="A1042" t="s">
        <v>2268</v>
      </c>
      <c r="B1042" t="s">
        <v>2270</v>
      </c>
      <c r="C1042" t="s">
        <v>540</v>
      </c>
      <c r="F1042">
        <v>4</v>
      </c>
      <c r="G1042" t="s">
        <v>16</v>
      </c>
      <c r="H1042">
        <v>0</v>
      </c>
      <c r="I1042" s="2" t="s">
        <v>288</v>
      </c>
      <c r="J1042" s="2" t="s">
        <v>2269</v>
      </c>
      <c r="K1042">
        <v>20</v>
      </c>
      <c r="L1042">
        <v>20</v>
      </c>
      <c r="M1042">
        <v>20</v>
      </c>
    </row>
    <row r="1043" spans="1:13" x14ac:dyDescent="0.25">
      <c r="A1043" t="s">
        <v>2271</v>
      </c>
      <c r="B1043" t="s">
        <v>2272</v>
      </c>
      <c r="C1043" t="s">
        <v>357</v>
      </c>
      <c r="D1043" t="s">
        <v>1836</v>
      </c>
      <c r="G1043" t="s">
        <v>16</v>
      </c>
      <c r="H1043">
        <v>0</v>
      </c>
      <c r="I1043" s="2" t="s">
        <v>500</v>
      </c>
      <c r="J1043" s="2" t="s">
        <v>2273</v>
      </c>
      <c r="K1043">
        <v>20</v>
      </c>
      <c r="L1043">
        <v>20</v>
      </c>
      <c r="M1043">
        <v>20</v>
      </c>
    </row>
    <row r="1044" spans="1:13" x14ac:dyDescent="0.25">
      <c r="A1044" t="s">
        <v>2274</v>
      </c>
      <c r="B1044" t="s">
        <v>2276</v>
      </c>
      <c r="C1044" t="s">
        <v>540</v>
      </c>
      <c r="F1044">
        <v>4</v>
      </c>
      <c r="G1044" t="s">
        <v>16</v>
      </c>
      <c r="H1044">
        <v>0</v>
      </c>
      <c r="I1044" s="2" t="s">
        <v>69</v>
      </c>
      <c r="J1044" s="2" t="s">
        <v>2275</v>
      </c>
      <c r="K1044">
        <v>20</v>
      </c>
      <c r="L1044">
        <v>20</v>
      </c>
      <c r="M1044">
        <v>20</v>
      </c>
    </row>
    <row r="1045" spans="1:13" x14ac:dyDescent="0.25">
      <c r="A1045" t="s">
        <v>2277</v>
      </c>
      <c r="B1045" t="s">
        <v>2278</v>
      </c>
      <c r="C1045" t="s">
        <v>357</v>
      </c>
      <c r="D1045" t="s">
        <v>1836</v>
      </c>
      <c r="F1045">
        <v>4</v>
      </c>
      <c r="G1045" t="s">
        <v>16</v>
      </c>
      <c r="H1045">
        <v>0</v>
      </c>
      <c r="I1045" s="2" t="s">
        <v>221</v>
      </c>
      <c r="J1045" s="2">
        <v>17535</v>
      </c>
      <c r="K1045">
        <v>20</v>
      </c>
      <c r="L1045">
        <v>20</v>
      </c>
      <c r="M1045">
        <v>20</v>
      </c>
    </row>
    <row r="1046" spans="1:13" x14ac:dyDescent="0.25">
      <c r="A1046" t="s">
        <v>2279</v>
      </c>
      <c r="B1046" t="s">
        <v>2280</v>
      </c>
      <c r="C1046" t="s">
        <v>357</v>
      </c>
      <c r="D1046" t="s">
        <v>1836</v>
      </c>
      <c r="F1046">
        <v>1</v>
      </c>
      <c r="G1046" t="s">
        <v>16</v>
      </c>
      <c r="H1046">
        <v>0</v>
      </c>
      <c r="I1046" s="2" t="s">
        <v>51</v>
      </c>
      <c r="J1046" s="2" t="s">
        <v>2279</v>
      </c>
      <c r="K1046">
        <v>20</v>
      </c>
      <c r="L1046">
        <v>20</v>
      </c>
      <c r="M1046">
        <v>20</v>
      </c>
    </row>
    <row r="1047" spans="1:13" x14ac:dyDescent="0.25">
      <c r="A1047" t="s">
        <v>2281</v>
      </c>
      <c r="B1047" t="s">
        <v>2282</v>
      </c>
      <c r="C1047" t="s">
        <v>357</v>
      </c>
      <c r="D1047" t="s">
        <v>1836</v>
      </c>
      <c r="G1047" t="s">
        <v>16</v>
      </c>
      <c r="H1047">
        <v>0</v>
      </c>
      <c r="I1047" s="2" t="s">
        <v>51</v>
      </c>
      <c r="J1047" s="2" t="s">
        <v>2281</v>
      </c>
      <c r="K1047">
        <v>20</v>
      </c>
      <c r="L1047">
        <v>20</v>
      </c>
      <c r="M1047">
        <v>20</v>
      </c>
    </row>
    <row r="1048" spans="1:13" x14ac:dyDescent="0.25">
      <c r="A1048" t="s">
        <v>2283</v>
      </c>
      <c r="B1048" t="s">
        <v>2284</v>
      </c>
      <c r="C1048" t="s">
        <v>540</v>
      </c>
      <c r="F1048">
        <v>1</v>
      </c>
      <c r="G1048" t="s">
        <v>16</v>
      </c>
      <c r="H1048">
        <v>0</v>
      </c>
      <c r="K1048">
        <v>20</v>
      </c>
      <c r="L1048">
        <v>20</v>
      </c>
      <c r="M1048">
        <v>20</v>
      </c>
    </row>
    <row r="1049" spans="1:13" x14ac:dyDescent="0.25">
      <c r="A1049" t="s">
        <v>2285</v>
      </c>
      <c r="B1049" t="s">
        <v>2286</v>
      </c>
      <c r="C1049" t="s">
        <v>1432</v>
      </c>
      <c r="F1049">
        <v>2</v>
      </c>
      <c r="G1049" t="s">
        <v>16</v>
      </c>
      <c r="H1049">
        <v>0</v>
      </c>
      <c r="I1049" s="2" t="s">
        <v>504</v>
      </c>
      <c r="J1049" s="2" t="s">
        <v>2287</v>
      </c>
      <c r="K1049">
        <v>20</v>
      </c>
      <c r="L1049">
        <v>20</v>
      </c>
      <c r="M1049">
        <v>20</v>
      </c>
    </row>
    <row r="1050" spans="1:13" x14ac:dyDescent="0.25">
      <c r="A1050" t="s">
        <v>2288</v>
      </c>
      <c r="B1050" t="s">
        <v>2286</v>
      </c>
      <c r="C1050" t="s">
        <v>1426</v>
      </c>
      <c r="F1050">
        <v>1</v>
      </c>
      <c r="G1050" t="s">
        <v>16</v>
      </c>
      <c r="H1050">
        <v>0</v>
      </c>
      <c r="I1050" s="2" t="s">
        <v>1175</v>
      </c>
      <c r="J1050" s="2" t="s">
        <v>2289</v>
      </c>
      <c r="K1050">
        <v>20</v>
      </c>
      <c r="L1050">
        <v>20</v>
      </c>
      <c r="M1050">
        <v>20</v>
      </c>
    </row>
    <row r="1051" spans="1:13" x14ac:dyDescent="0.25">
      <c r="A1051" t="s">
        <v>2290</v>
      </c>
      <c r="B1051" t="s">
        <v>2291</v>
      </c>
      <c r="C1051" t="s">
        <v>540</v>
      </c>
      <c r="G1051" t="s">
        <v>16</v>
      </c>
      <c r="H1051">
        <v>0</v>
      </c>
      <c r="I1051" s="2" t="s">
        <v>643</v>
      </c>
      <c r="J1051" s="2">
        <v>111112</v>
      </c>
      <c r="K1051">
        <v>20</v>
      </c>
      <c r="L1051">
        <v>20</v>
      </c>
      <c r="M1051">
        <v>20</v>
      </c>
    </row>
    <row r="1052" spans="1:13" x14ac:dyDescent="0.25">
      <c r="A1052">
        <v>13149016</v>
      </c>
      <c r="B1052" t="s">
        <v>2292</v>
      </c>
      <c r="C1052" t="s">
        <v>1426</v>
      </c>
      <c r="F1052">
        <v>0</v>
      </c>
      <c r="G1052" t="s">
        <v>16</v>
      </c>
      <c r="H1052">
        <v>0</v>
      </c>
      <c r="I1052" s="2" t="s">
        <v>497</v>
      </c>
      <c r="J1052" s="2">
        <v>13149016</v>
      </c>
      <c r="K1052">
        <v>20</v>
      </c>
      <c r="L1052">
        <v>20</v>
      </c>
      <c r="M1052">
        <v>20</v>
      </c>
    </row>
    <row r="1053" spans="1:13" x14ac:dyDescent="0.25">
      <c r="A1053" t="s">
        <v>2293</v>
      </c>
      <c r="B1053" t="s">
        <v>2294</v>
      </c>
      <c r="C1053" t="s">
        <v>357</v>
      </c>
      <c r="D1053" t="s">
        <v>241</v>
      </c>
      <c r="F1053">
        <v>1</v>
      </c>
      <c r="G1053" t="s">
        <v>16</v>
      </c>
      <c r="H1053">
        <v>0</v>
      </c>
      <c r="I1053" s="2" t="s">
        <v>243</v>
      </c>
      <c r="J1053" s="2">
        <v>17363</v>
      </c>
      <c r="K1053">
        <v>20</v>
      </c>
      <c r="L1053">
        <v>20</v>
      </c>
      <c r="M1053">
        <v>20</v>
      </c>
    </row>
    <row r="1054" spans="1:13" x14ac:dyDescent="0.25">
      <c r="A1054" t="s">
        <v>2295</v>
      </c>
      <c r="B1054" t="s">
        <v>2294</v>
      </c>
      <c r="C1054" t="s">
        <v>357</v>
      </c>
      <c r="D1054" t="s">
        <v>241</v>
      </c>
      <c r="G1054" t="s">
        <v>16</v>
      </c>
      <c r="H1054">
        <v>0</v>
      </c>
      <c r="I1054" s="2" t="s">
        <v>64</v>
      </c>
      <c r="J1054" s="2">
        <v>10031284</v>
      </c>
      <c r="K1054">
        <v>20</v>
      </c>
      <c r="L1054">
        <v>20</v>
      </c>
      <c r="M1054">
        <v>20</v>
      </c>
    </row>
    <row r="1055" spans="1:13" x14ac:dyDescent="0.25">
      <c r="A1055" t="s">
        <v>2296</v>
      </c>
      <c r="B1055" t="s">
        <v>2297</v>
      </c>
      <c r="C1055" t="s">
        <v>357</v>
      </c>
      <c r="D1055" t="s">
        <v>241</v>
      </c>
      <c r="G1055" t="s">
        <v>16</v>
      </c>
      <c r="H1055">
        <v>0</v>
      </c>
      <c r="I1055" s="2" t="s">
        <v>245</v>
      </c>
      <c r="J1055" s="2" t="s">
        <v>2298</v>
      </c>
      <c r="K1055">
        <v>20</v>
      </c>
      <c r="L1055">
        <v>20</v>
      </c>
      <c r="M1055">
        <v>20</v>
      </c>
    </row>
    <row r="1056" spans="1:13" x14ac:dyDescent="0.25">
      <c r="A1056" t="s">
        <v>2299</v>
      </c>
      <c r="B1056" t="s">
        <v>2294</v>
      </c>
      <c r="C1056" t="s">
        <v>357</v>
      </c>
      <c r="D1056" t="s">
        <v>241</v>
      </c>
      <c r="F1056">
        <v>2</v>
      </c>
      <c r="G1056" t="s">
        <v>16</v>
      </c>
      <c r="H1056">
        <v>0</v>
      </c>
      <c r="I1056" s="2" t="s">
        <v>2300</v>
      </c>
      <c r="J1056" s="2">
        <v>52428</v>
      </c>
      <c r="K1056">
        <v>20</v>
      </c>
      <c r="L1056">
        <v>20</v>
      </c>
      <c r="M1056">
        <v>20</v>
      </c>
    </row>
    <row r="1057" spans="1:13" x14ac:dyDescent="0.25">
      <c r="A1057" t="s">
        <v>2301</v>
      </c>
      <c r="B1057" t="s">
        <v>2302</v>
      </c>
      <c r="C1057" t="s">
        <v>357</v>
      </c>
      <c r="D1057" t="s">
        <v>241</v>
      </c>
      <c r="F1057">
        <v>1</v>
      </c>
      <c r="G1057" t="s">
        <v>16</v>
      </c>
      <c r="H1057">
        <v>0</v>
      </c>
      <c r="I1057" s="2" t="s">
        <v>271</v>
      </c>
      <c r="J1057" s="2">
        <v>3642</v>
      </c>
      <c r="K1057">
        <v>20</v>
      </c>
      <c r="L1057">
        <v>20</v>
      </c>
      <c r="M1057">
        <v>20</v>
      </c>
    </row>
    <row r="1058" spans="1:13" x14ac:dyDescent="0.25">
      <c r="A1058" t="s">
        <v>2303</v>
      </c>
      <c r="B1058" t="s">
        <v>2302</v>
      </c>
      <c r="C1058" t="s">
        <v>241</v>
      </c>
      <c r="D1058" t="s">
        <v>2216</v>
      </c>
      <c r="F1058">
        <v>5</v>
      </c>
      <c r="G1058" t="s">
        <v>16</v>
      </c>
      <c r="H1058">
        <v>0</v>
      </c>
      <c r="I1058" s="2" t="s">
        <v>245</v>
      </c>
      <c r="J1058" s="2" t="s">
        <v>2304</v>
      </c>
      <c r="K1058">
        <v>20</v>
      </c>
      <c r="L1058">
        <v>20</v>
      </c>
      <c r="M1058">
        <v>20</v>
      </c>
    </row>
    <row r="1059" spans="1:13" x14ac:dyDescent="0.25">
      <c r="A1059" t="s">
        <v>2305</v>
      </c>
      <c r="B1059" t="s">
        <v>2306</v>
      </c>
      <c r="C1059" t="s">
        <v>357</v>
      </c>
      <c r="D1059" t="s">
        <v>241</v>
      </c>
      <c r="F1059">
        <v>1</v>
      </c>
      <c r="G1059" t="s">
        <v>16</v>
      </c>
      <c r="H1059">
        <v>0</v>
      </c>
      <c r="I1059" s="2" t="s">
        <v>245</v>
      </c>
      <c r="J1059" s="2" t="s">
        <v>2307</v>
      </c>
      <c r="K1059">
        <v>20</v>
      </c>
      <c r="L1059">
        <v>20</v>
      </c>
      <c r="M1059">
        <v>20</v>
      </c>
    </row>
    <row r="1060" spans="1:13" x14ac:dyDescent="0.25">
      <c r="A1060" t="s">
        <v>2308</v>
      </c>
      <c r="B1060" t="s">
        <v>2309</v>
      </c>
      <c r="C1060" t="s">
        <v>357</v>
      </c>
      <c r="D1060" t="s">
        <v>241</v>
      </c>
      <c r="F1060">
        <v>1</v>
      </c>
      <c r="G1060" t="s">
        <v>16</v>
      </c>
      <c r="H1060">
        <v>0</v>
      </c>
      <c r="I1060" s="2" t="s">
        <v>51</v>
      </c>
      <c r="J1060" s="2" t="s">
        <v>2308</v>
      </c>
      <c r="K1060">
        <v>20</v>
      </c>
      <c r="L1060">
        <v>20</v>
      </c>
      <c r="M1060">
        <v>20</v>
      </c>
    </row>
    <row r="1061" spans="1:13" x14ac:dyDescent="0.25">
      <c r="A1061" t="s">
        <v>2310</v>
      </c>
      <c r="B1061" t="s">
        <v>2311</v>
      </c>
      <c r="C1061" t="s">
        <v>357</v>
      </c>
      <c r="D1061" t="s">
        <v>241</v>
      </c>
      <c r="F1061">
        <v>1</v>
      </c>
      <c r="G1061" t="s">
        <v>16</v>
      </c>
      <c r="H1061">
        <v>0</v>
      </c>
      <c r="I1061" s="2" t="s">
        <v>221</v>
      </c>
      <c r="J1061" s="2">
        <v>17674</v>
      </c>
      <c r="K1061">
        <v>20</v>
      </c>
      <c r="L1061">
        <v>20</v>
      </c>
      <c r="M1061">
        <v>20</v>
      </c>
    </row>
    <row r="1062" spans="1:13" x14ac:dyDescent="0.25">
      <c r="A1062" t="s">
        <v>2312</v>
      </c>
      <c r="B1062" t="s">
        <v>2313</v>
      </c>
      <c r="C1062" t="s">
        <v>241</v>
      </c>
      <c r="D1062" t="s">
        <v>2216</v>
      </c>
      <c r="F1062">
        <v>2</v>
      </c>
      <c r="G1062" t="s">
        <v>16</v>
      </c>
      <c r="H1062">
        <v>0</v>
      </c>
      <c r="I1062" s="2" t="s">
        <v>51</v>
      </c>
      <c r="J1062" s="2" t="s">
        <v>2314</v>
      </c>
      <c r="K1062">
        <v>20</v>
      </c>
      <c r="L1062">
        <v>20</v>
      </c>
      <c r="M1062">
        <v>20</v>
      </c>
    </row>
    <row r="1063" spans="1:13" x14ac:dyDescent="0.25">
      <c r="A1063" t="s">
        <v>2315</v>
      </c>
      <c r="B1063" t="s">
        <v>2316</v>
      </c>
      <c r="C1063" t="s">
        <v>1736</v>
      </c>
      <c r="D1063" t="s">
        <v>241</v>
      </c>
      <c r="G1063" t="s">
        <v>16</v>
      </c>
      <c r="H1063">
        <v>0</v>
      </c>
      <c r="I1063" s="2" t="s">
        <v>245</v>
      </c>
      <c r="J1063" s="2" t="s">
        <v>2317</v>
      </c>
      <c r="K1063">
        <v>20</v>
      </c>
      <c r="L1063">
        <v>20</v>
      </c>
      <c r="M1063">
        <v>20</v>
      </c>
    </row>
    <row r="1064" spans="1:13" x14ac:dyDescent="0.25">
      <c r="A1064" t="s">
        <v>2318</v>
      </c>
      <c r="B1064" t="s">
        <v>2319</v>
      </c>
      <c r="C1064" t="s">
        <v>540</v>
      </c>
      <c r="F1064">
        <v>1</v>
      </c>
      <c r="G1064" t="s">
        <v>16</v>
      </c>
      <c r="H1064">
        <v>0</v>
      </c>
      <c r="I1064" s="2" t="s">
        <v>504</v>
      </c>
      <c r="J1064" s="2">
        <v>13188288</v>
      </c>
      <c r="K1064">
        <v>20</v>
      </c>
      <c r="L1064">
        <v>20</v>
      </c>
      <c r="M1064">
        <v>20</v>
      </c>
    </row>
    <row r="1065" spans="1:13" x14ac:dyDescent="0.25">
      <c r="A1065" t="s">
        <v>2320</v>
      </c>
      <c r="B1065" t="s">
        <v>2321</v>
      </c>
      <c r="C1065" t="s">
        <v>20</v>
      </c>
      <c r="F1065">
        <v>1</v>
      </c>
      <c r="G1065" t="s">
        <v>16</v>
      </c>
      <c r="H1065">
        <v>0</v>
      </c>
      <c r="I1065" s="2" t="s">
        <v>55</v>
      </c>
      <c r="J1065" s="2" t="s">
        <v>2320</v>
      </c>
      <c r="K1065">
        <v>20</v>
      </c>
      <c r="L1065">
        <v>20</v>
      </c>
      <c r="M1065">
        <v>20</v>
      </c>
    </row>
    <row r="1066" spans="1:13" x14ac:dyDescent="0.25">
      <c r="A1066" t="s">
        <v>2322</v>
      </c>
      <c r="B1066" t="s">
        <v>2323</v>
      </c>
      <c r="C1066" t="s">
        <v>151</v>
      </c>
      <c r="F1066">
        <v>2</v>
      </c>
      <c r="G1066" t="s">
        <v>16</v>
      </c>
      <c r="H1066">
        <v>0</v>
      </c>
      <c r="I1066" s="2" t="s">
        <v>712</v>
      </c>
      <c r="J1066" s="2">
        <v>70477103</v>
      </c>
      <c r="K1066">
        <v>20</v>
      </c>
      <c r="L1066">
        <v>20</v>
      </c>
      <c r="M1066">
        <v>20</v>
      </c>
    </row>
    <row r="1067" spans="1:13" x14ac:dyDescent="0.25">
      <c r="A1067" t="s">
        <v>2324</v>
      </c>
      <c r="B1067" t="s">
        <v>2325</v>
      </c>
      <c r="C1067" t="s">
        <v>540</v>
      </c>
      <c r="F1067">
        <v>1</v>
      </c>
      <c r="G1067" t="s">
        <v>16</v>
      </c>
      <c r="H1067">
        <v>0</v>
      </c>
      <c r="I1067" s="2" t="s">
        <v>2326</v>
      </c>
      <c r="J1067" s="2">
        <v>412154814</v>
      </c>
      <c r="K1067">
        <v>20</v>
      </c>
      <c r="L1067">
        <v>20</v>
      </c>
      <c r="M1067">
        <v>20</v>
      </c>
    </row>
    <row r="1068" spans="1:13" x14ac:dyDescent="0.25">
      <c r="A1068" t="s">
        <v>2327</v>
      </c>
      <c r="B1068" t="s">
        <v>2328</v>
      </c>
      <c r="C1068" t="s">
        <v>540</v>
      </c>
      <c r="G1068" t="s">
        <v>16</v>
      </c>
      <c r="H1068">
        <v>0</v>
      </c>
      <c r="I1068" s="2" t="s">
        <v>643</v>
      </c>
      <c r="J1068" s="2">
        <v>111333</v>
      </c>
      <c r="K1068">
        <v>20</v>
      </c>
      <c r="L1068">
        <v>20</v>
      </c>
      <c r="M1068">
        <v>20</v>
      </c>
    </row>
    <row r="1069" spans="1:13" x14ac:dyDescent="0.25">
      <c r="A1069" t="s">
        <v>2329</v>
      </c>
      <c r="B1069" t="s">
        <v>2330</v>
      </c>
      <c r="C1069" t="s">
        <v>540</v>
      </c>
      <c r="F1069">
        <v>1</v>
      </c>
      <c r="G1069" t="s">
        <v>16</v>
      </c>
      <c r="H1069">
        <v>0</v>
      </c>
      <c r="I1069" s="2" t="s">
        <v>2331</v>
      </c>
      <c r="J1069" s="2" t="s">
        <v>2332</v>
      </c>
      <c r="K1069">
        <v>20</v>
      </c>
      <c r="L1069">
        <v>20</v>
      </c>
      <c r="M1069">
        <v>20</v>
      </c>
    </row>
    <row r="1070" spans="1:13" x14ac:dyDescent="0.25">
      <c r="A1070" t="s">
        <v>2333</v>
      </c>
      <c r="B1070" t="s">
        <v>2334</v>
      </c>
      <c r="C1070" t="s">
        <v>540</v>
      </c>
      <c r="F1070">
        <v>0</v>
      </c>
      <c r="G1070" t="s">
        <v>16</v>
      </c>
      <c r="H1070">
        <v>0</v>
      </c>
      <c r="I1070" s="2" t="s">
        <v>1175</v>
      </c>
      <c r="J1070" s="2" t="s">
        <v>2335</v>
      </c>
      <c r="K1070">
        <v>20</v>
      </c>
      <c r="L1070">
        <v>20</v>
      </c>
      <c r="M1070">
        <v>20</v>
      </c>
    </row>
    <row r="1071" spans="1:13" x14ac:dyDescent="0.25">
      <c r="A1071" t="s">
        <v>2336</v>
      </c>
      <c r="B1071" t="s">
        <v>2337</v>
      </c>
      <c r="C1071" t="s">
        <v>540</v>
      </c>
      <c r="F1071">
        <v>1</v>
      </c>
      <c r="G1071" t="s">
        <v>16</v>
      </c>
      <c r="H1071">
        <v>0</v>
      </c>
      <c r="I1071" s="2" t="s">
        <v>734</v>
      </c>
      <c r="J1071" s="2" t="s">
        <v>2338</v>
      </c>
      <c r="K1071">
        <v>20</v>
      </c>
      <c r="L1071">
        <v>20</v>
      </c>
      <c r="M1071">
        <v>20</v>
      </c>
    </row>
    <row r="1072" spans="1:13" x14ac:dyDescent="0.25">
      <c r="A1072" t="s">
        <v>2339</v>
      </c>
      <c r="B1072" t="s">
        <v>2340</v>
      </c>
      <c r="C1072" t="s">
        <v>540</v>
      </c>
      <c r="F1072">
        <v>1</v>
      </c>
      <c r="G1072" t="s">
        <v>16</v>
      </c>
      <c r="H1072">
        <v>0</v>
      </c>
      <c r="I1072" s="2" t="s">
        <v>2341</v>
      </c>
      <c r="J1072" s="2">
        <v>8752</v>
      </c>
      <c r="K1072">
        <v>20</v>
      </c>
      <c r="L1072">
        <v>20</v>
      </c>
      <c r="M1072">
        <v>20</v>
      </c>
    </row>
    <row r="1073" spans="1:13" x14ac:dyDescent="0.25">
      <c r="A1073" t="s">
        <v>2342</v>
      </c>
      <c r="B1073" t="s">
        <v>2340</v>
      </c>
      <c r="C1073" t="s">
        <v>540</v>
      </c>
      <c r="F1073">
        <v>1</v>
      </c>
      <c r="G1073" t="s">
        <v>16</v>
      </c>
      <c r="H1073">
        <v>0</v>
      </c>
      <c r="I1073" s="2" t="s">
        <v>643</v>
      </c>
      <c r="J1073" s="2">
        <v>111118</v>
      </c>
      <c r="K1073">
        <v>20</v>
      </c>
      <c r="L1073">
        <v>20</v>
      </c>
      <c r="M1073">
        <v>20</v>
      </c>
    </row>
    <row r="1074" spans="1:13" x14ac:dyDescent="0.25">
      <c r="A1074" t="s">
        <v>2343</v>
      </c>
      <c r="B1074" t="s">
        <v>2344</v>
      </c>
      <c r="C1074" t="s">
        <v>540</v>
      </c>
      <c r="F1074">
        <v>1</v>
      </c>
      <c r="G1074" t="s">
        <v>16</v>
      </c>
      <c r="H1074">
        <v>0</v>
      </c>
      <c r="I1074" s="2" t="s">
        <v>2345</v>
      </c>
      <c r="J1074" s="2" t="s">
        <v>2346</v>
      </c>
      <c r="K1074">
        <v>20</v>
      </c>
      <c r="L1074">
        <v>20</v>
      </c>
      <c r="M1074">
        <v>20</v>
      </c>
    </row>
    <row r="1075" spans="1:13" x14ac:dyDescent="0.25">
      <c r="A1075" t="s">
        <v>2347</v>
      </c>
      <c r="B1075" t="s">
        <v>2348</v>
      </c>
      <c r="C1075" t="s">
        <v>540</v>
      </c>
      <c r="F1075">
        <v>1</v>
      </c>
      <c r="G1075" t="s">
        <v>16</v>
      </c>
      <c r="H1075">
        <v>0</v>
      </c>
      <c r="I1075" s="2" t="s">
        <v>1107</v>
      </c>
      <c r="J1075" s="2" t="s">
        <v>2349</v>
      </c>
      <c r="K1075">
        <v>20</v>
      </c>
      <c r="L1075">
        <v>20</v>
      </c>
      <c r="M1075">
        <v>20</v>
      </c>
    </row>
    <row r="1076" spans="1:13" x14ac:dyDescent="0.25">
      <c r="A1076" t="s">
        <v>2350</v>
      </c>
      <c r="B1076" t="s">
        <v>2351</v>
      </c>
      <c r="C1076" t="s">
        <v>540</v>
      </c>
      <c r="F1076">
        <v>1</v>
      </c>
      <c r="G1076" t="s">
        <v>16</v>
      </c>
      <c r="H1076">
        <v>0</v>
      </c>
      <c r="I1076" s="2" t="s">
        <v>1107</v>
      </c>
      <c r="J1076" s="2" t="s">
        <v>2352</v>
      </c>
      <c r="K1076">
        <v>20</v>
      </c>
      <c r="L1076">
        <v>20</v>
      </c>
      <c r="M1076">
        <v>20</v>
      </c>
    </row>
    <row r="1077" spans="1:13" x14ac:dyDescent="0.25">
      <c r="A1077" t="s">
        <v>2353</v>
      </c>
      <c r="B1077" t="s">
        <v>2354</v>
      </c>
      <c r="C1077" t="s">
        <v>540</v>
      </c>
      <c r="F1077">
        <v>1</v>
      </c>
      <c r="G1077" t="s">
        <v>16</v>
      </c>
      <c r="H1077">
        <v>0</v>
      </c>
      <c r="I1077" s="2" t="s">
        <v>500</v>
      </c>
      <c r="J1077" s="2" t="s">
        <v>2355</v>
      </c>
      <c r="K1077">
        <v>20</v>
      </c>
      <c r="L1077">
        <v>20</v>
      </c>
      <c r="M1077">
        <v>20</v>
      </c>
    </row>
    <row r="1078" spans="1:13" x14ac:dyDescent="0.25">
      <c r="A1078" t="s">
        <v>2356</v>
      </c>
      <c r="B1078" t="s">
        <v>2357</v>
      </c>
      <c r="C1078" t="s">
        <v>540</v>
      </c>
      <c r="G1078" t="s">
        <v>16</v>
      </c>
      <c r="H1078">
        <v>0</v>
      </c>
      <c r="K1078">
        <v>20</v>
      </c>
      <c r="L1078">
        <v>20</v>
      </c>
      <c r="M1078">
        <v>20</v>
      </c>
    </row>
    <row r="1079" spans="1:13" x14ac:dyDescent="0.25">
      <c r="A1079" t="s">
        <v>2358</v>
      </c>
      <c r="B1079" t="s">
        <v>2359</v>
      </c>
      <c r="C1079" t="s">
        <v>496</v>
      </c>
      <c r="D1079" t="s">
        <v>2360</v>
      </c>
      <c r="F1079">
        <v>5</v>
      </c>
      <c r="G1079" t="s">
        <v>16</v>
      </c>
      <c r="H1079">
        <v>0</v>
      </c>
      <c r="I1079" s="2" t="b">
        <v>1</v>
      </c>
      <c r="J1079" s="2" t="s">
        <v>2361</v>
      </c>
      <c r="K1079">
        <v>20</v>
      </c>
      <c r="L1079">
        <v>20</v>
      </c>
      <c r="M1079">
        <v>20</v>
      </c>
    </row>
    <row r="1080" spans="1:13" x14ac:dyDescent="0.25">
      <c r="A1080" t="s">
        <v>2362</v>
      </c>
      <c r="B1080" t="s">
        <v>2359</v>
      </c>
      <c r="C1080" t="s">
        <v>496</v>
      </c>
      <c r="D1080" t="s">
        <v>2360</v>
      </c>
      <c r="G1080" t="s">
        <v>16</v>
      </c>
      <c r="H1080">
        <v>0</v>
      </c>
      <c r="I1080" s="2" t="s">
        <v>737</v>
      </c>
      <c r="J1080" s="2" t="s">
        <v>2363</v>
      </c>
      <c r="K1080">
        <v>20</v>
      </c>
      <c r="L1080">
        <v>20</v>
      </c>
      <c r="M1080">
        <v>20</v>
      </c>
    </row>
    <row r="1081" spans="1:13" x14ac:dyDescent="0.25">
      <c r="A1081" t="s">
        <v>2364</v>
      </c>
      <c r="B1081" t="s">
        <v>2365</v>
      </c>
      <c r="C1081" t="s">
        <v>540</v>
      </c>
      <c r="F1081">
        <v>1</v>
      </c>
      <c r="G1081" t="s">
        <v>16</v>
      </c>
      <c r="H1081">
        <v>0</v>
      </c>
      <c r="I1081" s="2" t="s">
        <v>643</v>
      </c>
      <c r="J1081" s="2">
        <v>111123</v>
      </c>
      <c r="K1081">
        <v>20</v>
      </c>
      <c r="L1081">
        <v>20</v>
      </c>
      <c r="M1081">
        <v>20</v>
      </c>
    </row>
    <row r="1082" spans="1:13" x14ac:dyDescent="0.25">
      <c r="A1082" t="s">
        <v>2366</v>
      </c>
      <c r="B1082" t="s">
        <v>2367</v>
      </c>
      <c r="C1082" t="s">
        <v>357</v>
      </c>
      <c r="D1082" t="s">
        <v>2026</v>
      </c>
      <c r="F1082">
        <v>1</v>
      </c>
      <c r="G1082" t="s">
        <v>16</v>
      </c>
      <c r="H1082">
        <v>0</v>
      </c>
      <c r="I1082" s="2" t="s">
        <v>87</v>
      </c>
      <c r="J1082" s="2" t="s">
        <v>2368</v>
      </c>
      <c r="K1082">
        <v>20</v>
      </c>
      <c r="L1082">
        <v>20</v>
      </c>
      <c r="M1082">
        <v>20</v>
      </c>
    </row>
    <row r="1083" spans="1:13" x14ac:dyDescent="0.25">
      <c r="A1083" t="s">
        <v>2369</v>
      </c>
      <c r="B1083" t="s">
        <v>2370</v>
      </c>
      <c r="C1083" t="s">
        <v>357</v>
      </c>
      <c r="D1083" t="s">
        <v>2026</v>
      </c>
      <c r="G1083" t="s">
        <v>16</v>
      </c>
      <c r="H1083">
        <v>0</v>
      </c>
      <c r="I1083" s="2" t="s">
        <v>491</v>
      </c>
      <c r="J1083" s="2">
        <v>359001600490</v>
      </c>
      <c r="K1083">
        <v>20</v>
      </c>
      <c r="L1083">
        <v>20</v>
      </c>
      <c r="M1083">
        <v>20</v>
      </c>
    </row>
    <row r="1084" spans="1:13" x14ac:dyDescent="0.25">
      <c r="A1084" t="s">
        <v>2371</v>
      </c>
      <c r="B1084" t="s">
        <v>2372</v>
      </c>
      <c r="C1084" t="s">
        <v>357</v>
      </c>
      <c r="D1084" t="s">
        <v>241</v>
      </c>
      <c r="F1084">
        <v>1</v>
      </c>
      <c r="G1084" t="s">
        <v>16</v>
      </c>
      <c r="H1084">
        <v>0</v>
      </c>
      <c r="I1084" s="2" t="s">
        <v>221</v>
      </c>
      <c r="J1084" s="2">
        <v>17529</v>
      </c>
      <c r="K1084">
        <v>20</v>
      </c>
      <c r="L1084">
        <v>20</v>
      </c>
      <c r="M1084">
        <v>20</v>
      </c>
    </row>
    <row r="1085" spans="1:13" x14ac:dyDescent="0.25">
      <c r="A1085" t="s">
        <v>2373</v>
      </c>
      <c r="B1085" t="s">
        <v>2374</v>
      </c>
      <c r="C1085" t="s">
        <v>357</v>
      </c>
      <c r="D1085" t="s">
        <v>241</v>
      </c>
      <c r="G1085" t="s">
        <v>16</v>
      </c>
      <c r="H1085">
        <v>0</v>
      </c>
      <c r="I1085" s="2" t="s">
        <v>51</v>
      </c>
      <c r="J1085" s="2" t="s">
        <v>2373</v>
      </c>
      <c r="K1085">
        <v>20</v>
      </c>
      <c r="L1085">
        <v>20</v>
      </c>
      <c r="M1085">
        <v>20</v>
      </c>
    </row>
    <row r="1086" spans="1:13" x14ac:dyDescent="0.25">
      <c r="A1086" t="s">
        <v>2375</v>
      </c>
      <c r="B1086" t="s">
        <v>2374</v>
      </c>
      <c r="C1086" t="s">
        <v>357</v>
      </c>
      <c r="D1086" t="s">
        <v>241</v>
      </c>
      <c r="F1086">
        <v>2</v>
      </c>
      <c r="G1086" t="s">
        <v>16</v>
      </c>
      <c r="H1086">
        <v>0</v>
      </c>
      <c r="I1086" s="2" t="s">
        <v>221</v>
      </c>
      <c r="J1086" s="2">
        <v>17166</v>
      </c>
      <c r="K1086">
        <v>20</v>
      </c>
      <c r="L1086">
        <v>20</v>
      </c>
      <c r="M1086">
        <v>20</v>
      </c>
    </row>
    <row r="1087" spans="1:13" x14ac:dyDescent="0.25">
      <c r="A1087" t="s">
        <v>2376</v>
      </c>
      <c r="B1087" t="s">
        <v>2377</v>
      </c>
      <c r="C1087" t="s">
        <v>357</v>
      </c>
      <c r="D1087" t="s">
        <v>2026</v>
      </c>
      <c r="F1087">
        <v>1</v>
      </c>
      <c r="G1087" t="s">
        <v>16</v>
      </c>
      <c r="H1087">
        <v>0</v>
      </c>
      <c r="I1087" s="2" t="s">
        <v>87</v>
      </c>
      <c r="J1087" s="2" t="s">
        <v>2378</v>
      </c>
      <c r="K1087">
        <v>20</v>
      </c>
      <c r="L1087">
        <v>20</v>
      </c>
      <c r="M1087">
        <v>20</v>
      </c>
    </row>
    <row r="1088" spans="1:13" x14ac:dyDescent="0.25">
      <c r="A1088" t="s">
        <v>2379</v>
      </c>
      <c r="B1088" t="s">
        <v>2377</v>
      </c>
      <c r="C1088" t="s">
        <v>357</v>
      </c>
      <c r="D1088" t="s">
        <v>2026</v>
      </c>
      <c r="G1088" t="s">
        <v>16</v>
      </c>
      <c r="H1088">
        <v>0</v>
      </c>
      <c r="I1088" s="2" t="s">
        <v>1852</v>
      </c>
      <c r="J1088" s="2">
        <v>454025</v>
      </c>
      <c r="K1088">
        <v>20</v>
      </c>
      <c r="L1088">
        <v>20</v>
      </c>
      <c r="M1088">
        <v>20</v>
      </c>
    </row>
    <row r="1089" spans="1:13" x14ac:dyDescent="0.25">
      <c r="A1089" t="s">
        <v>2380</v>
      </c>
      <c r="B1089" t="s">
        <v>2377</v>
      </c>
      <c r="C1089" t="s">
        <v>357</v>
      </c>
      <c r="D1089" t="s">
        <v>2026</v>
      </c>
      <c r="F1089">
        <v>2</v>
      </c>
      <c r="G1089" t="s">
        <v>16</v>
      </c>
      <c r="H1089">
        <v>0</v>
      </c>
      <c r="I1089" s="2" t="s">
        <v>2341</v>
      </c>
      <c r="J1089" s="2">
        <v>4296</v>
      </c>
      <c r="K1089">
        <v>20</v>
      </c>
      <c r="L1089">
        <v>20</v>
      </c>
      <c r="M1089">
        <v>20</v>
      </c>
    </row>
    <row r="1090" spans="1:13" x14ac:dyDescent="0.25">
      <c r="A1090" t="s">
        <v>2381</v>
      </c>
      <c r="B1090" t="s">
        <v>2377</v>
      </c>
      <c r="C1090" t="s">
        <v>357</v>
      </c>
      <c r="D1090" t="s">
        <v>2026</v>
      </c>
      <c r="F1090">
        <v>1</v>
      </c>
      <c r="G1090" t="s">
        <v>16</v>
      </c>
      <c r="H1090">
        <v>0</v>
      </c>
      <c r="I1090" s="2" t="s">
        <v>2382</v>
      </c>
      <c r="J1090" s="2" t="s">
        <v>2383</v>
      </c>
      <c r="K1090">
        <v>20</v>
      </c>
      <c r="L1090">
        <v>20</v>
      </c>
      <c r="M1090">
        <v>20</v>
      </c>
    </row>
    <row r="1091" spans="1:13" x14ac:dyDescent="0.25">
      <c r="A1091" t="s">
        <v>2384</v>
      </c>
      <c r="B1091" t="s">
        <v>2385</v>
      </c>
      <c r="C1091" t="s">
        <v>357</v>
      </c>
      <c r="D1091" t="s">
        <v>241</v>
      </c>
      <c r="G1091" t="s">
        <v>16</v>
      </c>
      <c r="H1091">
        <v>0</v>
      </c>
      <c r="I1091" s="2" t="s">
        <v>64</v>
      </c>
      <c r="J1091" s="2">
        <v>10034717</v>
      </c>
      <c r="K1091">
        <v>20</v>
      </c>
      <c r="L1091">
        <v>20</v>
      </c>
      <c r="M1091">
        <v>20</v>
      </c>
    </row>
    <row r="1092" spans="1:13" x14ac:dyDescent="0.25">
      <c r="A1092" t="s">
        <v>2386</v>
      </c>
      <c r="B1092" t="s">
        <v>2387</v>
      </c>
      <c r="C1092" t="s">
        <v>357</v>
      </c>
      <c r="D1092" t="s">
        <v>241</v>
      </c>
      <c r="F1092">
        <v>1</v>
      </c>
      <c r="G1092" t="s">
        <v>16</v>
      </c>
      <c r="H1092">
        <v>0</v>
      </c>
      <c r="I1092" s="2" t="s">
        <v>64</v>
      </c>
      <c r="J1092" s="2">
        <v>10031052</v>
      </c>
      <c r="K1092">
        <v>20</v>
      </c>
      <c r="L1092">
        <v>20</v>
      </c>
      <c r="M1092">
        <v>20</v>
      </c>
    </row>
    <row r="1093" spans="1:13" x14ac:dyDescent="0.25">
      <c r="A1093" t="s">
        <v>2388</v>
      </c>
      <c r="B1093" t="s">
        <v>2387</v>
      </c>
      <c r="C1093" t="s">
        <v>357</v>
      </c>
      <c r="D1093" t="s">
        <v>241</v>
      </c>
      <c r="F1093">
        <v>2</v>
      </c>
      <c r="G1093" t="s">
        <v>16</v>
      </c>
      <c r="H1093">
        <v>0</v>
      </c>
      <c r="I1093" s="2" t="s">
        <v>2389</v>
      </c>
      <c r="J1093" s="2" t="s">
        <v>2390</v>
      </c>
      <c r="K1093">
        <v>20</v>
      </c>
      <c r="L1093">
        <v>20</v>
      </c>
      <c r="M1093">
        <v>20</v>
      </c>
    </row>
    <row r="1094" spans="1:13" x14ac:dyDescent="0.25">
      <c r="A1094" t="s">
        <v>2391</v>
      </c>
      <c r="B1094" t="s">
        <v>2392</v>
      </c>
      <c r="C1094" t="s">
        <v>357</v>
      </c>
      <c r="D1094" t="s">
        <v>2026</v>
      </c>
      <c r="G1094" t="s">
        <v>16</v>
      </c>
      <c r="H1094">
        <v>0</v>
      </c>
      <c r="I1094" s="2" t="s">
        <v>598</v>
      </c>
      <c r="J1094" s="2">
        <v>343880</v>
      </c>
      <c r="K1094">
        <v>20</v>
      </c>
      <c r="L1094">
        <v>20</v>
      </c>
      <c r="M1094">
        <v>20</v>
      </c>
    </row>
    <row r="1095" spans="1:13" x14ac:dyDescent="0.25">
      <c r="A1095" t="s">
        <v>2393</v>
      </c>
      <c r="B1095" t="s">
        <v>2394</v>
      </c>
      <c r="C1095" t="s">
        <v>357</v>
      </c>
      <c r="D1095" t="s">
        <v>2026</v>
      </c>
      <c r="F1095">
        <v>1</v>
      </c>
      <c r="G1095" t="s">
        <v>16</v>
      </c>
      <c r="H1095">
        <v>0</v>
      </c>
      <c r="I1095" s="2" t="s">
        <v>2039</v>
      </c>
      <c r="J1095" s="2">
        <v>163086</v>
      </c>
      <c r="K1095">
        <v>20</v>
      </c>
      <c r="L1095">
        <v>20</v>
      </c>
      <c r="M1095">
        <v>20</v>
      </c>
    </row>
    <row r="1096" spans="1:13" x14ac:dyDescent="0.25">
      <c r="A1096" t="s">
        <v>2395</v>
      </c>
      <c r="B1096" t="s">
        <v>2397</v>
      </c>
      <c r="C1096" t="s">
        <v>241</v>
      </c>
      <c r="D1096" t="s">
        <v>2216</v>
      </c>
      <c r="F1096">
        <v>1</v>
      </c>
      <c r="G1096" t="s">
        <v>16</v>
      </c>
      <c r="H1096">
        <v>0</v>
      </c>
      <c r="I1096" s="2" t="s">
        <v>784</v>
      </c>
      <c r="J1096" s="2" t="s">
        <v>2396</v>
      </c>
      <c r="K1096">
        <v>20</v>
      </c>
      <c r="L1096">
        <v>20</v>
      </c>
      <c r="M1096">
        <v>20</v>
      </c>
    </row>
    <row r="1097" spans="1:13" x14ac:dyDescent="0.25">
      <c r="A1097" t="s">
        <v>2398</v>
      </c>
      <c r="B1097" t="s">
        <v>2397</v>
      </c>
      <c r="C1097" t="s">
        <v>357</v>
      </c>
      <c r="D1097" t="s">
        <v>241</v>
      </c>
      <c r="F1097">
        <v>1</v>
      </c>
      <c r="G1097" t="s">
        <v>16</v>
      </c>
      <c r="H1097">
        <v>0</v>
      </c>
      <c r="I1097" s="2" t="s">
        <v>737</v>
      </c>
      <c r="J1097" s="2" t="s">
        <v>2399</v>
      </c>
      <c r="K1097">
        <v>20</v>
      </c>
      <c r="L1097">
        <v>20</v>
      </c>
      <c r="M1097">
        <v>20</v>
      </c>
    </row>
    <row r="1098" spans="1:13" x14ac:dyDescent="0.25">
      <c r="A1098" t="s">
        <v>2400</v>
      </c>
      <c r="B1098" t="s">
        <v>2401</v>
      </c>
      <c r="C1098" t="s">
        <v>357</v>
      </c>
      <c r="D1098" t="s">
        <v>2026</v>
      </c>
      <c r="F1098">
        <v>1</v>
      </c>
      <c r="G1098" t="s">
        <v>16</v>
      </c>
      <c r="H1098">
        <v>0</v>
      </c>
      <c r="I1098" s="2" t="s">
        <v>598</v>
      </c>
      <c r="J1098" s="2">
        <v>343885</v>
      </c>
      <c r="K1098">
        <v>20</v>
      </c>
      <c r="L1098">
        <v>20</v>
      </c>
      <c r="M1098">
        <v>20</v>
      </c>
    </row>
    <row r="1099" spans="1:13" x14ac:dyDescent="0.25">
      <c r="A1099" t="s">
        <v>2402</v>
      </c>
      <c r="B1099" t="s">
        <v>2403</v>
      </c>
      <c r="C1099" t="s">
        <v>241</v>
      </c>
      <c r="D1099" t="s">
        <v>2216</v>
      </c>
      <c r="F1099">
        <v>1</v>
      </c>
      <c r="G1099" t="s">
        <v>16</v>
      </c>
      <c r="H1099">
        <v>0</v>
      </c>
      <c r="I1099" s="2" t="s">
        <v>51</v>
      </c>
      <c r="J1099" s="2" t="s">
        <v>2402</v>
      </c>
      <c r="K1099">
        <v>20</v>
      </c>
      <c r="L1099">
        <v>20</v>
      </c>
      <c r="M1099">
        <v>20</v>
      </c>
    </row>
    <row r="1100" spans="1:13" x14ac:dyDescent="0.25">
      <c r="A1100" t="s">
        <v>2404</v>
      </c>
      <c r="B1100" t="s">
        <v>2403</v>
      </c>
      <c r="C1100" t="s">
        <v>357</v>
      </c>
      <c r="D1100" t="s">
        <v>241</v>
      </c>
      <c r="F1100">
        <v>1</v>
      </c>
      <c r="G1100" t="s">
        <v>16</v>
      </c>
      <c r="H1100">
        <v>0</v>
      </c>
      <c r="I1100" s="2" t="s">
        <v>243</v>
      </c>
      <c r="J1100" s="2">
        <v>17350</v>
      </c>
      <c r="K1100">
        <v>20</v>
      </c>
      <c r="L1100">
        <v>20</v>
      </c>
      <c r="M1100">
        <v>20</v>
      </c>
    </row>
    <row r="1101" spans="1:13" x14ac:dyDescent="0.25">
      <c r="A1101" t="s">
        <v>2405</v>
      </c>
      <c r="B1101" t="s">
        <v>2403</v>
      </c>
      <c r="C1101" t="s">
        <v>357</v>
      </c>
      <c r="D1101" t="s">
        <v>241</v>
      </c>
      <c r="F1101">
        <v>3</v>
      </c>
      <c r="G1101" t="s">
        <v>16</v>
      </c>
      <c r="H1101">
        <v>0</v>
      </c>
      <c r="I1101" s="2" t="s">
        <v>221</v>
      </c>
      <c r="J1101" s="2">
        <v>17350</v>
      </c>
      <c r="K1101">
        <v>20</v>
      </c>
      <c r="L1101">
        <v>20</v>
      </c>
      <c r="M1101">
        <v>20</v>
      </c>
    </row>
    <row r="1102" spans="1:13" x14ac:dyDescent="0.25">
      <c r="A1102" t="s">
        <v>2406</v>
      </c>
      <c r="B1102" t="s">
        <v>2403</v>
      </c>
      <c r="C1102" t="s">
        <v>357</v>
      </c>
      <c r="D1102" t="s">
        <v>241</v>
      </c>
      <c r="F1102">
        <v>2</v>
      </c>
      <c r="G1102" t="s">
        <v>16</v>
      </c>
      <c r="H1102">
        <v>0</v>
      </c>
      <c r="I1102" s="2" t="s">
        <v>784</v>
      </c>
      <c r="J1102" s="2" t="s">
        <v>2407</v>
      </c>
      <c r="K1102">
        <v>20</v>
      </c>
      <c r="L1102">
        <v>20</v>
      </c>
      <c r="M1102">
        <v>20</v>
      </c>
    </row>
    <row r="1103" spans="1:13" x14ac:dyDescent="0.25">
      <c r="A1103" t="s">
        <v>2408</v>
      </c>
      <c r="B1103" t="s">
        <v>2409</v>
      </c>
      <c r="C1103" t="s">
        <v>357</v>
      </c>
      <c r="D1103" t="s">
        <v>2026</v>
      </c>
      <c r="G1103" t="s">
        <v>16</v>
      </c>
      <c r="H1103">
        <v>0</v>
      </c>
      <c r="I1103" s="2" t="s">
        <v>277</v>
      </c>
      <c r="J1103" s="2">
        <v>41608</v>
      </c>
      <c r="K1103">
        <v>20</v>
      </c>
      <c r="L1103">
        <v>20</v>
      </c>
      <c r="M1103">
        <v>20</v>
      </c>
    </row>
    <row r="1104" spans="1:13" x14ac:dyDescent="0.25">
      <c r="A1104" t="s">
        <v>2410</v>
      </c>
      <c r="B1104" t="s">
        <v>2411</v>
      </c>
      <c r="C1104" t="s">
        <v>241</v>
      </c>
      <c r="D1104" t="s">
        <v>2216</v>
      </c>
      <c r="F1104">
        <v>1</v>
      </c>
      <c r="G1104" t="s">
        <v>16</v>
      </c>
      <c r="H1104">
        <v>0</v>
      </c>
      <c r="I1104" s="2" t="s">
        <v>51</v>
      </c>
      <c r="J1104" s="2" t="s">
        <v>2410</v>
      </c>
      <c r="K1104">
        <v>20</v>
      </c>
      <c r="L1104">
        <v>20</v>
      </c>
      <c r="M1104">
        <v>20</v>
      </c>
    </row>
    <row r="1105" spans="1:13" x14ac:dyDescent="0.25">
      <c r="A1105" t="s">
        <v>2412</v>
      </c>
      <c r="B1105" t="s">
        <v>2413</v>
      </c>
      <c r="C1105" t="s">
        <v>357</v>
      </c>
      <c r="D1105" t="s">
        <v>2026</v>
      </c>
      <c r="G1105" t="s">
        <v>16</v>
      </c>
      <c r="H1105">
        <v>0</v>
      </c>
      <c r="I1105" s="2" t="s">
        <v>2039</v>
      </c>
      <c r="J1105" s="2">
        <v>163041</v>
      </c>
      <c r="K1105">
        <v>20</v>
      </c>
      <c r="L1105">
        <v>20</v>
      </c>
      <c r="M1105">
        <v>20</v>
      </c>
    </row>
    <row r="1106" spans="1:13" x14ac:dyDescent="0.25">
      <c r="A1106" t="s">
        <v>2414</v>
      </c>
      <c r="B1106" t="s">
        <v>2415</v>
      </c>
      <c r="C1106" t="s">
        <v>357</v>
      </c>
      <c r="D1106" t="s">
        <v>241</v>
      </c>
      <c r="F1106">
        <v>1</v>
      </c>
      <c r="G1106" t="s">
        <v>16</v>
      </c>
      <c r="H1106">
        <v>0</v>
      </c>
      <c r="I1106" s="2" t="s">
        <v>64</v>
      </c>
      <c r="J1106" s="2">
        <v>10031463</v>
      </c>
      <c r="K1106">
        <v>20</v>
      </c>
      <c r="L1106">
        <v>20</v>
      </c>
      <c r="M1106">
        <v>20</v>
      </c>
    </row>
    <row r="1107" spans="1:13" x14ac:dyDescent="0.25">
      <c r="A1107" t="s">
        <v>2416</v>
      </c>
      <c r="B1107" t="s">
        <v>2417</v>
      </c>
      <c r="C1107" t="s">
        <v>357</v>
      </c>
      <c r="D1107" t="s">
        <v>241</v>
      </c>
      <c r="F1107">
        <v>2</v>
      </c>
      <c r="G1107" t="s">
        <v>16</v>
      </c>
      <c r="H1107">
        <v>0</v>
      </c>
      <c r="I1107" s="2" t="s">
        <v>221</v>
      </c>
      <c r="J1107" s="2">
        <v>17149</v>
      </c>
      <c r="K1107">
        <v>20</v>
      </c>
      <c r="L1107">
        <v>20</v>
      </c>
      <c r="M1107">
        <v>20</v>
      </c>
    </row>
    <row r="1108" spans="1:13" x14ac:dyDescent="0.25">
      <c r="A1108" t="s">
        <v>2418</v>
      </c>
      <c r="B1108" t="s">
        <v>2419</v>
      </c>
      <c r="C1108" t="s">
        <v>357</v>
      </c>
      <c r="D1108" t="s">
        <v>2026</v>
      </c>
      <c r="F1108">
        <v>1</v>
      </c>
      <c r="G1108" t="s">
        <v>16</v>
      </c>
      <c r="H1108">
        <v>0</v>
      </c>
      <c r="I1108" s="2" t="s">
        <v>51</v>
      </c>
      <c r="J1108" s="2" t="s">
        <v>2418</v>
      </c>
      <c r="K1108">
        <v>20</v>
      </c>
      <c r="L1108">
        <v>20</v>
      </c>
      <c r="M1108">
        <v>20</v>
      </c>
    </row>
    <row r="1109" spans="1:13" x14ac:dyDescent="0.25">
      <c r="A1109" t="s">
        <v>2420</v>
      </c>
      <c r="B1109" t="s">
        <v>2421</v>
      </c>
      <c r="C1109" t="s">
        <v>241</v>
      </c>
      <c r="F1109">
        <v>1</v>
      </c>
      <c r="G1109" t="s">
        <v>16</v>
      </c>
      <c r="H1109">
        <v>0</v>
      </c>
      <c r="I1109" s="2" t="s">
        <v>108</v>
      </c>
      <c r="J1109" s="3">
        <v>3031412001</v>
      </c>
      <c r="K1109">
        <v>20</v>
      </c>
      <c r="L1109">
        <v>20</v>
      </c>
      <c r="M1109">
        <v>20</v>
      </c>
    </row>
    <row r="1110" spans="1:13" x14ac:dyDescent="0.25">
      <c r="A1110" t="s">
        <v>2422</v>
      </c>
      <c r="B1110" t="s">
        <v>2423</v>
      </c>
      <c r="C1110" t="s">
        <v>357</v>
      </c>
      <c r="D1110" t="s">
        <v>241</v>
      </c>
      <c r="F1110">
        <v>1</v>
      </c>
      <c r="G1110" t="s">
        <v>16</v>
      </c>
      <c r="H1110">
        <v>0</v>
      </c>
      <c r="I1110" s="2" t="s">
        <v>243</v>
      </c>
      <c r="J1110" s="2">
        <v>17150</v>
      </c>
      <c r="K1110">
        <v>20</v>
      </c>
      <c r="L1110">
        <v>20</v>
      </c>
      <c r="M1110">
        <v>20</v>
      </c>
    </row>
    <row r="1111" spans="1:13" x14ac:dyDescent="0.25">
      <c r="A1111" t="s">
        <v>2424</v>
      </c>
      <c r="B1111" t="s">
        <v>2426</v>
      </c>
      <c r="C1111" t="s">
        <v>357</v>
      </c>
      <c r="D1111" t="s">
        <v>241</v>
      </c>
      <c r="F1111">
        <v>1</v>
      </c>
      <c r="G1111" t="s">
        <v>16</v>
      </c>
      <c r="H1111">
        <v>0</v>
      </c>
      <c r="I1111" s="2" t="s">
        <v>2389</v>
      </c>
      <c r="J1111" s="2" t="s">
        <v>2425</v>
      </c>
      <c r="K1111">
        <v>20</v>
      </c>
      <c r="L1111">
        <v>20</v>
      </c>
      <c r="M1111">
        <v>20</v>
      </c>
    </row>
    <row r="1112" spans="1:13" x14ac:dyDescent="0.25">
      <c r="A1112" t="s">
        <v>2427</v>
      </c>
      <c r="B1112" t="s">
        <v>2428</v>
      </c>
      <c r="C1112" t="s">
        <v>357</v>
      </c>
      <c r="D1112" t="s">
        <v>241</v>
      </c>
      <c r="F1112">
        <v>1</v>
      </c>
      <c r="G1112" t="s">
        <v>16</v>
      </c>
      <c r="H1112">
        <v>0</v>
      </c>
      <c r="I1112" s="2" t="s">
        <v>51</v>
      </c>
      <c r="J1112" s="2" t="s">
        <v>2427</v>
      </c>
      <c r="K1112">
        <v>20</v>
      </c>
      <c r="L1112">
        <v>20</v>
      </c>
      <c r="M1112">
        <v>20</v>
      </c>
    </row>
    <row r="1113" spans="1:13" x14ac:dyDescent="0.25">
      <c r="A1113" t="s">
        <v>2429</v>
      </c>
      <c r="B1113" t="s">
        <v>2428</v>
      </c>
      <c r="C1113" t="s">
        <v>241</v>
      </c>
      <c r="D1113" t="s">
        <v>2216</v>
      </c>
      <c r="G1113" t="s">
        <v>16</v>
      </c>
      <c r="H1113">
        <v>0</v>
      </c>
      <c r="I1113" s="2" t="s">
        <v>2098</v>
      </c>
      <c r="J1113" s="2" t="s">
        <v>2430</v>
      </c>
      <c r="K1113">
        <v>20</v>
      </c>
      <c r="L1113">
        <v>20</v>
      </c>
      <c r="M1113">
        <v>20</v>
      </c>
    </row>
    <row r="1114" spans="1:13" x14ac:dyDescent="0.25">
      <c r="A1114" t="s">
        <v>2431</v>
      </c>
      <c r="B1114" t="s">
        <v>2432</v>
      </c>
      <c r="C1114" t="s">
        <v>357</v>
      </c>
      <c r="D1114" t="s">
        <v>241</v>
      </c>
      <c r="F1114">
        <v>1</v>
      </c>
      <c r="G1114" t="s">
        <v>16</v>
      </c>
      <c r="H1114">
        <v>0</v>
      </c>
      <c r="I1114" s="2" t="s">
        <v>2389</v>
      </c>
      <c r="J1114" s="2" t="str">
        <f>"0500357"</f>
        <v>0500357</v>
      </c>
      <c r="K1114">
        <v>20</v>
      </c>
      <c r="L1114">
        <v>20</v>
      </c>
      <c r="M1114">
        <v>20</v>
      </c>
    </row>
    <row r="1115" spans="1:13" x14ac:dyDescent="0.25">
      <c r="A1115" t="s">
        <v>2433</v>
      </c>
      <c r="B1115" t="s">
        <v>2434</v>
      </c>
      <c r="C1115" t="s">
        <v>241</v>
      </c>
      <c r="D1115" t="s">
        <v>2216</v>
      </c>
      <c r="F1115">
        <v>1</v>
      </c>
      <c r="G1115" t="s">
        <v>16</v>
      </c>
      <c r="H1115">
        <v>0</v>
      </c>
      <c r="I1115" s="2" t="s">
        <v>51</v>
      </c>
      <c r="J1115" s="2" t="s">
        <v>2433</v>
      </c>
      <c r="K1115">
        <v>20</v>
      </c>
      <c r="L1115">
        <v>20</v>
      </c>
      <c r="M1115">
        <v>20</v>
      </c>
    </row>
    <row r="1116" spans="1:13" x14ac:dyDescent="0.25">
      <c r="A1116" t="s">
        <v>2435</v>
      </c>
      <c r="B1116" t="s">
        <v>2436</v>
      </c>
      <c r="C1116" t="s">
        <v>357</v>
      </c>
      <c r="D1116" t="s">
        <v>241</v>
      </c>
      <c r="G1116" t="s">
        <v>16</v>
      </c>
      <c r="H1116">
        <v>0</v>
      </c>
      <c r="I1116" s="2" t="s">
        <v>55</v>
      </c>
      <c r="J1116" s="2" t="s">
        <v>2435</v>
      </c>
      <c r="K1116">
        <v>20</v>
      </c>
      <c r="L1116">
        <v>20</v>
      </c>
      <c r="M1116">
        <v>20</v>
      </c>
    </row>
    <row r="1117" spans="1:13" x14ac:dyDescent="0.25">
      <c r="A1117" t="s">
        <v>2437</v>
      </c>
      <c r="B1117" t="s">
        <v>2438</v>
      </c>
      <c r="C1117" t="s">
        <v>357</v>
      </c>
      <c r="D1117" t="s">
        <v>2026</v>
      </c>
      <c r="F1117">
        <v>1</v>
      </c>
      <c r="G1117" t="s">
        <v>16</v>
      </c>
      <c r="H1117">
        <v>0</v>
      </c>
      <c r="I1117" s="2" t="s">
        <v>87</v>
      </c>
      <c r="J1117" s="2" t="s">
        <v>2439</v>
      </c>
      <c r="K1117">
        <v>20</v>
      </c>
      <c r="L1117">
        <v>20</v>
      </c>
      <c r="M1117">
        <v>20</v>
      </c>
    </row>
    <row r="1118" spans="1:13" x14ac:dyDescent="0.25">
      <c r="A1118" t="s">
        <v>2440</v>
      </c>
      <c r="B1118" t="s">
        <v>2442</v>
      </c>
      <c r="C1118" t="s">
        <v>357</v>
      </c>
      <c r="D1118" t="s">
        <v>792</v>
      </c>
      <c r="F1118">
        <v>5</v>
      </c>
      <c r="G1118" t="s">
        <v>16</v>
      </c>
      <c r="H1118">
        <v>0</v>
      </c>
      <c r="I1118" s="2" t="s">
        <v>69</v>
      </c>
      <c r="J1118" s="2" t="s">
        <v>2441</v>
      </c>
      <c r="K1118">
        <v>20</v>
      </c>
      <c r="L1118">
        <v>20</v>
      </c>
      <c r="M1118">
        <v>20</v>
      </c>
    </row>
    <row r="1119" spans="1:13" x14ac:dyDescent="0.25">
      <c r="A1119" t="s">
        <v>2443</v>
      </c>
      <c r="B1119" t="s">
        <v>2442</v>
      </c>
      <c r="C1119" t="s">
        <v>357</v>
      </c>
      <c r="D1119" t="s">
        <v>358</v>
      </c>
      <c r="G1119" t="s">
        <v>16</v>
      </c>
      <c r="H1119">
        <v>0</v>
      </c>
      <c r="I1119" s="2" t="s">
        <v>243</v>
      </c>
      <c r="J1119" s="2">
        <v>17123</v>
      </c>
      <c r="K1119">
        <v>20</v>
      </c>
      <c r="L1119">
        <v>20</v>
      </c>
      <c r="M1119">
        <v>20</v>
      </c>
    </row>
    <row r="1120" spans="1:13" x14ac:dyDescent="0.25">
      <c r="A1120" t="s">
        <v>2444</v>
      </c>
      <c r="B1120" t="s">
        <v>2442</v>
      </c>
      <c r="C1120" t="s">
        <v>357</v>
      </c>
      <c r="D1120" t="s">
        <v>358</v>
      </c>
      <c r="F1120">
        <v>5</v>
      </c>
      <c r="G1120" t="s">
        <v>16</v>
      </c>
      <c r="H1120">
        <v>0</v>
      </c>
      <c r="I1120" s="2" t="s">
        <v>221</v>
      </c>
      <c r="J1120" s="2">
        <v>17123</v>
      </c>
      <c r="K1120">
        <v>20</v>
      </c>
      <c r="L1120">
        <v>20</v>
      </c>
      <c r="M1120">
        <v>20</v>
      </c>
    </row>
    <row r="1121" spans="1:13" x14ac:dyDescent="0.25">
      <c r="A1121" t="s">
        <v>2445</v>
      </c>
      <c r="B1121" t="s">
        <v>2446</v>
      </c>
      <c r="C1121" t="s">
        <v>357</v>
      </c>
      <c r="D1121" t="s">
        <v>2026</v>
      </c>
      <c r="F1121">
        <v>1</v>
      </c>
      <c r="G1121" t="s">
        <v>16</v>
      </c>
      <c r="H1121">
        <v>0</v>
      </c>
      <c r="I1121" s="2" t="s">
        <v>108</v>
      </c>
      <c r="J1121" s="3">
        <v>2821547001</v>
      </c>
      <c r="K1121">
        <v>20</v>
      </c>
      <c r="L1121">
        <v>20</v>
      </c>
      <c r="M1121">
        <v>20</v>
      </c>
    </row>
    <row r="1122" spans="1:13" x14ac:dyDescent="0.25">
      <c r="A1122" t="s">
        <v>2447</v>
      </c>
      <c r="B1122" t="s">
        <v>2446</v>
      </c>
      <c r="C1122" t="s">
        <v>357</v>
      </c>
      <c r="D1122" t="s">
        <v>2026</v>
      </c>
      <c r="F1122">
        <v>1</v>
      </c>
      <c r="G1122" t="s">
        <v>16</v>
      </c>
      <c r="H1122">
        <v>0</v>
      </c>
      <c r="I1122" s="2" t="s">
        <v>1671</v>
      </c>
      <c r="J1122" s="2">
        <v>393640</v>
      </c>
      <c r="K1122">
        <v>20</v>
      </c>
      <c r="L1122">
        <v>20</v>
      </c>
      <c r="M1122">
        <v>20</v>
      </c>
    </row>
    <row r="1123" spans="1:13" x14ac:dyDescent="0.25">
      <c r="A1123" t="s">
        <v>2448</v>
      </c>
      <c r="B1123" t="s">
        <v>2449</v>
      </c>
      <c r="C1123" t="s">
        <v>357</v>
      </c>
      <c r="D1123" t="s">
        <v>2026</v>
      </c>
      <c r="G1123" t="s">
        <v>16</v>
      </c>
      <c r="H1123">
        <v>0</v>
      </c>
      <c r="I1123" s="2" t="s">
        <v>2039</v>
      </c>
      <c r="J1123" s="2">
        <v>160016</v>
      </c>
      <c r="K1123">
        <v>20</v>
      </c>
      <c r="L1123">
        <v>20</v>
      </c>
      <c r="M1123">
        <v>20</v>
      </c>
    </row>
    <row r="1124" spans="1:13" x14ac:dyDescent="0.25">
      <c r="A1124" t="s">
        <v>2450</v>
      </c>
      <c r="B1124" t="s">
        <v>2451</v>
      </c>
      <c r="C1124" t="s">
        <v>357</v>
      </c>
      <c r="D1124" t="s">
        <v>241</v>
      </c>
      <c r="F1124">
        <v>1</v>
      </c>
      <c r="G1124" t="s">
        <v>16</v>
      </c>
      <c r="H1124">
        <v>0</v>
      </c>
      <c r="I1124" s="2" t="s">
        <v>51</v>
      </c>
      <c r="J1124" s="2" t="s">
        <v>2450</v>
      </c>
      <c r="K1124">
        <v>20</v>
      </c>
      <c r="L1124">
        <v>20</v>
      </c>
      <c r="M1124">
        <v>20</v>
      </c>
    </row>
    <row r="1125" spans="1:13" x14ac:dyDescent="0.25">
      <c r="A1125" t="s">
        <v>2452</v>
      </c>
      <c r="B1125" t="s">
        <v>2451</v>
      </c>
      <c r="C1125" t="s">
        <v>357</v>
      </c>
      <c r="D1125" t="s">
        <v>241</v>
      </c>
      <c r="G1125" t="s">
        <v>16</v>
      </c>
      <c r="H1125">
        <v>0</v>
      </c>
      <c r="I1125" s="2" t="s">
        <v>784</v>
      </c>
      <c r="J1125" s="2" t="s">
        <v>2453</v>
      </c>
      <c r="K1125">
        <v>20</v>
      </c>
      <c r="L1125">
        <v>20</v>
      </c>
      <c r="M1125">
        <v>20</v>
      </c>
    </row>
    <row r="1126" spans="1:13" x14ac:dyDescent="0.25">
      <c r="A1126" t="s">
        <v>2454</v>
      </c>
      <c r="B1126" t="s">
        <v>2455</v>
      </c>
      <c r="C1126" t="s">
        <v>357</v>
      </c>
      <c r="D1126" t="s">
        <v>2026</v>
      </c>
      <c r="G1126" t="s">
        <v>16</v>
      </c>
      <c r="H1126">
        <v>0</v>
      </c>
      <c r="I1126" s="2" t="s">
        <v>51</v>
      </c>
      <c r="J1126" s="2" t="s">
        <v>2456</v>
      </c>
      <c r="K1126">
        <v>20</v>
      </c>
      <c r="L1126">
        <v>20</v>
      </c>
      <c r="M1126">
        <v>20</v>
      </c>
    </row>
    <row r="1127" spans="1:13" x14ac:dyDescent="0.25">
      <c r="A1127" t="s">
        <v>2457</v>
      </c>
      <c r="B1127" t="s">
        <v>2458</v>
      </c>
      <c r="C1127" t="s">
        <v>357</v>
      </c>
      <c r="D1127" t="s">
        <v>241</v>
      </c>
      <c r="G1127" t="s">
        <v>16</v>
      </c>
      <c r="H1127">
        <v>0</v>
      </c>
      <c r="I1127" s="2" t="s">
        <v>51</v>
      </c>
      <c r="J1127" s="2" t="s">
        <v>2457</v>
      </c>
      <c r="K1127">
        <v>20</v>
      </c>
      <c r="L1127">
        <v>20</v>
      </c>
      <c r="M1127">
        <v>20</v>
      </c>
    </row>
    <row r="1128" spans="1:13" x14ac:dyDescent="0.25">
      <c r="A1128" t="s">
        <v>2459</v>
      </c>
      <c r="B1128" t="s">
        <v>2458</v>
      </c>
      <c r="C1128" t="s">
        <v>357</v>
      </c>
      <c r="D1128" t="s">
        <v>241</v>
      </c>
      <c r="F1128">
        <v>1</v>
      </c>
      <c r="G1128" t="s">
        <v>16</v>
      </c>
      <c r="H1128">
        <v>0</v>
      </c>
      <c r="I1128" s="2" t="s">
        <v>243</v>
      </c>
      <c r="J1128" s="2">
        <v>17148</v>
      </c>
      <c r="K1128">
        <v>20</v>
      </c>
      <c r="L1128">
        <v>20</v>
      </c>
      <c r="M1128">
        <v>20</v>
      </c>
    </row>
    <row r="1129" spans="1:13" x14ac:dyDescent="0.25">
      <c r="A1129" t="s">
        <v>2460</v>
      </c>
      <c r="B1129" t="s">
        <v>2461</v>
      </c>
      <c r="C1129" t="s">
        <v>241</v>
      </c>
      <c r="D1129" t="s">
        <v>2216</v>
      </c>
      <c r="F1129">
        <v>2</v>
      </c>
      <c r="G1129" t="s">
        <v>16</v>
      </c>
      <c r="H1129">
        <v>0</v>
      </c>
      <c r="I1129" s="2" t="s">
        <v>51</v>
      </c>
      <c r="J1129" s="2" t="s">
        <v>2460</v>
      </c>
      <c r="K1129">
        <v>20</v>
      </c>
      <c r="L1129">
        <v>20</v>
      </c>
      <c r="M1129">
        <v>20</v>
      </c>
    </row>
    <row r="1130" spans="1:13" x14ac:dyDescent="0.25">
      <c r="A1130" t="s">
        <v>2462</v>
      </c>
      <c r="B1130" t="s">
        <v>2461</v>
      </c>
      <c r="C1130" t="s">
        <v>357</v>
      </c>
      <c r="D1130" t="s">
        <v>241</v>
      </c>
      <c r="F1130">
        <v>3</v>
      </c>
      <c r="G1130" t="s">
        <v>16</v>
      </c>
      <c r="H1130">
        <v>0</v>
      </c>
      <c r="I1130" s="2" t="s">
        <v>784</v>
      </c>
      <c r="J1130" s="2" t="s">
        <v>2463</v>
      </c>
      <c r="K1130">
        <v>20</v>
      </c>
      <c r="L1130">
        <v>20</v>
      </c>
      <c r="M1130">
        <v>20</v>
      </c>
    </row>
    <row r="1131" spans="1:13" x14ac:dyDescent="0.25">
      <c r="A1131" t="s">
        <v>2464</v>
      </c>
      <c r="B1131" t="s">
        <v>2465</v>
      </c>
      <c r="C1131" t="s">
        <v>496</v>
      </c>
      <c r="D1131" t="s">
        <v>2360</v>
      </c>
      <c r="G1131" t="s">
        <v>16</v>
      </c>
      <c r="H1131">
        <v>0</v>
      </c>
      <c r="I1131" s="2" t="s">
        <v>2466</v>
      </c>
      <c r="J1131" s="2">
        <v>3552701</v>
      </c>
      <c r="K1131">
        <v>20</v>
      </c>
      <c r="L1131">
        <v>20</v>
      </c>
      <c r="M1131">
        <v>20</v>
      </c>
    </row>
    <row r="1132" spans="1:13" x14ac:dyDescent="0.25">
      <c r="A1132" t="s">
        <v>2467</v>
      </c>
      <c r="B1132" t="s">
        <v>2469</v>
      </c>
      <c r="C1132" t="s">
        <v>540</v>
      </c>
      <c r="F1132">
        <v>1</v>
      </c>
      <c r="G1132" t="s">
        <v>16</v>
      </c>
      <c r="H1132">
        <v>0</v>
      </c>
      <c r="I1132" s="2" t="s">
        <v>765</v>
      </c>
      <c r="J1132" s="2" t="s">
        <v>2468</v>
      </c>
      <c r="K1132">
        <v>20</v>
      </c>
      <c r="L1132">
        <v>20</v>
      </c>
      <c r="M1132">
        <v>20</v>
      </c>
    </row>
    <row r="1133" spans="1:13" x14ac:dyDescent="0.25">
      <c r="A1133" t="s">
        <v>2470</v>
      </c>
      <c r="B1133" t="s">
        <v>2469</v>
      </c>
      <c r="C1133" t="s">
        <v>540</v>
      </c>
      <c r="G1133" t="s">
        <v>16</v>
      </c>
      <c r="H1133">
        <v>0</v>
      </c>
      <c r="I1133" s="2" t="s">
        <v>500</v>
      </c>
      <c r="J1133" s="2" t="s">
        <v>2471</v>
      </c>
      <c r="K1133">
        <v>20</v>
      </c>
      <c r="L1133">
        <v>20</v>
      </c>
      <c r="M1133">
        <v>20</v>
      </c>
    </row>
    <row r="1134" spans="1:13" x14ac:dyDescent="0.25">
      <c r="A1134" t="s">
        <v>2472</v>
      </c>
      <c r="B1134" t="s">
        <v>2473</v>
      </c>
      <c r="C1134" t="s">
        <v>540</v>
      </c>
      <c r="F1134">
        <v>2</v>
      </c>
      <c r="G1134" t="s">
        <v>16</v>
      </c>
      <c r="H1134">
        <v>0</v>
      </c>
      <c r="I1134" s="2" t="s">
        <v>1107</v>
      </c>
      <c r="J1134" s="2" t="s">
        <v>2474</v>
      </c>
      <c r="K1134">
        <v>20</v>
      </c>
      <c r="L1134">
        <v>20</v>
      </c>
      <c r="M1134">
        <v>20</v>
      </c>
    </row>
    <row r="1135" spans="1:13" x14ac:dyDescent="0.25">
      <c r="A1135" t="s">
        <v>2475</v>
      </c>
      <c r="B1135" t="s">
        <v>2476</v>
      </c>
      <c r="C1135" t="s">
        <v>20</v>
      </c>
      <c r="D1135" t="s">
        <v>2477</v>
      </c>
      <c r="G1135" t="s">
        <v>16</v>
      </c>
      <c r="H1135">
        <v>0</v>
      </c>
      <c r="K1135">
        <v>20</v>
      </c>
      <c r="L1135">
        <v>20</v>
      </c>
      <c r="M1135">
        <v>20</v>
      </c>
    </row>
    <row r="1136" spans="1:13" x14ac:dyDescent="0.25">
      <c r="A1136" t="s">
        <v>2478</v>
      </c>
      <c r="B1136" t="s">
        <v>2480</v>
      </c>
      <c r="C1136" t="s">
        <v>20</v>
      </c>
      <c r="D1136" t="s">
        <v>2477</v>
      </c>
      <c r="G1136" t="s">
        <v>16</v>
      </c>
      <c r="H1136">
        <v>0</v>
      </c>
      <c r="I1136" s="2" t="s">
        <v>288</v>
      </c>
      <c r="J1136" s="2" t="s">
        <v>2479</v>
      </c>
      <c r="K1136">
        <v>20</v>
      </c>
      <c r="L1136">
        <v>20</v>
      </c>
      <c r="M1136">
        <v>20</v>
      </c>
    </row>
    <row r="1137" spans="1:13" x14ac:dyDescent="0.25">
      <c r="A1137" t="s">
        <v>2481</v>
      </c>
      <c r="B1137" t="s">
        <v>2482</v>
      </c>
      <c r="C1137" t="s">
        <v>20</v>
      </c>
      <c r="D1137" t="s">
        <v>2477</v>
      </c>
      <c r="G1137" t="s">
        <v>16</v>
      </c>
      <c r="H1137">
        <v>0</v>
      </c>
      <c r="I1137" s="2" t="b">
        <v>1</v>
      </c>
      <c r="J1137" s="2" t="s">
        <v>2483</v>
      </c>
      <c r="K1137">
        <v>20</v>
      </c>
      <c r="L1137">
        <v>20</v>
      </c>
      <c r="M1137">
        <v>20</v>
      </c>
    </row>
    <row r="1138" spans="1:13" x14ac:dyDescent="0.25">
      <c r="A1138" t="s">
        <v>2484</v>
      </c>
      <c r="B1138" t="s">
        <v>2482</v>
      </c>
      <c r="C1138" t="s">
        <v>20</v>
      </c>
      <c r="D1138" t="s">
        <v>2477</v>
      </c>
      <c r="G1138" t="s">
        <v>16</v>
      </c>
      <c r="H1138">
        <v>0</v>
      </c>
      <c r="I1138" s="2" t="s">
        <v>737</v>
      </c>
      <c r="J1138" s="2" t="s">
        <v>2485</v>
      </c>
      <c r="K1138">
        <v>20</v>
      </c>
      <c r="L1138">
        <v>20</v>
      </c>
      <c r="M1138">
        <v>20</v>
      </c>
    </row>
    <row r="1139" spans="1:13" x14ac:dyDescent="0.25">
      <c r="A1139" t="s">
        <v>2486</v>
      </c>
      <c r="B1139" t="s">
        <v>2488</v>
      </c>
      <c r="C1139" t="s">
        <v>241</v>
      </c>
      <c r="D1139" t="s">
        <v>2216</v>
      </c>
      <c r="F1139">
        <v>1</v>
      </c>
      <c r="G1139" t="s">
        <v>16</v>
      </c>
      <c r="H1139">
        <v>0</v>
      </c>
      <c r="I1139" s="2" t="s">
        <v>784</v>
      </c>
      <c r="J1139" s="2" t="s">
        <v>2487</v>
      </c>
      <c r="K1139">
        <v>20</v>
      </c>
      <c r="L1139">
        <v>20</v>
      </c>
      <c r="M1139">
        <v>20</v>
      </c>
    </row>
    <row r="1140" spans="1:13" x14ac:dyDescent="0.25">
      <c r="A1140" t="s">
        <v>2489</v>
      </c>
      <c r="B1140" t="s">
        <v>2490</v>
      </c>
      <c r="C1140" t="s">
        <v>496</v>
      </c>
      <c r="D1140" t="s">
        <v>2360</v>
      </c>
      <c r="G1140" t="s">
        <v>16</v>
      </c>
      <c r="H1140">
        <v>0</v>
      </c>
      <c r="I1140" s="2" t="s">
        <v>737</v>
      </c>
      <c r="J1140" s="2" t="s">
        <v>2491</v>
      </c>
      <c r="K1140">
        <v>20</v>
      </c>
      <c r="L1140">
        <v>20</v>
      </c>
      <c r="M1140">
        <v>20</v>
      </c>
    </row>
    <row r="1141" spans="1:13" x14ac:dyDescent="0.25">
      <c r="A1141">
        <v>13257624</v>
      </c>
      <c r="B1141" t="s">
        <v>2492</v>
      </c>
      <c r="C1141" t="s">
        <v>2493</v>
      </c>
      <c r="D1141" t="s">
        <v>2360</v>
      </c>
      <c r="G1141" t="s">
        <v>16</v>
      </c>
      <c r="H1141">
        <v>0</v>
      </c>
      <c r="I1141" s="2" t="s">
        <v>497</v>
      </c>
      <c r="J1141" s="2">
        <v>13257624</v>
      </c>
      <c r="K1141">
        <v>20</v>
      </c>
      <c r="L1141">
        <v>20</v>
      </c>
      <c r="M1141">
        <v>20</v>
      </c>
    </row>
    <row r="1142" spans="1:13" x14ac:dyDescent="0.25">
      <c r="A1142" t="s">
        <v>2494</v>
      </c>
      <c r="B1142" t="s">
        <v>2495</v>
      </c>
      <c r="C1142" t="s">
        <v>151</v>
      </c>
      <c r="F1142">
        <v>1</v>
      </c>
      <c r="G1142" t="s">
        <v>16</v>
      </c>
      <c r="H1142">
        <v>0</v>
      </c>
      <c r="I1142" s="2" t="s">
        <v>500</v>
      </c>
      <c r="J1142" s="2" t="s">
        <v>2496</v>
      </c>
      <c r="K1142">
        <v>20</v>
      </c>
      <c r="L1142">
        <v>20</v>
      </c>
      <c r="M1142">
        <v>20</v>
      </c>
    </row>
    <row r="1143" spans="1:13" x14ac:dyDescent="0.25">
      <c r="A1143">
        <v>13259240</v>
      </c>
      <c r="B1143" t="s">
        <v>2497</v>
      </c>
      <c r="C1143" t="s">
        <v>496</v>
      </c>
      <c r="F1143">
        <v>1</v>
      </c>
      <c r="G1143" t="s">
        <v>16</v>
      </c>
      <c r="H1143">
        <v>0</v>
      </c>
      <c r="I1143" s="2" t="s">
        <v>497</v>
      </c>
      <c r="J1143" s="2">
        <v>13259240</v>
      </c>
      <c r="K1143">
        <v>20</v>
      </c>
      <c r="L1143">
        <v>20</v>
      </c>
      <c r="M1143">
        <v>20</v>
      </c>
    </row>
    <row r="1144" spans="1:13" x14ac:dyDescent="0.25">
      <c r="A1144" t="s">
        <v>2498</v>
      </c>
      <c r="B1144" t="s">
        <v>2499</v>
      </c>
      <c r="C1144" t="s">
        <v>540</v>
      </c>
      <c r="G1144" t="s">
        <v>16</v>
      </c>
      <c r="H1144">
        <v>0</v>
      </c>
      <c r="K1144">
        <v>20</v>
      </c>
      <c r="L1144">
        <v>20</v>
      </c>
      <c r="M1144">
        <v>20</v>
      </c>
    </row>
    <row r="1145" spans="1:13" x14ac:dyDescent="0.25">
      <c r="A1145" t="s">
        <v>2500</v>
      </c>
      <c r="B1145" t="s">
        <v>2501</v>
      </c>
      <c r="C1145" t="s">
        <v>540</v>
      </c>
      <c r="G1145" t="s">
        <v>16</v>
      </c>
      <c r="H1145">
        <v>0</v>
      </c>
      <c r="I1145" s="2" t="s">
        <v>108</v>
      </c>
      <c r="J1145" s="3">
        <v>3581650001</v>
      </c>
      <c r="K1145">
        <v>20</v>
      </c>
      <c r="L1145">
        <v>20</v>
      </c>
      <c r="M1145">
        <v>20</v>
      </c>
    </row>
    <row r="1146" spans="1:13" x14ac:dyDescent="0.25">
      <c r="A1146" t="s">
        <v>2502</v>
      </c>
      <c r="B1146" t="s">
        <v>2501</v>
      </c>
      <c r="C1146" t="s">
        <v>540</v>
      </c>
      <c r="F1146">
        <v>2</v>
      </c>
      <c r="G1146" t="s">
        <v>16</v>
      </c>
      <c r="H1146">
        <v>0</v>
      </c>
      <c r="I1146" s="2" t="s">
        <v>64</v>
      </c>
      <c r="J1146" s="2" t="str">
        <f>"09010045"</f>
        <v>09010045</v>
      </c>
      <c r="K1146">
        <v>20</v>
      </c>
      <c r="L1146">
        <v>20</v>
      </c>
      <c r="M1146">
        <v>20</v>
      </c>
    </row>
    <row r="1147" spans="1:13" x14ac:dyDescent="0.25">
      <c r="A1147" t="s">
        <v>2503</v>
      </c>
      <c r="B1147" t="s">
        <v>2504</v>
      </c>
      <c r="C1147" t="s">
        <v>357</v>
      </c>
      <c r="D1147" t="s">
        <v>1836</v>
      </c>
      <c r="G1147" t="s">
        <v>16</v>
      </c>
      <c r="H1147">
        <v>0</v>
      </c>
      <c r="I1147" s="2" t="s">
        <v>500</v>
      </c>
      <c r="J1147" s="2" t="s">
        <v>2505</v>
      </c>
      <c r="K1147">
        <v>20</v>
      </c>
      <c r="L1147">
        <v>20</v>
      </c>
      <c r="M1147">
        <v>20</v>
      </c>
    </row>
    <row r="1148" spans="1:13" x14ac:dyDescent="0.25">
      <c r="A1148" t="s">
        <v>2506</v>
      </c>
      <c r="B1148" t="s">
        <v>2507</v>
      </c>
      <c r="C1148" t="s">
        <v>540</v>
      </c>
      <c r="F1148">
        <v>2</v>
      </c>
      <c r="G1148" t="s">
        <v>16</v>
      </c>
      <c r="H1148">
        <v>0</v>
      </c>
      <c r="I1148" s="2" t="s">
        <v>2508</v>
      </c>
      <c r="J1148" s="2" t="s">
        <v>2509</v>
      </c>
      <c r="K1148">
        <v>20</v>
      </c>
      <c r="L1148">
        <v>20</v>
      </c>
      <c r="M1148">
        <v>20</v>
      </c>
    </row>
    <row r="1149" spans="1:13" x14ac:dyDescent="0.25">
      <c r="A1149" t="s">
        <v>2510</v>
      </c>
      <c r="B1149" t="s">
        <v>2511</v>
      </c>
      <c r="C1149" t="s">
        <v>540</v>
      </c>
      <c r="F1149">
        <v>1</v>
      </c>
      <c r="G1149" t="s">
        <v>16</v>
      </c>
      <c r="H1149">
        <v>0</v>
      </c>
      <c r="I1149" s="2" t="s">
        <v>776</v>
      </c>
      <c r="J1149" s="2">
        <v>611653</v>
      </c>
      <c r="K1149">
        <v>20</v>
      </c>
      <c r="L1149">
        <v>20</v>
      </c>
      <c r="M1149">
        <v>20</v>
      </c>
    </row>
    <row r="1150" spans="1:13" x14ac:dyDescent="0.25">
      <c r="A1150" t="s">
        <v>2512</v>
      </c>
      <c r="B1150" t="s">
        <v>2514</v>
      </c>
      <c r="C1150" t="s">
        <v>496</v>
      </c>
      <c r="F1150">
        <v>1</v>
      </c>
      <c r="G1150" t="s">
        <v>16</v>
      </c>
      <c r="H1150">
        <v>0</v>
      </c>
      <c r="I1150" s="2" t="s">
        <v>765</v>
      </c>
      <c r="J1150" s="2" t="s">
        <v>2513</v>
      </c>
      <c r="K1150">
        <v>20</v>
      </c>
      <c r="L1150">
        <v>20</v>
      </c>
      <c r="M1150">
        <v>20</v>
      </c>
    </row>
    <row r="1151" spans="1:13" x14ac:dyDescent="0.25">
      <c r="A1151" t="s">
        <v>2515</v>
      </c>
      <c r="B1151" t="s">
        <v>2516</v>
      </c>
      <c r="C1151" t="s">
        <v>496</v>
      </c>
      <c r="F1151">
        <v>1</v>
      </c>
      <c r="G1151" t="s">
        <v>16</v>
      </c>
      <c r="H1151">
        <v>0</v>
      </c>
      <c r="I1151" s="2" t="s">
        <v>2517</v>
      </c>
      <c r="J1151" s="2" t="s">
        <v>2518</v>
      </c>
      <c r="K1151">
        <v>20</v>
      </c>
      <c r="L1151">
        <v>20</v>
      </c>
      <c r="M1151">
        <v>20</v>
      </c>
    </row>
    <row r="1152" spans="1:13" x14ac:dyDescent="0.25">
      <c r="A1152" t="s">
        <v>2519</v>
      </c>
      <c r="B1152" t="s">
        <v>2516</v>
      </c>
      <c r="C1152" t="s">
        <v>496</v>
      </c>
      <c r="G1152" t="s">
        <v>16</v>
      </c>
      <c r="H1152">
        <v>0</v>
      </c>
      <c r="I1152" s="2" t="s">
        <v>108</v>
      </c>
      <c r="J1152" s="3">
        <v>3801206001</v>
      </c>
      <c r="K1152">
        <v>20</v>
      </c>
      <c r="L1152">
        <v>20</v>
      </c>
      <c r="M1152">
        <v>20</v>
      </c>
    </row>
    <row r="1153" spans="1:13" x14ac:dyDescent="0.25">
      <c r="A1153" t="s">
        <v>2520</v>
      </c>
      <c r="B1153" t="s">
        <v>2521</v>
      </c>
      <c r="C1153" t="s">
        <v>496</v>
      </c>
      <c r="F1153">
        <v>0</v>
      </c>
      <c r="G1153" t="s">
        <v>16</v>
      </c>
      <c r="H1153">
        <v>0</v>
      </c>
      <c r="I1153" s="2" t="s">
        <v>64</v>
      </c>
      <c r="J1153" s="2">
        <v>13050341</v>
      </c>
      <c r="K1153">
        <v>20</v>
      </c>
      <c r="L1153">
        <v>20</v>
      </c>
      <c r="M1153">
        <v>20</v>
      </c>
    </row>
    <row r="1154" spans="1:13" x14ac:dyDescent="0.25">
      <c r="A1154" t="s">
        <v>2522</v>
      </c>
      <c r="B1154" t="s">
        <v>2524</v>
      </c>
      <c r="C1154" t="s">
        <v>496</v>
      </c>
      <c r="F1154">
        <v>1</v>
      </c>
      <c r="G1154" t="s">
        <v>16</v>
      </c>
      <c r="H1154">
        <v>0</v>
      </c>
      <c r="I1154" s="2" t="s">
        <v>288</v>
      </c>
      <c r="J1154" s="2" t="s">
        <v>2523</v>
      </c>
      <c r="K1154">
        <v>20</v>
      </c>
      <c r="L1154">
        <v>20</v>
      </c>
      <c r="M1154">
        <v>20</v>
      </c>
    </row>
    <row r="1155" spans="1:13" x14ac:dyDescent="0.25">
      <c r="A1155" t="s">
        <v>2525</v>
      </c>
      <c r="B1155" t="s">
        <v>2526</v>
      </c>
      <c r="C1155" t="s">
        <v>496</v>
      </c>
      <c r="F1155">
        <v>0</v>
      </c>
      <c r="G1155" t="s">
        <v>16</v>
      </c>
      <c r="H1155">
        <v>0</v>
      </c>
      <c r="I1155" s="2" t="s">
        <v>2517</v>
      </c>
      <c r="J1155" s="2" t="s">
        <v>2527</v>
      </c>
      <c r="K1155">
        <v>20</v>
      </c>
      <c r="L1155">
        <v>20</v>
      </c>
      <c r="M1155">
        <v>20</v>
      </c>
    </row>
    <row r="1156" spans="1:13" x14ac:dyDescent="0.25">
      <c r="A1156" t="s">
        <v>2528</v>
      </c>
      <c r="B1156" t="s">
        <v>2529</v>
      </c>
      <c r="C1156" t="s">
        <v>496</v>
      </c>
      <c r="G1156" t="s">
        <v>16</v>
      </c>
      <c r="H1156">
        <v>0</v>
      </c>
      <c r="I1156" s="2" t="s">
        <v>288</v>
      </c>
      <c r="J1156" s="2" t="s">
        <v>2530</v>
      </c>
      <c r="K1156">
        <v>20</v>
      </c>
      <c r="L1156">
        <v>20</v>
      </c>
      <c r="M1156">
        <v>20</v>
      </c>
    </row>
    <row r="1157" spans="1:13" x14ac:dyDescent="0.25">
      <c r="A1157" t="s">
        <v>2531</v>
      </c>
      <c r="B1157" t="s">
        <v>2532</v>
      </c>
      <c r="C1157" t="s">
        <v>496</v>
      </c>
      <c r="G1157" t="s">
        <v>16</v>
      </c>
      <c r="H1157">
        <v>0</v>
      </c>
      <c r="I1157" s="2" t="s">
        <v>2533</v>
      </c>
      <c r="J1157" s="2" t="s">
        <v>2534</v>
      </c>
      <c r="K1157">
        <v>20</v>
      </c>
      <c r="L1157">
        <v>20</v>
      </c>
      <c r="M1157">
        <v>20</v>
      </c>
    </row>
    <row r="1158" spans="1:13" x14ac:dyDescent="0.25">
      <c r="A1158" t="s">
        <v>2535</v>
      </c>
      <c r="B1158" t="s">
        <v>2532</v>
      </c>
      <c r="C1158" t="s">
        <v>496</v>
      </c>
      <c r="F1158">
        <v>2</v>
      </c>
      <c r="G1158" t="s">
        <v>16</v>
      </c>
      <c r="H1158">
        <v>0</v>
      </c>
      <c r="I1158" s="2" t="s">
        <v>266</v>
      </c>
      <c r="J1158" s="2" t="s">
        <v>2536</v>
      </c>
      <c r="K1158">
        <v>20</v>
      </c>
      <c r="L1158">
        <v>20</v>
      </c>
      <c r="M1158">
        <v>20</v>
      </c>
    </row>
    <row r="1159" spans="1:13" x14ac:dyDescent="0.25">
      <c r="A1159" t="s">
        <v>2537</v>
      </c>
      <c r="B1159" t="s">
        <v>2538</v>
      </c>
      <c r="C1159" t="s">
        <v>496</v>
      </c>
      <c r="G1159" t="s">
        <v>16</v>
      </c>
      <c r="H1159">
        <v>0</v>
      </c>
      <c r="I1159" s="2" t="s">
        <v>2517</v>
      </c>
      <c r="J1159" s="2" t="s">
        <v>2539</v>
      </c>
      <c r="K1159">
        <v>20</v>
      </c>
      <c r="L1159">
        <v>20</v>
      </c>
      <c r="M1159">
        <v>20</v>
      </c>
    </row>
    <row r="1160" spans="1:13" x14ac:dyDescent="0.25">
      <c r="A1160" t="s">
        <v>2540</v>
      </c>
      <c r="B1160" t="s">
        <v>2541</v>
      </c>
      <c r="C1160" t="s">
        <v>540</v>
      </c>
      <c r="F1160">
        <v>2</v>
      </c>
      <c r="G1160" t="s">
        <v>16</v>
      </c>
      <c r="H1160">
        <v>0</v>
      </c>
      <c r="I1160" s="2" t="s">
        <v>2542</v>
      </c>
      <c r="J1160" s="2">
        <v>13285997</v>
      </c>
      <c r="K1160">
        <v>20</v>
      </c>
      <c r="L1160">
        <v>20</v>
      </c>
      <c r="M1160">
        <v>20</v>
      </c>
    </row>
    <row r="1161" spans="1:13" x14ac:dyDescent="0.25">
      <c r="A1161" t="s">
        <v>2543</v>
      </c>
      <c r="B1161" t="s">
        <v>2544</v>
      </c>
      <c r="C1161" t="s">
        <v>362</v>
      </c>
      <c r="D1161" t="s">
        <v>2545</v>
      </c>
      <c r="F1161">
        <v>1</v>
      </c>
      <c r="G1161" t="s">
        <v>16</v>
      </c>
      <c r="H1161">
        <v>0</v>
      </c>
      <c r="I1161" s="2" t="s">
        <v>712</v>
      </c>
      <c r="J1161" s="2" t="s">
        <v>2546</v>
      </c>
      <c r="K1161">
        <v>20</v>
      </c>
      <c r="L1161">
        <v>20</v>
      </c>
      <c r="M1161">
        <v>20</v>
      </c>
    </row>
    <row r="1162" spans="1:13" x14ac:dyDescent="0.25">
      <c r="A1162" t="s">
        <v>2547</v>
      </c>
      <c r="B1162" t="s">
        <v>2548</v>
      </c>
      <c r="C1162" t="s">
        <v>362</v>
      </c>
      <c r="D1162" t="s">
        <v>2545</v>
      </c>
      <c r="F1162">
        <v>1</v>
      </c>
      <c r="G1162" t="s">
        <v>16</v>
      </c>
      <c r="H1162">
        <v>0</v>
      </c>
      <c r="I1162" s="2" t="s">
        <v>1175</v>
      </c>
      <c r="J1162" s="2" t="s">
        <v>2549</v>
      </c>
      <c r="K1162">
        <v>20</v>
      </c>
      <c r="L1162">
        <v>20</v>
      </c>
      <c r="M1162">
        <v>20</v>
      </c>
    </row>
    <row r="1163" spans="1:13" x14ac:dyDescent="0.25">
      <c r="A1163" t="s">
        <v>2550</v>
      </c>
      <c r="B1163" t="s">
        <v>2551</v>
      </c>
      <c r="C1163" t="s">
        <v>496</v>
      </c>
      <c r="F1163">
        <v>2</v>
      </c>
      <c r="G1163" t="s">
        <v>16</v>
      </c>
      <c r="H1163">
        <v>0</v>
      </c>
      <c r="I1163" s="2" t="s">
        <v>2533</v>
      </c>
      <c r="J1163" s="2" t="s">
        <v>2552</v>
      </c>
      <c r="K1163">
        <v>20</v>
      </c>
      <c r="L1163">
        <v>20</v>
      </c>
      <c r="M1163">
        <v>20</v>
      </c>
    </row>
    <row r="1164" spans="1:13" x14ac:dyDescent="0.25">
      <c r="A1164" t="s">
        <v>2553</v>
      </c>
      <c r="B1164" t="s">
        <v>2554</v>
      </c>
      <c r="C1164" t="s">
        <v>540</v>
      </c>
      <c r="G1164" t="s">
        <v>16</v>
      </c>
      <c r="H1164">
        <v>0</v>
      </c>
      <c r="I1164" s="2" t="s">
        <v>1200</v>
      </c>
      <c r="J1164" s="2" t="s">
        <v>2555</v>
      </c>
      <c r="K1164">
        <v>20</v>
      </c>
      <c r="L1164">
        <v>20</v>
      </c>
      <c r="M1164">
        <v>20</v>
      </c>
    </row>
    <row r="1165" spans="1:13" x14ac:dyDescent="0.25">
      <c r="A1165" t="s">
        <v>2556</v>
      </c>
      <c r="B1165" t="s">
        <v>2557</v>
      </c>
      <c r="C1165" t="s">
        <v>20</v>
      </c>
      <c r="D1165" t="s">
        <v>26</v>
      </c>
      <c r="G1165" t="s">
        <v>16</v>
      </c>
      <c r="H1165">
        <v>0</v>
      </c>
      <c r="I1165" s="2" t="s">
        <v>99</v>
      </c>
      <c r="J1165" s="3">
        <v>482560</v>
      </c>
      <c r="K1165">
        <v>20</v>
      </c>
      <c r="L1165">
        <v>20</v>
      </c>
      <c r="M1165">
        <v>20</v>
      </c>
    </row>
    <row r="1166" spans="1:13" x14ac:dyDescent="0.25">
      <c r="A1166" t="s">
        <v>2558</v>
      </c>
      <c r="B1166" t="s">
        <v>2559</v>
      </c>
      <c r="C1166" t="s">
        <v>357</v>
      </c>
      <c r="D1166" t="s">
        <v>1836</v>
      </c>
      <c r="G1166" t="s">
        <v>16</v>
      </c>
      <c r="H1166">
        <v>0</v>
      </c>
      <c r="I1166" s="2" t="s">
        <v>1674</v>
      </c>
      <c r="J1166" s="2" t="s">
        <v>2560</v>
      </c>
      <c r="K1166">
        <v>20</v>
      </c>
      <c r="L1166">
        <v>20</v>
      </c>
      <c r="M1166">
        <v>20</v>
      </c>
    </row>
    <row r="1167" spans="1:13" x14ac:dyDescent="0.25">
      <c r="A1167" t="s">
        <v>2561</v>
      </c>
      <c r="B1167" t="s">
        <v>2562</v>
      </c>
      <c r="C1167" t="s">
        <v>357</v>
      </c>
      <c r="D1167" t="s">
        <v>1836</v>
      </c>
      <c r="F1167">
        <v>1</v>
      </c>
      <c r="G1167" t="s">
        <v>16</v>
      </c>
      <c r="H1167">
        <v>0</v>
      </c>
      <c r="I1167" s="2" t="s">
        <v>64</v>
      </c>
      <c r="J1167" s="2" t="str">
        <f>"08040067"</f>
        <v>08040067</v>
      </c>
      <c r="K1167">
        <v>20</v>
      </c>
      <c r="L1167">
        <v>20</v>
      </c>
      <c r="M1167">
        <v>20</v>
      </c>
    </row>
    <row r="1168" spans="1:13" x14ac:dyDescent="0.25">
      <c r="A1168" t="s">
        <v>2563</v>
      </c>
      <c r="B1168" t="s">
        <v>2564</v>
      </c>
      <c r="C1168" t="s">
        <v>357</v>
      </c>
      <c r="D1168" t="s">
        <v>1836</v>
      </c>
      <c r="F1168">
        <v>0</v>
      </c>
      <c r="G1168" t="s">
        <v>16</v>
      </c>
      <c r="H1168">
        <v>0</v>
      </c>
      <c r="I1168" s="2" t="s">
        <v>162</v>
      </c>
      <c r="J1168" s="2">
        <v>80149</v>
      </c>
      <c r="K1168">
        <v>20</v>
      </c>
      <c r="L1168">
        <v>20</v>
      </c>
      <c r="M1168">
        <v>20</v>
      </c>
    </row>
    <row r="1169" spans="1:13" x14ac:dyDescent="0.25">
      <c r="A1169" t="s">
        <v>2565</v>
      </c>
      <c r="B1169" t="s">
        <v>2567</v>
      </c>
      <c r="C1169" t="s">
        <v>357</v>
      </c>
      <c r="D1169" t="s">
        <v>1836</v>
      </c>
      <c r="F1169">
        <v>0</v>
      </c>
      <c r="G1169" t="s">
        <v>16</v>
      </c>
      <c r="H1169">
        <v>0</v>
      </c>
      <c r="I1169" s="2" t="s">
        <v>1880</v>
      </c>
      <c r="J1169" s="2" t="s">
        <v>2566</v>
      </c>
      <c r="K1169">
        <v>20</v>
      </c>
      <c r="L1169">
        <v>20</v>
      </c>
      <c r="M1169">
        <v>20</v>
      </c>
    </row>
    <row r="1170" spans="1:13" x14ac:dyDescent="0.25">
      <c r="A1170" t="s">
        <v>2568</v>
      </c>
      <c r="B1170" t="s">
        <v>2569</v>
      </c>
      <c r="C1170" t="s">
        <v>357</v>
      </c>
      <c r="D1170" t="s">
        <v>1836</v>
      </c>
      <c r="F1170">
        <v>1</v>
      </c>
      <c r="G1170" t="s">
        <v>16</v>
      </c>
      <c r="H1170">
        <v>0</v>
      </c>
      <c r="I1170" s="2" t="s">
        <v>1880</v>
      </c>
      <c r="J1170" s="2" t="s">
        <v>2570</v>
      </c>
      <c r="K1170">
        <v>20</v>
      </c>
      <c r="L1170">
        <v>20</v>
      </c>
      <c r="M1170">
        <v>20</v>
      </c>
    </row>
    <row r="1171" spans="1:13" x14ac:dyDescent="0.25">
      <c r="A1171" t="s">
        <v>2571</v>
      </c>
      <c r="B1171" t="s">
        <v>2572</v>
      </c>
      <c r="C1171" t="s">
        <v>357</v>
      </c>
      <c r="D1171" t="s">
        <v>1836</v>
      </c>
      <c r="F1171">
        <v>1</v>
      </c>
      <c r="G1171" t="s">
        <v>16</v>
      </c>
      <c r="H1171">
        <v>0</v>
      </c>
      <c r="I1171" s="2" t="s">
        <v>2573</v>
      </c>
      <c r="J1171" s="2" t="s">
        <v>2574</v>
      </c>
      <c r="K1171">
        <v>20</v>
      </c>
      <c r="L1171">
        <v>20</v>
      </c>
      <c r="M1171">
        <v>20</v>
      </c>
    </row>
    <row r="1172" spans="1:13" x14ac:dyDescent="0.25">
      <c r="A1172" t="s">
        <v>2575</v>
      </c>
      <c r="B1172" t="s">
        <v>2576</v>
      </c>
      <c r="C1172" t="s">
        <v>357</v>
      </c>
      <c r="D1172" t="s">
        <v>1836</v>
      </c>
      <c r="F1172">
        <v>1</v>
      </c>
      <c r="G1172" t="s">
        <v>16</v>
      </c>
      <c r="H1172">
        <v>0</v>
      </c>
      <c r="I1172" s="2" t="s">
        <v>285</v>
      </c>
      <c r="J1172" s="2">
        <v>80141</v>
      </c>
      <c r="K1172">
        <v>20</v>
      </c>
      <c r="L1172">
        <v>20</v>
      </c>
      <c r="M1172">
        <v>20</v>
      </c>
    </row>
    <row r="1173" spans="1:13" x14ac:dyDescent="0.25">
      <c r="A1173" t="s">
        <v>2577</v>
      </c>
      <c r="B1173" t="s">
        <v>2564</v>
      </c>
      <c r="C1173" t="s">
        <v>357</v>
      </c>
      <c r="D1173" t="s">
        <v>1836</v>
      </c>
      <c r="G1173" t="s">
        <v>16</v>
      </c>
      <c r="H1173">
        <v>0</v>
      </c>
      <c r="I1173" s="2" t="s">
        <v>1861</v>
      </c>
      <c r="J1173" s="2" t="s">
        <v>2578</v>
      </c>
      <c r="K1173">
        <v>20</v>
      </c>
      <c r="L1173">
        <v>20</v>
      </c>
      <c r="M1173">
        <v>20</v>
      </c>
    </row>
    <row r="1174" spans="1:13" x14ac:dyDescent="0.25">
      <c r="A1174" t="s">
        <v>2579</v>
      </c>
      <c r="B1174" t="s">
        <v>2580</v>
      </c>
      <c r="C1174" t="s">
        <v>357</v>
      </c>
      <c r="D1174" t="s">
        <v>1836</v>
      </c>
      <c r="F1174">
        <v>2</v>
      </c>
      <c r="G1174" t="s">
        <v>16</v>
      </c>
      <c r="H1174">
        <v>0</v>
      </c>
      <c r="I1174" s="2" t="s">
        <v>266</v>
      </c>
      <c r="J1174" s="2">
        <v>73046</v>
      </c>
      <c r="K1174">
        <v>20</v>
      </c>
      <c r="L1174">
        <v>20</v>
      </c>
      <c r="M1174">
        <v>20</v>
      </c>
    </row>
    <row r="1175" spans="1:13" x14ac:dyDescent="0.25">
      <c r="A1175" t="s">
        <v>2581</v>
      </c>
      <c r="B1175" t="s">
        <v>2582</v>
      </c>
      <c r="C1175" t="s">
        <v>357</v>
      </c>
      <c r="D1175" t="s">
        <v>1836</v>
      </c>
      <c r="F1175">
        <v>1</v>
      </c>
      <c r="G1175" t="s">
        <v>16</v>
      </c>
      <c r="H1175">
        <v>0</v>
      </c>
      <c r="I1175" s="2" t="s">
        <v>598</v>
      </c>
      <c r="J1175" s="2" t="s">
        <v>2583</v>
      </c>
      <c r="K1175">
        <v>20</v>
      </c>
      <c r="L1175">
        <v>20</v>
      </c>
      <c r="M1175">
        <v>20</v>
      </c>
    </row>
    <row r="1176" spans="1:13" x14ac:dyDescent="0.25">
      <c r="A1176" t="s">
        <v>2584</v>
      </c>
      <c r="B1176" t="s">
        <v>2585</v>
      </c>
      <c r="C1176" t="s">
        <v>357</v>
      </c>
      <c r="D1176" t="s">
        <v>1836</v>
      </c>
      <c r="F1176">
        <v>1</v>
      </c>
      <c r="G1176" t="s">
        <v>16</v>
      </c>
      <c r="H1176">
        <v>0</v>
      </c>
      <c r="I1176" s="2" t="s">
        <v>598</v>
      </c>
      <c r="J1176" s="2">
        <v>350745</v>
      </c>
      <c r="K1176">
        <v>20</v>
      </c>
      <c r="L1176">
        <v>20</v>
      </c>
      <c r="M1176">
        <v>20</v>
      </c>
    </row>
    <row r="1177" spans="1:13" x14ac:dyDescent="0.25">
      <c r="A1177" t="s">
        <v>2586</v>
      </c>
      <c r="B1177" t="s">
        <v>2585</v>
      </c>
      <c r="C1177" t="s">
        <v>357</v>
      </c>
      <c r="D1177" t="s">
        <v>1836</v>
      </c>
      <c r="F1177">
        <v>1</v>
      </c>
      <c r="G1177" t="s">
        <v>16</v>
      </c>
      <c r="H1177">
        <v>0</v>
      </c>
      <c r="I1177" s="2" t="s">
        <v>64</v>
      </c>
      <c r="J1177" s="2" t="str">
        <f>"08040024"</f>
        <v>08040024</v>
      </c>
      <c r="K1177">
        <v>20</v>
      </c>
      <c r="L1177">
        <v>20</v>
      </c>
      <c r="M1177">
        <v>20</v>
      </c>
    </row>
    <row r="1178" spans="1:13" x14ac:dyDescent="0.25">
      <c r="A1178" t="s">
        <v>2587</v>
      </c>
      <c r="B1178" t="s">
        <v>2588</v>
      </c>
      <c r="C1178" t="s">
        <v>357</v>
      </c>
      <c r="D1178" t="s">
        <v>1836</v>
      </c>
      <c r="F1178">
        <v>0</v>
      </c>
      <c r="G1178" t="s">
        <v>16</v>
      </c>
      <c r="H1178">
        <v>0</v>
      </c>
      <c r="I1178" s="2" t="s">
        <v>64</v>
      </c>
      <c r="J1178" s="2" t="str">
        <f>"08040003"</f>
        <v>08040003</v>
      </c>
      <c r="K1178">
        <v>20</v>
      </c>
      <c r="L1178">
        <v>20</v>
      </c>
      <c r="M1178">
        <v>20</v>
      </c>
    </row>
    <row r="1179" spans="1:13" x14ac:dyDescent="0.25">
      <c r="A1179" t="s">
        <v>2589</v>
      </c>
      <c r="B1179" t="s">
        <v>2588</v>
      </c>
      <c r="C1179" t="s">
        <v>357</v>
      </c>
      <c r="D1179" t="s">
        <v>1836</v>
      </c>
      <c r="F1179">
        <v>0</v>
      </c>
      <c r="G1179" t="s">
        <v>16</v>
      </c>
      <c r="H1179">
        <v>0</v>
      </c>
      <c r="I1179" s="2" t="s">
        <v>1849</v>
      </c>
      <c r="J1179" s="2" t="s">
        <v>2590</v>
      </c>
      <c r="K1179">
        <v>20</v>
      </c>
      <c r="L1179">
        <v>20</v>
      </c>
      <c r="M1179">
        <v>20</v>
      </c>
    </row>
    <row r="1180" spans="1:13" x14ac:dyDescent="0.25">
      <c r="A1180" t="s">
        <v>2591</v>
      </c>
      <c r="B1180" t="s">
        <v>2593</v>
      </c>
      <c r="C1180" t="s">
        <v>357</v>
      </c>
      <c r="D1180" t="s">
        <v>1836</v>
      </c>
      <c r="F1180">
        <v>1</v>
      </c>
      <c r="G1180" t="s">
        <v>16</v>
      </c>
      <c r="H1180">
        <v>0</v>
      </c>
      <c r="I1180" s="2" t="s">
        <v>598</v>
      </c>
      <c r="J1180" s="2" t="s">
        <v>2592</v>
      </c>
      <c r="K1180">
        <v>20</v>
      </c>
      <c r="L1180">
        <v>20</v>
      </c>
      <c r="M1180">
        <v>20</v>
      </c>
    </row>
    <row r="1181" spans="1:13" x14ac:dyDescent="0.25">
      <c r="A1181" t="s">
        <v>2594</v>
      </c>
      <c r="B1181" t="s">
        <v>2593</v>
      </c>
      <c r="C1181" t="s">
        <v>357</v>
      </c>
      <c r="D1181" t="s">
        <v>1836</v>
      </c>
      <c r="F1181">
        <v>1</v>
      </c>
      <c r="G1181" t="s">
        <v>16</v>
      </c>
      <c r="H1181">
        <v>0</v>
      </c>
      <c r="I1181" s="2" t="s">
        <v>1849</v>
      </c>
      <c r="J1181" s="2" t="s">
        <v>2595</v>
      </c>
      <c r="K1181">
        <v>20</v>
      </c>
      <c r="L1181">
        <v>20</v>
      </c>
      <c r="M1181">
        <v>20</v>
      </c>
    </row>
    <row r="1182" spans="1:13" x14ac:dyDescent="0.25">
      <c r="A1182" t="s">
        <v>2596</v>
      </c>
      <c r="B1182" t="s">
        <v>2597</v>
      </c>
      <c r="C1182" t="s">
        <v>357</v>
      </c>
      <c r="D1182" t="s">
        <v>1836</v>
      </c>
      <c r="G1182" t="s">
        <v>16</v>
      </c>
      <c r="H1182">
        <v>0</v>
      </c>
      <c r="I1182" s="2" t="s">
        <v>842</v>
      </c>
      <c r="J1182" s="2">
        <v>735371</v>
      </c>
      <c r="K1182">
        <v>20</v>
      </c>
      <c r="L1182">
        <v>20</v>
      </c>
      <c r="M1182">
        <v>20</v>
      </c>
    </row>
    <row r="1183" spans="1:13" x14ac:dyDescent="0.25">
      <c r="A1183" t="s">
        <v>2598</v>
      </c>
      <c r="B1183" t="s">
        <v>2597</v>
      </c>
      <c r="C1183" t="s">
        <v>357</v>
      </c>
      <c r="D1183" t="s">
        <v>1836</v>
      </c>
      <c r="F1183">
        <v>0</v>
      </c>
      <c r="G1183" t="s">
        <v>16</v>
      </c>
      <c r="H1183">
        <v>0</v>
      </c>
      <c r="I1183" s="2" t="s">
        <v>2599</v>
      </c>
      <c r="J1183" s="2" t="s">
        <v>2600</v>
      </c>
      <c r="K1183">
        <v>20</v>
      </c>
      <c r="L1183">
        <v>20</v>
      </c>
      <c r="M1183">
        <v>20</v>
      </c>
    </row>
    <row r="1184" spans="1:13" x14ac:dyDescent="0.25">
      <c r="A1184" t="s">
        <v>2601</v>
      </c>
      <c r="B1184" t="s">
        <v>2602</v>
      </c>
      <c r="C1184" t="s">
        <v>540</v>
      </c>
      <c r="F1184">
        <v>4</v>
      </c>
      <c r="G1184" t="s">
        <v>16</v>
      </c>
      <c r="H1184">
        <v>0</v>
      </c>
      <c r="K1184">
        <v>20</v>
      </c>
      <c r="L1184">
        <v>20</v>
      </c>
      <c r="M1184">
        <v>20</v>
      </c>
    </row>
    <row r="1185" spans="1:13" x14ac:dyDescent="0.25">
      <c r="A1185" t="s">
        <v>2603</v>
      </c>
      <c r="B1185" t="s">
        <v>2604</v>
      </c>
      <c r="C1185" t="s">
        <v>241</v>
      </c>
      <c r="D1185" t="s">
        <v>262</v>
      </c>
      <c r="F1185">
        <v>1</v>
      </c>
      <c r="G1185" t="s">
        <v>16</v>
      </c>
      <c r="H1185">
        <v>0</v>
      </c>
      <c r="I1185" s="2" t="s">
        <v>2605</v>
      </c>
      <c r="J1185" s="2">
        <v>13308302</v>
      </c>
      <c r="K1185">
        <v>20</v>
      </c>
      <c r="L1185">
        <v>20</v>
      </c>
      <c r="M1185">
        <v>20</v>
      </c>
    </row>
    <row r="1186" spans="1:13" x14ac:dyDescent="0.25">
      <c r="A1186" t="s">
        <v>2606</v>
      </c>
      <c r="B1186" t="s">
        <v>2607</v>
      </c>
      <c r="C1186" t="s">
        <v>241</v>
      </c>
      <c r="D1186" t="s">
        <v>262</v>
      </c>
      <c r="F1186">
        <v>1</v>
      </c>
      <c r="G1186" t="s">
        <v>16</v>
      </c>
      <c r="H1186">
        <v>0</v>
      </c>
      <c r="I1186" s="2" t="s">
        <v>1175</v>
      </c>
      <c r="J1186" s="2" t="s">
        <v>2608</v>
      </c>
      <c r="K1186">
        <v>20</v>
      </c>
      <c r="L1186">
        <v>20</v>
      </c>
      <c r="M1186">
        <v>20</v>
      </c>
    </row>
    <row r="1187" spans="1:13" x14ac:dyDescent="0.25">
      <c r="A1187">
        <v>13312096</v>
      </c>
      <c r="B1187" t="s">
        <v>2609</v>
      </c>
      <c r="C1187" t="s">
        <v>20</v>
      </c>
      <c r="D1187" t="s">
        <v>2477</v>
      </c>
      <c r="F1187">
        <v>0</v>
      </c>
      <c r="G1187" t="s">
        <v>16</v>
      </c>
      <c r="H1187">
        <v>0</v>
      </c>
      <c r="I1187" s="2" t="s">
        <v>737</v>
      </c>
      <c r="J1187" s="2" t="s">
        <v>2610</v>
      </c>
      <c r="K1187">
        <v>20</v>
      </c>
      <c r="L1187">
        <v>20</v>
      </c>
      <c r="M1187">
        <v>20</v>
      </c>
    </row>
    <row r="1188" spans="1:13" x14ac:dyDescent="0.25">
      <c r="A1188" t="s">
        <v>2611</v>
      </c>
      <c r="B1188" t="s">
        <v>2612</v>
      </c>
      <c r="C1188" t="s">
        <v>1432</v>
      </c>
      <c r="F1188">
        <v>4</v>
      </c>
      <c r="G1188" t="s">
        <v>16</v>
      </c>
      <c r="H1188">
        <v>0</v>
      </c>
      <c r="I1188" s="2" t="s">
        <v>2542</v>
      </c>
      <c r="J1188" s="2">
        <v>13313656</v>
      </c>
      <c r="K1188">
        <v>20</v>
      </c>
      <c r="L1188">
        <v>20</v>
      </c>
      <c r="M1188">
        <v>20</v>
      </c>
    </row>
    <row r="1189" spans="1:13" x14ac:dyDescent="0.25">
      <c r="A1189" t="s">
        <v>2613</v>
      </c>
      <c r="B1189" t="s">
        <v>2612</v>
      </c>
      <c r="C1189" t="s">
        <v>1432</v>
      </c>
      <c r="G1189" t="s">
        <v>16</v>
      </c>
      <c r="H1189">
        <v>0</v>
      </c>
      <c r="I1189" s="2" t="s">
        <v>500</v>
      </c>
      <c r="J1189" s="2" t="s">
        <v>2614</v>
      </c>
      <c r="K1189">
        <v>20</v>
      </c>
      <c r="L1189">
        <v>20</v>
      </c>
      <c r="M1189">
        <v>20</v>
      </c>
    </row>
    <row r="1190" spans="1:13" x14ac:dyDescent="0.25">
      <c r="A1190" t="s">
        <v>2615</v>
      </c>
      <c r="B1190" t="s">
        <v>2616</v>
      </c>
      <c r="C1190" t="s">
        <v>540</v>
      </c>
      <c r="F1190">
        <v>0</v>
      </c>
      <c r="G1190" t="s">
        <v>16</v>
      </c>
      <c r="H1190">
        <v>0</v>
      </c>
      <c r="I1190" s="2" t="s">
        <v>2345</v>
      </c>
      <c r="J1190" s="2" t="s">
        <v>2617</v>
      </c>
      <c r="K1190">
        <v>20</v>
      </c>
      <c r="L1190">
        <v>20</v>
      </c>
      <c r="M1190">
        <v>20</v>
      </c>
    </row>
    <row r="1191" spans="1:13" x14ac:dyDescent="0.25">
      <c r="A1191" t="s">
        <v>2618</v>
      </c>
      <c r="B1191" t="s">
        <v>2619</v>
      </c>
      <c r="C1191" t="s">
        <v>14</v>
      </c>
      <c r="D1191" t="s">
        <v>2620</v>
      </c>
      <c r="F1191">
        <v>3</v>
      </c>
      <c r="G1191" t="s">
        <v>16</v>
      </c>
      <c r="H1191">
        <v>0</v>
      </c>
      <c r="I1191" s="2" t="s">
        <v>290</v>
      </c>
      <c r="J1191" s="2" t="s">
        <v>2621</v>
      </c>
      <c r="K1191">
        <v>20</v>
      </c>
      <c r="L1191">
        <v>20</v>
      </c>
      <c r="M1191">
        <v>20</v>
      </c>
    </row>
    <row r="1192" spans="1:13" x14ac:dyDescent="0.25">
      <c r="A1192" t="s">
        <v>2622</v>
      </c>
      <c r="B1192" t="s">
        <v>2623</v>
      </c>
      <c r="C1192" t="s">
        <v>496</v>
      </c>
      <c r="D1192" t="s">
        <v>2360</v>
      </c>
      <c r="F1192">
        <v>1</v>
      </c>
      <c r="G1192" t="s">
        <v>16</v>
      </c>
      <c r="H1192">
        <v>0</v>
      </c>
      <c r="I1192" s="2" t="s">
        <v>2466</v>
      </c>
      <c r="J1192" s="2">
        <v>3761701</v>
      </c>
      <c r="K1192">
        <v>20</v>
      </c>
      <c r="L1192">
        <v>20</v>
      </c>
      <c r="M1192">
        <v>20</v>
      </c>
    </row>
    <row r="1193" spans="1:13" x14ac:dyDescent="0.25">
      <c r="A1193" t="s">
        <v>2624</v>
      </c>
      <c r="B1193" t="s">
        <v>2625</v>
      </c>
      <c r="C1193" t="s">
        <v>151</v>
      </c>
      <c r="D1193" t="s">
        <v>1670</v>
      </c>
      <c r="F1193">
        <v>1</v>
      </c>
      <c r="G1193" t="s">
        <v>16</v>
      </c>
      <c r="H1193">
        <v>0</v>
      </c>
      <c r="I1193" s="2" t="s">
        <v>504</v>
      </c>
      <c r="J1193" s="2" t="s">
        <v>2626</v>
      </c>
      <c r="K1193">
        <v>20</v>
      </c>
      <c r="L1193">
        <v>20</v>
      </c>
      <c r="M1193">
        <v>20</v>
      </c>
    </row>
    <row r="1194" spans="1:13" x14ac:dyDescent="0.25">
      <c r="A1194">
        <v>13337826</v>
      </c>
      <c r="B1194" t="s">
        <v>2628</v>
      </c>
      <c r="C1194" t="s">
        <v>357</v>
      </c>
      <c r="D1194" t="s">
        <v>1836</v>
      </c>
      <c r="G1194" t="s">
        <v>16</v>
      </c>
      <c r="H1194">
        <v>0</v>
      </c>
      <c r="J1194" s="2" t="s">
        <v>2627</v>
      </c>
      <c r="K1194">
        <v>20</v>
      </c>
      <c r="L1194">
        <v>20</v>
      </c>
      <c r="M1194">
        <v>20</v>
      </c>
    </row>
    <row r="1195" spans="1:13" x14ac:dyDescent="0.25">
      <c r="A1195" t="s">
        <v>2629</v>
      </c>
      <c r="B1195" t="s">
        <v>2630</v>
      </c>
      <c r="C1195" t="s">
        <v>357</v>
      </c>
      <c r="D1195" t="s">
        <v>241</v>
      </c>
      <c r="G1195" t="s">
        <v>16</v>
      </c>
      <c r="H1195">
        <v>0</v>
      </c>
      <c r="I1195" s="2" t="s">
        <v>737</v>
      </c>
      <c r="J1195" s="2" t="s">
        <v>2631</v>
      </c>
      <c r="K1195">
        <v>20</v>
      </c>
      <c r="L1195">
        <v>20</v>
      </c>
      <c r="M1195">
        <v>20</v>
      </c>
    </row>
    <row r="1196" spans="1:13" x14ac:dyDescent="0.25">
      <c r="A1196" t="s">
        <v>2632</v>
      </c>
      <c r="B1196" t="s">
        <v>2633</v>
      </c>
      <c r="C1196" t="s">
        <v>357</v>
      </c>
      <c r="D1196" t="s">
        <v>792</v>
      </c>
      <c r="G1196" t="s">
        <v>16</v>
      </c>
      <c r="H1196">
        <v>0</v>
      </c>
      <c r="I1196" s="2" t="s">
        <v>2634</v>
      </c>
      <c r="J1196" s="2" t="s">
        <v>2635</v>
      </c>
      <c r="K1196">
        <v>20</v>
      </c>
      <c r="L1196">
        <v>20</v>
      </c>
      <c r="M1196">
        <v>20</v>
      </c>
    </row>
    <row r="1197" spans="1:13" x14ac:dyDescent="0.25">
      <c r="A1197" t="s">
        <v>2636</v>
      </c>
      <c r="B1197" t="s">
        <v>2633</v>
      </c>
      <c r="C1197" t="s">
        <v>357</v>
      </c>
      <c r="D1197" t="s">
        <v>792</v>
      </c>
      <c r="G1197" t="s">
        <v>16</v>
      </c>
      <c r="H1197">
        <v>0</v>
      </c>
      <c r="I1197" s="2" t="s">
        <v>848</v>
      </c>
      <c r="J1197" s="2" t="s">
        <v>2637</v>
      </c>
      <c r="K1197">
        <v>20</v>
      </c>
      <c r="L1197">
        <v>20</v>
      </c>
      <c r="M1197">
        <v>20</v>
      </c>
    </row>
    <row r="1198" spans="1:13" x14ac:dyDescent="0.25">
      <c r="A1198" t="s">
        <v>2638</v>
      </c>
      <c r="B1198" t="s">
        <v>2633</v>
      </c>
      <c r="C1198" t="s">
        <v>357</v>
      </c>
      <c r="D1198" t="s">
        <v>792</v>
      </c>
      <c r="G1198" t="s">
        <v>16</v>
      </c>
      <c r="H1198">
        <v>0</v>
      </c>
      <c r="I1198" s="2" t="s">
        <v>2639</v>
      </c>
      <c r="J1198" s="2" t="s">
        <v>2640</v>
      </c>
      <c r="K1198">
        <v>20</v>
      </c>
      <c r="L1198">
        <v>20</v>
      </c>
      <c r="M1198">
        <v>20</v>
      </c>
    </row>
    <row r="1199" spans="1:13" x14ac:dyDescent="0.25">
      <c r="A1199" t="s">
        <v>2641</v>
      </c>
      <c r="B1199" t="s">
        <v>2642</v>
      </c>
      <c r="C1199" t="s">
        <v>357</v>
      </c>
      <c r="D1199" t="s">
        <v>792</v>
      </c>
      <c r="G1199" t="s">
        <v>16</v>
      </c>
      <c r="H1199">
        <v>0</v>
      </c>
      <c r="I1199" s="2" t="s">
        <v>2639</v>
      </c>
      <c r="J1199" s="2" t="s">
        <v>2643</v>
      </c>
      <c r="K1199">
        <v>20</v>
      </c>
      <c r="L1199">
        <v>20</v>
      </c>
      <c r="M1199">
        <v>20</v>
      </c>
    </row>
    <row r="1200" spans="1:13" x14ac:dyDescent="0.25">
      <c r="A1200" t="s">
        <v>2644</v>
      </c>
      <c r="B1200" t="s">
        <v>2642</v>
      </c>
      <c r="C1200" t="s">
        <v>357</v>
      </c>
      <c r="D1200" t="s">
        <v>792</v>
      </c>
      <c r="F1200">
        <v>2</v>
      </c>
      <c r="G1200" t="s">
        <v>16</v>
      </c>
      <c r="H1200">
        <v>0</v>
      </c>
      <c r="I1200" s="2" t="s">
        <v>2645</v>
      </c>
      <c r="J1200" s="2" t="s">
        <v>2646</v>
      </c>
      <c r="K1200">
        <v>20</v>
      </c>
      <c r="L1200">
        <v>20</v>
      </c>
      <c r="M1200">
        <v>20</v>
      </c>
    </row>
    <row r="1201" spans="1:13" x14ac:dyDescent="0.25">
      <c r="A1201" t="s">
        <v>2647</v>
      </c>
      <c r="B1201" t="s">
        <v>2642</v>
      </c>
      <c r="C1201" t="s">
        <v>357</v>
      </c>
      <c r="D1201" t="s">
        <v>792</v>
      </c>
      <c r="G1201" t="s">
        <v>16</v>
      </c>
      <c r="H1201">
        <v>0</v>
      </c>
      <c r="I1201" s="2" t="s">
        <v>139</v>
      </c>
      <c r="J1201" s="2" t="s">
        <v>2648</v>
      </c>
      <c r="K1201">
        <v>20</v>
      </c>
      <c r="L1201">
        <v>20</v>
      </c>
      <c r="M1201">
        <v>20</v>
      </c>
    </row>
    <row r="1202" spans="1:13" x14ac:dyDescent="0.25">
      <c r="A1202" t="s">
        <v>2649</v>
      </c>
      <c r="B1202" t="s">
        <v>2642</v>
      </c>
      <c r="C1202" t="s">
        <v>357</v>
      </c>
      <c r="D1202" t="s">
        <v>792</v>
      </c>
      <c r="F1202">
        <v>1</v>
      </c>
      <c r="G1202" t="s">
        <v>16</v>
      </c>
      <c r="H1202">
        <v>0</v>
      </c>
      <c r="I1202" s="2" t="s">
        <v>822</v>
      </c>
      <c r="J1202" s="2" t="s">
        <v>2650</v>
      </c>
      <c r="K1202">
        <v>20</v>
      </c>
      <c r="L1202">
        <v>20</v>
      </c>
      <c r="M1202">
        <v>20</v>
      </c>
    </row>
    <row r="1203" spans="1:13" x14ac:dyDescent="0.25">
      <c r="A1203" t="s">
        <v>2651</v>
      </c>
      <c r="B1203" t="s">
        <v>2653</v>
      </c>
      <c r="C1203" t="s">
        <v>357</v>
      </c>
      <c r="D1203" t="s">
        <v>792</v>
      </c>
      <c r="F1203">
        <v>2</v>
      </c>
      <c r="G1203" t="s">
        <v>16</v>
      </c>
      <c r="H1203">
        <v>0</v>
      </c>
      <c r="I1203" s="2" t="s">
        <v>765</v>
      </c>
      <c r="J1203" s="2" t="s">
        <v>2652</v>
      </c>
      <c r="K1203">
        <v>20</v>
      </c>
      <c r="L1203">
        <v>20</v>
      </c>
      <c r="M1203">
        <v>20</v>
      </c>
    </row>
    <row r="1204" spans="1:13" x14ac:dyDescent="0.25">
      <c r="A1204" t="s">
        <v>2654</v>
      </c>
      <c r="B1204" t="s">
        <v>2653</v>
      </c>
      <c r="C1204" t="s">
        <v>357</v>
      </c>
      <c r="D1204" t="s">
        <v>792</v>
      </c>
      <c r="G1204" t="s">
        <v>16</v>
      </c>
      <c r="H1204">
        <v>0</v>
      </c>
      <c r="I1204" s="2" t="s">
        <v>848</v>
      </c>
      <c r="J1204" s="2" t="s">
        <v>2655</v>
      </c>
      <c r="K1204">
        <v>20</v>
      </c>
      <c r="L1204">
        <v>20</v>
      </c>
      <c r="M1204">
        <v>20</v>
      </c>
    </row>
    <row r="1205" spans="1:13" x14ac:dyDescent="0.25">
      <c r="A1205" t="s">
        <v>2656</v>
      </c>
      <c r="B1205" t="s">
        <v>2653</v>
      </c>
      <c r="C1205" t="s">
        <v>357</v>
      </c>
      <c r="D1205" t="s">
        <v>792</v>
      </c>
      <c r="G1205" t="s">
        <v>16</v>
      </c>
      <c r="H1205">
        <v>0</v>
      </c>
      <c r="I1205" s="2" t="s">
        <v>2639</v>
      </c>
      <c r="J1205" s="2" t="s">
        <v>2657</v>
      </c>
      <c r="K1205">
        <v>20</v>
      </c>
      <c r="L1205">
        <v>20</v>
      </c>
      <c r="M1205">
        <v>20</v>
      </c>
    </row>
    <row r="1206" spans="1:13" x14ac:dyDescent="0.25">
      <c r="A1206" t="s">
        <v>2658</v>
      </c>
      <c r="B1206" t="s">
        <v>2653</v>
      </c>
      <c r="C1206" t="s">
        <v>357</v>
      </c>
      <c r="D1206" t="s">
        <v>792</v>
      </c>
      <c r="F1206">
        <v>1</v>
      </c>
      <c r="G1206" t="s">
        <v>16</v>
      </c>
      <c r="H1206">
        <v>0</v>
      </c>
      <c r="I1206" s="2" t="s">
        <v>2645</v>
      </c>
      <c r="J1206" s="2">
        <v>28500006</v>
      </c>
      <c r="K1206">
        <v>20</v>
      </c>
      <c r="L1206">
        <v>20</v>
      </c>
      <c r="M1206">
        <v>20</v>
      </c>
    </row>
    <row r="1207" spans="1:13" x14ac:dyDescent="0.25">
      <c r="A1207" t="s">
        <v>2659</v>
      </c>
      <c r="B1207" t="s">
        <v>2660</v>
      </c>
      <c r="C1207" t="s">
        <v>357</v>
      </c>
      <c r="D1207" t="s">
        <v>792</v>
      </c>
      <c r="F1207">
        <v>1</v>
      </c>
      <c r="G1207" t="s">
        <v>16</v>
      </c>
      <c r="H1207">
        <v>0</v>
      </c>
      <c r="I1207" s="2" t="s">
        <v>797</v>
      </c>
      <c r="J1207" s="2" t="s">
        <v>2661</v>
      </c>
      <c r="K1207">
        <v>20</v>
      </c>
      <c r="L1207">
        <v>20</v>
      </c>
      <c r="M1207">
        <v>20</v>
      </c>
    </row>
    <row r="1208" spans="1:13" x14ac:dyDescent="0.25">
      <c r="A1208" t="s">
        <v>2662</v>
      </c>
      <c r="B1208" t="s">
        <v>2663</v>
      </c>
      <c r="C1208" t="s">
        <v>357</v>
      </c>
      <c r="D1208" t="s">
        <v>792</v>
      </c>
      <c r="G1208" t="s">
        <v>16</v>
      </c>
      <c r="H1208">
        <v>0</v>
      </c>
      <c r="I1208" s="2" t="s">
        <v>712</v>
      </c>
      <c r="J1208" s="2" t="s">
        <v>2664</v>
      </c>
      <c r="K1208">
        <v>20</v>
      </c>
      <c r="L1208">
        <v>20</v>
      </c>
      <c r="M1208">
        <v>20</v>
      </c>
    </row>
    <row r="1209" spans="1:13" x14ac:dyDescent="0.25">
      <c r="A1209" t="s">
        <v>2665</v>
      </c>
      <c r="B1209" t="s">
        <v>2653</v>
      </c>
      <c r="C1209" t="s">
        <v>357</v>
      </c>
      <c r="D1209" t="s">
        <v>792</v>
      </c>
      <c r="F1209">
        <v>0</v>
      </c>
      <c r="G1209" t="s">
        <v>16</v>
      </c>
      <c r="H1209">
        <v>0</v>
      </c>
      <c r="I1209" s="2" t="s">
        <v>2666</v>
      </c>
      <c r="J1209" s="2" t="s">
        <v>2667</v>
      </c>
      <c r="K1209">
        <v>20</v>
      </c>
      <c r="L1209">
        <v>20</v>
      </c>
      <c r="M1209">
        <v>20</v>
      </c>
    </row>
    <row r="1210" spans="1:13" x14ac:dyDescent="0.25">
      <c r="A1210" t="s">
        <v>2668</v>
      </c>
      <c r="B1210" t="s">
        <v>2653</v>
      </c>
      <c r="C1210" t="s">
        <v>357</v>
      </c>
      <c r="D1210" t="s">
        <v>792</v>
      </c>
      <c r="F1210">
        <v>1</v>
      </c>
      <c r="G1210" t="s">
        <v>16</v>
      </c>
      <c r="H1210">
        <v>0</v>
      </c>
      <c r="I1210" s="2" t="s">
        <v>64</v>
      </c>
      <c r="J1210" s="2" t="str">
        <f>"08010241"</f>
        <v>08010241</v>
      </c>
      <c r="K1210">
        <v>20</v>
      </c>
      <c r="L1210">
        <v>20</v>
      </c>
      <c r="M1210">
        <v>20</v>
      </c>
    </row>
    <row r="1211" spans="1:13" x14ac:dyDescent="0.25">
      <c r="A1211" t="s">
        <v>2669</v>
      </c>
      <c r="B1211" t="s">
        <v>2653</v>
      </c>
      <c r="C1211" t="s">
        <v>357</v>
      </c>
      <c r="D1211" t="s">
        <v>792</v>
      </c>
      <c r="G1211" t="s">
        <v>16</v>
      </c>
      <c r="H1211">
        <v>0</v>
      </c>
      <c r="I1211" s="2" t="s">
        <v>2670</v>
      </c>
      <c r="J1211" s="2" t="s">
        <v>2671</v>
      </c>
      <c r="K1211">
        <v>20</v>
      </c>
      <c r="L1211">
        <v>20</v>
      </c>
      <c r="M1211">
        <v>20</v>
      </c>
    </row>
    <row r="1212" spans="1:13" x14ac:dyDescent="0.25">
      <c r="A1212" t="s">
        <v>2672</v>
      </c>
      <c r="B1212" t="s">
        <v>2653</v>
      </c>
      <c r="C1212" t="s">
        <v>357</v>
      </c>
      <c r="D1212" t="s">
        <v>792</v>
      </c>
      <c r="G1212" t="s">
        <v>16</v>
      </c>
      <c r="H1212">
        <v>0</v>
      </c>
      <c r="I1212" s="2" t="s">
        <v>822</v>
      </c>
      <c r="J1212" s="2" t="s">
        <v>2673</v>
      </c>
      <c r="K1212">
        <v>20</v>
      </c>
      <c r="L1212">
        <v>20</v>
      </c>
      <c r="M1212">
        <v>20</v>
      </c>
    </row>
    <row r="1213" spans="1:13" x14ac:dyDescent="0.25">
      <c r="A1213" t="s">
        <v>2674</v>
      </c>
      <c r="B1213" t="s">
        <v>2675</v>
      </c>
      <c r="C1213" t="s">
        <v>357</v>
      </c>
      <c r="D1213" t="s">
        <v>792</v>
      </c>
      <c r="F1213">
        <v>1</v>
      </c>
      <c r="G1213" t="s">
        <v>16</v>
      </c>
      <c r="H1213">
        <v>0</v>
      </c>
      <c r="I1213" s="2" t="s">
        <v>491</v>
      </c>
      <c r="J1213" s="2">
        <v>351110000400</v>
      </c>
      <c r="K1213">
        <v>20</v>
      </c>
      <c r="L1213">
        <v>20</v>
      </c>
      <c r="M1213">
        <v>20</v>
      </c>
    </row>
    <row r="1214" spans="1:13" x14ac:dyDescent="0.25">
      <c r="A1214" t="s">
        <v>2676</v>
      </c>
      <c r="B1214" t="s">
        <v>2677</v>
      </c>
      <c r="C1214" t="s">
        <v>357</v>
      </c>
      <c r="D1214" t="s">
        <v>792</v>
      </c>
      <c r="G1214" t="s">
        <v>16</v>
      </c>
      <c r="H1214">
        <v>0</v>
      </c>
      <c r="I1214" s="2" t="s">
        <v>845</v>
      </c>
      <c r="J1214" s="2">
        <v>1667</v>
      </c>
      <c r="K1214">
        <v>20</v>
      </c>
      <c r="L1214">
        <v>20</v>
      </c>
      <c r="M1214">
        <v>20</v>
      </c>
    </row>
    <row r="1215" spans="1:13" x14ac:dyDescent="0.25">
      <c r="A1215" t="s">
        <v>2678</v>
      </c>
      <c r="B1215" t="s">
        <v>2677</v>
      </c>
      <c r="C1215" t="s">
        <v>357</v>
      </c>
      <c r="D1215" t="s">
        <v>792</v>
      </c>
      <c r="G1215" t="s">
        <v>16</v>
      </c>
      <c r="H1215">
        <v>0</v>
      </c>
      <c r="I1215" s="2" t="s">
        <v>2639</v>
      </c>
      <c r="J1215" s="2" t="s">
        <v>2679</v>
      </c>
      <c r="K1215">
        <v>20</v>
      </c>
      <c r="L1215">
        <v>20</v>
      </c>
      <c r="M1215">
        <v>20</v>
      </c>
    </row>
    <row r="1216" spans="1:13" x14ac:dyDescent="0.25">
      <c r="A1216" t="s">
        <v>2680</v>
      </c>
      <c r="B1216" t="s">
        <v>2677</v>
      </c>
      <c r="C1216" t="s">
        <v>357</v>
      </c>
      <c r="D1216" t="s">
        <v>792</v>
      </c>
      <c r="G1216" t="s">
        <v>16</v>
      </c>
      <c r="H1216">
        <v>0</v>
      </c>
      <c r="I1216" s="2" t="s">
        <v>1671</v>
      </c>
      <c r="J1216" s="2">
        <v>368495</v>
      </c>
      <c r="K1216">
        <v>20</v>
      </c>
      <c r="L1216">
        <v>20</v>
      </c>
      <c r="M1216">
        <v>20</v>
      </c>
    </row>
    <row r="1217" spans="1:13" x14ac:dyDescent="0.25">
      <c r="A1217" t="s">
        <v>2681</v>
      </c>
      <c r="B1217" t="s">
        <v>2677</v>
      </c>
      <c r="C1217" t="s">
        <v>357</v>
      </c>
      <c r="D1217" t="s">
        <v>792</v>
      </c>
      <c r="G1217" t="s">
        <v>16</v>
      </c>
      <c r="H1217">
        <v>0</v>
      </c>
      <c r="I1217" s="2" t="s">
        <v>822</v>
      </c>
      <c r="J1217" s="2" t="s">
        <v>2682</v>
      </c>
      <c r="K1217">
        <v>20</v>
      </c>
      <c r="L1217">
        <v>20</v>
      </c>
      <c r="M1217">
        <v>20</v>
      </c>
    </row>
    <row r="1218" spans="1:13" x14ac:dyDescent="0.25">
      <c r="A1218" t="s">
        <v>2683</v>
      </c>
      <c r="B1218" t="s">
        <v>2684</v>
      </c>
      <c r="C1218" t="s">
        <v>357</v>
      </c>
      <c r="D1218" t="s">
        <v>792</v>
      </c>
      <c r="G1218" t="s">
        <v>16</v>
      </c>
      <c r="H1218">
        <v>0</v>
      </c>
      <c r="I1218" s="2" t="s">
        <v>2639</v>
      </c>
      <c r="J1218" s="2" t="s">
        <v>2685</v>
      </c>
      <c r="K1218">
        <v>20</v>
      </c>
      <c r="L1218">
        <v>20</v>
      </c>
      <c r="M1218">
        <v>20</v>
      </c>
    </row>
    <row r="1219" spans="1:13" x14ac:dyDescent="0.25">
      <c r="A1219" t="s">
        <v>2686</v>
      </c>
      <c r="B1219" t="s">
        <v>2687</v>
      </c>
      <c r="C1219" t="s">
        <v>357</v>
      </c>
      <c r="D1219" t="s">
        <v>792</v>
      </c>
      <c r="F1219">
        <v>1</v>
      </c>
      <c r="G1219" t="s">
        <v>16</v>
      </c>
      <c r="H1219">
        <v>0</v>
      </c>
      <c r="I1219" s="2" t="s">
        <v>142</v>
      </c>
      <c r="J1219" s="2" t="s">
        <v>2688</v>
      </c>
      <c r="K1219">
        <v>20</v>
      </c>
      <c r="L1219">
        <v>20</v>
      </c>
      <c r="M1219">
        <v>20</v>
      </c>
    </row>
    <row r="1220" spans="1:13" x14ac:dyDescent="0.25">
      <c r="A1220" t="s">
        <v>2689</v>
      </c>
      <c r="B1220" t="s">
        <v>2687</v>
      </c>
      <c r="C1220" t="s">
        <v>357</v>
      </c>
      <c r="D1220" t="s">
        <v>792</v>
      </c>
      <c r="F1220">
        <v>1</v>
      </c>
      <c r="G1220" t="s">
        <v>16</v>
      </c>
      <c r="H1220">
        <v>0</v>
      </c>
      <c r="I1220" s="2" t="s">
        <v>288</v>
      </c>
      <c r="J1220" s="2" t="s">
        <v>2690</v>
      </c>
      <c r="K1220">
        <v>20</v>
      </c>
      <c r="L1220">
        <v>20</v>
      </c>
      <c r="M1220">
        <v>20</v>
      </c>
    </row>
    <row r="1221" spans="1:13" x14ac:dyDescent="0.25">
      <c r="A1221" t="s">
        <v>2691</v>
      </c>
      <c r="B1221" t="s">
        <v>2692</v>
      </c>
      <c r="C1221" t="s">
        <v>20</v>
      </c>
      <c r="D1221" t="s">
        <v>26</v>
      </c>
      <c r="G1221" t="s">
        <v>16</v>
      </c>
      <c r="H1221">
        <v>0</v>
      </c>
      <c r="I1221" s="2" t="s">
        <v>97</v>
      </c>
      <c r="J1221" s="3">
        <v>744570</v>
      </c>
      <c r="K1221">
        <v>20</v>
      </c>
      <c r="L1221">
        <v>20</v>
      </c>
      <c r="M1221">
        <v>20</v>
      </c>
    </row>
    <row r="1222" spans="1:13" x14ac:dyDescent="0.25">
      <c r="A1222" t="s">
        <v>2693</v>
      </c>
      <c r="B1222" t="s">
        <v>2692</v>
      </c>
      <c r="C1222" t="s">
        <v>20</v>
      </c>
      <c r="D1222" t="s">
        <v>26</v>
      </c>
      <c r="F1222">
        <v>5</v>
      </c>
      <c r="G1222" t="s">
        <v>16</v>
      </c>
      <c r="H1222">
        <v>0</v>
      </c>
      <c r="I1222" s="2" t="s">
        <v>2694</v>
      </c>
      <c r="J1222" s="2">
        <v>3704116</v>
      </c>
      <c r="K1222">
        <v>20</v>
      </c>
      <c r="L1222">
        <v>20</v>
      </c>
      <c r="M1222">
        <v>20</v>
      </c>
    </row>
    <row r="1223" spans="1:13" x14ac:dyDescent="0.25">
      <c r="A1223" t="s">
        <v>2695</v>
      </c>
      <c r="B1223" t="s">
        <v>2696</v>
      </c>
      <c r="C1223" t="s">
        <v>357</v>
      </c>
      <c r="D1223" t="s">
        <v>792</v>
      </c>
      <c r="F1223">
        <v>1</v>
      </c>
      <c r="G1223" t="s">
        <v>16</v>
      </c>
      <c r="H1223">
        <v>0</v>
      </c>
      <c r="I1223" s="2" t="s">
        <v>491</v>
      </c>
      <c r="J1223" s="2">
        <v>351110006300</v>
      </c>
      <c r="K1223">
        <v>20</v>
      </c>
      <c r="L1223">
        <v>20</v>
      </c>
      <c r="M1223">
        <v>20</v>
      </c>
    </row>
    <row r="1224" spans="1:13" x14ac:dyDescent="0.25">
      <c r="A1224" t="s">
        <v>2697</v>
      </c>
      <c r="B1224" t="s">
        <v>2698</v>
      </c>
      <c r="C1224" t="s">
        <v>357</v>
      </c>
      <c r="D1224" t="s">
        <v>792</v>
      </c>
      <c r="F1224">
        <v>1</v>
      </c>
      <c r="G1224" t="s">
        <v>16</v>
      </c>
      <c r="H1224">
        <v>0</v>
      </c>
      <c r="I1224" s="2" t="s">
        <v>845</v>
      </c>
      <c r="J1224" s="2">
        <v>1696</v>
      </c>
      <c r="K1224">
        <v>20</v>
      </c>
      <c r="L1224">
        <v>20</v>
      </c>
      <c r="M1224">
        <v>20</v>
      </c>
    </row>
    <row r="1225" spans="1:13" x14ac:dyDescent="0.25">
      <c r="A1225" t="s">
        <v>2699</v>
      </c>
      <c r="B1225" t="s">
        <v>2698</v>
      </c>
      <c r="C1225" t="s">
        <v>357</v>
      </c>
      <c r="D1225" t="s">
        <v>792</v>
      </c>
      <c r="F1225">
        <v>0</v>
      </c>
      <c r="G1225" t="s">
        <v>16</v>
      </c>
      <c r="H1225">
        <v>0</v>
      </c>
      <c r="I1225" s="2" t="s">
        <v>2634</v>
      </c>
      <c r="J1225" s="2" t="s">
        <v>2700</v>
      </c>
      <c r="K1225">
        <v>20</v>
      </c>
      <c r="L1225">
        <v>20</v>
      </c>
      <c r="M1225">
        <v>20</v>
      </c>
    </row>
    <row r="1226" spans="1:13" x14ac:dyDescent="0.25">
      <c r="A1226" t="s">
        <v>2701</v>
      </c>
      <c r="B1226" t="s">
        <v>2698</v>
      </c>
      <c r="C1226" t="s">
        <v>357</v>
      </c>
      <c r="D1226" t="s">
        <v>792</v>
      </c>
      <c r="G1226" t="s">
        <v>16</v>
      </c>
      <c r="H1226">
        <v>0</v>
      </c>
      <c r="I1226" s="2" t="s">
        <v>848</v>
      </c>
      <c r="J1226" s="2" t="s">
        <v>2702</v>
      </c>
      <c r="K1226">
        <v>20</v>
      </c>
      <c r="L1226">
        <v>20</v>
      </c>
      <c r="M1226">
        <v>20</v>
      </c>
    </row>
    <row r="1227" spans="1:13" x14ac:dyDescent="0.25">
      <c r="A1227" t="s">
        <v>2703</v>
      </c>
      <c r="B1227" t="s">
        <v>2698</v>
      </c>
      <c r="C1227" t="s">
        <v>357</v>
      </c>
      <c r="D1227" t="s">
        <v>792</v>
      </c>
      <c r="G1227" t="s">
        <v>16</v>
      </c>
      <c r="H1227">
        <v>0</v>
      </c>
      <c r="I1227" s="2" t="s">
        <v>2639</v>
      </c>
      <c r="J1227" s="2" t="s">
        <v>2704</v>
      </c>
      <c r="K1227">
        <v>20</v>
      </c>
      <c r="L1227">
        <v>20</v>
      </c>
      <c r="M1227">
        <v>20</v>
      </c>
    </row>
    <row r="1228" spans="1:13" x14ac:dyDescent="0.25">
      <c r="A1228" t="s">
        <v>2705</v>
      </c>
      <c r="B1228" t="s">
        <v>2706</v>
      </c>
      <c r="C1228" t="s">
        <v>357</v>
      </c>
      <c r="D1228" t="s">
        <v>792</v>
      </c>
      <c r="F1228">
        <v>1</v>
      </c>
      <c r="G1228" t="s">
        <v>16</v>
      </c>
      <c r="H1228">
        <v>0</v>
      </c>
      <c r="I1228" s="2" t="s">
        <v>797</v>
      </c>
      <c r="J1228" s="2" t="s">
        <v>2707</v>
      </c>
      <c r="K1228">
        <v>20</v>
      </c>
      <c r="L1228">
        <v>20</v>
      </c>
      <c r="M1228">
        <v>20</v>
      </c>
    </row>
    <row r="1229" spans="1:13" x14ac:dyDescent="0.25">
      <c r="A1229" t="s">
        <v>2708</v>
      </c>
      <c r="B1229" t="s">
        <v>2698</v>
      </c>
      <c r="C1229" t="s">
        <v>357</v>
      </c>
      <c r="D1229" t="s">
        <v>792</v>
      </c>
      <c r="F1229">
        <v>0</v>
      </c>
      <c r="G1229" t="s">
        <v>16</v>
      </c>
      <c r="H1229">
        <v>0</v>
      </c>
      <c r="I1229" s="2" t="s">
        <v>851</v>
      </c>
      <c r="J1229" s="2" t="s">
        <v>2709</v>
      </c>
      <c r="K1229">
        <v>20</v>
      </c>
      <c r="L1229">
        <v>20</v>
      </c>
      <c r="M1229">
        <v>20</v>
      </c>
    </row>
    <row r="1230" spans="1:13" x14ac:dyDescent="0.25">
      <c r="A1230" t="s">
        <v>2710</v>
      </c>
      <c r="B1230" t="s">
        <v>2698</v>
      </c>
      <c r="C1230" t="s">
        <v>357</v>
      </c>
      <c r="D1230" t="s">
        <v>792</v>
      </c>
      <c r="F1230">
        <v>0</v>
      </c>
      <c r="G1230" t="s">
        <v>16</v>
      </c>
      <c r="H1230">
        <v>0</v>
      </c>
      <c r="I1230" s="2" t="s">
        <v>598</v>
      </c>
      <c r="J1230" s="2">
        <v>368810</v>
      </c>
      <c r="K1230">
        <v>20</v>
      </c>
      <c r="L1230">
        <v>20</v>
      </c>
      <c r="M1230">
        <v>20</v>
      </c>
    </row>
    <row r="1231" spans="1:13" x14ac:dyDescent="0.25">
      <c r="A1231" t="s">
        <v>2711</v>
      </c>
      <c r="B1231" t="s">
        <v>2698</v>
      </c>
      <c r="C1231" t="s">
        <v>357</v>
      </c>
      <c r="D1231" t="s">
        <v>792</v>
      </c>
      <c r="F1231">
        <v>1</v>
      </c>
      <c r="G1231" t="s">
        <v>16</v>
      </c>
      <c r="H1231">
        <v>0</v>
      </c>
      <c r="I1231" s="2" t="s">
        <v>479</v>
      </c>
      <c r="J1231" s="2" t="s">
        <v>2712</v>
      </c>
      <c r="K1231">
        <v>20</v>
      </c>
      <c r="L1231">
        <v>20</v>
      </c>
      <c r="M1231">
        <v>20</v>
      </c>
    </row>
    <row r="1232" spans="1:13" x14ac:dyDescent="0.25">
      <c r="A1232" t="s">
        <v>2713</v>
      </c>
      <c r="B1232" t="s">
        <v>2698</v>
      </c>
      <c r="C1232" t="s">
        <v>357</v>
      </c>
      <c r="D1232" t="s">
        <v>792</v>
      </c>
      <c r="G1232" t="s">
        <v>16</v>
      </c>
      <c r="H1232">
        <v>0</v>
      </c>
      <c r="I1232" s="2" t="s">
        <v>2670</v>
      </c>
      <c r="J1232" s="2" t="s">
        <v>2714</v>
      </c>
      <c r="K1232">
        <v>20</v>
      </c>
      <c r="L1232">
        <v>20</v>
      </c>
      <c r="M1232">
        <v>20</v>
      </c>
    </row>
    <row r="1233" spans="1:13" x14ac:dyDescent="0.25">
      <c r="A1233" t="s">
        <v>2715</v>
      </c>
      <c r="B1233" t="s">
        <v>2698</v>
      </c>
      <c r="C1233" t="s">
        <v>357</v>
      </c>
      <c r="D1233" t="s">
        <v>792</v>
      </c>
      <c r="G1233" t="s">
        <v>16</v>
      </c>
      <c r="H1233">
        <v>0</v>
      </c>
      <c r="I1233" s="2" t="s">
        <v>139</v>
      </c>
      <c r="J1233" s="2" t="s">
        <v>2716</v>
      </c>
      <c r="K1233">
        <v>20</v>
      </c>
      <c r="L1233">
        <v>20</v>
      </c>
      <c r="M1233">
        <v>20</v>
      </c>
    </row>
    <row r="1234" spans="1:13" x14ac:dyDescent="0.25">
      <c r="A1234" t="s">
        <v>2717</v>
      </c>
      <c r="B1234" t="s">
        <v>2706</v>
      </c>
      <c r="C1234" t="s">
        <v>357</v>
      </c>
      <c r="D1234" t="s">
        <v>792</v>
      </c>
      <c r="G1234" t="s">
        <v>16</v>
      </c>
      <c r="H1234">
        <v>0</v>
      </c>
      <c r="I1234" s="2" t="s">
        <v>822</v>
      </c>
      <c r="J1234" s="2" t="s">
        <v>2718</v>
      </c>
      <c r="K1234">
        <v>20</v>
      </c>
      <c r="L1234">
        <v>20</v>
      </c>
      <c r="M1234">
        <v>20</v>
      </c>
    </row>
    <row r="1235" spans="1:13" x14ac:dyDescent="0.25">
      <c r="A1235" t="s">
        <v>2719</v>
      </c>
      <c r="B1235" t="s">
        <v>2720</v>
      </c>
      <c r="C1235" t="s">
        <v>357</v>
      </c>
      <c r="D1235" t="s">
        <v>792</v>
      </c>
      <c r="G1235" t="s">
        <v>16</v>
      </c>
      <c r="H1235">
        <v>0</v>
      </c>
      <c r="I1235" s="2" t="s">
        <v>2721</v>
      </c>
      <c r="J1235" s="2">
        <v>1700</v>
      </c>
      <c r="K1235">
        <v>20</v>
      </c>
      <c r="L1235">
        <v>20</v>
      </c>
      <c r="M1235">
        <v>20</v>
      </c>
    </row>
    <row r="1236" spans="1:13" x14ac:dyDescent="0.25">
      <c r="A1236" t="s">
        <v>2722</v>
      </c>
      <c r="B1236" t="s">
        <v>2720</v>
      </c>
      <c r="C1236" t="s">
        <v>357</v>
      </c>
      <c r="D1236" t="s">
        <v>792</v>
      </c>
      <c r="F1236">
        <v>5</v>
      </c>
      <c r="G1236" t="s">
        <v>16</v>
      </c>
      <c r="H1236">
        <v>0</v>
      </c>
      <c r="I1236" s="2" t="s">
        <v>288</v>
      </c>
      <c r="J1236" s="2" t="s">
        <v>2723</v>
      </c>
      <c r="K1236">
        <v>20</v>
      </c>
      <c r="L1236">
        <v>20</v>
      </c>
      <c r="M1236">
        <v>20</v>
      </c>
    </row>
    <row r="1237" spans="1:13" x14ac:dyDescent="0.25">
      <c r="A1237" t="s">
        <v>2724</v>
      </c>
      <c r="B1237" t="s">
        <v>2720</v>
      </c>
      <c r="C1237" t="s">
        <v>357</v>
      </c>
      <c r="D1237" t="s">
        <v>792</v>
      </c>
      <c r="F1237">
        <v>0</v>
      </c>
      <c r="G1237" t="s">
        <v>16</v>
      </c>
      <c r="H1237">
        <v>0</v>
      </c>
      <c r="I1237" s="2" t="s">
        <v>886</v>
      </c>
      <c r="J1237" s="2" t="s">
        <v>2725</v>
      </c>
      <c r="K1237">
        <v>20</v>
      </c>
      <c r="L1237">
        <v>20</v>
      </c>
      <c r="M1237">
        <v>20</v>
      </c>
    </row>
    <row r="1238" spans="1:13" x14ac:dyDescent="0.25">
      <c r="A1238" t="s">
        <v>2726</v>
      </c>
      <c r="B1238" t="s">
        <v>2720</v>
      </c>
      <c r="C1238" t="s">
        <v>357</v>
      </c>
      <c r="D1238" t="s">
        <v>792</v>
      </c>
      <c r="G1238" t="s">
        <v>16</v>
      </c>
      <c r="H1238">
        <v>0</v>
      </c>
      <c r="I1238" s="2" t="s">
        <v>2727</v>
      </c>
      <c r="J1238" s="2" t="s">
        <v>2728</v>
      </c>
      <c r="K1238">
        <v>20</v>
      </c>
      <c r="L1238">
        <v>20</v>
      </c>
      <c r="M1238">
        <v>20</v>
      </c>
    </row>
    <row r="1239" spans="1:13" x14ac:dyDescent="0.25">
      <c r="A1239" t="s">
        <v>2729</v>
      </c>
      <c r="B1239" t="s">
        <v>2720</v>
      </c>
      <c r="C1239" t="s">
        <v>357</v>
      </c>
      <c r="D1239" t="s">
        <v>792</v>
      </c>
      <c r="G1239" t="s">
        <v>16</v>
      </c>
      <c r="H1239">
        <v>0</v>
      </c>
      <c r="I1239" s="2" t="s">
        <v>880</v>
      </c>
      <c r="J1239" s="2" t="s">
        <v>2730</v>
      </c>
      <c r="K1239">
        <v>20</v>
      </c>
      <c r="L1239">
        <v>20</v>
      </c>
      <c r="M1239">
        <v>20</v>
      </c>
    </row>
    <row r="1240" spans="1:13" x14ac:dyDescent="0.25">
      <c r="A1240" t="s">
        <v>2731</v>
      </c>
      <c r="B1240" t="s">
        <v>2732</v>
      </c>
      <c r="C1240" t="s">
        <v>357</v>
      </c>
      <c r="D1240" t="s">
        <v>792</v>
      </c>
      <c r="F1240">
        <v>1</v>
      </c>
      <c r="G1240" t="s">
        <v>16</v>
      </c>
      <c r="H1240">
        <v>0</v>
      </c>
      <c r="I1240" s="2" t="s">
        <v>64</v>
      </c>
      <c r="J1240" s="2" t="str">
        <f>"08010202"</f>
        <v>08010202</v>
      </c>
      <c r="K1240">
        <v>20</v>
      </c>
      <c r="L1240">
        <v>20</v>
      </c>
      <c r="M1240">
        <v>20</v>
      </c>
    </row>
    <row r="1241" spans="1:13" x14ac:dyDescent="0.25">
      <c r="A1241" t="s">
        <v>2733</v>
      </c>
      <c r="B1241" t="s">
        <v>2720</v>
      </c>
      <c r="C1241" t="s">
        <v>357</v>
      </c>
      <c r="D1241" t="s">
        <v>792</v>
      </c>
      <c r="F1241">
        <v>2</v>
      </c>
      <c r="G1241" t="s">
        <v>16</v>
      </c>
      <c r="H1241">
        <v>0</v>
      </c>
      <c r="I1241" s="2" t="s">
        <v>479</v>
      </c>
      <c r="J1241" s="2" t="s">
        <v>2734</v>
      </c>
      <c r="K1241">
        <v>20</v>
      </c>
      <c r="L1241">
        <v>20</v>
      </c>
      <c r="M1241">
        <v>20</v>
      </c>
    </row>
    <row r="1242" spans="1:13" x14ac:dyDescent="0.25">
      <c r="A1242" t="s">
        <v>2735</v>
      </c>
      <c r="B1242" t="s">
        <v>2720</v>
      </c>
      <c r="C1242" t="s">
        <v>357</v>
      </c>
      <c r="D1242" t="s">
        <v>792</v>
      </c>
      <c r="F1242">
        <v>0</v>
      </c>
      <c r="G1242" t="s">
        <v>16</v>
      </c>
      <c r="H1242">
        <v>0</v>
      </c>
      <c r="I1242" s="2" t="s">
        <v>639</v>
      </c>
      <c r="J1242" s="2" t="s">
        <v>2736</v>
      </c>
      <c r="K1242">
        <v>20</v>
      </c>
      <c r="L1242">
        <v>20</v>
      </c>
      <c r="M1242">
        <v>20</v>
      </c>
    </row>
    <row r="1243" spans="1:13" x14ac:dyDescent="0.25">
      <c r="A1243" t="s">
        <v>2737</v>
      </c>
      <c r="B1243" t="s">
        <v>2720</v>
      </c>
      <c r="C1243" t="s">
        <v>357</v>
      </c>
      <c r="D1243" t="s">
        <v>792</v>
      </c>
      <c r="F1243">
        <v>0</v>
      </c>
      <c r="G1243" t="s">
        <v>16</v>
      </c>
      <c r="H1243">
        <v>0</v>
      </c>
      <c r="I1243" s="2" t="s">
        <v>448</v>
      </c>
      <c r="J1243" s="2" t="s">
        <v>2738</v>
      </c>
      <c r="K1243">
        <v>20</v>
      </c>
      <c r="L1243">
        <v>20</v>
      </c>
      <c r="M1243">
        <v>20</v>
      </c>
    </row>
    <row r="1244" spans="1:13" x14ac:dyDescent="0.25">
      <c r="A1244" t="s">
        <v>2739</v>
      </c>
      <c r="B1244" t="s">
        <v>2720</v>
      </c>
      <c r="C1244" t="s">
        <v>357</v>
      </c>
      <c r="D1244" t="s">
        <v>792</v>
      </c>
      <c r="G1244" t="s">
        <v>16</v>
      </c>
      <c r="H1244">
        <v>0</v>
      </c>
      <c r="I1244" s="2" t="s">
        <v>822</v>
      </c>
      <c r="J1244" s="2" t="s">
        <v>2740</v>
      </c>
      <c r="K1244">
        <v>20</v>
      </c>
      <c r="L1244">
        <v>20</v>
      </c>
      <c r="M1244">
        <v>20</v>
      </c>
    </row>
    <row r="1245" spans="1:13" x14ac:dyDescent="0.25">
      <c r="A1245" t="s">
        <v>2741</v>
      </c>
      <c r="B1245" t="s">
        <v>2720</v>
      </c>
      <c r="C1245" t="s">
        <v>357</v>
      </c>
      <c r="D1245" t="s">
        <v>792</v>
      </c>
      <c r="G1245" t="s">
        <v>16</v>
      </c>
      <c r="H1245">
        <v>0</v>
      </c>
      <c r="I1245" s="2" t="s">
        <v>854</v>
      </c>
      <c r="J1245" s="2">
        <v>506837</v>
      </c>
      <c r="K1245">
        <v>20</v>
      </c>
      <c r="L1245">
        <v>20</v>
      </c>
      <c r="M1245">
        <v>20</v>
      </c>
    </row>
    <row r="1246" spans="1:13" x14ac:dyDescent="0.25">
      <c r="A1246" t="s">
        <v>2742</v>
      </c>
      <c r="B1246" t="s">
        <v>2743</v>
      </c>
      <c r="C1246" t="s">
        <v>357</v>
      </c>
      <c r="D1246" t="s">
        <v>792</v>
      </c>
      <c r="G1246" t="s">
        <v>16</v>
      </c>
      <c r="H1246">
        <v>0</v>
      </c>
      <c r="I1246" s="2" t="s">
        <v>845</v>
      </c>
      <c r="J1246" s="2">
        <v>1898</v>
      </c>
      <c r="K1246">
        <v>20</v>
      </c>
      <c r="L1246">
        <v>20</v>
      </c>
      <c r="M1246">
        <v>20</v>
      </c>
    </row>
    <row r="1247" spans="1:13" x14ac:dyDescent="0.25">
      <c r="A1247" t="s">
        <v>2744</v>
      </c>
      <c r="B1247" t="s">
        <v>2746</v>
      </c>
      <c r="C1247" t="s">
        <v>357</v>
      </c>
      <c r="D1247" t="s">
        <v>792</v>
      </c>
      <c r="F1247">
        <v>3</v>
      </c>
      <c r="G1247" t="s">
        <v>16</v>
      </c>
      <c r="H1247">
        <v>0</v>
      </c>
      <c r="I1247" s="2" t="s">
        <v>288</v>
      </c>
      <c r="J1247" s="2" t="s">
        <v>2745</v>
      </c>
      <c r="K1247">
        <v>20</v>
      </c>
      <c r="L1247">
        <v>20</v>
      </c>
      <c r="M1247">
        <v>20</v>
      </c>
    </row>
    <row r="1248" spans="1:13" x14ac:dyDescent="0.25">
      <c r="A1248" t="s">
        <v>2747</v>
      </c>
      <c r="B1248" t="s">
        <v>2746</v>
      </c>
      <c r="C1248" t="s">
        <v>357</v>
      </c>
      <c r="D1248" t="s">
        <v>792</v>
      </c>
      <c r="G1248" t="s">
        <v>16</v>
      </c>
      <c r="H1248">
        <v>0</v>
      </c>
      <c r="I1248" s="2" t="s">
        <v>2634</v>
      </c>
      <c r="J1248" s="2" t="s">
        <v>2748</v>
      </c>
      <c r="K1248">
        <v>20</v>
      </c>
      <c r="L1248">
        <v>20</v>
      </c>
      <c r="M1248">
        <v>20</v>
      </c>
    </row>
    <row r="1249" spans="1:13" x14ac:dyDescent="0.25">
      <c r="A1249" t="s">
        <v>2749</v>
      </c>
      <c r="B1249" t="s">
        <v>2746</v>
      </c>
      <c r="C1249" t="s">
        <v>357</v>
      </c>
      <c r="D1249" t="s">
        <v>792</v>
      </c>
      <c r="F1249">
        <v>1</v>
      </c>
      <c r="G1249" t="s">
        <v>16</v>
      </c>
      <c r="H1249">
        <v>0</v>
      </c>
      <c r="I1249" s="2" t="s">
        <v>797</v>
      </c>
      <c r="J1249" s="2" t="s">
        <v>2750</v>
      </c>
      <c r="K1249">
        <v>20</v>
      </c>
      <c r="L1249">
        <v>20</v>
      </c>
      <c r="M1249">
        <v>20</v>
      </c>
    </row>
    <row r="1250" spans="1:13" x14ac:dyDescent="0.25">
      <c r="A1250" t="s">
        <v>2751</v>
      </c>
      <c r="B1250" t="s">
        <v>2746</v>
      </c>
      <c r="C1250" t="s">
        <v>357</v>
      </c>
      <c r="D1250" t="s">
        <v>792</v>
      </c>
      <c r="F1250">
        <v>0</v>
      </c>
      <c r="G1250" t="s">
        <v>16</v>
      </c>
      <c r="H1250">
        <v>0</v>
      </c>
      <c r="I1250" s="2" t="s">
        <v>2752</v>
      </c>
      <c r="J1250" s="2" t="s">
        <v>2753</v>
      </c>
      <c r="K1250">
        <v>20</v>
      </c>
      <c r="L1250">
        <v>20</v>
      </c>
      <c r="M1250">
        <v>20</v>
      </c>
    </row>
    <row r="1251" spans="1:13" x14ac:dyDescent="0.25">
      <c r="A1251" t="s">
        <v>2754</v>
      </c>
      <c r="B1251" t="s">
        <v>2755</v>
      </c>
      <c r="C1251" t="s">
        <v>357</v>
      </c>
      <c r="D1251" t="s">
        <v>792</v>
      </c>
      <c r="G1251" t="s">
        <v>16</v>
      </c>
      <c r="H1251">
        <v>0</v>
      </c>
      <c r="I1251" s="2" t="s">
        <v>64</v>
      </c>
      <c r="J1251" s="2" t="str">
        <f>"08010208"</f>
        <v>08010208</v>
      </c>
      <c r="K1251">
        <v>20</v>
      </c>
      <c r="L1251">
        <v>20</v>
      </c>
      <c r="M1251">
        <v>20</v>
      </c>
    </row>
    <row r="1252" spans="1:13" x14ac:dyDescent="0.25">
      <c r="A1252" t="s">
        <v>2756</v>
      </c>
      <c r="B1252" t="s">
        <v>2746</v>
      </c>
      <c r="C1252" t="s">
        <v>357</v>
      </c>
      <c r="D1252" t="s">
        <v>792</v>
      </c>
      <c r="G1252" t="s">
        <v>16</v>
      </c>
      <c r="H1252">
        <v>0</v>
      </c>
      <c r="I1252" s="2" t="s">
        <v>139</v>
      </c>
      <c r="J1252" s="2" t="s">
        <v>2757</v>
      </c>
      <c r="K1252">
        <v>20</v>
      </c>
      <c r="L1252">
        <v>20</v>
      </c>
      <c r="M1252">
        <v>20</v>
      </c>
    </row>
    <row r="1253" spans="1:13" x14ac:dyDescent="0.25">
      <c r="A1253">
        <v>1334219</v>
      </c>
      <c r="B1253" t="s">
        <v>2758</v>
      </c>
      <c r="C1253" t="s">
        <v>357</v>
      </c>
      <c r="D1253" t="s">
        <v>792</v>
      </c>
      <c r="F1253">
        <v>0</v>
      </c>
      <c r="G1253" t="s">
        <v>16</v>
      </c>
      <c r="H1253">
        <v>0</v>
      </c>
      <c r="I1253" s="2" t="s">
        <v>497</v>
      </c>
      <c r="J1253" s="2">
        <v>25193406</v>
      </c>
      <c r="K1253">
        <v>20</v>
      </c>
      <c r="L1253">
        <v>20</v>
      </c>
      <c r="M1253">
        <v>20</v>
      </c>
    </row>
    <row r="1254" spans="1:13" x14ac:dyDescent="0.25">
      <c r="A1254" t="s">
        <v>2759</v>
      </c>
      <c r="B1254" t="s">
        <v>2758</v>
      </c>
      <c r="C1254" t="s">
        <v>357</v>
      </c>
      <c r="D1254" t="s">
        <v>792</v>
      </c>
      <c r="G1254" t="s">
        <v>16</v>
      </c>
      <c r="H1254">
        <v>0</v>
      </c>
      <c r="I1254" s="2" t="s">
        <v>845</v>
      </c>
      <c r="J1254" s="2">
        <v>1913</v>
      </c>
      <c r="K1254">
        <v>20</v>
      </c>
      <c r="L1254">
        <v>20</v>
      </c>
      <c r="M1254">
        <v>20</v>
      </c>
    </row>
    <row r="1255" spans="1:13" x14ac:dyDescent="0.25">
      <c r="A1255" t="s">
        <v>2760</v>
      </c>
      <c r="B1255" t="s">
        <v>2758</v>
      </c>
      <c r="C1255" t="s">
        <v>357</v>
      </c>
      <c r="D1255" t="s">
        <v>792</v>
      </c>
      <c r="F1255">
        <v>5</v>
      </c>
      <c r="G1255" t="s">
        <v>16</v>
      </c>
      <c r="H1255">
        <v>0</v>
      </c>
      <c r="I1255" s="2" t="s">
        <v>765</v>
      </c>
      <c r="J1255" s="2" t="s">
        <v>2761</v>
      </c>
      <c r="K1255">
        <v>20</v>
      </c>
      <c r="L1255">
        <v>20</v>
      </c>
      <c r="M1255">
        <v>20</v>
      </c>
    </row>
    <row r="1256" spans="1:13" x14ac:dyDescent="0.25">
      <c r="A1256" t="s">
        <v>2762</v>
      </c>
      <c r="B1256" t="s">
        <v>2763</v>
      </c>
      <c r="C1256" t="s">
        <v>357</v>
      </c>
      <c r="D1256" t="s">
        <v>792</v>
      </c>
      <c r="G1256" t="s">
        <v>16</v>
      </c>
      <c r="H1256">
        <v>0</v>
      </c>
      <c r="I1256" s="2" t="s">
        <v>814</v>
      </c>
      <c r="J1256" s="2">
        <v>414</v>
      </c>
      <c r="K1256">
        <v>20</v>
      </c>
      <c r="L1256">
        <v>20</v>
      </c>
      <c r="M1256">
        <v>20</v>
      </c>
    </row>
    <row r="1257" spans="1:13" x14ac:dyDescent="0.25">
      <c r="A1257" t="s">
        <v>2764</v>
      </c>
      <c r="B1257" t="s">
        <v>2758</v>
      </c>
      <c r="C1257" t="s">
        <v>357</v>
      </c>
      <c r="D1257" t="s">
        <v>792</v>
      </c>
      <c r="G1257" t="s">
        <v>16</v>
      </c>
      <c r="H1257">
        <v>0</v>
      </c>
      <c r="I1257" s="2" t="s">
        <v>886</v>
      </c>
      <c r="J1257" s="2" t="s">
        <v>2765</v>
      </c>
      <c r="K1257">
        <v>20</v>
      </c>
      <c r="L1257">
        <v>20</v>
      </c>
      <c r="M1257">
        <v>20</v>
      </c>
    </row>
    <row r="1258" spans="1:13" x14ac:dyDescent="0.25">
      <c r="A1258" t="s">
        <v>2766</v>
      </c>
      <c r="B1258" t="s">
        <v>2758</v>
      </c>
      <c r="C1258" t="s">
        <v>357</v>
      </c>
      <c r="D1258" t="s">
        <v>792</v>
      </c>
      <c r="G1258" t="s">
        <v>16</v>
      </c>
      <c r="H1258">
        <v>0</v>
      </c>
      <c r="I1258" s="2" t="s">
        <v>880</v>
      </c>
      <c r="J1258" s="2" t="s">
        <v>2767</v>
      </c>
      <c r="K1258">
        <v>20</v>
      </c>
      <c r="L1258">
        <v>20</v>
      </c>
      <c r="M1258">
        <v>20</v>
      </c>
    </row>
    <row r="1259" spans="1:13" x14ac:dyDescent="0.25">
      <c r="A1259" t="s">
        <v>2768</v>
      </c>
      <c r="B1259" t="s">
        <v>2769</v>
      </c>
      <c r="C1259" t="s">
        <v>357</v>
      </c>
      <c r="D1259" t="s">
        <v>792</v>
      </c>
      <c r="G1259" t="s">
        <v>16</v>
      </c>
      <c r="H1259">
        <v>0</v>
      </c>
      <c r="I1259" s="2" t="s">
        <v>2770</v>
      </c>
      <c r="J1259" s="2">
        <v>55579016</v>
      </c>
      <c r="K1259">
        <v>20</v>
      </c>
      <c r="L1259">
        <v>20</v>
      </c>
      <c r="M1259">
        <v>20</v>
      </c>
    </row>
    <row r="1260" spans="1:13" x14ac:dyDescent="0.25">
      <c r="A1260" t="s">
        <v>2771</v>
      </c>
      <c r="B1260" t="s">
        <v>2763</v>
      </c>
      <c r="C1260" t="s">
        <v>357</v>
      </c>
      <c r="D1260" t="s">
        <v>792</v>
      </c>
      <c r="F1260">
        <v>0</v>
      </c>
      <c r="G1260" t="s">
        <v>16</v>
      </c>
      <c r="H1260">
        <v>0</v>
      </c>
      <c r="I1260" s="2" t="s">
        <v>598</v>
      </c>
      <c r="J1260" s="2">
        <v>367975</v>
      </c>
      <c r="K1260">
        <v>20</v>
      </c>
      <c r="L1260">
        <v>20</v>
      </c>
      <c r="M1260">
        <v>20</v>
      </c>
    </row>
    <row r="1261" spans="1:13" x14ac:dyDescent="0.25">
      <c r="A1261" t="s">
        <v>2772</v>
      </c>
      <c r="B1261" t="s">
        <v>2763</v>
      </c>
      <c r="C1261" t="s">
        <v>357</v>
      </c>
      <c r="D1261" t="s">
        <v>792</v>
      </c>
      <c r="F1261">
        <v>0</v>
      </c>
      <c r="G1261" t="s">
        <v>16</v>
      </c>
      <c r="H1261">
        <v>0</v>
      </c>
      <c r="I1261" s="2" t="s">
        <v>639</v>
      </c>
      <c r="J1261" s="2" t="s">
        <v>2773</v>
      </c>
      <c r="K1261">
        <v>20</v>
      </c>
      <c r="L1261">
        <v>20</v>
      </c>
      <c r="M1261">
        <v>20</v>
      </c>
    </row>
    <row r="1262" spans="1:13" x14ac:dyDescent="0.25">
      <c r="A1262" t="s">
        <v>2774</v>
      </c>
      <c r="B1262" t="s">
        <v>2758</v>
      </c>
      <c r="C1262" t="s">
        <v>357</v>
      </c>
      <c r="D1262" t="s">
        <v>792</v>
      </c>
      <c r="G1262" t="s">
        <v>16</v>
      </c>
      <c r="H1262">
        <v>0</v>
      </c>
      <c r="I1262" s="2" t="s">
        <v>448</v>
      </c>
      <c r="J1262" s="2" t="s">
        <v>2775</v>
      </c>
      <c r="K1262">
        <v>20</v>
      </c>
      <c r="L1262">
        <v>20</v>
      </c>
      <c r="M1262">
        <v>20</v>
      </c>
    </row>
    <row r="1263" spans="1:13" x14ac:dyDescent="0.25">
      <c r="A1263" t="s">
        <v>2776</v>
      </c>
      <c r="B1263" t="s">
        <v>2758</v>
      </c>
      <c r="C1263" t="s">
        <v>357</v>
      </c>
      <c r="D1263" t="s">
        <v>792</v>
      </c>
      <c r="G1263" t="s">
        <v>16</v>
      </c>
      <c r="H1263">
        <v>0</v>
      </c>
      <c r="I1263" s="2" t="s">
        <v>842</v>
      </c>
      <c r="J1263" s="2">
        <v>529216</v>
      </c>
      <c r="K1263">
        <v>20</v>
      </c>
      <c r="L1263">
        <v>20</v>
      </c>
      <c r="M1263">
        <v>20</v>
      </c>
    </row>
    <row r="1264" spans="1:13" x14ac:dyDescent="0.25">
      <c r="A1264" t="s">
        <v>2777</v>
      </c>
      <c r="B1264" t="s">
        <v>2778</v>
      </c>
      <c r="C1264" t="s">
        <v>357</v>
      </c>
      <c r="D1264" t="s">
        <v>792</v>
      </c>
      <c r="G1264" t="s">
        <v>16</v>
      </c>
      <c r="H1264">
        <v>0</v>
      </c>
      <c r="I1264" s="2" t="s">
        <v>848</v>
      </c>
      <c r="J1264" s="2" t="s">
        <v>2779</v>
      </c>
      <c r="K1264">
        <v>20</v>
      </c>
      <c r="L1264">
        <v>20</v>
      </c>
      <c r="M1264">
        <v>20</v>
      </c>
    </row>
    <row r="1265" spans="1:13" x14ac:dyDescent="0.25">
      <c r="A1265" t="s">
        <v>2780</v>
      </c>
      <c r="B1265" t="s">
        <v>2782</v>
      </c>
      <c r="C1265" t="s">
        <v>357</v>
      </c>
      <c r="D1265" t="s">
        <v>792</v>
      </c>
      <c r="F1265">
        <v>0</v>
      </c>
      <c r="G1265" t="s">
        <v>16</v>
      </c>
      <c r="H1265">
        <v>0</v>
      </c>
      <c r="I1265" s="2" t="s">
        <v>765</v>
      </c>
      <c r="J1265" s="2" t="s">
        <v>2781</v>
      </c>
      <c r="K1265">
        <v>20</v>
      </c>
      <c r="L1265">
        <v>20</v>
      </c>
      <c r="M1265">
        <v>20</v>
      </c>
    </row>
    <row r="1266" spans="1:13" x14ac:dyDescent="0.25">
      <c r="A1266" t="s">
        <v>2783</v>
      </c>
      <c r="B1266" t="s">
        <v>2782</v>
      </c>
      <c r="C1266" t="s">
        <v>357</v>
      </c>
      <c r="D1266" t="s">
        <v>792</v>
      </c>
      <c r="G1266" t="s">
        <v>16</v>
      </c>
      <c r="H1266">
        <v>0</v>
      </c>
      <c r="I1266" s="2" t="s">
        <v>848</v>
      </c>
      <c r="J1266" s="2" t="s">
        <v>2784</v>
      </c>
      <c r="K1266">
        <v>20</v>
      </c>
      <c r="L1266">
        <v>20</v>
      </c>
      <c r="M1266">
        <v>20</v>
      </c>
    </row>
    <row r="1267" spans="1:13" x14ac:dyDescent="0.25">
      <c r="A1267" t="s">
        <v>2785</v>
      </c>
      <c r="B1267" t="s">
        <v>2782</v>
      </c>
      <c r="C1267" t="s">
        <v>357</v>
      </c>
      <c r="D1267" t="s">
        <v>792</v>
      </c>
      <c r="F1267">
        <v>1</v>
      </c>
      <c r="G1267" t="s">
        <v>16</v>
      </c>
      <c r="H1267">
        <v>0</v>
      </c>
      <c r="I1267" s="2" t="s">
        <v>2786</v>
      </c>
      <c r="J1267" s="2" t="s">
        <v>2787</v>
      </c>
      <c r="K1267">
        <v>20</v>
      </c>
      <c r="L1267">
        <v>20</v>
      </c>
      <c r="M1267">
        <v>20</v>
      </c>
    </row>
    <row r="1268" spans="1:13" x14ac:dyDescent="0.25">
      <c r="A1268" t="s">
        <v>2788</v>
      </c>
      <c r="B1268" t="s">
        <v>2782</v>
      </c>
      <c r="C1268" t="s">
        <v>357</v>
      </c>
      <c r="D1268" t="s">
        <v>792</v>
      </c>
      <c r="F1268">
        <v>1</v>
      </c>
      <c r="G1268" t="s">
        <v>16</v>
      </c>
      <c r="H1268">
        <v>0</v>
      </c>
      <c r="I1268" s="2" t="s">
        <v>479</v>
      </c>
      <c r="J1268" s="2" t="s">
        <v>2789</v>
      </c>
      <c r="K1268">
        <v>20</v>
      </c>
      <c r="L1268">
        <v>20</v>
      </c>
      <c r="M1268">
        <v>20</v>
      </c>
    </row>
    <row r="1269" spans="1:13" x14ac:dyDescent="0.25">
      <c r="A1269" t="s">
        <v>2790</v>
      </c>
      <c r="B1269" t="s">
        <v>2782</v>
      </c>
      <c r="C1269" t="s">
        <v>357</v>
      </c>
      <c r="D1269" t="s">
        <v>792</v>
      </c>
      <c r="F1269">
        <v>0</v>
      </c>
      <c r="G1269" t="s">
        <v>16</v>
      </c>
      <c r="H1269">
        <v>0</v>
      </c>
      <c r="I1269" s="2" t="s">
        <v>491</v>
      </c>
      <c r="J1269" s="2">
        <v>351110015200</v>
      </c>
      <c r="K1269">
        <v>20</v>
      </c>
      <c r="L1269">
        <v>20</v>
      </c>
      <c r="M1269">
        <v>20</v>
      </c>
    </row>
    <row r="1270" spans="1:13" x14ac:dyDescent="0.25">
      <c r="A1270" t="s">
        <v>2791</v>
      </c>
      <c r="B1270" t="s">
        <v>2792</v>
      </c>
      <c r="C1270" t="s">
        <v>357</v>
      </c>
      <c r="D1270" t="s">
        <v>792</v>
      </c>
      <c r="F1270">
        <v>2</v>
      </c>
      <c r="G1270" t="s">
        <v>16</v>
      </c>
      <c r="H1270">
        <v>0</v>
      </c>
      <c r="I1270" s="2" t="s">
        <v>1175</v>
      </c>
      <c r="J1270" s="2" t="s">
        <v>2793</v>
      </c>
      <c r="K1270">
        <v>20</v>
      </c>
      <c r="L1270">
        <v>20</v>
      </c>
      <c r="M1270">
        <v>20</v>
      </c>
    </row>
    <row r="1271" spans="1:13" x14ac:dyDescent="0.25">
      <c r="A1271" t="s">
        <v>2794</v>
      </c>
      <c r="B1271" t="s">
        <v>2795</v>
      </c>
      <c r="C1271" t="s">
        <v>357</v>
      </c>
      <c r="D1271" t="s">
        <v>241</v>
      </c>
      <c r="F1271">
        <v>2</v>
      </c>
      <c r="G1271" t="s">
        <v>16</v>
      </c>
      <c r="H1271">
        <v>0</v>
      </c>
      <c r="I1271" s="2" t="s">
        <v>2233</v>
      </c>
      <c r="J1271" s="2">
        <v>21169</v>
      </c>
      <c r="K1271">
        <v>20</v>
      </c>
      <c r="L1271">
        <v>20</v>
      </c>
      <c r="M1271">
        <v>20</v>
      </c>
    </row>
    <row r="1272" spans="1:13" x14ac:dyDescent="0.25">
      <c r="A1272" t="s">
        <v>2796</v>
      </c>
      <c r="B1272" t="s">
        <v>2797</v>
      </c>
      <c r="C1272" t="s">
        <v>357</v>
      </c>
      <c r="D1272" t="s">
        <v>241</v>
      </c>
      <c r="F1272">
        <v>1</v>
      </c>
      <c r="G1272" t="s">
        <v>16</v>
      </c>
      <c r="H1272">
        <v>0</v>
      </c>
      <c r="I1272" s="2" t="s">
        <v>243</v>
      </c>
      <c r="J1272" s="2">
        <v>21186</v>
      </c>
      <c r="K1272">
        <v>20</v>
      </c>
      <c r="L1272">
        <v>20</v>
      </c>
      <c r="M1272">
        <v>20</v>
      </c>
    </row>
    <row r="1273" spans="1:13" x14ac:dyDescent="0.25">
      <c r="A1273" t="s">
        <v>2798</v>
      </c>
      <c r="B1273" t="s">
        <v>2799</v>
      </c>
      <c r="C1273" t="s">
        <v>20</v>
      </c>
      <c r="D1273" t="s">
        <v>26</v>
      </c>
      <c r="F1273">
        <v>2</v>
      </c>
      <c r="G1273" t="s">
        <v>16</v>
      </c>
      <c r="H1273">
        <v>0</v>
      </c>
      <c r="I1273" s="2" t="s">
        <v>99</v>
      </c>
      <c r="J1273" s="3">
        <v>809284</v>
      </c>
      <c r="K1273">
        <v>20</v>
      </c>
      <c r="L1273">
        <v>20</v>
      </c>
      <c r="M1273">
        <v>20</v>
      </c>
    </row>
    <row r="1274" spans="1:13" x14ac:dyDescent="0.25">
      <c r="A1274" t="s">
        <v>2800</v>
      </c>
      <c r="B1274" t="s">
        <v>2802</v>
      </c>
      <c r="C1274" t="s">
        <v>496</v>
      </c>
      <c r="D1274" t="s">
        <v>2360</v>
      </c>
      <c r="F1274">
        <v>2</v>
      </c>
      <c r="G1274" t="s">
        <v>16</v>
      </c>
      <c r="H1274">
        <v>0</v>
      </c>
      <c r="I1274" s="2" t="s">
        <v>765</v>
      </c>
      <c r="J1274" s="2" t="s">
        <v>2801</v>
      </c>
      <c r="K1274">
        <v>20</v>
      </c>
      <c r="L1274">
        <v>20</v>
      </c>
      <c r="M1274">
        <v>20</v>
      </c>
    </row>
    <row r="1275" spans="1:13" x14ac:dyDescent="0.25">
      <c r="A1275" t="s">
        <v>2803</v>
      </c>
      <c r="B1275" t="s">
        <v>2804</v>
      </c>
      <c r="C1275" t="s">
        <v>241</v>
      </c>
      <c r="D1275" t="s">
        <v>2216</v>
      </c>
      <c r="G1275" t="s">
        <v>16</v>
      </c>
      <c r="H1275">
        <v>0</v>
      </c>
      <c r="I1275" s="2" t="s">
        <v>243</v>
      </c>
      <c r="J1275" s="2">
        <v>21614</v>
      </c>
      <c r="K1275">
        <v>20</v>
      </c>
      <c r="L1275">
        <v>20</v>
      </c>
      <c r="M1275">
        <v>20</v>
      </c>
    </row>
    <row r="1276" spans="1:13" x14ac:dyDescent="0.25">
      <c r="A1276" t="s">
        <v>2805</v>
      </c>
      <c r="B1276" t="s">
        <v>2806</v>
      </c>
      <c r="C1276" t="s">
        <v>496</v>
      </c>
      <c r="D1276" t="s">
        <v>2360</v>
      </c>
      <c r="F1276">
        <v>1</v>
      </c>
      <c r="G1276" t="s">
        <v>16</v>
      </c>
      <c r="H1276">
        <v>0</v>
      </c>
      <c r="I1276" s="2" t="s">
        <v>737</v>
      </c>
      <c r="J1276" s="2" t="s">
        <v>2807</v>
      </c>
      <c r="K1276">
        <v>20</v>
      </c>
      <c r="L1276">
        <v>20</v>
      </c>
      <c r="M1276">
        <v>20</v>
      </c>
    </row>
    <row r="1277" spans="1:13" x14ac:dyDescent="0.25">
      <c r="A1277" t="s">
        <v>2808</v>
      </c>
      <c r="B1277" t="s">
        <v>2809</v>
      </c>
      <c r="C1277" t="s">
        <v>357</v>
      </c>
      <c r="D1277" t="s">
        <v>358</v>
      </c>
      <c r="G1277" t="s">
        <v>16</v>
      </c>
      <c r="H1277">
        <v>0</v>
      </c>
      <c r="I1277" s="2" t="s">
        <v>108</v>
      </c>
      <c r="J1277" s="3">
        <v>2561548001</v>
      </c>
      <c r="K1277">
        <v>20</v>
      </c>
      <c r="L1277">
        <v>20</v>
      </c>
      <c r="M1277">
        <v>20</v>
      </c>
    </row>
    <row r="1278" spans="1:13" x14ac:dyDescent="0.25">
      <c r="A1278" t="s">
        <v>2810</v>
      </c>
      <c r="B1278" t="s">
        <v>2812</v>
      </c>
      <c r="C1278" t="s">
        <v>357</v>
      </c>
      <c r="D1278" t="s">
        <v>358</v>
      </c>
      <c r="F1278">
        <v>5</v>
      </c>
      <c r="G1278" t="s">
        <v>16</v>
      </c>
      <c r="H1278">
        <v>0</v>
      </c>
      <c r="I1278" s="2" t="s">
        <v>51</v>
      </c>
      <c r="J1278" s="2" t="s">
        <v>2811</v>
      </c>
      <c r="K1278">
        <v>20</v>
      </c>
      <c r="L1278">
        <v>20</v>
      </c>
      <c r="M1278">
        <v>20</v>
      </c>
    </row>
    <row r="1279" spans="1:13" x14ac:dyDescent="0.25">
      <c r="A1279" t="s">
        <v>2813</v>
      </c>
      <c r="B1279" t="s">
        <v>2812</v>
      </c>
      <c r="C1279" t="s">
        <v>357</v>
      </c>
      <c r="D1279" t="s">
        <v>358</v>
      </c>
      <c r="F1279">
        <v>1</v>
      </c>
      <c r="G1279" t="s">
        <v>16</v>
      </c>
      <c r="H1279">
        <v>0</v>
      </c>
      <c r="I1279" s="2" t="s">
        <v>710</v>
      </c>
      <c r="J1279" s="3">
        <v>78734</v>
      </c>
      <c r="K1279">
        <v>20</v>
      </c>
      <c r="L1279">
        <v>20</v>
      </c>
      <c r="M1279">
        <v>20</v>
      </c>
    </row>
    <row r="1280" spans="1:13" x14ac:dyDescent="0.25">
      <c r="A1280" t="s">
        <v>2814</v>
      </c>
      <c r="B1280" t="s">
        <v>2812</v>
      </c>
      <c r="C1280" t="s">
        <v>357</v>
      </c>
      <c r="D1280" t="s">
        <v>358</v>
      </c>
      <c r="G1280" t="s">
        <v>16</v>
      </c>
      <c r="H1280">
        <v>0</v>
      </c>
      <c r="I1280" s="2" t="s">
        <v>2815</v>
      </c>
      <c r="J1280" s="2" t="s">
        <v>2816</v>
      </c>
      <c r="K1280">
        <v>20</v>
      </c>
      <c r="L1280">
        <v>20</v>
      </c>
      <c r="M1280">
        <v>20</v>
      </c>
    </row>
    <row r="1281" spans="1:13" x14ac:dyDescent="0.25">
      <c r="A1281" t="s">
        <v>2817</v>
      </c>
      <c r="B1281" t="s">
        <v>2812</v>
      </c>
      <c r="C1281" t="s">
        <v>357</v>
      </c>
      <c r="D1281" t="s">
        <v>358</v>
      </c>
      <c r="F1281">
        <v>1</v>
      </c>
      <c r="G1281" t="s">
        <v>16</v>
      </c>
      <c r="H1281">
        <v>0</v>
      </c>
      <c r="I1281" s="2" t="s">
        <v>2175</v>
      </c>
      <c r="J1281" s="2">
        <v>92555</v>
      </c>
      <c r="K1281">
        <v>20</v>
      </c>
      <c r="L1281">
        <v>20</v>
      </c>
      <c r="M1281">
        <v>20</v>
      </c>
    </row>
    <row r="1282" spans="1:13" x14ac:dyDescent="0.25">
      <c r="A1282" t="s">
        <v>2818</v>
      </c>
      <c r="B1282" t="s">
        <v>2812</v>
      </c>
      <c r="C1282" t="s">
        <v>357</v>
      </c>
      <c r="D1282" t="s">
        <v>358</v>
      </c>
      <c r="G1282" t="s">
        <v>16</v>
      </c>
      <c r="H1282">
        <v>0</v>
      </c>
      <c r="I1282" s="2" t="s">
        <v>865</v>
      </c>
      <c r="J1282" s="2" t="s">
        <v>2819</v>
      </c>
      <c r="K1282">
        <v>20</v>
      </c>
      <c r="L1282">
        <v>20</v>
      </c>
      <c r="M1282">
        <v>20</v>
      </c>
    </row>
    <row r="1283" spans="1:13" x14ac:dyDescent="0.25">
      <c r="A1283" t="s">
        <v>2820</v>
      </c>
      <c r="B1283" t="s">
        <v>2821</v>
      </c>
      <c r="C1283" t="s">
        <v>357</v>
      </c>
      <c r="D1283" t="s">
        <v>241</v>
      </c>
      <c r="F1283">
        <v>1</v>
      </c>
      <c r="G1283" t="s">
        <v>16</v>
      </c>
      <c r="H1283">
        <v>0</v>
      </c>
      <c r="I1283" s="2" t="s">
        <v>51</v>
      </c>
      <c r="J1283" s="2" t="s">
        <v>2820</v>
      </c>
      <c r="K1283">
        <v>20</v>
      </c>
      <c r="L1283">
        <v>20</v>
      </c>
      <c r="M1283">
        <v>20</v>
      </c>
    </row>
    <row r="1284" spans="1:13" x14ac:dyDescent="0.25">
      <c r="A1284" t="s">
        <v>2822</v>
      </c>
      <c r="B1284" t="s">
        <v>2821</v>
      </c>
      <c r="C1284" t="s">
        <v>357</v>
      </c>
      <c r="D1284" t="s">
        <v>241</v>
      </c>
      <c r="F1284">
        <v>1</v>
      </c>
      <c r="G1284" t="s">
        <v>16</v>
      </c>
      <c r="H1284">
        <v>0</v>
      </c>
      <c r="I1284" s="2" t="s">
        <v>1802</v>
      </c>
      <c r="J1284" s="2" t="s">
        <v>2823</v>
      </c>
      <c r="K1284">
        <v>20</v>
      </c>
      <c r="L1284">
        <v>20</v>
      </c>
      <c r="M1284">
        <v>20</v>
      </c>
    </row>
    <row r="1285" spans="1:13" x14ac:dyDescent="0.25">
      <c r="A1285" t="s">
        <v>2824</v>
      </c>
      <c r="B1285" t="s">
        <v>2821</v>
      </c>
      <c r="C1285" t="s">
        <v>241</v>
      </c>
      <c r="D1285" t="s">
        <v>2216</v>
      </c>
      <c r="F1285">
        <v>1</v>
      </c>
      <c r="G1285" t="s">
        <v>16</v>
      </c>
      <c r="H1285">
        <v>0</v>
      </c>
      <c r="I1285" s="2" t="s">
        <v>245</v>
      </c>
      <c r="J1285" s="2" t="s">
        <v>2825</v>
      </c>
      <c r="K1285">
        <v>20</v>
      </c>
      <c r="L1285">
        <v>20</v>
      </c>
      <c r="M1285">
        <v>20</v>
      </c>
    </row>
    <row r="1286" spans="1:13" x14ac:dyDescent="0.25">
      <c r="A1286" t="s">
        <v>2826</v>
      </c>
      <c r="B1286" t="s">
        <v>2827</v>
      </c>
      <c r="C1286" t="s">
        <v>241</v>
      </c>
      <c r="F1286">
        <v>1</v>
      </c>
      <c r="G1286" t="s">
        <v>16</v>
      </c>
      <c r="H1286">
        <v>0</v>
      </c>
      <c r="I1286" s="2" t="s">
        <v>245</v>
      </c>
      <c r="J1286" s="2" t="s">
        <v>2828</v>
      </c>
      <c r="K1286">
        <v>20</v>
      </c>
      <c r="L1286">
        <v>20</v>
      </c>
      <c r="M1286">
        <v>20</v>
      </c>
    </row>
    <row r="1287" spans="1:13" x14ac:dyDescent="0.25">
      <c r="A1287" t="s">
        <v>2829</v>
      </c>
      <c r="B1287" t="s">
        <v>2830</v>
      </c>
      <c r="C1287" t="s">
        <v>357</v>
      </c>
      <c r="D1287" t="s">
        <v>358</v>
      </c>
      <c r="F1287">
        <v>10</v>
      </c>
      <c r="G1287" t="s">
        <v>16</v>
      </c>
      <c r="H1287">
        <v>0</v>
      </c>
      <c r="I1287" s="2" t="s">
        <v>2831</v>
      </c>
      <c r="K1287">
        <v>20</v>
      </c>
      <c r="L1287">
        <v>20</v>
      </c>
      <c r="M1287">
        <v>20</v>
      </c>
    </row>
    <row r="1288" spans="1:13" x14ac:dyDescent="0.25">
      <c r="A1288" t="s">
        <v>2832</v>
      </c>
      <c r="B1288" t="s">
        <v>2830</v>
      </c>
      <c r="C1288" t="s">
        <v>357</v>
      </c>
      <c r="D1288" t="s">
        <v>358</v>
      </c>
      <c r="F1288">
        <v>0</v>
      </c>
      <c r="G1288" t="s">
        <v>16</v>
      </c>
      <c r="H1288">
        <v>0</v>
      </c>
      <c r="I1288" s="2" t="s">
        <v>491</v>
      </c>
      <c r="J1288" s="2">
        <v>359001200880</v>
      </c>
      <c r="K1288">
        <v>20</v>
      </c>
      <c r="L1288">
        <v>20</v>
      </c>
      <c r="M1288">
        <v>20</v>
      </c>
    </row>
    <row r="1289" spans="1:13" x14ac:dyDescent="0.25">
      <c r="A1289" t="s">
        <v>2833</v>
      </c>
      <c r="B1289" t="s">
        <v>2830</v>
      </c>
      <c r="C1289" t="s">
        <v>357</v>
      </c>
      <c r="D1289" t="s">
        <v>358</v>
      </c>
      <c r="G1289" t="s">
        <v>16</v>
      </c>
      <c r="H1289">
        <v>0</v>
      </c>
      <c r="I1289" s="2" t="s">
        <v>162</v>
      </c>
      <c r="J1289" s="2">
        <v>85220</v>
      </c>
      <c r="K1289">
        <v>20</v>
      </c>
      <c r="L1289">
        <v>20</v>
      </c>
      <c r="M1289">
        <v>20</v>
      </c>
    </row>
    <row r="1290" spans="1:13" x14ac:dyDescent="0.25">
      <c r="A1290" t="s">
        <v>2834</v>
      </c>
      <c r="B1290" t="s">
        <v>2830</v>
      </c>
      <c r="C1290" t="s">
        <v>357</v>
      </c>
      <c r="D1290" t="s">
        <v>358</v>
      </c>
      <c r="F1290">
        <v>0</v>
      </c>
      <c r="G1290" t="s">
        <v>16</v>
      </c>
      <c r="H1290">
        <v>0</v>
      </c>
      <c r="I1290" s="2" t="s">
        <v>165</v>
      </c>
      <c r="J1290" s="2">
        <v>723355</v>
      </c>
      <c r="K1290">
        <v>20</v>
      </c>
      <c r="L1290">
        <v>20</v>
      </c>
      <c r="M1290">
        <v>20</v>
      </c>
    </row>
    <row r="1291" spans="1:13" x14ac:dyDescent="0.25">
      <c r="A1291" t="s">
        <v>2835</v>
      </c>
      <c r="B1291" t="s">
        <v>2836</v>
      </c>
      <c r="C1291" t="s">
        <v>357</v>
      </c>
      <c r="D1291" t="s">
        <v>358</v>
      </c>
      <c r="F1291">
        <v>1</v>
      </c>
      <c r="G1291" t="s">
        <v>16</v>
      </c>
      <c r="H1291">
        <v>0</v>
      </c>
      <c r="I1291" s="2" t="s">
        <v>108</v>
      </c>
      <c r="J1291" s="3">
        <v>2661412001</v>
      </c>
      <c r="K1291">
        <v>20</v>
      </c>
      <c r="L1291">
        <v>20</v>
      </c>
      <c r="M1291">
        <v>20</v>
      </c>
    </row>
    <row r="1292" spans="1:13" x14ac:dyDescent="0.25">
      <c r="A1292" t="s">
        <v>2837</v>
      </c>
      <c r="B1292" t="s">
        <v>2836</v>
      </c>
      <c r="C1292" t="s">
        <v>357</v>
      </c>
      <c r="D1292" t="s">
        <v>358</v>
      </c>
      <c r="G1292" t="s">
        <v>16</v>
      </c>
      <c r="H1292">
        <v>0</v>
      </c>
      <c r="I1292" s="2" t="s">
        <v>2838</v>
      </c>
      <c r="J1292" s="2" t="s">
        <v>2839</v>
      </c>
      <c r="K1292">
        <v>20</v>
      </c>
      <c r="L1292">
        <v>20</v>
      </c>
      <c r="M1292">
        <v>20</v>
      </c>
    </row>
    <row r="1293" spans="1:13" x14ac:dyDescent="0.25">
      <c r="A1293" t="s">
        <v>2840</v>
      </c>
      <c r="B1293" t="s">
        <v>2836</v>
      </c>
      <c r="C1293" t="s">
        <v>357</v>
      </c>
      <c r="D1293" t="s">
        <v>358</v>
      </c>
      <c r="F1293">
        <v>1</v>
      </c>
      <c r="G1293" t="s">
        <v>16</v>
      </c>
      <c r="H1293">
        <v>0</v>
      </c>
      <c r="I1293" s="2" t="s">
        <v>64</v>
      </c>
      <c r="J1293" s="2" t="str">
        <f>"08100088"</f>
        <v>08100088</v>
      </c>
      <c r="K1293">
        <v>20</v>
      </c>
      <c r="L1293">
        <v>20</v>
      </c>
      <c r="M1293">
        <v>20</v>
      </c>
    </row>
    <row r="1294" spans="1:13" x14ac:dyDescent="0.25">
      <c r="A1294" t="s">
        <v>2841</v>
      </c>
      <c r="B1294" t="s">
        <v>2842</v>
      </c>
      <c r="C1294" t="s">
        <v>357</v>
      </c>
      <c r="D1294" t="s">
        <v>358</v>
      </c>
      <c r="G1294" t="s">
        <v>16</v>
      </c>
      <c r="H1294">
        <v>0</v>
      </c>
      <c r="I1294" s="2" t="s">
        <v>715</v>
      </c>
      <c r="J1294" s="2" t="s">
        <v>2843</v>
      </c>
      <c r="K1294">
        <v>20</v>
      </c>
      <c r="L1294">
        <v>20</v>
      </c>
      <c r="M1294">
        <v>20</v>
      </c>
    </row>
    <row r="1295" spans="1:13" x14ac:dyDescent="0.25">
      <c r="A1295" t="s">
        <v>2844</v>
      </c>
      <c r="B1295" t="s">
        <v>2845</v>
      </c>
      <c r="C1295" t="s">
        <v>357</v>
      </c>
      <c r="D1295" t="s">
        <v>358</v>
      </c>
      <c r="F1295">
        <v>1</v>
      </c>
      <c r="G1295" t="s">
        <v>16</v>
      </c>
      <c r="H1295">
        <v>0</v>
      </c>
      <c r="I1295" s="2" t="s">
        <v>108</v>
      </c>
      <c r="J1295" s="3">
        <v>2561548002</v>
      </c>
      <c r="K1295">
        <v>20</v>
      </c>
      <c r="L1295">
        <v>20</v>
      </c>
      <c r="M1295">
        <v>20</v>
      </c>
    </row>
    <row r="1296" spans="1:13" x14ac:dyDescent="0.25">
      <c r="A1296" t="s">
        <v>2846</v>
      </c>
      <c r="B1296" t="s">
        <v>2847</v>
      </c>
      <c r="C1296" t="s">
        <v>357</v>
      </c>
      <c r="D1296" t="s">
        <v>358</v>
      </c>
      <c r="G1296" t="s">
        <v>16</v>
      </c>
      <c r="H1296">
        <v>0</v>
      </c>
      <c r="I1296" s="2" t="s">
        <v>715</v>
      </c>
      <c r="J1296" s="2" t="s">
        <v>2848</v>
      </c>
      <c r="K1296">
        <v>20</v>
      </c>
      <c r="L1296">
        <v>20</v>
      </c>
      <c r="M1296">
        <v>20</v>
      </c>
    </row>
    <row r="1297" spans="1:13" x14ac:dyDescent="0.25">
      <c r="A1297" t="s">
        <v>2849</v>
      </c>
      <c r="B1297" t="s">
        <v>2850</v>
      </c>
      <c r="C1297" t="s">
        <v>357</v>
      </c>
      <c r="D1297" t="s">
        <v>241</v>
      </c>
      <c r="G1297" t="s">
        <v>16</v>
      </c>
      <c r="H1297">
        <v>0</v>
      </c>
      <c r="I1297" s="2" t="s">
        <v>108</v>
      </c>
      <c r="J1297" s="3">
        <v>2541415001</v>
      </c>
      <c r="K1297">
        <v>20</v>
      </c>
      <c r="L1297">
        <v>20</v>
      </c>
      <c r="M1297">
        <v>20</v>
      </c>
    </row>
    <row r="1298" spans="1:13" x14ac:dyDescent="0.25">
      <c r="A1298" t="s">
        <v>2851</v>
      </c>
      <c r="B1298" t="s">
        <v>2850</v>
      </c>
      <c r="C1298" t="s">
        <v>357</v>
      </c>
      <c r="D1298" t="s">
        <v>241</v>
      </c>
      <c r="G1298" t="s">
        <v>16</v>
      </c>
      <c r="H1298">
        <v>0</v>
      </c>
      <c r="I1298" s="2" t="s">
        <v>64</v>
      </c>
      <c r="J1298" s="2" t="str">
        <f>"08110002"</f>
        <v>08110002</v>
      </c>
      <c r="K1298">
        <v>20</v>
      </c>
      <c r="L1298">
        <v>20</v>
      </c>
      <c r="M1298">
        <v>20</v>
      </c>
    </row>
    <row r="1299" spans="1:13" x14ac:dyDescent="0.25">
      <c r="A1299" t="s">
        <v>2852</v>
      </c>
      <c r="B1299" t="s">
        <v>2850</v>
      </c>
      <c r="C1299" t="s">
        <v>357</v>
      </c>
      <c r="D1299" t="s">
        <v>358</v>
      </c>
      <c r="F1299">
        <v>1</v>
      </c>
      <c r="G1299" t="s">
        <v>16</v>
      </c>
      <c r="H1299">
        <v>0</v>
      </c>
      <c r="I1299" s="2" t="s">
        <v>2853</v>
      </c>
      <c r="J1299" s="2" t="s">
        <v>2854</v>
      </c>
      <c r="K1299">
        <v>20</v>
      </c>
      <c r="L1299">
        <v>20</v>
      </c>
      <c r="M1299">
        <v>20</v>
      </c>
    </row>
    <row r="1300" spans="1:13" x14ac:dyDescent="0.25">
      <c r="A1300" t="s">
        <v>2855</v>
      </c>
      <c r="B1300" t="s">
        <v>2850</v>
      </c>
      <c r="C1300" t="s">
        <v>357</v>
      </c>
      <c r="D1300" t="s">
        <v>358</v>
      </c>
      <c r="F1300">
        <v>1</v>
      </c>
      <c r="G1300" t="s">
        <v>16</v>
      </c>
      <c r="H1300">
        <v>0</v>
      </c>
      <c r="K1300">
        <v>20</v>
      </c>
      <c r="L1300">
        <v>20</v>
      </c>
      <c r="M1300">
        <v>20</v>
      </c>
    </row>
    <row r="1301" spans="1:13" x14ac:dyDescent="0.25">
      <c r="A1301" t="s">
        <v>2856</v>
      </c>
      <c r="B1301" t="s">
        <v>2857</v>
      </c>
      <c r="C1301" t="s">
        <v>357</v>
      </c>
      <c r="D1301" t="s">
        <v>358</v>
      </c>
      <c r="F1301">
        <v>1</v>
      </c>
      <c r="G1301" t="s">
        <v>16</v>
      </c>
      <c r="H1301">
        <v>0</v>
      </c>
      <c r="I1301" s="2" t="s">
        <v>108</v>
      </c>
      <c r="J1301" s="3">
        <v>2661416003</v>
      </c>
      <c r="K1301">
        <v>20</v>
      </c>
      <c r="L1301">
        <v>20</v>
      </c>
      <c r="M1301">
        <v>20</v>
      </c>
    </row>
    <row r="1302" spans="1:13" x14ac:dyDescent="0.25">
      <c r="A1302" t="s">
        <v>2858</v>
      </c>
      <c r="B1302" t="s">
        <v>2859</v>
      </c>
      <c r="C1302" t="s">
        <v>357</v>
      </c>
      <c r="F1302">
        <v>2</v>
      </c>
      <c r="G1302" t="s">
        <v>16</v>
      </c>
      <c r="H1302">
        <v>0</v>
      </c>
      <c r="I1302" s="2" t="s">
        <v>87</v>
      </c>
      <c r="J1302" s="2" t="s">
        <v>2860</v>
      </c>
      <c r="K1302">
        <v>20</v>
      </c>
      <c r="L1302">
        <v>20</v>
      </c>
      <c r="M1302">
        <v>20</v>
      </c>
    </row>
    <row r="1303" spans="1:13" x14ac:dyDescent="0.25">
      <c r="A1303" t="s">
        <v>2861</v>
      </c>
      <c r="B1303" t="s">
        <v>2862</v>
      </c>
      <c r="C1303" t="s">
        <v>357</v>
      </c>
      <c r="D1303" t="s">
        <v>358</v>
      </c>
      <c r="F1303">
        <v>1</v>
      </c>
      <c r="G1303" t="s">
        <v>16</v>
      </c>
      <c r="H1303">
        <v>0</v>
      </c>
      <c r="I1303" s="2" t="s">
        <v>51</v>
      </c>
      <c r="J1303" s="2" t="s">
        <v>2861</v>
      </c>
      <c r="K1303">
        <v>20</v>
      </c>
      <c r="L1303">
        <v>20</v>
      </c>
      <c r="M1303">
        <v>20</v>
      </c>
    </row>
    <row r="1304" spans="1:13" x14ac:dyDescent="0.25">
      <c r="A1304" t="s">
        <v>2863</v>
      </c>
      <c r="B1304" t="s">
        <v>2862</v>
      </c>
      <c r="C1304" t="s">
        <v>357</v>
      </c>
      <c r="D1304" t="s">
        <v>358</v>
      </c>
      <c r="F1304">
        <v>1</v>
      </c>
      <c r="G1304" t="s">
        <v>16</v>
      </c>
      <c r="H1304">
        <v>0</v>
      </c>
      <c r="I1304" s="2" t="s">
        <v>1663</v>
      </c>
      <c r="J1304" s="2" t="s">
        <v>2864</v>
      </c>
      <c r="K1304">
        <v>20</v>
      </c>
      <c r="L1304">
        <v>20</v>
      </c>
      <c r="M1304">
        <v>20</v>
      </c>
    </row>
    <row r="1305" spans="1:13" x14ac:dyDescent="0.25">
      <c r="A1305" t="s">
        <v>2865</v>
      </c>
      <c r="B1305" t="s">
        <v>2862</v>
      </c>
      <c r="C1305" t="s">
        <v>357</v>
      </c>
      <c r="D1305" t="s">
        <v>358</v>
      </c>
      <c r="G1305" t="s">
        <v>16</v>
      </c>
      <c r="H1305">
        <v>0</v>
      </c>
      <c r="I1305" s="2" t="s">
        <v>715</v>
      </c>
      <c r="J1305" s="2" t="s">
        <v>2866</v>
      </c>
      <c r="K1305">
        <v>20</v>
      </c>
      <c r="L1305">
        <v>20</v>
      </c>
      <c r="M1305">
        <v>20</v>
      </c>
    </row>
    <row r="1306" spans="1:13" x14ac:dyDescent="0.25">
      <c r="A1306" t="s">
        <v>2867</v>
      </c>
      <c r="B1306" t="s">
        <v>2868</v>
      </c>
      <c r="C1306" t="s">
        <v>357</v>
      </c>
      <c r="G1306" t="s">
        <v>16</v>
      </c>
      <c r="H1306">
        <v>0</v>
      </c>
      <c r="I1306" s="2" t="s">
        <v>108</v>
      </c>
      <c r="J1306" s="3">
        <v>2661548001</v>
      </c>
      <c r="K1306">
        <v>20</v>
      </c>
      <c r="L1306">
        <v>20</v>
      </c>
      <c r="M1306">
        <v>20</v>
      </c>
    </row>
    <row r="1307" spans="1:13" x14ac:dyDescent="0.25">
      <c r="A1307" t="s">
        <v>2869</v>
      </c>
      <c r="B1307" t="s">
        <v>2870</v>
      </c>
      <c r="C1307" t="s">
        <v>357</v>
      </c>
      <c r="D1307" t="s">
        <v>358</v>
      </c>
      <c r="F1307">
        <v>1</v>
      </c>
      <c r="G1307" t="s">
        <v>16</v>
      </c>
      <c r="H1307">
        <v>0</v>
      </c>
      <c r="I1307" s="2" t="s">
        <v>87</v>
      </c>
      <c r="J1307" s="2" t="s">
        <v>2871</v>
      </c>
      <c r="K1307">
        <v>20</v>
      </c>
      <c r="L1307">
        <v>20</v>
      </c>
      <c r="M1307">
        <v>20</v>
      </c>
    </row>
    <row r="1308" spans="1:13" x14ac:dyDescent="0.25">
      <c r="A1308" t="s">
        <v>2872</v>
      </c>
      <c r="B1308" t="s">
        <v>2873</v>
      </c>
      <c r="C1308" t="s">
        <v>357</v>
      </c>
      <c r="D1308" t="s">
        <v>358</v>
      </c>
      <c r="F1308">
        <v>1</v>
      </c>
      <c r="G1308" t="s">
        <v>16</v>
      </c>
      <c r="H1308">
        <v>0</v>
      </c>
      <c r="I1308" s="2" t="s">
        <v>156</v>
      </c>
      <c r="J1308" s="2" t="s">
        <v>2874</v>
      </c>
      <c r="K1308">
        <v>20</v>
      </c>
      <c r="L1308">
        <v>20</v>
      </c>
      <c r="M1308">
        <v>20</v>
      </c>
    </row>
    <row r="1309" spans="1:13" x14ac:dyDescent="0.25">
      <c r="A1309" t="s">
        <v>2875</v>
      </c>
      <c r="B1309" t="s">
        <v>2876</v>
      </c>
      <c r="C1309" t="s">
        <v>241</v>
      </c>
      <c r="D1309" t="s">
        <v>2216</v>
      </c>
      <c r="F1309">
        <v>1</v>
      </c>
      <c r="G1309" t="s">
        <v>16</v>
      </c>
      <c r="H1309">
        <v>0</v>
      </c>
      <c r="I1309" s="2" t="s">
        <v>108</v>
      </c>
      <c r="J1309" s="3">
        <v>2571416002</v>
      </c>
      <c r="K1309">
        <v>20</v>
      </c>
      <c r="L1309">
        <v>20</v>
      </c>
      <c r="M1309">
        <v>20</v>
      </c>
    </row>
    <row r="1310" spans="1:13" x14ac:dyDescent="0.25">
      <c r="A1310" t="s">
        <v>2877</v>
      </c>
      <c r="B1310" t="s">
        <v>2876</v>
      </c>
      <c r="C1310" t="s">
        <v>357</v>
      </c>
      <c r="D1310" t="s">
        <v>241</v>
      </c>
      <c r="F1310">
        <v>2</v>
      </c>
      <c r="G1310" t="s">
        <v>16</v>
      </c>
      <c r="H1310">
        <v>0</v>
      </c>
      <c r="I1310" s="2" t="s">
        <v>64</v>
      </c>
      <c r="J1310" s="2">
        <v>10030874</v>
      </c>
      <c r="K1310">
        <v>20</v>
      </c>
      <c r="L1310">
        <v>20</v>
      </c>
      <c r="M1310">
        <v>20</v>
      </c>
    </row>
    <row r="1311" spans="1:13" x14ac:dyDescent="0.25">
      <c r="A1311" t="s">
        <v>2878</v>
      </c>
      <c r="B1311" t="s">
        <v>2880</v>
      </c>
      <c r="C1311" t="s">
        <v>357</v>
      </c>
      <c r="D1311" t="s">
        <v>241</v>
      </c>
      <c r="F1311">
        <v>1</v>
      </c>
      <c r="G1311" t="s">
        <v>16</v>
      </c>
      <c r="H1311">
        <v>0</v>
      </c>
      <c r="I1311" s="2" t="s">
        <v>2881</v>
      </c>
      <c r="J1311" s="2" t="s">
        <v>2879</v>
      </c>
      <c r="K1311">
        <v>20</v>
      </c>
      <c r="L1311">
        <v>20</v>
      </c>
      <c r="M1311">
        <v>20</v>
      </c>
    </row>
    <row r="1312" spans="1:13" x14ac:dyDescent="0.25">
      <c r="A1312" t="s">
        <v>2882</v>
      </c>
      <c r="B1312" t="s">
        <v>2880</v>
      </c>
      <c r="C1312" t="s">
        <v>241</v>
      </c>
      <c r="D1312" t="s">
        <v>2216</v>
      </c>
      <c r="F1312">
        <v>2</v>
      </c>
      <c r="G1312" t="s">
        <v>16</v>
      </c>
      <c r="H1312">
        <v>0</v>
      </c>
      <c r="I1312" s="2" t="s">
        <v>245</v>
      </c>
      <c r="J1312" s="2" t="s">
        <v>2883</v>
      </c>
      <c r="K1312">
        <v>20</v>
      </c>
      <c r="L1312">
        <v>20</v>
      </c>
      <c r="M1312">
        <v>20</v>
      </c>
    </row>
    <row r="1313" spans="1:13" x14ac:dyDescent="0.25">
      <c r="A1313" t="s">
        <v>2884</v>
      </c>
      <c r="B1313" t="s">
        <v>2885</v>
      </c>
      <c r="C1313" t="s">
        <v>357</v>
      </c>
      <c r="D1313" t="s">
        <v>241</v>
      </c>
      <c r="F1313">
        <v>1</v>
      </c>
      <c r="G1313" t="s">
        <v>16</v>
      </c>
      <c r="H1313">
        <v>0</v>
      </c>
      <c r="I1313" s="2" t="s">
        <v>245</v>
      </c>
      <c r="J1313" s="2" t="s">
        <v>2886</v>
      </c>
      <c r="K1313">
        <v>20</v>
      </c>
      <c r="L1313">
        <v>20</v>
      </c>
      <c r="M1313">
        <v>20</v>
      </c>
    </row>
    <row r="1314" spans="1:13" x14ac:dyDescent="0.25">
      <c r="A1314" t="s">
        <v>2887</v>
      </c>
      <c r="B1314" t="s">
        <v>2888</v>
      </c>
      <c r="C1314" t="s">
        <v>357</v>
      </c>
      <c r="D1314" t="s">
        <v>358</v>
      </c>
      <c r="F1314">
        <v>1</v>
      </c>
      <c r="G1314" t="s">
        <v>16</v>
      </c>
      <c r="H1314">
        <v>0</v>
      </c>
      <c r="I1314" s="2" t="s">
        <v>55</v>
      </c>
      <c r="J1314" s="2" t="s">
        <v>2887</v>
      </c>
      <c r="K1314">
        <v>20</v>
      </c>
      <c r="L1314">
        <v>20</v>
      </c>
      <c r="M1314">
        <v>20</v>
      </c>
    </row>
    <row r="1315" spans="1:13" x14ac:dyDescent="0.25">
      <c r="A1315" t="s">
        <v>2889</v>
      </c>
      <c r="B1315" t="s">
        <v>2888</v>
      </c>
      <c r="C1315" t="s">
        <v>357</v>
      </c>
      <c r="D1315" t="s">
        <v>358</v>
      </c>
      <c r="F1315">
        <v>0</v>
      </c>
      <c r="G1315" t="s">
        <v>16</v>
      </c>
      <c r="H1315">
        <v>0</v>
      </c>
      <c r="I1315" s="2" t="s">
        <v>108</v>
      </c>
      <c r="J1315" s="3">
        <v>2541405003</v>
      </c>
      <c r="K1315">
        <v>20</v>
      </c>
      <c r="L1315">
        <v>20</v>
      </c>
      <c r="M1315">
        <v>20</v>
      </c>
    </row>
    <row r="1316" spans="1:13" x14ac:dyDescent="0.25">
      <c r="A1316" t="s">
        <v>2890</v>
      </c>
      <c r="B1316" t="s">
        <v>2888</v>
      </c>
      <c r="C1316" t="s">
        <v>357</v>
      </c>
      <c r="D1316" t="s">
        <v>358</v>
      </c>
      <c r="F1316">
        <v>1</v>
      </c>
      <c r="G1316" t="s">
        <v>16</v>
      </c>
      <c r="H1316">
        <v>0</v>
      </c>
      <c r="I1316" s="2" t="s">
        <v>598</v>
      </c>
      <c r="J1316" s="2">
        <v>572325</v>
      </c>
      <c r="K1316">
        <v>20</v>
      </c>
      <c r="L1316">
        <v>20</v>
      </c>
      <c r="M1316">
        <v>20</v>
      </c>
    </row>
    <row r="1317" spans="1:13" x14ac:dyDescent="0.25">
      <c r="A1317" t="s">
        <v>2891</v>
      </c>
      <c r="B1317" t="s">
        <v>2888</v>
      </c>
      <c r="C1317" t="s">
        <v>357</v>
      </c>
      <c r="D1317" t="s">
        <v>358</v>
      </c>
      <c r="F1317">
        <v>0</v>
      </c>
      <c r="G1317" t="s">
        <v>16</v>
      </c>
      <c r="H1317">
        <v>0</v>
      </c>
      <c r="I1317" s="2" t="s">
        <v>491</v>
      </c>
      <c r="J1317" s="2">
        <v>359001200160</v>
      </c>
      <c r="K1317">
        <v>20</v>
      </c>
      <c r="L1317">
        <v>20</v>
      </c>
      <c r="M1317">
        <v>20</v>
      </c>
    </row>
    <row r="1318" spans="1:13" x14ac:dyDescent="0.25">
      <c r="A1318" t="s">
        <v>2892</v>
      </c>
      <c r="B1318" t="s">
        <v>2888</v>
      </c>
      <c r="C1318" t="s">
        <v>357</v>
      </c>
      <c r="D1318" t="s">
        <v>358</v>
      </c>
      <c r="G1318" t="s">
        <v>16</v>
      </c>
      <c r="H1318">
        <v>0</v>
      </c>
      <c r="I1318" s="2" t="s">
        <v>285</v>
      </c>
      <c r="J1318" s="2">
        <v>85160</v>
      </c>
      <c r="K1318">
        <v>20</v>
      </c>
      <c r="L1318">
        <v>20</v>
      </c>
      <c r="M1318">
        <v>20</v>
      </c>
    </row>
    <row r="1319" spans="1:13" x14ac:dyDescent="0.25">
      <c r="A1319" t="s">
        <v>2893</v>
      </c>
      <c r="B1319" t="s">
        <v>2888</v>
      </c>
      <c r="C1319" t="s">
        <v>357</v>
      </c>
      <c r="D1319" t="s">
        <v>358</v>
      </c>
      <c r="F1319">
        <v>1</v>
      </c>
      <c r="G1319" t="s">
        <v>16</v>
      </c>
      <c r="H1319">
        <v>0</v>
      </c>
      <c r="I1319" s="2" t="s">
        <v>865</v>
      </c>
      <c r="J1319" s="2" t="s">
        <v>2894</v>
      </c>
      <c r="K1319">
        <v>20</v>
      </c>
      <c r="L1319">
        <v>20</v>
      </c>
      <c r="M1319">
        <v>20</v>
      </c>
    </row>
    <row r="1320" spans="1:13" x14ac:dyDescent="0.25">
      <c r="A1320" t="s">
        <v>2895</v>
      </c>
      <c r="B1320" t="s">
        <v>2888</v>
      </c>
      <c r="C1320" t="s">
        <v>357</v>
      </c>
      <c r="D1320" t="s">
        <v>358</v>
      </c>
      <c r="G1320" t="s">
        <v>16</v>
      </c>
      <c r="H1320">
        <v>0</v>
      </c>
      <c r="I1320" s="2" t="s">
        <v>2896</v>
      </c>
      <c r="J1320" s="2">
        <v>131184</v>
      </c>
      <c r="K1320">
        <v>20</v>
      </c>
      <c r="L1320">
        <v>20</v>
      </c>
      <c r="M1320">
        <v>20</v>
      </c>
    </row>
    <row r="1321" spans="1:13" x14ac:dyDescent="0.25">
      <c r="A1321" t="s">
        <v>2897</v>
      </c>
      <c r="B1321" t="s">
        <v>2888</v>
      </c>
      <c r="C1321" t="s">
        <v>357</v>
      </c>
      <c r="D1321" t="s">
        <v>358</v>
      </c>
      <c r="F1321">
        <v>0</v>
      </c>
      <c r="G1321" t="s">
        <v>16</v>
      </c>
      <c r="H1321">
        <v>0</v>
      </c>
      <c r="I1321" s="2" t="s">
        <v>2899</v>
      </c>
      <c r="J1321" s="2" t="s">
        <v>2898</v>
      </c>
      <c r="K1321">
        <v>20</v>
      </c>
      <c r="L1321">
        <v>20</v>
      </c>
      <c r="M1321">
        <v>20</v>
      </c>
    </row>
    <row r="1322" spans="1:13" x14ac:dyDescent="0.25">
      <c r="A1322" t="s">
        <v>2900</v>
      </c>
      <c r="B1322" t="s">
        <v>2901</v>
      </c>
      <c r="C1322" t="s">
        <v>357</v>
      </c>
      <c r="D1322" t="s">
        <v>358</v>
      </c>
      <c r="F1322">
        <v>1</v>
      </c>
      <c r="G1322" t="s">
        <v>16</v>
      </c>
      <c r="H1322">
        <v>0</v>
      </c>
      <c r="I1322" s="2" t="s">
        <v>87</v>
      </c>
      <c r="J1322" s="2" t="s">
        <v>2902</v>
      </c>
      <c r="K1322">
        <v>20</v>
      </c>
      <c r="L1322">
        <v>20</v>
      </c>
      <c r="M1322">
        <v>20</v>
      </c>
    </row>
    <row r="1323" spans="1:13" x14ac:dyDescent="0.25">
      <c r="A1323" t="s">
        <v>2903</v>
      </c>
      <c r="B1323" t="s">
        <v>2904</v>
      </c>
      <c r="C1323" t="s">
        <v>357</v>
      </c>
      <c r="D1323" t="s">
        <v>358</v>
      </c>
      <c r="F1323">
        <v>0</v>
      </c>
      <c r="G1323" t="s">
        <v>16</v>
      </c>
      <c r="H1323">
        <v>0</v>
      </c>
      <c r="I1323" s="2" t="s">
        <v>598</v>
      </c>
      <c r="J1323" s="2">
        <v>572435</v>
      </c>
      <c r="K1323">
        <v>20</v>
      </c>
      <c r="L1323">
        <v>20</v>
      </c>
      <c r="M1323">
        <v>20</v>
      </c>
    </row>
    <row r="1324" spans="1:13" x14ac:dyDescent="0.25">
      <c r="A1324" t="s">
        <v>2905</v>
      </c>
      <c r="B1324" t="s">
        <v>2904</v>
      </c>
      <c r="C1324" t="s">
        <v>357</v>
      </c>
      <c r="D1324" t="s">
        <v>358</v>
      </c>
      <c r="F1324">
        <v>2</v>
      </c>
      <c r="G1324" t="s">
        <v>16</v>
      </c>
      <c r="H1324">
        <v>0</v>
      </c>
      <c r="I1324" s="2" t="s">
        <v>865</v>
      </c>
      <c r="J1324" s="2" t="s">
        <v>2906</v>
      </c>
      <c r="K1324">
        <v>20</v>
      </c>
      <c r="L1324">
        <v>20</v>
      </c>
      <c r="M1324">
        <v>20</v>
      </c>
    </row>
    <row r="1325" spans="1:13" x14ac:dyDescent="0.25">
      <c r="A1325" t="s">
        <v>2907</v>
      </c>
      <c r="B1325" t="s">
        <v>2908</v>
      </c>
      <c r="C1325" t="s">
        <v>241</v>
      </c>
      <c r="D1325" t="s">
        <v>2216</v>
      </c>
      <c r="F1325">
        <v>1</v>
      </c>
      <c r="G1325" t="s">
        <v>16</v>
      </c>
      <c r="H1325">
        <v>0</v>
      </c>
      <c r="I1325" s="2" t="s">
        <v>245</v>
      </c>
      <c r="J1325" s="2" t="s">
        <v>2909</v>
      </c>
      <c r="K1325">
        <v>20</v>
      </c>
      <c r="L1325">
        <v>20</v>
      </c>
      <c r="M1325">
        <v>20</v>
      </c>
    </row>
    <row r="1326" spans="1:13" x14ac:dyDescent="0.25">
      <c r="A1326" t="s">
        <v>2910</v>
      </c>
      <c r="B1326" t="s">
        <v>2911</v>
      </c>
      <c r="C1326" t="s">
        <v>357</v>
      </c>
      <c r="D1326" t="s">
        <v>358</v>
      </c>
      <c r="F1326">
        <v>1</v>
      </c>
      <c r="G1326" t="s">
        <v>16</v>
      </c>
      <c r="H1326">
        <v>0</v>
      </c>
      <c r="I1326" s="2" t="s">
        <v>87</v>
      </c>
      <c r="J1326" s="2" t="s">
        <v>2912</v>
      </c>
      <c r="K1326">
        <v>20</v>
      </c>
      <c r="L1326">
        <v>20</v>
      </c>
      <c r="M1326">
        <v>20</v>
      </c>
    </row>
    <row r="1327" spans="1:13" x14ac:dyDescent="0.25">
      <c r="A1327" t="s">
        <v>2913</v>
      </c>
      <c r="B1327" t="s">
        <v>2914</v>
      </c>
      <c r="C1327" t="s">
        <v>357</v>
      </c>
      <c r="D1327" t="s">
        <v>358</v>
      </c>
      <c r="F1327">
        <v>1</v>
      </c>
      <c r="G1327" t="s">
        <v>16</v>
      </c>
      <c r="H1327">
        <v>0</v>
      </c>
      <c r="I1327" s="2" t="s">
        <v>1488</v>
      </c>
      <c r="J1327" s="3">
        <v>78671</v>
      </c>
      <c r="K1327">
        <v>20</v>
      </c>
      <c r="L1327">
        <v>20</v>
      </c>
      <c r="M1327">
        <v>20</v>
      </c>
    </row>
    <row r="1328" spans="1:13" x14ac:dyDescent="0.25">
      <c r="A1328" t="s">
        <v>2915</v>
      </c>
      <c r="B1328" t="s">
        <v>2914</v>
      </c>
      <c r="C1328" t="s">
        <v>357</v>
      </c>
      <c r="D1328" t="s">
        <v>358</v>
      </c>
      <c r="F1328">
        <v>1</v>
      </c>
      <c r="G1328" t="s">
        <v>16</v>
      </c>
      <c r="H1328">
        <v>0</v>
      </c>
      <c r="I1328" s="2" t="s">
        <v>108</v>
      </c>
      <c r="J1328" s="3">
        <v>2861405001</v>
      </c>
      <c r="K1328">
        <v>20</v>
      </c>
      <c r="L1328">
        <v>20</v>
      </c>
      <c r="M1328">
        <v>20</v>
      </c>
    </row>
    <row r="1329" spans="1:13" x14ac:dyDescent="0.25">
      <c r="A1329" t="s">
        <v>2916</v>
      </c>
      <c r="B1329" t="s">
        <v>2914</v>
      </c>
      <c r="C1329" t="s">
        <v>357</v>
      </c>
      <c r="D1329" t="s">
        <v>358</v>
      </c>
      <c r="G1329" t="s">
        <v>16</v>
      </c>
      <c r="H1329">
        <v>0</v>
      </c>
      <c r="I1329" s="2" t="s">
        <v>404</v>
      </c>
      <c r="J1329" s="2" t="s">
        <v>2917</v>
      </c>
      <c r="K1329">
        <v>20</v>
      </c>
      <c r="L1329">
        <v>20</v>
      </c>
      <c r="M1329">
        <v>20</v>
      </c>
    </row>
    <row r="1330" spans="1:13" x14ac:dyDescent="0.25">
      <c r="A1330" t="s">
        <v>2918</v>
      </c>
      <c r="B1330" t="s">
        <v>2914</v>
      </c>
      <c r="C1330" t="s">
        <v>357</v>
      </c>
      <c r="D1330" t="s">
        <v>358</v>
      </c>
      <c r="G1330" t="s">
        <v>16</v>
      </c>
      <c r="H1330">
        <v>0</v>
      </c>
      <c r="I1330" s="2" t="s">
        <v>598</v>
      </c>
      <c r="J1330" s="2">
        <v>572440</v>
      </c>
      <c r="K1330">
        <v>20</v>
      </c>
      <c r="L1330">
        <v>20</v>
      </c>
      <c r="M1330">
        <v>20</v>
      </c>
    </row>
    <row r="1331" spans="1:13" x14ac:dyDescent="0.25">
      <c r="A1331" t="s">
        <v>2919</v>
      </c>
      <c r="B1331" t="s">
        <v>2914</v>
      </c>
      <c r="C1331" t="s">
        <v>357</v>
      </c>
      <c r="D1331" t="s">
        <v>358</v>
      </c>
      <c r="G1331" t="s">
        <v>16</v>
      </c>
      <c r="H1331">
        <v>0</v>
      </c>
      <c r="I1331" s="2" t="s">
        <v>165</v>
      </c>
      <c r="J1331" s="2">
        <v>722327</v>
      </c>
      <c r="K1331">
        <v>20</v>
      </c>
      <c r="L1331">
        <v>20</v>
      </c>
      <c r="M1331">
        <v>20</v>
      </c>
    </row>
    <row r="1332" spans="1:13" x14ac:dyDescent="0.25">
      <c r="A1332" t="s">
        <v>2920</v>
      </c>
      <c r="B1332" t="s">
        <v>2921</v>
      </c>
      <c r="C1332" t="s">
        <v>357</v>
      </c>
      <c r="D1332" t="s">
        <v>358</v>
      </c>
      <c r="G1332" t="s">
        <v>16</v>
      </c>
      <c r="H1332">
        <v>0</v>
      </c>
      <c r="I1332" s="2" t="s">
        <v>865</v>
      </c>
      <c r="J1332" s="2" t="s">
        <v>2922</v>
      </c>
      <c r="K1332">
        <v>20</v>
      </c>
      <c r="L1332">
        <v>20</v>
      </c>
      <c r="M1332">
        <v>20</v>
      </c>
    </row>
    <row r="1333" spans="1:13" x14ac:dyDescent="0.25">
      <c r="A1333" t="s">
        <v>2923</v>
      </c>
      <c r="B1333" t="s">
        <v>2924</v>
      </c>
      <c r="C1333" t="s">
        <v>241</v>
      </c>
      <c r="D1333" t="s">
        <v>2216</v>
      </c>
      <c r="F1333">
        <v>1</v>
      </c>
      <c r="G1333" t="s">
        <v>16</v>
      </c>
      <c r="H1333">
        <v>0</v>
      </c>
      <c r="I1333" s="2" t="s">
        <v>245</v>
      </c>
      <c r="J1333" s="2" t="s">
        <v>2925</v>
      </c>
      <c r="K1333">
        <v>20</v>
      </c>
      <c r="L1333">
        <v>20</v>
      </c>
      <c r="M1333">
        <v>20</v>
      </c>
    </row>
    <row r="1334" spans="1:13" x14ac:dyDescent="0.25">
      <c r="A1334" t="s">
        <v>2926</v>
      </c>
      <c r="B1334" t="s">
        <v>2927</v>
      </c>
      <c r="C1334" t="s">
        <v>357</v>
      </c>
      <c r="D1334" t="s">
        <v>241</v>
      </c>
      <c r="F1334">
        <v>2</v>
      </c>
      <c r="G1334" t="s">
        <v>16</v>
      </c>
      <c r="H1334">
        <v>0</v>
      </c>
      <c r="I1334" s="2" t="s">
        <v>737</v>
      </c>
      <c r="J1334" s="2" t="s">
        <v>2928</v>
      </c>
      <c r="K1334">
        <v>20</v>
      </c>
      <c r="L1334">
        <v>20</v>
      </c>
      <c r="M1334">
        <v>20</v>
      </c>
    </row>
    <row r="1335" spans="1:13" x14ac:dyDescent="0.25">
      <c r="A1335" t="s">
        <v>2929</v>
      </c>
      <c r="B1335" t="s">
        <v>2930</v>
      </c>
      <c r="C1335" t="s">
        <v>357</v>
      </c>
      <c r="D1335" t="s">
        <v>241</v>
      </c>
      <c r="F1335">
        <v>2</v>
      </c>
      <c r="G1335" t="s">
        <v>16</v>
      </c>
      <c r="H1335">
        <v>0</v>
      </c>
      <c r="I1335" s="2" t="s">
        <v>64</v>
      </c>
      <c r="J1335" s="2">
        <v>10030954</v>
      </c>
      <c r="K1335">
        <v>20</v>
      </c>
      <c r="L1335">
        <v>20</v>
      </c>
      <c r="M1335">
        <v>20</v>
      </c>
    </row>
    <row r="1336" spans="1:13" x14ac:dyDescent="0.25">
      <c r="A1336" t="s">
        <v>2931</v>
      </c>
      <c r="B1336" t="s">
        <v>2930</v>
      </c>
      <c r="C1336" t="s">
        <v>357</v>
      </c>
      <c r="D1336" t="s">
        <v>241</v>
      </c>
      <c r="F1336">
        <v>3</v>
      </c>
      <c r="G1336" t="s">
        <v>16</v>
      </c>
      <c r="H1336">
        <v>0</v>
      </c>
      <c r="I1336" s="2" t="s">
        <v>2932</v>
      </c>
      <c r="J1336" s="2" t="s">
        <v>2933</v>
      </c>
      <c r="K1336">
        <v>20</v>
      </c>
      <c r="L1336">
        <v>20</v>
      </c>
      <c r="M1336">
        <v>20</v>
      </c>
    </row>
    <row r="1337" spans="1:13" x14ac:dyDescent="0.25">
      <c r="A1337" t="s">
        <v>2934</v>
      </c>
      <c r="B1337" t="s">
        <v>2930</v>
      </c>
      <c r="C1337" t="s">
        <v>357</v>
      </c>
      <c r="D1337" t="s">
        <v>241</v>
      </c>
      <c r="F1337">
        <v>6</v>
      </c>
      <c r="G1337" t="s">
        <v>16</v>
      </c>
      <c r="H1337">
        <v>0</v>
      </c>
      <c r="I1337" s="2" t="s">
        <v>2935</v>
      </c>
      <c r="J1337" s="2">
        <v>66129</v>
      </c>
      <c r="K1337">
        <v>20</v>
      </c>
      <c r="L1337">
        <v>20</v>
      </c>
      <c r="M1337">
        <v>20</v>
      </c>
    </row>
    <row r="1338" spans="1:13" x14ac:dyDescent="0.25">
      <c r="A1338" t="s">
        <v>2936</v>
      </c>
      <c r="B1338" t="s">
        <v>2930</v>
      </c>
      <c r="C1338" t="s">
        <v>241</v>
      </c>
      <c r="D1338" t="s">
        <v>2216</v>
      </c>
      <c r="F1338">
        <v>2</v>
      </c>
      <c r="G1338" t="s">
        <v>16</v>
      </c>
      <c r="H1338">
        <v>0</v>
      </c>
      <c r="I1338" s="2" t="s">
        <v>737</v>
      </c>
      <c r="J1338" s="2" t="s">
        <v>2937</v>
      </c>
      <c r="K1338">
        <v>20</v>
      </c>
      <c r="L1338">
        <v>20</v>
      </c>
      <c r="M1338">
        <v>20</v>
      </c>
    </row>
    <row r="1339" spans="1:13" x14ac:dyDescent="0.25">
      <c r="A1339" t="s">
        <v>2938</v>
      </c>
      <c r="B1339" t="s">
        <v>2939</v>
      </c>
      <c r="C1339" t="s">
        <v>357</v>
      </c>
      <c r="D1339" t="s">
        <v>241</v>
      </c>
      <c r="G1339" t="s">
        <v>16</v>
      </c>
      <c r="H1339">
        <v>0</v>
      </c>
      <c r="I1339" s="2" t="s">
        <v>245</v>
      </c>
      <c r="J1339" s="2" t="s">
        <v>2940</v>
      </c>
      <c r="K1339">
        <v>20</v>
      </c>
      <c r="L1339">
        <v>20</v>
      </c>
      <c r="M1339">
        <v>20</v>
      </c>
    </row>
    <row r="1340" spans="1:13" x14ac:dyDescent="0.25">
      <c r="A1340" t="s">
        <v>2941</v>
      </c>
      <c r="B1340" t="s">
        <v>2942</v>
      </c>
      <c r="C1340" t="s">
        <v>357</v>
      </c>
      <c r="D1340" t="s">
        <v>241</v>
      </c>
      <c r="F1340">
        <v>1</v>
      </c>
      <c r="G1340" t="s">
        <v>16</v>
      </c>
      <c r="H1340">
        <v>0</v>
      </c>
      <c r="I1340" s="2" t="s">
        <v>243</v>
      </c>
      <c r="J1340" s="2">
        <v>21185</v>
      </c>
      <c r="K1340">
        <v>20</v>
      </c>
      <c r="L1340">
        <v>20</v>
      </c>
      <c r="M1340">
        <v>20</v>
      </c>
    </row>
    <row r="1341" spans="1:13" x14ac:dyDescent="0.25">
      <c r="A1341" t="s">
        <v>2943</v>
      </c>
      <c r="B1341" t="s">
        <v>2944</v>
      </c>
      <c r="C1341" t="s">
        <v>357</v>
      </c>
      <c r="D1341" t="s">
        <v>241</v>
      </c>
      <c r="F1341">
        <v>3</v>
      </c>
      <c r="G1341" t="s">
        <v>16</v>
      </c>
      <c r="H1341">
        <v>0</v>
      </c>
      <c r="I1341" s="2" t="s">
        <v>142</v>
      </c>
      <c r="J1341" s="2" t="s">
        <v>2945</v>
      </c>
      <c r="K1341">
        <v>20</v>
      </c>
      <c r="L1341">
        <v>20</v>
      </c>
      <c r="M1341">
        <v>20</v>
      </c>
    </row>
    <row r="1342" spans="1:13" x14ac:dyDescent="0.25">
      <c r="A1342" t="s">
        <v>2946</v>
      </c>
      <c r="B1342" t="s">
        <v>2947</v>
      </c>
      <c r="C1342" t="s">
        <v>1432</v>
      </c>
      <c r="F1342">
        <v>1</v>
      </c>
      <c r="G1342" t="s">
        <v>16</v>
      </c>
      <c r="H1342">
        <v>0</v>
      </c>
      <c r="K1342">
        <v>20</v>
      </c>
      <c r="L1342">
        <v>20</v>
      </c>
      <c r="M1342">
        <v>20</v>
      </c>
    </row>
    <row r="1343" spans="1:13" x14ac:dyDescent="0.25">
      <c r="A1343" t="s">
        <v>2948</v>
      </c>
      <c r="B1343" t="s">
        <v>2949</v>
      </c>
      <c r="C1343" t="s">
        <v>357</v>
      </c>
      <c r="D1343" t="s">
        <v>241</v>
      </c>
      <c r="G1343" t="s">
        <v>16</v>
      </c>
      <c r="H1343">
        <v>0</v>
      </c>
      <c r="K1343">
        <v>20</v>
      </c>
      <c r="L1343">
        <v>20</v>
      </c>
      <c r="M1343">
        <v>20</v>
      </c>
    </row>
    <row r="1344" spans="1:13" x14ac:dyDescent="0.25">
      <c r="A1344" t="s">
        <v>2950</v>
      </c>
      <c r="B1344" t="s">
        <v>2951</v>
      </c>
      <c r="C1344" t="s">
        <v>357</v>
      </c>
      <c r="D1344" t="s">
        <v>241</v>
      </c>
      <c r="G1344" t="s">
        <v>16</v>
      </c>
      <c r="H1344">
        <v>0</v>
      </c>
      <c r="I1344" s="2" t="s">
        <v>243</v>
      </c>
      <c r="J1344" s="2">
        <v>21419</v>
      </c>
      <c r="K1344">
        <v>20</v>
      </c>
      <c r="L1344">
        <v>20</v>
      </c>
      <c r="M1344">
        <v>20</v>
      </c>
    </row>
    <row r="1345" spans="1:13" x14ac:dyDescent="0.25">
      <c r="A1345" t="s">
        <v>2952</v>
      </c>
      <c r="B1345" t="s">
        <v>2951</v>
      </c>
      <c r="C1345" t="s">
        <v>357</v>
      </c>
      <c r="D1345" t="s">
        <v>241</v>
      </c>
      <c r="G1345" t="s">
        <v>16</v>
      </c>
      <c r="H1345">
        <v>0</v>
      </c>
      <c r="I1345" s="2" t="s">
        <v>2932</v>
      </c>
      <c r="J1345" s="2" t="s">
        <v>2953</v>
      </c>
      <c r="K1345">
        <v>20</v>
      </c>
      <c r="L1345">
        <v>20</v>
      </c>
      <c r="M1345">
        <v>20</v>
      </c>
    </row>
    <row r="1346" spans="1:13" x14ac:dyDescent="0.25">
      <c r="A1346" t="s">
        <v>2954</v>
      </c>
      <c r="B1346" t="s">
        <v>2951</v>
      </c>
      <c r="C1346" t="s">
        <v>357</v>
      </c>
      <c r="D1346" t="s">
        <v>241</v>
      </c>
      <c r="G1346" t="s">
        <v>16</v>
      </c>
      <c r="H1346">
        <v>0</v>
      </c>
      <c r="I1346" s="2" t="s">
        <v>737</v>
      </c>
      <c r="J1346" s="2" t="s">
        <v>2955</v>
      </c>
      <c r="K1346">
        <v>20</v>
      </c>
      <c r="L1346">
        <v>20</v>
      </c>
      <c r="M1346">
        <v>20</v>
      </c>
    </row>
    <row r="1347" spans="1:13" x14ac:dyDescent="0.25">
      <c r="A1347" t="s">
        <v>2956</v>
      </c>
      <c r="B1347" t="s">
        <v>2957</v>
      </c>
      <c r="C1347" t="s">
        <v>357</v>
      </c>
      <c r="D1347" t="s">
        <v>241</v>
      </c>
      <c r="F1347">
        <v>1</v>
      </c>
      <c r="G1347" t="s">
        <v>16</v>
      </c>
      <c r="H1347">
        <v>0</v>
      </c>
      <c r="I1347" s="2" t="s">
        <v>69</v>
      </c>
      <c r="J1347" s="3">
        <v>3571412002</v>
      </c>
      <c r="K1347">
        <v>20</v>
      </c>
      <c r="L1347">
        <v>20</v>
      </c>
      <c r="M1347">
        <v>20</v>
      </c>
    </row>
    <row r="1348" spans="1:13" x14ac:dyDescent="0.25">
      <c r="A1348" t="s">
        <v>2958</v>
      </c>
      <c r="B1348" t="s">
        <v>2957</v>
      </c>
      <c r="C1348" t="s">
        <v>357</v>
      </c>
      <c r="D1348" t="s">
        <v>241</v>
      </c>
      <c r="G1348" t="s">
        <v>16</v>
      </c>
      <c r="H1348">
        <v>0</v>
      </c>
      <c r="I1348" s="2" t="s">
        <v>245</v>
      </c>
      <c r="J1348" s="2" t="s">
        <v>2959</v>
      </c>
      <c r="K1348">
        <v>20</v>
      </c>
      <c r="L1348">
        <v>20</v>
      </c>
      <c r="M1348">
        <v>20</v>
      </c>
    </row>
    <row r="1349" spans="1:13" x14ac:dyDescent="0.25">
      <c r="A1349" t="s">
        <v>2960</v>
      </c>
      <c r="B1349" t="s">
        <v>2957</v>
      </c>
      <c r="C1349" t="s">
        <v>357</v>
      </c>
      <c r="D1349" t="s">
        <v>241</v>
      </c>
      <c r="G1349" t="s">
        <v>16</v>
      </c>
      <c r="H1349">
        <v>0</v>
      </c>
      <c r="I1349" s="2" t="s">
        <v>737</v>
      </c>
      <c r="J1349" s="2" t="s">
        <v>2961</v>
      </c>
      <c r="K1349">
        <v>20</v>
      </c>
      <c r="L1349">
        <v>20</v>
      </c>
      <c r="M1349">
        <v>20</v>
      </c>
    </row>
    <row r="1350" spans="1:13" x14ac:dyDescent="0.25">
      <c r="A1350" t="s">
        <v>2962</v>
      </c>
      <c r="B1350" t="s">
        <v>2963</v>
      </c>
      <c r="C1350" t="s">
        <v>357</v>
      </c>
      <c r="D1350" t="s">
        <v>241</v>
      </c>
      <c r="G1350" t="s">
        <v>16</v>
      </c>
      <c r="H1350">
        <v>0</v>
      </c>
      <c r="I1350" s="2" t="s">
        <v>243</v>
      </c>
      <c r="J1350" s="2">
        <v>21468</v>
      </c>
      <c r="K1350">
        <v>20</v>
      </c>
      <c r="L1350">
        <v>20</v>
      </c>
      <c r="M1350">
        <v>20</v>
      </c>
    </row>
    <row r="1351" spans="1:13" x14ac:dyDescent="0.25">
      <c r="A1351" t="s">
        <v>2964</v>
      </c>
      <c r="B1351" t="s">
        <v>2963</v>
      </c>
      <c r="C1351" t="s">
        <v>357</v>
      </c>
      <c r="D1351" t="s">
        <v>241</v>
      </c>
      <c r="G1351" t="s">
        <v>16</v>
      </c>
      <c r="H1351">
        <v>0</v>
      </c>
      <c r="I1351" s="2" t="s">
        <v>245</v>
      </c>
      <c r="J1351" s="2" t="s">
        <v>2965</v>
      </c>
      <c r="K1351">
        <v>20</v>
      </c>
      <c r="L1351">
        <v>20</v>
      </c>
      <c r="M1351">
        <v>20</v>
      </c>
    </row>
    <row r="1352" spans="1:13" x14ac:dyDescent="0.25">
      <c r="A1352" t="s">
        <v>2966</v>
      </c>
      <c r="B1352" t="s">
        <v>2963</v>
      </c>
      <c r="C1352" t="s">
        <v>357</v>
      </c>
      <c r="D1352" t="s">
        <v>241</v>
      </c>
      <c r="F1352">
        <v>2</v>
      </c>
      <c r="G1352" t="s">
        <v>16</v>
      </c>
      <c r="H1352">
        <v>0</v>
      </c>
      <c r="I1352" s="2" t="s">
        <v>504</v>
      </c>
      <c r="J1352" s="2" t="s">
        <v>2967</v>
      </c>
      <c r="K1352">
        <v>20</v>
      </c>
      <c r="L1352">
        <v>20</v>
      </c>
      <c r="M1352">
        <v>20</v>
      </c>
    </row>
    <row r="1353" spans="1:13" x14ac:dyDescent="0.25">
      <c r="A1353" t="s">
        <v>2968</v>
      </c>
      <c r="B1353" t="s">
        <v>2963</v>
      </c>
      <c r="C1353" t="s">
        <v>357</v>
      </c>
      <c r="D1353" t="s">
        <v>241</v>
      </c>
      <c r="G1353" t="s">
        <v>16</v>
      </c>
      <c r="H1353">
        <v>0</v>
      </c>
      <c r="K1353">
        <v>20</v>
      </c>
      <c r="L1353">
        <v>20</v>
      </c>
      <c r="M1353">
        <v>20</v>
      </c>
    </row>
    <row r="1354" spans="1:13" x14ac:dyDescent="0.25">
      <c r="A1354" t="s">
        <v>2969</v>
      </c>
      <c r="B1354" t="s">
        <v>2970</v>
      </c>
      <c r="C1354" t="s">
        <v>357</v>
      </c>
      <c r="D1354" t="s">
        <v>241</v>
      </c>
      <c r="F1354">
        <v>1</v>
      </c>
      <c r="G1354" t="s">
        <v>16</v>
      </c>
      <c r="H1354">
        <v>0</v>
      </c>
      <c r="I1354" s="2" t="s">
        <v>64</v>
      </c>
      <c r="J1354" s="2">
        <v>10031028</v>
      </c>
      <c r="K1354">
        <v>20</v>
      </c>
      <c r="L1354">
        <v>20</v>
      </c>
      <c r="M1354">
        <v>20</v>
      </c>
    </row>
    <row r="1355" spans="1:13" x14ac:dyDescent="0.25">
      <c r="A1355" t="s">
        <v>2971</v>
      </c>
      <c r="B1355" t="s">
        <v>2972</v>
      </c>
      <c r="C1355" t="s">
        <v>357</v>
      </c>
      <c r="D1355" t="s">
        <v>241</v>
      </c>
      <c r="G1355" t="s">
        <v>16</v>
      </c>
      <c r="H1355">
        <v>0</v>
      </c>
      <c r="I1355" s="2" t="s">
        <v>245</v>
      </c>
      <c r="J1355" s="2" t="s">
        <v>2973</v>
      </c>
      <c r="K1355">
        <v>20</v>
      </c>
      <c r="L1355">
        <v>20</v>
      </c>
      <c r="M1355">
        <v>20</v>
      </c>
    </row>
    <row r="1356" spans="1:13" x14ac:dyDescent="0.25">
      <c r="A1356" t="s">
        <v>2974</v>
      </c>
      <c r="B1356" t="s">
        <v>2972</v>
      </c>
      <c r="C1356" t="s">
        <v>357</v>
      </c>
      <c r="D1356" t="s">
        <v>241</v>
      </c>
      <c r="G1356" t="s">
        <v>16</v>
      </c>
      <c r="H1356">
        <v>0</v>
      </c>
      <c r="I1356" s="2" t="s">
        <v>737</v>
      </c>
      <c r="J1356" s="2" t="s">
        <v>2975</v>
      </c>
      <c r="K1356">
        <v>20</v>
      </c>
      <c r="L1356">
        <v>20</v>
      </c>
      <c r="M1356">
        <v>20</v>
      </c>
    </row>
    <row r="1357" spans="1:13" x14ac:dyDescent="0.25">
      <c r="A1357" t="s">
        <v>2976</v>
      </c>
      <c r="B1357" t="s">
        <v>2977</v>
      </c>
      <c r="C1357" t="s">
        <v>357</v>
      </c>
      <c r="D1357" t="s">
        <v>241</v>
      </c>
      <c r="F1357">
        <v>0</v>
      </c>
      <c r="G1357" t="s">
        <v>16</v>
      </c>
      <c r="H1357">
        <v>0</v>
      </c>
      <c r="I1357" s="2" t="s">
        <v>243</v>
      </c>
      <c r="J1357" s="2">
        <v>21531</v>
      </c>
      <c r="K1357">
        <v>20</v>
      </c>
      <c r="L1357">
        <v>20</v>
      </c>
      <c r="M1357">
        <v>20</v>
      </c>
    </row>
    <row r="1358" spans="1:13" x14ac:dyDescent="0.25">
      <c r="A1358" t="s">
        <v>2978</v>
      </c>
      <c r="B1358" t="s">
        <v>2977</v>
      </c>
      <c r="C1358" t="s">
        <v>357</v>
      </c>
      <c r="D1358" t="s">
        <v>241</v>
      </c>
      <c r="F1358">
        <v>1</v>
      </c>
      <c r="G1358" t="s">
        <v>16</v>
      </c>
      <c r="H1358">
        <v>0</v>
      </c>
      <c r="I1358" s="2" t="s">
        <v>64</v>
      </c>
      <c r="J1358" s="2">
        <v>10034947</v>
      </c>
      <c r="K1358">
        <v>20</v>
      </c>
      <c r="L1358">
        <v>20</v>
      </c>
      <c r="M1358">
        <v>20</v>
      </c>
    </row>
    <row r="1359" spans="1:13" x14ac:dyDescent="0.25">
      <c r="A1359" t="s">
        <v>2979</v>
      </c>
      <c r="B1359" t="s">
        <v>2977</v>
      </c>
      <c r="C1359" t="s">
        <v>357</v>
      </c>
      <c r="D1359" t="s">
        <v>241</v>
      </c>
      <c r="G1359" t="s">
        <v>16</v>
      </c>
      <c r="H1359">
        <v>0</v>
      </c>
      <c r="I1359" s="2" t="s">
        <v>245</v>
      </c>
      <c r="J1359" s="2" t="s">
        <v>2980</v>
      </c>
      <c r="K1359">
        <v>20</v>
      </c>
      <c r="L1359">
        <v>20</v>
      </c>
      <c r="M1359">
        <v>20</v>
      </c>
    </row>
    <row r="1360" spans="1:13" x14ac:dyDescent="0.25">
      <c r="A1360" t="s">
        <v>2981</v>
      </c>
      <c r="B1360" t="s">
        <v>2982</v>
      </c>
      <c r="C1360" t="s">
        <v>357</v>
      </c>
      <c r="D1360" t="s">
        <v>241</v>
      </c>
      <c r="F1360">
        <v>1</v>
      </c>
      <c r="G1360" t="s">
        <v>16</v>
      </c>
      <c r="H1360">
        <v>0</v>
      </c>
      <c r="I1360" s="2" t="s">
        <v>500</v>
      </c>
      <c r="J1360" s="2" t="s">
        <v>2983</v>
      </c>
      <c r="K1360">
        <v>20</v>
      </c>
      <c r="L1360">
        <v>20</v>
      </c>
      <c r="M1360">
        <v>20</v>
      </c>
    </row>
    <row r="1361" spans="1:13" x14ac:dyDescent="0.25">
      <c r="A1361" t="s">
        <v>2984</v>
      </c>
      <c r="B1361" t="s">
        <v>2982</v>
      </c>
      <c r="C1361" t="s">
        <v>357</v>
      </c>
      <c r="D1361" t="s">
        <v>241</v>
      </c>
      <c r="G1361" t="s">
        <v>16</v>
      </c>
      <c r="H1361">
        <v>0</v>
      </c>
      <c r="I1361" s="2" t="s">
        <v>245</v>
      </c>
      <c r="J1361" s="2" t="s">
        <v>2985</v>
      </c>
      <c r="K1361">
        <v>20</v>
      </c>
      <c r="L1361">
        <v>20</v>
      </c>
      <c r="M1361">
        <v>20</v>
      </c>
    </row>
    <row r="1362" spans="1:13" x14ac:dyDescent="0.25">
      <c r="A1362" t="s">
        <v>2986</v>
      </c>
      <c r="B1362" t="s">
        <v>2977</v>
      </c>
      <c r="C1362" t="s">
        <v>357</v>
      </c>
      <c r="D1362" t="s">
        <v>241</v>
      </c>
      <c r="F1362">
        <v>1</v>
      </c>
      <c r="G1362" t="s">
        <v>16</v>
      </c>
      <c r="H1362">
        <v>0</v>
      </c>
      <c r="I1362" s="2" t="s">
        <v>2987</v>
      </c>
      <c r="J1362" s="2" t="s">
        <v>2988</v>
      </c>
      <c r="K1362">
        <v>20</v>
      </c>
      <c r="L1362">
        <v>20</v>
      </c>
      <c r="M1362">
        <v>20</v>
      </c>
    </row>
    <row r="1363" spans="1:13" x14ac:dyDescent="0.25">
      <c r="A1363" t="s">
        <v>2989</v>
      </c>
      <c r="B1363" t="s">
        <v>2977</v>
      </c>
      <c r="C1363" t="s">
        <v>357</v>
      </c>
      <c r="D1363" t="s">
        <v>241</v>
      </c>
      <c r="G1363" t="s">
        <v>16</v>
      </c>
      <c r="H1363">
        <v>0</v>
      </c>
      <c r="I1363" s="2" t="s">
        <v>737</v>
      </c>
      <c r="J1363" s="2" t="s">
        <v>2990</v>
      </c>
      <c r="K1363">
        <v>20</v>
      </c>
      <c r="L1363">
        <v>20</v>
      </c>
      <c r="M1363">
        <v>20</v>
      </c>
    </row>
    <row r="1364" spans="1:13" x14ac:dyDescent="0.25">
      <c r="A1364" t="s">
        <v>2991</v>
      </c>
      <c r="B1364" t="s">
        <v>2992</v>
      </c>
      <c r="C1364" t="s">
        <v>357</v>
      </c>
      <c r="D1364" t="s">
        <v>241</v>
      </c>
      <c r="F1364">
        <v>1</v>
      </c>
      <c r="G1364" t="s">
        <v>16</v>
      </c>
      <c r="H1364">
        <v>0</v>
      </c>
      <c r="I1364" s="2" t="s">
        <v>64</v>
      </c>
      <c r="J1364" s="2">
        <v>10030713</v>
      </c>
      <c r="K1364">
        <v>20</v>
      </c>
      <c r="L1364">
        <v>20</v>
      </c>
      <c r="M1364">
        <v>20</v>
      </c>
    </row>
    <row r="1365" spans="1:13" x14ac:dyDescent="0.25">
      <c r="A1365" t="s">
        <v>2993</v>
      </c>
      <c r="B1365" t="s">
        <v>2994</v>
      </c>
      <c r="C1365" t="s">
        <v>357</v>
      </c>
      <c r="D1365" t="s">
        <v>241</v>
      </c>
      <c r="F1365">
        <v>1</v>
      </c>
      <c r="G1365" t="s">
        <v>16</v>
      </c>
      <c r="H1365">
        <v>0</v>
      </c>
      <c r="I1365" s="2" t="s">
        <v>142</v>
      </c>
      <c r="J1365" s="2" t="s">
        <v>2995</v>
      </c>
      <c r="K1365">
        <v>20</v>
      </c>
      <c r="L1365">
        <v>20</v>
      </c>
      <c r="M1365">
        <v>20</v>
      </c>
    </row>
    <row r="1366" spans="1:13" x14ac:dyDescent="0.25">
      <c r="A1366" t="s">
        <v>2996</v>
      </c>
      <c r="B1366" t="s">
        <v>2997</v>
      </c>
      <c r="C1366" t="s">
        <v>357</v>
      </c>
      <c r="D1366" t="s">
        <v>241</v>
      </c>
      <c r="G1366" t="s">
        <v>16</v>
      </c>
      <c r="H1366">
        <v>0</v>
      </c>
      <c r="I1366" s="2" t="s">
        <v>245</v>
      </c>
      <c r="J1366" s="2" t="s">
        <v>2998</v>
      </c>
      <c r="K1366">
        <v>20</v>
      </c>
      <c r="L1366">
        <v>20</v>
      </c>
      <c r="M1366">
        <v>20</v>
      </c>
    </row>
    <row r="1367" spans="1:13" x14ac:dyDescent="0.25">
      <c r="A1367" t="s">
        <v>2999</v>
      </c>
      <c r="B1367" t="s">
        <v>3000</v>
      </c>
      <c r="C1367" t="s">
        <v>357</v>
      </c>
      <c r="D1367" t="s">
        <v>241</v>
      </c>
      <c r="G1367" t="s">
        <v>16</v>
      </c>
      <c r="H1367">
        <v>0</v>
      </c>
      <c r="I1367" s="2" t="s">
        <v>243</v>
      </c>
      <c r="J1367" s="2">
        <v>21235</v>
      </c>
      <c r="K1367">
        <v>20</v>
      </c>
      <c r="L1367">
        <v>20</v>
      </c>
      <c r="M1367">
        <v>20</v>
      </c>
    </row>
    <row r="1368" spans="1:13" x14ac:dyDescent="0.25">
      <c r="A1368" t="s">
        <v>3001</v>
      </c>
      <c r="B1368" t="s">
        <v>3002</v>
      </c>
      <c r="C1368" t="s">
        <v>241</v>
      </c>
      <c r="D1368" t="s">
        <v>2216</v>
      </c>
      <c r="G1368" t="s">
        <v>16</v>
      </c>
      <c r="H1368">
        <v>0</v>
      </c>
      <c r="I1368" s="2" t="s">
        <v>243</v>
      </c>
      <c r="J1368" s="2">
        <v>21376</v>
      </c>
      <c r="K1368">
        <v>20</v>
      </c>
      <c r="L1368">
        <v>20</v>
      </c>
      <c r="M1368">
        <v>20</v>
      </c>
    </row>
    <row r="1369" spans="1:13" x14ac:dyDescent="0.25">
      <c r="A1369" t="s">
        <v>3003</v>
      </c>
      <c r="B1369" t="s">
        <v>3004</v>
      </c>
      <c r="C1369" t="s">
        <v>357</v>
      </c>
      <c r="D1369" t="s">
        <v>241</v>
      </c>
      <c r="F1369">
        <v>1</v>
      </c>
      <c r="G1369" t="s">
        <v>16</v>
      </c>
      <c r="H1369">
        <v>0</v>
      </c>
      <c r="I1369" s="2" t="s">
        <v>737</v>
      </c>
      <c r="J1369" s="2" t="s">
        <v>3005</v>
      </c>
      <c r="K1369">
        <v>20</v>
      </c>
      <c r="L1369">
        <v>20</v>
      </c>
      <c r="M1369">
        <v>20</v>
      </c>
    </row>
    <row r="1370" spans="1:13" x14ac:dyDescent="0.25">
      <c r="A1370" t="s">
        <v>3006</v>
      </c>
      <c r="B1370" t="s">
        <v>3007</v>
      </c>
      <c r="C1370" t="s">
        <v>357</v>
      </c>
      <c r="D1370" t="s">
        <v>241</v>
      </c>
      <c r="F1370">
        <v>2</v>
      </c>
      <c r="G1370" t="s">
        <v>16</v>
      </c>
      <c r="H1370">
        <v>0</v>
      </c>
      <c r="I1370" s="2" t="s">
        <v>243</v>
      </c>
      <c r="J1370" s="2">
        <v>21364</v>
      </c>
      <c r="K1370">
        <v>20</v>
      </c>
      <c r="L1370">
        <v>20</v>
      </c>
      <c r="M1370">
        <v>20</v>
      </c>
    </row>
    <row r="1371" spans="1:13" x14ac:dyDescent="0.25">
      <c r="A1371" t="s">
        <v>3008</v>
      </c>
      <c r="B1371" t="s">
        <v>3009</v>
      </c>
      <c r="C1371" t="s">
        <v>357</v>
      </c>
      <c r="D1371" t="s">
        <v>241</v>
      </c>
      <c r="F1371">
        <v>1</v>
      </c>
      <c r="G1371" t="s">
        <v>16</v>
      </c>
      <c r="H1371">
        <v>0</v>
      </c>
      <c r="I1371" s="2" t="s">
        <v>243</v>
      </c>
      <c r="J1371" s="2">
        <v>21270</v>
      </c>
      <c r="K1371">
        <v>20</v>
      </c>
      <c r="L1371">
        <v>20</v>
      </c>
      <c r="M1371">
        <v>20</v>
      </c>
    </row>
    <row r="1372" spans="1:13" x14ac:dyDescent="0.25">
      <c r="A1372" t="s">
        <v>3010</v>
      </c>
      <c r="B1372" t="s">
        <v>3009</v>
      </c>
      <c r="C1372" t="s">
        <v>357</v>
      </c>
      <c r="D1372" t="s">
        <v>241</v>
      </c>
      <c r="F1372">
        <v>1</v>
      </c>
      <c r="G1372" t="s">
        <v>16</v>
      </c>
      <c r="H1372">
        <v>0</v>
      </c>
      <c r="I1372" s="2" t="s">
        <v>737</v>
      </c>
      <c r="J1372" s="2" t="s">
        <v>3011</v>
      </c>
      <c r="K1372">
        <v>20</v>
      </c>
      <c r="L1372">
        <v>20</v>
      </c>
      <c r="M1372">
        <v>20</v>
      </c>
    </row>
    <row r="1373" spans="1:13" x14ac:dyDescent="0.25">
      <c r="A1373" t="s">
        <v>3012</v>
      </c>
      <c r="B1373" t="s">
        <v>3014</v>
      </c>
      <c r="C1373" t="s">
        <v>357</v>
      </c>
      <c r="D1373" t="s">
        <v>241</v>
      </c>
      <c r="F1373">
        <v>4</v>
      </c>
      <c r="G1373" t="s">
        <v>16</v>
      </c>
      <c r="H1373">
        <v>0</v>
      </c>
      <c r="I1373" s="2" t="s">
        <v>288</v>
      </c>
      <c r="J1373" s="2" t="s">
        <v>3013</v>
      </c>
      <c r="K1373">
        <v>20</v>
      </c>
      <c r="L1373">
        <v>20</v>
      </c>
      <c r="M1373">
        <v>20</v>
      </c>
    </row>
    <row r="1374" spans="1:13" x14ac:dyDescent="0.25">
      <c r="A1374" t="s">
        <v>3015</v>
      </c>
      <c r="B1374" t="s">
        <v>3016</v>
      </c>
      <c r="C1374" t="s">
        <v>357</v>
      </c>
      <c r="D1374" t="s">
        <v>241</v>
      </c>
      <c r="F1374">
        <v>8</v>
      </c>
      <c r="G1374" t="s">
        <v>16</v>
      </c>
      <c r="H1374">
        <v>0</v>
      </c>
      <c r="I1374" s="2" t="s">
        <v>245</v>
      </c>
      <c r="J1374" s="2" t="s">
        <v>3017</v>
      </c>
      <c r="K1374">
        <v>20</v>
      </c>
      <c r="L1374">
        <v>20</v>
      </c>
      <c r="M1374">
        <v>20</v>
      </c>
    </row>
    <row r="1375" spans="1:13" x14ac:dyDescent="0.25">
      <c r="A1375">
        <v>1336378</v>
      </c>
      <c r="B1375" t="s">
        <v>3018</v>
      </c>
      <c r="C1375" t="s">
        <v>357</v>
      </c>
      <c r="D1375" t="s">
        <v>241</v>
      </c>
      <c r="F1375">
        <v>2</v>
      </c>
      <c r="G1375" t="s">
        <v>16</v>
      </c>
      <c r="H1375">
        <v>0</v>
      </c>
      <c r="I1375" s="2" t="s">
        <v>497</v>
      </c>
      <c r="J1375" s="2">
        <v>13328367</v>
      </c>
      <c r="K1375">
        <v>20</v>
      </c>
      <c r="L1375">
        <v>20</v>
      </c>
      <c r="M1375">
        <v>20</v>
      </c>
    </row>
    <row r="1376" spans="1:13" x14ac:dyDescent="0.25">
      <c r="A1376" t="s">
        <v>3019</v>
      </c>
      <c r="B1376" t="s">
        <v>3020</v>
      </c>
      <c r="C1376" t="s">
        <v>357</v>
      </c>
      <c r="D1376" t="s">
        <v>241</v>
      </c>
      <c r="F1376">
        <v>1</v>
      </c>
      <c r="G1376" t="s">
        <v>16</v>
      </c>
      <c r="H1376">
        <v>0</v>
      </c>
      <c r="I1376" s="2" t="s">
        <v>3021</v>
      </c>
      <c r="J1376" s="2">
        <v>233137</v>
      </c>
      <c r="K1376">
        <v>20</v>
      </c>
      <c r="L1376">
        <v>20</v>
      </c>
      <c r="M1376">
        <v>20</v>
      </c>
    </row>
    <row r="1377" spans="1:13" x14ac:dyDescent="0.25">
      <c r="A1377" t="s">
        <v>3022</v>
      </c>
      <c r="B1377" t="s">
        <v>3023</v>
      </c>
      <c r="C1377" t="s">
        <v>357</v>
      </c>
      <c r="D1377" t="s">
        <v>241</v>
      </c>
      <c r="G1377" t="s">
        <v>16</v>
      </c>
      <c r="H1377">
        <v>0</v>
      </c>
      <c r="I1377" s="2" t="s">
        <v>765</v>
      </c>
      <c r="J1377" s="2">
        <v>501124116</v>
      </c>
      <c r="K1377">
        <v>20</v>
      </c>
      <c r="L1377">
        <v>20</v>
      </c>
      <c r="M1377">
        <v>20</v>
      </c>
    </row>
    <row r="1378" spans="1:13" x14ac:dyDescent="0.25">
      <c r="A1378" t="s">
        <v>3024</v>
      </c>
      <c r="B1378" t="s">
        <v>3025</v>
      </c>
      <c r="C1378" t="s">
        <v>357</v>
      </c>
      <c r="D1378" t="s">
        <v>241</v>
      </c>
      <c r="G1378" t="s">
        <v>16</v>
      </c>
      <c r="H1378">
        <v>0</v>
      </c>
      <c r="I1378" s="2" t="s">
        <v>245</v>
      </c>
      <c r="J1378" s="2" t="s">
        <v>3026</v>
      </c>
      <c r="K1378">
        <v>20</v>
      </c>
      <c r="L1378">
        <v>20</v>
      </c>
      <c r="M1378">
        <v>20</v>
      </c>
    </row>
    <row r="1379" spans="1:13" x14ac:dyDescent="0.25">
      <c r="A1379" t="s">
        <v>3027</v>
      </c>
      <c r="B1379" t="s">
        <v>3028</v>
      </c>
      <c r="C1379" t="s">
        <v>357</v>
      </c>
      <c r="D1379" t="s">
        <v>241</v>
      </c>
      <c r="G1379" t="s">
        <v>16</v>
      </c>
      <c r="H1379">
        <v>0</v>
      </c>
      <c r="I1379" s="2" t="s">
        <v>245</v>
      </c>
      <c r="J1379" s="2" t="s">
        <v>3029</v>
      </c>
      <c r="K1379">
        <v>20</v>
      </c>
      <c r="L1379">
        <v>20</v>
      </c>
      <c r="M1379">
        <v>20</v>
      </c>
    </row>
    <row r="1380" spans="1:13" x14ac:dyDescent="0.25">
      <c r="A1380" t="s">
        <v>3030</v>
      </c>
      <c r="B1380" t="s">
        <v>3031</v>
      </c>
      <c r="C1380" t="s">
        <v>357</v>
      </c>
      <c r="D1380" t="s">
        <v>241</v>
      </c>
      <c r="G1380" t="s">
        <v>16</v>
      </c>
      <c r="H1380">
        <v>0</v>
      </c>
      <c r="I1380" s="2" t="s">
        <v>245</v>
      </c>
      <c r="J1380" s="2" t="s">
        <v>3032</v>
      </c>
      <c r="K1380">
        <v>20</v>
      </c>
      <c r="L1380">
        <v>20</v>
      </c>
      <c r="M1380">
        <v>20</v>
      </c>
    </row>
    <row r="1381" spans="1:13" x14ac:dyDescent="0.25">
      <c r="A1381" t="s">
        <v>3033</v>
      </c>
      <c r="B1381" t="s">
        <v>3034</v>
      </c>
      <c r="C1381" t="s">
        <v>357</v>
      </c>
      <c r="D1381" t="s">
        <v>241</v>
      </c>
      <c r="G1381" t="s">
        <v>16</v>
      </c>
      <c r="H1381">
        <v>0</v>
      </c>
      <c r="I1381" s="2" t="s">
        <v>737</v>
      </c>
      <c r="J1381" s="2" t="s">
        <v>3035</v>
      </c>
      <c r="K1381">
        <v>20</v>
      </c>
      <c r="L1381">
        <v>20</v>
      </c>
      <c r="M1381">
        <v>20</v>
      </c>
    </row>
    <row r="1382" spans="1:13" x14ac:dyDescent="0.25">
      <c r="A1382">
        <v>1336542</v>
      </c>
      <c r="B1382" t="s">
        <v>3036</v>
      </c>
      <c r="C1382" t="s">
        <v>357</v>
      </c>
      <c r="D1382" t="s">
        <v>241</v>
      </c>
      <c r="G1382" t="s">
        <v>16</v>
      </c>
      <c r="H1382">
        <v>0</v>
      </c>
      <c r="I1382" s="2" t="s">
        <v>497</v>
      </c>
      <c r="J1382" s="2">
        <v>22772050</v>
      </c>
      <c r="K1382">
        <v>20</v>
      </c>
      <c r="L1382">
        <v>20</v>
      </c>
      <c r="M1382">
        <v>20</v>
      </c>
    </row>
    <row r="1383" spans="1:13" x14ac:dyDescent="0.25">
      <c r="A1383" t="s">
        <v>3037</v>
      </c>
      <c r="B1383" t="s">
        <v>3038</v>
      </c>
      <c r="C1383" t="s">
        <v>357</v>
      </c>
      <c r="D1383" t="s">
        <v>241</v>
      </c>
      <c r="F1383">
        <v>1</v>
      </c>
      <c r="G1383" t="s">
        <v>16</v>
      </c>
      <c r="H1383">
        <v>0</v>
      </c>
      <c r="I1383" s="2" t="s">
        <v>3021</v>
      </c>
      <c r="J1383" s="2" t="s">
        <v>3039</v>
      </c>
      <c r="K1383">
        <v>20</v>
      </c>
      <c r="L1383">
        <v>20</v>
      </c>
      <c r="M1383">
        <v>20</v>
      </c>
    </row>
    <row r="1384" spans="1:13" x14ac:dyDescent="0.25">
      <c r="A1384" t="s">
        <v>3040</v>
      </c>
      <c r="B1384" t="s">
        <v>3041</v>
      </c>
      <c r="C1384" t="s">
        <v>357</v>
      </c>
      <c r="D1384" t="s">
        <v>241</v>
      </c>
      <c r="G1384" t="s">
        <v>16</v>
      </c>
      <c r="H1384">
        <v>0</v>
      </c>
      <c r="I1384" s="2" t="s">
        <v>243</v>
      </c>
      <c r="J1384" s="2">
        <v>21615</v>
      </c>
      <c r="K1384">
        <v>20</v>
      </c>
      <c r="L1384">
        <v>20</v>
      </c>
      <c r="M1384">
        <v>20</v>
      </c>
    </row>
    <row r="1385" spans="1:13" x14ac:dyDescent="0.25">
      <c r="A1385" t="s">
        <v>3042</v>
      </c>
      <c r="B1385" t="s">
        <v>3043</v>
      </c>
      <c r="C1385" t="s">
        <v>357</v>
      </c>
      <c r="D1385" t="s">
        <v>241</v>
      </c>
      <c r="F1385">
        <v>2</v>
      </c>
      <c r="G1385" t="s">
        <v>16</v>
      </c>
      <c r="H1385">
        <v>0</v>
      </c>
      <c r="I1385" s="2" t="s">
        <v>243</v>
      </c>
      <c r="J1385" s="2">
        <v>21139</v>
      </c>
      <c r="K1385">
        <v>20</v>
      </c>
      <c r="L1385">
        <v>20</v>
      </c>
      <c r="M1385">
        <v>20</v>
      </c>
    </row>
    <row r="1386" spans="1:13" x14ac:dyDescent="0.25">
      <c r="A1386" t="s">
        <v>3044</v>
      </c>
      <c r="B1386" t="s">
        <v>3045</v>
      </c>
      <c r="C1386" t="s">
        <v>357</v>
      </c>
      <c r="D1386" t="s">
        <v>241</v>
      </c>
      <c r="F1386">
        <v>1</v>
      </c>
      <c r="G1386" t="s">
        <v>16</v>
      </c>
      <c r="H1386">
        <v>0</v>
      </c>
      <c r="I1386" s="2" t="s">
        <v>243</v>
      </c>
      <c r="J1386" s="2">
        <v>21638</v>
      </c>
      <c r="K1386">
        <v>20</v>
      </c>
      <c r="L1386">
        <v>20</v>
      </c>
      <c r="M1386">
        <v>20</v>
      </c>
    </row>
    <row r="1387" spans="1:13" x14ac:dyDescent="0.25">
      <c r="A1387" t="s">
        <v>3046</v>
      </c>
      <c r="B1387" t="s">
        <v>3047</v>
      </c>
      <c r="C1387" t="s">
        <v>357</v>
      </c>
      <c r="D1387" t="s">
        <v>241</v>
      </c>
      <c r="G1387" t="s">
        <v>16</v>
      </c>
      <c r="H1387">
        <v>0</v>
      </c>
      <c r="I1387" s="2" t="s">
        <v>737</v>
      </c>
      <c r="J1387" s="2" t="s">
        <v>3048</v>
      </c>
      <c r="K1387">
        <v>20</v>
      </c>
      <c r="L1387">
        <v>20</v>
      </c>
      <c r="M1387">
        <v>20</v>
      </c>
    </row>
    <row r="1388" spans="1:13" x14ac:dyDescent="0.25">
      <c r="A1388" t="s">
        <v>3049</v>
      </c>
      <c r="B1388" t="s">
        <v>3050</v>
      </c>
      <c r="C1388" t="s">
        <v>357</v>
      </c>
      <c r="D1388" t="s">
        <v>241</v>
      </c>
      <c r="G1388" t="s">
        <v>16</v>
      </c>
      <c r="H1388">
        <v>0</v>
      </c>
      <c r="I1388" s="2" t="s">
        <v>288</v>
      </c>
      <c r="J1388" s="2" t="s">
        <v>3051</v>
      </c>
      <c r="K1388">
        <v>20</v>
      </c>
      <c r="L1388">
        <v>20</v>
      </c>
      <c r="M1388">
        <v>20</v>
      </c>
    </row>
    <row r="1389" spans="1:13" x14ac:dyDescent="0.25">
      <c r="A1389" t="s">
        <v>3052</v>
      </c>
      <c r="B1389" t="s">
        <v>3054</v>
      </c>
      <c r="C1389" t="s">
        <v>357</v>
      </c>
      <c r="D1389" t="s">
        <v>241</v>
      </c>
      <c r="G1389" t="s">
        <v>16</v>
      </c>
      <c r="H1389">
        <v>0</v>
      </c>
      <c r="I1389" s="2" t="s">
        <v>784</v>
      </c>
      <c r="J1389" s="2" t="s">
        <v>3053</v>
      </c>
      <c r="K1389">
        <v>20</v>
      </c>
      <c r="L1389">
        <v>20</v>
      </c>
      <c r="M1389">
        <v>20</v>
      </c>
    </row>
    <row r="1390" spans="1:13" x14ac:dyDescent="0.25">
      <c r="A1390" t="s">
        <v>3055</v>
      </c>
      <c r="B1390" t="s">
        <v>3056</v>
      </c>
      <c r="C1390" t="s">
        <v>241</v>
      </c>
      <c r="D1390" t="s">
        <v>262</v>
      </c>
      <c r="G1390" t="s">
        <v>16</v>
      </c>
      <c r="H1390">
        <v>0</v>
      </c>
      <c r="I1390" s="2" t="s">
        <v>245</v>
      </c>
      <c r="J1390" s="2" t="s">
        <v>3057</v>
      </c>
      <c r="K1390">
        <v>20</v>
      </c>
      <c r="L1390">
        <v>20</v>
      </c>
      <c r="M1390">
        <v>20</v>
      </c>
    </row>
    <row r="1391" spans="1:13" x14ac:dyDescent="0.25">
      <c r="A1391" t="s">
        <v>3058</v>
      </c>
      <c r="B1391" t="s">
        <v>3059</v>
      </c>
      <c r="C1391" t="s">
        <v>357</v>
      </c>
      <c r="D1391" t="s">
        <v>241</v>
      </c>
      <c r="F1391">
        <v>3</v>
      </c>
      <c r="G1391" t="s">
        <v>16</v>
      </c>
      <c r="H1391">
        <v>0</v>
      </c>
      <c r="I1391" s="2" t="s">
        <v>243</v>
      </c>
      <c r="J1391" s="2">
        <v>21067</v>
      </c>
      <c r="K1391">
        <v>20</v>
      </c>
      <c r="L1391">
        <v>20</v>
      </c>
      <c r="M1391">
        <v>20</v>
      </c>
    </row>
    <row r="1392" spans="1:13" x14ac:dyDescent="0.25">
      <c r="A1392" t="s">
        <v>3060</v>
      </c>
      <c r="B1392" t="s">
        <v>3061</v>
      </c>
      <c r="C1392" t="s">
        <v>540</v>
      </c>
      <c r="F1392">
        <v>18</v>
      </c>
      <c r="G1392" t="s">
        <v>16</v>
      </c>
      <c r="H1392">
        <v>0</v>
      </c>
      <c r="I1392" s="2" t="s">
        <v>500</v>
      </c>
      <c r="J1392" s="2" t="s">
        <v>3062</v>
      </c>
      <c r="K1392">
        <v>20</v>
      </c>
      <c r="L1392">
        <v>20</v>
      </c>
      <c r="M1392">
        <v>20</v>
      </c>
    </row>
    <row r="1393" spans="1:13" x14ac:dyDescent="0.25">
      <c r="A1393" t="s">
        <v>3063</v>
      </c>
      <c r="B1393" t="s">
        <v>3064</v>
      </c>
      <c r="C1393" t="s">
        <v>357</v>
      </c>
      <c r="D1393" t="s">
        <v>241</v>
      </c>
      <c r="G1393" t="s">
        <v>16</v>
      </c>
      <c r="H1393">
        <v>0</v>
      </c>
      <c r="I1393" s="2" t="s">
        <v>737</v>
      </c>
      <c r="J1393" s="2" t="s">
        <v>3065</v>
      </c>
      <c r="K1393">
        <v>20</v>
      </c>
      <c r="L1393">
        <v>20</v>
      </c>
      <c r="M1393">
        <v>20</v>
      </c>
    </row>
    <row r="1394" spans="1:13" x14ac:dyDescent="0.25">
      <c r="A1394" t="s">
        <v>3066</v>
      </c>
      <c r="B1394" t="s">
        <v>3068</v>
      </c>
      <c r="C1394" t="s">
        <v>357</v>
      </c>
      <c r="D1394" t="s">
        <v>241</v>
      </c>
      <c r="G1394" t="s">
        <v>16</v>
      </c>
      <c r="H1394">
        <v>0</v>
      </c>
      <c r="I1394" s="2" t="s">
        <v>3069</v>
      </c>
      <c r="J1394" s="2" t="s">
        <v>3067</v>
      </c>
      <c r="K1394">
        <v>20</v>
      </c>
      <c r="L1394">
        <v>20</v>
      </c>
      <c r="M1394">
        <v>20</v>
      </c>
    </row>
    <row r="1395" spans="1:13" x14ac:dyDescent="0.25">
      <c r="A1395" t="s">
        <v>3070</v>
      </c>
      <c r="B1395" t="s">
        <v>3071</v>
      </c>
      <c r="C1395" t="s">
        <v>241</v>
      </c>
      <c r="D1395" t="s">
        <v>2216</v>
      </c>
      <c r="F1395">
        <v>1</v>
      </c>
      <c r="G1395" t="s">
        <v>16</v>
      </c>
      <c r="H1395">
        <v>0</v>
      </c>
      <c r="I1395" s="2" t="s">
        <v>243</v>
      </c>
      <c r="J1395" s="2">
        <v>21506</v>
      </c>
      <c r="K1395">
        <v>20</v>
      </c>
      <c r="L1395">
        <v>20</v>
      </c>
      <c r="M1395">
        <v>20</v>
      </c>
    </row>
    <row r="1396" spans="1:13" x14ac:dyDescent="0.25">
      <c r="A1396" t="s">
        <v>3072</v>
      </c>
      <c r="B1396" t="s">
        <v>3071</v>
      </c>
      <c r="C1396" t="s">
        <v>357</v>
      </c>
      <c r="D1396" t="s">
        <v>241</v>
      </c>
      <c r="F1396">
        <v>1</v>
      </c>
      <c r="G1396" t="s">
        <v>16</v>
      </c>
      <c r="H1396">
        <v>0</v>
      </c>
      <c r="I1396" s="2" t="s">
        <v>221</v>
      </c>
      <c r="J1396" s="2">
        <v>21506</v>
      </c>
      <c r="K1396">
        <v>20</v>
      </c>
      <c r="L1396">
        <v>20</v>
      </c>
      <c r="M1396">
        <v>20</v>
      </c>
    </row>
    <row r="1397" spans="1:13" x14ac:dyDescent="0.25">
      <c r="A1397" t="s">
        <v>3073</v>
      </c>
      <c r="B1397" t="s">
        <v>3071</v>
      </c>
      <c r="C1397" t="s">
        <v>357</v>
      </c>
      <c r="D1397" t="s">
        <v>241</v>
      </c>
      <c r="G1397" t="s">
        <v>16</v>
      </c>
      <c r="H1397">
        <v>0</v>
      </c>
      <c r="I1397" s="2" t="s">
        <v>245</v>
      </c>
      <c r="J1397" s="2" t="s">
        <v>3074</v>
      </c>
      <c r="K1397">
        <v>20</v>
      </c>
      <c r="L1397">
        <v>20</v>
      </c>
      <c r="M1397">
        <v>20</v>
      </c>
    </row>
    <row r="1398" spans="1:13" x14ac:dyDescent="0.25">
      <c r="A1398" t="s">
        <v>3075</v>
      </c>
      <c r="B1398" t="s">
        <v>3076</v>
      </c>
      <c r="C1398" t="s">
        <v>357</v>
      </c>
      <c r="D1398" t="s">
        <v>241</v>
      </c>
      <c r="G1398" t="s">
        <v>16</v>
      </c>
      <c r="H1398">
        <v>0</v>
      </c>
      <c r="I1398" s="2" t="s">
        <v>288</v>
      </c>
      <c r="J1398" s="2" t="s">
        <v>3077</v>
      </c>
      <c r="K1398">
        <v>20</v>
      </c>
      <c r="L1398">
        <v>20</v>
      </c>
      <c r="M1398">
        <v>20</v>
      </c>
    </row>
    <row r="1399" spans="1:13" x14ac:dyDescent="0.25">
      <c r="A1399" t="s">
        <v>3078</v>
      </c>
      <c r="B1399" t="s">
        <v>3076</v>
      </c>
      <c r="C1399" t="s">
        <v>357</v>
      </c>
      <c r="D1399" t="s">
        <v>241</v>
      </c>
      <c r="F1399">
        <v>1</v>
      </c>
      <c r="G1399" t="s">
        <v>16</v>
      </c>
      <c r="H1399">
        <v>0</v>
      </c>
      <c r="I1399" s="2" t="s">
        <v>64</v>
      </c>
      <c r="J1399" s="2">
        <v>10030247</v>
      </c>
      <c r="K1399">
        <v>20</v>
      </c>
      <c r="L1399">
        <v>20</v>
      </c>
      <c r="M1399">
        <v>20</v>
      </c>
    </row>
    <row r="1400" spans="1:13" x14ac:dyDescent="0.25">
      <c r="A1400" t="s">
        <v>3079</v>
      </c>
      <c r="B1400" t="s">
        <v>3076</v>
      </c>
      <c r="C1400" t="s">
        <v>357</v>
      </c>
      <c r="D1400" t="s">
        <v>241</v>
      </c>
      <c r="F1400">
        <v>1</v>
      </c>
      <c r="G1400" t="s">
        <v>16</v>
      </c>
      <c r="H1400">
        <v>0</v>
      </c>
      <c r="I1400" s="2" t="s">
        <v>245</v>
      </c>
      <c r="J1400" s="2" t="s">
        <v>3080</v>
      </c>
      <c r="K1400">
        <v>20</v>
      </c>
      <c r="L1400">
        <v>20</v>
      </c>
      <c r="M1400">
        <v>20</v>
      </c>
    </row>
    <row r="1401" spans="1:13" x14ac:dyDescent="0.25">
      <c r="A1401" t="s">
        <v>3081</v>
      </c>
      <c r="B1401" t="s">
        <v>3076</v>
      </c>
      <c r="C1401" t="s">
        <v>241</v>
      </c>
      <c r="D1401" t="s">
        <v>2216</v>
      </c>
      <c r="G1401" t="s">
        <v>16</v>
      </c>
      <c r="H1401">
        <v>0</v>
      </c>
      <c r="I1401" s="2" t="s">
        <v>737</v>
      </c>
      <c r="J1401" s="2" t="s">
        <v>3082</v>
      </c>
      <c r="K1401">
        <v>20</v>
      </c>
      <c r="L1401">
        <v>20</v>
      </c>
      <c r="M1401">
        <v>20</v>
      </c>
    </row>
    <row r="1402" spans="1:13" x14ac:dyDescent="0.25">
      <c r="A1402" t="s">
        <v>3083</v>
      </c>
      <c r="B1402" t="s">
        <v>3084</v>
      </c>
      <c r="C1402" t="s">
        <v>357</v>
      </c>
      <c r="D1402" t="s">
        <v>241</v>
      </c>
      <c r="G1402" t="s">
        <v>16</v>
      </c>
      <c r="H1402">
        <v>0</v>
      </c>
      <c r="I1402" s="2" t="s">
        <v>245</v>
      </c>
      <c r="J1402" s="2" t="s">
        <v>3085</v>
      </c>
      <c r="K1402">
        <v>20</v>
      </c>
      <c r="L1402">
        <v>20</v>
      </c>
      <c r="M1402">
        <v>20</v>
      </c>
    </row>
    <row r="1403" spans="1:13" x14ac:dyDescent="0.25">
      <c r="A1403" t="s">
        <v>3086</v>
      </c>
      <c r="B1403" t="s">
        <v>3087</v>
      </c>
      <c r="C1403" t="s">
        <v>357</v>
      </c>
      <c r="D1403" t="s">
        <v>241</v>
      </c>
      <c r="G1403" t="s">
        <v>16</v>
      </c>
      <c r="H1403">
        <v>0</v>
      </c>
      <c r="I1403" s="2" t="s">
        <v>3088</v>
      </c>
      <c r="J1403" s="2" t="s">
        <v>3089</v>
      </c>
      <c r="K1403">
        <v>20</v>
      </c>
      <c r="L1403">
        <v>20</v>
      </c>
      <c r="M1403">
        <v>20</v>
      </c>
    </row>
    <row r="1404" spans="1:13" x14ac:dyDescent="0.25">
      <c r="A1404" t="s">
        <v>3090</v>
      </c>
      <c r="B1404" t="s">
        <v>3092</v>
      </c>
      <c r="C1404" t="s">
        <v>241</v>
      </c>
      <c r="D1404" t="s">
        <v>2216</v>
      </c>
      <c r="F1404">
        <v>2</v>
      </c>
      <c r="G1404" t="s">
        <v>16</v>
      </c>
      <c r="H1404">
        <v>0</v>
      </c>
      <c r="I1404" s="2" t="s">
        <v>288</v>
      </c>
      <c r="J1404" s="2" t="s">
        <v>3091</v>
      </c>
      <c r="K1404">
        <v>20</v>
      </c>
      <c r="L1404">
        <v>20</v>
      </c>
      <c r="M1404">
        <v>20</v>
      </c>
    </row>
    <row r="1405" spans="1:13" x14ac:dyDescent="0.25">
      <c r="A1405" t="s">
        <v>3093</v>
      </c>
      <c r="B1405" t="s">
        <v>3094</v>
      </c>
      <c r="C1405" t="s">
        <v>357</v>
      </c>
      <c r="D1405" t="s">
        <v>241</v>
      </c>
      <c r="G1405" t="s">
        <v>16</v>
      </c>
      <c r="H1405">
        <v>0</v>
      </c>
      <c r="I1405" s="2" t="s">
        <v>243</v>
      </c>
      <c r="J1405" s="2">
        <v>21326</v>
      </c>
      <c r="K1405">
        <v>20</v>
      </c>
      <c r="L1405">
        <v>20</v>
      </c>
      <c r="M1405">
        <v>20</v>
      </c>
    </row>
    <row r="1406" spans="1:13" x14ac:dyDescent="0.25">
      <c r="A1406" t="s">
        <v>3095</v>
      </c>
      <c r="B1406" t="s">
        <v>3094</v>
      </c>
      <c r="C1406" t="s">
        <v>357</v>
      </c>
      <c r="D1406" t="s">
        <v>241</v>
      </c>
      <c r="G1406" t="s">
        <v>16</v>
      </c>
      <c r="H1406">
        <v>0</v>
      </c>
      <c r="I1406" s="2" t="s">
        <v>245</v>
      </c>
      <c r="J1406" s="2" t="s">
        <v>3096</v>
      </c>
      <c r="K1406">
        <v>20</v>
      </c>
      <c r="L1406">
        <v>20</v>
      </c>
      <c r="M1406">
        <v>20</v>
      </c>
    </row>
    <row r="1407" spans="1:13" x14ac:dyDescent="0.25">
      <c r="A1407" t="s">
        <v>3097</v>
      </c>
      <c r="B1407" t="s">
        <v>3098</v>
      </c>
      <c r="C1407" t="s">
        <v>357</v>
      </c>
      <c r="D1407" t="s">
        <v>241</v>
      </c>
      <c r="G1407" t="s">
        <v>16</v>
      </c>
      <c r="H1407">
        <v>0</v>
      </c>
      <c r="I1407" s="2" t="s">
        <v>737</v>
      </c>
      <c r="J1407" s="2" t="s">
        <v>3099</v>
      </c>
      <c r="K1407">
        <v>20</v>
      </c>
      <c r="L1407">
        <v>20</v>
      </c>
      <c r="M1407">
        <v>20</v>
      </c>
    </row>
    <row r="1408" spans="1:13" x14ac:dyDescent="0.25">
      <c r="A1408" t="s">
        <v>3100</v>
      </c>
      <c r="B1408" t="s">
        <v>3101</v>
      </c>
      <c r="C1408" t="s">
        <v>357</v>
      </c>
      <c r="D1408" t="s">
        <v>241</v>
      </c>
      <c r="F1408">
        <v>1</v>
      </c>
      <c r="G1408" t="s">
        <v>16</v>
      </c>
      <c r="H1408">
        <v>0</v>
      </c>
      <c r="I1408" s="2" t="s">
        <v>245</v>
      </c>
      <c r="J1408" s="2" t="s">
        <v>3102</v>
      </c>
      <c r="K1408">
        <v>20</v>
      </c>
      <c r="L1408">
        <v>20</v>
      </c>
      <c r="M1408">
        <v>20</v>
      </c>
    </row>
    <row r="1409" spans="1:13" x14ac:dyDescent="0.25">
      <c r="A1409" t="s">
        <v>3103</v>
      </c>
      <c r="B1409" t="s">
        <v>3105</v>
      </c>
      <c r="C1409" t="s">
        <v>357</v>
      </c>
      <c r="D1409" t="s">
        <v>241</v>
      </c>
      <c r="F1409">
        <v>1</v>
      </c>
      <c r="G1409" t="s">
        <v>16</v>
      </c>
      <c r="H1409">
        <v>0</v>
      </c>
      <c r="I1409" s="2" t="s">
        <v>288</v>
      </c>
      <c r="J1409" s="2" t="s">
        <v>3104</v>
      </c>
      <c r="K1409">
        <v>20</v>
      </c>
      <c r="L1409">
        <v>20</v>
      </c>
      <c r="M1409">
        <v>20</v>
      </c>
    </row>
    <row r="1410" spans="1:13" x14ac:dyDescent="0.25">
      <c r="A1410" t="s">
        <v>3106</v>
      </c>
      <c r="B1410" t="s">
        <v>3105</v>
      </c>
      <c r="C1410" t="s">
        <v>357</v>
      </c>
      <c r="D1410" t="s">
        <v>241</v>
      </c>
      <c r="G1410" t="s">
        <v>16</v>
      </c>
      <c r="H1410">
        <v>0</v>
      </c>
      <c r="I1410" s="2" t="s">
        <v>245</v>
      </c>
      <c r="J1410" s="2" t="s">
        <v>3107</v>
      </c>
      <c r="K1410">
        <v>20</v>
      </c>
      <c r="L1410">
        <v>20</v>
      </c>
      <c r="M1410">
        <v>20</v>
      </c>
    </row>
    <row r="1411" spans="1:13" x14ac:dyDescent="0.25">
      <c r="A1411" t="s">
        <v>3108</v>
      </c>
      <c r="B1411" t="s">
        <v>3109</v>
      </c>
      <c r="C1411" t="s">
        <v>357</v>
      </c>
      <c r="D1411" t="s">
        <v>241</v>
      </c>
      <c r="G1411" t="s">
        <v>16</v>
      </c>
      <c r="H1411">
        <v>0</v>
      </c>
      <c r="I1411" s="2" t="s">
        <v>243</v>
      </c>
      <c r="J1411" s="2">
        <v>21331</v>
      </c>
      <c r="K1411">
        <v>20</v>
      </c>
      <c r="L1411">
        <v>20</v>
      </c>
      <c r="M1411">
        <v>20</v>
      </c>
    </row>
    <row r="1412" spans="1:13" x14ac:dyDescent="0.25">
      <c r="A1412" t="s">
        <v>3110</v>
      </c>
      <c r="B1412" t="s">
        <v>3111</v>
      </c>
      <c r="C1412" t="s">
        <v>357</v>
      </c>
      <c r="D1412" t="s">
        <v>241</v>
      </c>
      <c r="F1412">
        <v>1</v>
      </c>
      <c r="G1412" t="s">
        <v>16</v>
      </c>
      <c r="H1412">
        <v>0</v>
      </c>
      <c r="I1412" s="2" t="s">
        <v>245</v>
      </c>
      <c r="J1412" s="2" t="s">
        <v>3112</v>
      </c>
      <c r="K1412">
        <v>20</v>
      </c>
      <c r="L1412">
        <v>20</v>
      </c>
      <c r="M1412">
        <v>20</v>
      </c>
    </row>
    <row r="1413" spans="1:13" x14ac:dyDescent="0.25">
      <c r="A1413" t="s">
        <v>3113</v>
      </c>
      <c r="B1413" t="s">
        <v>3111</v>
      </c>
      <c r="C1413" t="s">
        <v>241</v>
      </c>
      <c r="D1413" t="s">
        <v>2216</v>
      </c>
      <c r="G1413" t="s">
        <v>16</v>
      </c>
      <c r="H1413">
        <v>0</v>
      </c>
      <c r="I1413" s="2" t="s">
        <v>737</v>
      </c>
      <c r="J1413" s="2" t="s">
        <v>3114</v>
      </c>
      <c r="K1413">
        <v>20</v>
      </c>
      <c r="L1413">
        <v>20</v>
      </c>
      <c r="M1413">
        <v>20</v>
      </c>
    </row>
    <row r="1414" spans="1:13" x14ac:dyDescent="0.25">
      <c r="A1414" t="s">
        <v>3115</v>
      </c>
      <c r="B1414" t="s">
        <v>3116</v>
      </c>
      <c r="C1414" t="s">
        <v>357</v>
      </c>
      <c r="D1414" t="s">
        <v>241</v>
      </c>
      <c r="G1414" t="s">
        <v>16</v>
      </c>
      <c r="H1414">
        <v>0</v>
      </c>
      <c r="I1414" s="2" t="s">
        <v>245</v>
      </c>
      <c r="J1414" s="2" t="s">
        <v>3117</v>
      </c>
      <c r="K1414">
        <v>20</v>
      </c>
      <c r="L1414">
        <v>20</v>
      </c>
      <c r="M1414">
        <v>20</v>
      </c>
    </row>
    <row r="1415" spans="1:13" x14ac:dyDescent="0.25">
      <c r="A1415" t="s">
        <v>3118</v>
      </c>
      <c r="B1415" t="s">
        <v>3119</v>
      </c>
      <c r="C1415" t="s">
        <v>357</v>
      </c>
      <c r="D1415" t="s">
        <v>241</v>
      </c>
      <c r="G1415" t="s">
        <v>16</v>
      </c>
      <c r="H1415">
        <v>0</v>
      </c>
      <c r="I1415" s="2" t="s">
        <v>2233</v>
      </c>
      <c r="J1415" s="2">
        <v>21507</v>
      </c>
      <c r="K1415">
        <v>20</v>
      </c>
      <c r="L1415">
        <v>20</v>
      </c>
      <c r="M1415">
        <v>20</v>
      </c>
    </row>
    <row r="1416" spans="1:13" x14ac:dyDescent="0.25">
      <c r="A1416" t="s">
        <v>3120</v>
      </c>
      <c r="B1416" t="s">
        <v>3119</v>
      </c>
      <c r="C1416" t="s">
        <v>357</v>
      </c>
      <c r="D1416" t="s">
        <v>241</v>
      </c>
      <c r="G1416" t="s">
        <v>16</v>
      </c>
      <c r="H1416">
        <v>0</v>
      </c>
      <c r="I1416" s="2" t="s">
        <v>245</v>
      </c>
      <c r="J1416" s="2" t="s">
        <v>3121</v>
      </c>
      <c r="K1416">
        <v>20</v>
      </c>
      <c r="L1416">
        <v>20</v>
      </c>
      <c r="M1416">
        <v>20</v>
      </c>
    </row>
    <row r="1417" spans="1:13" x14ac:dyDescent="0.25">
      <c r="A1417" t="s">
        <v>3122</v>
      </c>
      <c r="B1417" t="s">
        <v>3123</v>
      </c>
      <c r="C1417" t="s">
        <v>357</v>
      </c>
      <c r="D1417" t="s">
        <v>241</v>
      </c>
      <c r="G1417" t="s">
        <v>16</v>
      </c>
      <c r="H1417">
        <v>0</v>
      </c>
      <c r="I1417" s="2" t="s">
        <v>245</v>
      </c>
      <c r="J1417" s="2" t="s">
        <v>3124</v>
      </c>
      <c r="K1417">
        <v>20</v>
      </c>
      <c r="L1417">
        <v>20</v>
      </c>
      <c r="M1417">
        <v>20</v>
      </c>
    </row>
    <row r="1418" spans="1:13" x14ac:dyDescent="0.25">
      <c r="A1418" t="s">
        <v>3125</v>
      </c>
      <c r="B1418" t="s">
        <v>3126</v>
      </c>
      <c r="C1418" t="s">
        <v>357</v>
      </c>
      <c r="D1418" t="s">
        <v>241</v>
      </c>
      <c r="G1418" t="s">
        <v>16</v>
      </c>
      <c r="H1418">
        <v>0</v>
      </c>
      <c r="I1418" s="2" t="s">
        <v>737</v>
      </c>
      <c r="J1418" s="2" t="s">
        <v>3127</v>
      </c>
      <c r="K1418">
        <v>20</v>
      </c>
      <c r="L1418">
        <v>20</v>
      </c>
      <c r="M1418">
        <v>20</v>
      </c>
    </row>
    <row r="1419" spans="1:13" x14ac:dyDescent="0.25">
      <c r="A1419" t="s">
        <v>3128</v>
      </c>
      <c r="B1419" t="s">
        <v>3130</v>
      </c>
      <c r="C1419" t="s">
        <v>357</v>
      </c>
      <c r="D1419" t="s">
        <v>241</v>
      </c>
      <c r="F1419">
        <v>2</v>
      </c>
      <c r="G1419" t="s">
        <v>16</v>
      </c>
      <c r="H1419">
        <v>0</v>
      </c>
      <c r="I1419" s="2" t="s">
        <v>288</v>
      </c>
      <c r="J1419" s="2" t="s">
        <v>3129</v>
      </c>
      <c r="K1419">
        <v>20</v>
      </c>
      <c r="L1419">
        <v>20</v>
      </c>
      <c r="M1419">
        <v>20</v>
      </c>
    </row>
    <row r="1420" spans="1:13" x14ac:dyDescent="0.25">
      <c r="A1420" t="s">
        <v>3131</v>
      </c>
      <c r="B1420" t="s">
        <v>3130</v>
      </c>
      <c r="C1420" t="s">
        <v>357</v>
      </c>
      <c r="D1420" t="s">
        <v>241</v>
      </c>
      <c r="F1420">
        <v>2</v>
      </c>
      <c r="G1420" t="s">
        <v>16</v>
      </c>
      <c r="H1420">
        <v>0</v>
      </c>
      <c r="I1420" s="2" t="s">
        <v>245</v>
      </c>
      <c r="J1420" s="2" t="s">
        <v>3132</v>
      </c>
      <c r="K1420">
        <v>20</v>
      </c>
      <c r="L1420">
        <v>20</v>
      </c>
      <c r="M1420">
        <v>20</v>
      </c>
    </row>
    <row r="1421" spans="1:13" x14ac:dyDescent="0.25">
      <c r="A1421" t="s">
        <v>3133</v>
      </c>
      <c r="B1421" t="s">
        <v>3134</v>
      </c>
      <c r="C1421" t="s">
        <v>357</v>
      </c>
      <c r="D1421" t="s">
        <v>241</v>
      </c>
      <c r="F1421">
        <v>1</v>
      </c>
      <c r="G1421" t="s">
        <v>16</v>
      </c>
      <c r="H1421">
        <v>0</v>
      </c>
      <c r="I1421" s="2" t="s">
        <v>245</v>
      </c>
      <c r="J1421" s="2" t="s">
        <v>3135</v>
      </c>
      <c r="K1421">
        <v>20</v>
      </c>
      <c r="L1421">
        <v>20</v>
      </c>
      <c r="M1421">
        <v>20</v>
      </c>
    </row>
    <row r="1422" spans="1:13" x14ac:dyDescent="0.25">
      <c r="A1422" t="s">
        <v>3136</v>
      </c>
      <c r="B1422" t="s">
        <v>3137</v>
      </c>
      <c r="C1422" t="s">
        <v>357</v>
      </c>
      <c r="D1422" t="s">
        <v>241</v>
      </c>
      <c r="F1422">
        <v>1</v>
      </c>
      <c r="G1422" t="s">
        <v>16</v>
      </c>
      <c r="H1422">
        <v>0</v>
      </c>
      <c r="I1422" s="2" t="s">
        <v>3138</v>
      </c>
      <c r="J1422" s="2" t="s">
        <v>3139</v>
      </c>
      <c r="K1422">
        <v>20</v>
      </c>
      <c r="L1422">
        <v>20</v>
      </c>
      <c r="M1422">
        <v>20</v>
      </c>
    </row>
    <row r="1423" spans="1:13" x14ac:dyDescent="0.25">
      <c r="A1423" t="s">
        <v>3140</v>
      </c>
      <c r="B1423" t="s">
        <v>3141</v>
      </c>
      <c r="C1423" t="s">
        <v>357</v>
      </c>
      <c r="D1423" t="s">
        <v>241</v>
      </c>
      <c r="F1423">
        <v>1</v>
      </c>
      <c r="G1423" t="s">
        <v>16</v>
      </c>
      <c r="H1423">
        <v>0</v>
      </c>
      <c r="I1423" s="2" t="s">
        <v>737</v>
      </c>
      <c r="J1423" s="2" t="s">
        <v>3142</v>
      </c>
      <c r="K1423">
        <v>20</v>
      </c>
      <c r="L1423">
        <v>20</v>
      </c>
      <c r="M1423">
        <v>20</v>
      </c>
    </row>
    <row r="1424" spans="1:13" x14ac:dyDescent="0.25">
      <c r="A1424" t="s">
        <v>3143</v>
      </c>
      <c r="B1424" t="s">
        <v>3141</v>
      </c>
      <c r="C1424" t="s">
        <v>357</v>
      </c>
      <c r="D1424" t="s">
        <v>241</v>
      </c>
      <c r="G1424" t="s">
        <v>16</v>
      </c>
      <c r="H1424">
        <v>0</v>
      </c>
      <c r="I1424" s="2" t="s">
        <v>245</v>
      </c>
      <c r="J1424" s="2" t="s">
        <v>3144</v>
      </c>
      <c r="K1424">
        <v>20</v>
      </c>
      <c r="L1424">
        <v>20</v>
      </c>
      <c r="M1424">
        <v>20</v>
      </c>
    </row>
    <row r="1425" spans="1:13" x14ac:dyDescent="0.25">
      <c r="A1425" t="s">
        <v>3145</v>
      </c>
      <c r="B1425" t="s">
        <v>3146</v>
      </c>
      <c r="C1425" t="s">
        <v>357</v>
      </c>
      <c r="D1425" t="s">
        <v>241</v>
      </c>
      <c r="G1425" t="s">
        <v>16</v>
      </c>
      <c r="H1425">
        <v>0</v>
      </c>
      <c r="I1425" s="2" t="s">
        <v>737</v>
      </c>
      <c r="J1425" s="2" t="s">
        <v>3147</v>
      </c>
      <c r="K1425">
        <v>20</v>
      </c>
      <c r="L1425">
        <v>20</v>
      </c>
      <c r="M1425">
        <v>20</v>
      </c>
    </row>
    <row r="1426" spans="1:13" x14ac:dyDescent="0.25">
      <c r="A1426" t="s">
        <v>3148</v>
      </c>
      <c r="B1426" t="s">
        <v>3149</v>
      </c>
      <c r="C1426" t="s">
        <v>241</v>
      </c>
      <c r="D1426" t="s">
        <v>2216</v>
      </c>
      <c r="G1426" t="s">
        <v>16</v>
      </c>
      <c r="H1426">
        <v>0</v>
      </c>
      <c r="I1426" s="2" t="s">
        <v>245</v>
      </c>
      <c r="J1426" s="2" t="s">
        <v>3150</v>
      </c>
      <c r="K1426">
        <v>20</v>
      </c>
      <c r="L1426">
        <v>20</v>
      </c>
      <c r="M1426">
        <v>20</v>
      </c>
    </row>
    <row r="1427" spans="1:13" x14ac:dyDescent="0.25">
      <c r="A1427" t="s">
        <v>3151</v>
      </c>
      <c r="B1427" t="s">
        <v>3149</v>
      </c>
      <c r="C1427" t="s">
        <v>357</v>
      </c>
      <c r="D1427" t="s">
        <v>241</v>
      </c>
      <c r="G1427" t="s">
        <v>16</v>
      </c>
      <c r="H1427">
        <v>0</v>
      </c>
      <c r="I1427" s="2" t="s">
        <v>3088</v>
      </c>
      <c r="J1427" s="2" t="s">
        <v>3152</v>
      </c>
      <c r="K1427">
        <v>20</v>
      </c>
      <c r="L1427">
        <v>20</v>
      </c>
      <c r="M1427">
        <v>20</v>
      </c>
    </row>
    <row r="1428" spans="1:13" x14ac:dyDescent="0.25">
      <c r="A1428" t="s">
        <v>3153</v>
      </c>
      <c r="B1428" t="s">
        <v>3154</v>
      </c>
      <c r="C1428" t="s">
        <v>357</v>
      </c>
      <c r="D1428" t="s">
        <v>241</v>
      </c>
      <c r="F1428">
        <v>1</v>
      </c>
      <c r="G1428" t="s">
        <v>16</v>
      </c>
      <c r="H1428">
        <v>0</v>
      </c>
      <c r="I1428" s="2" t="s">
        <v>3021</v>
      </c>
      <c r="J1428" s="2" t="s">
        <v>3155</v>
      </c>
      <c r="K1428">
        <v>20</v>
      </c>
      <c r="L1428">
        <v>20</v>
      </c>
      <c r="M1428">
        <v>20</v>
      </c>
    </row>
    <row r="1429" spans="1:13" x14ac:dyDescent="0.25">
      <c r="A1429" t="s">
        <v>3156</v>
      </c>
      <c r="B1429" t="s">
        <v>3157</v>
      </c>
      <c r="C1429" t="s">
        <v>357</v>
      </c>
      <c r="D1429" t="s">
        <v>241</v>
      </c>
      <c r="G1429" t="s">
        <v>16</v>
      </c>
      <c r="H1429">
        <v>0</v>
      </c>
      <c r="I1429" s="2" t="s">
        <v>245</v>
      </c>
      <c r="J1429" s="2" t="s">
        <v>3158</v>
      </c>
      <c r="K1429">
        <v>20</v>
      </c>
      <c r="L1429">
        <v>20</v>
      </c>
      <c r="M1429">
        <v>20</v>
      </c>
    </row>
    <row r="1430" spans="1:13" x14ac:dyDescent="0.25">
      <c r="A1430" t="s">
        <v>3159</v>
      </c>
      <c r="B1430" t="s">
        <v>3160</v>
      </c>
      <c r="C1430" t="s">
        <v>357</v>
      </c>
      <c r="D1430" t="s">
        <v>241</v>
      </c>
      <c r="G1430" t="s">
        <v>16</v>
      </c>
      <c r="H1430">
        <v>0</v>
      </c>
      <c r="I1430" s="2" t="s">
        <v>245</v>
      </c>
      <c r="J1430" s="2" t="s">
        <v>3161</v>
      </c>
      <c r="K1430">
        <v>20</v>
      </c>
      <c r="L1430">
        <v>20</v>
      </c>
      <c r="M1430">
        <v>20</v>
      </c>
    </row>
    <row r="1431" spans="1:13" x14ac:dyDescent="0.25">
      <c r="A1431" t="s">
        <v>3162</v>
      </c>
      <c r="B1431" t="s">
        <v>3160</v>
      </c>
      <c r="C1431" t="s">
        <v>357</v>
      </c>
      <c r="D1431" t="s">
        <v>241</v>
      </c>
      <c r="F1431">
        <v>3</v>
      </c>
      <c r="G1431" t="s">
        <v>16</v>
      </c>
      <c r="H1431">
        <v>0</v>
      </c>
      <c r="I1431" s="2" t="s">
        <v>737</v>
      </c>
      <c r="J1431" s="2" t="s">
        <v>3163</v>
      </c>
      <c r="K1431">
        <v>20</v>
      </c>
      <c r="L1431">
        <v>20</v>
      </c>
      <c r="M1431">
        <v>20</v>
      </c>
    </row>
    <row r="1432" spans="1:13" x14ac:dyDescent="0.25">
      <c r="A1432" t="s">
        <v>3164</v>
      </c>
      <c r="B1432" t="s">
        <v>3165</v>
      </c>
      <c r="C1432" t="s">
        <v>357</v>
      </c>
      <c r="D1432" t="s">
        <v>241</v>
      </c>
      <c r="F1432">
        <v>2</v>
      </c>
      <c r="G1432" t="s">
        <v>16</v>
      </c>
      <c r="H1432">
        <v>0</v>
      </c>
      <c r="I1432" s="2" t="s">
        <v>221</v>
      </c>
      <c r="J1432" s="2">
        <v>21547</v>
      </c>
      <c r="K1432">
        <v>20</v>
      </c>
      <c r="L1432">
        <v>20</v>
      </c>
      <c r="M1432">
        <v>20</v>
      </c>
    </row>
    <row r="1433" spans="1:13" x14ac:dyDescent="0.25">
      <c r="A1433" t="s">
        <v>3166</v>
      </c>
      <c r="B1433" t="s">
        <v>3168</v>
      </c>
      <c r="C1433" t="s">
        <v>357</v>
      </c>
      <c r="D1433" t="s">
        <v>241</v>
      </c>
      <c r="G1433" t="s">
        <v>16</v>
      </c>
      <c r="H1433">
        <v>0</v>
      </c>
      <c r="I1433" s="2" t="s">
        <v>288</v>
      </c>
      <c r="J1433" s="2" t="s">
        <v>3167</v>
      </c>
      <c r="K1433">
        <v>20</v>
      </c>
      <c r="L1433">
        <v>20</v>
      </c>
      <c r="M1433">
        <v>20</v>
      </c>
    </row>
    <row r="1434" spans="1:13" x14ac:dyDescent="0.25">
      <c r="A1434" t="s">
        <v>3169</v>
      </c>
      <c r="B1434" t="s">
        <v>3170</v>
      </c>
      <c r="C1434" t="s">
        <v>357</v>
      </c>
      <c r="D1434" t="s">
        <v>241</v>
      </c>
      <c r="F1434">
        <v>1</v>
      </c>
      <c r="G1434" t="s">
        <v>16</v>
      </c>
      <c r="H1434">
        <v>0</v>
      </c>
      <c r="I1434" s="2" t="s">
        <v>737</v>
      </c>
      <c r="J1434" s="2" t="s">
        <v>3171</v>
      </c>
      <c r="K1434">
        <v>20</v>
      </c>
      <c r="L1434">
        <v>20</v>
      </c>
      <c r="M1434">
        <v>20</v>
      </c>
    </row>
    <row r="1435" spans="1:13" x14ac:dyDescent="0.25">
      <c r="A1435" t="s">
        <v>3172</v>
      </c>
      <c r="B1435" t="s">
        <v>3173</v>
      </c>
      <c r="C1435" t="s">
        <v>357</v>
      </c>
      <c r="D1435" t="s">
        <v>241</v>
      </c>
      <c r="F1435">
        <v>1</v>
      </c>
      <c r="G1435" t="s">
        <v>16</v>
      </c>
      <c r="H1435">
        <v>0</v>
      </c>
      <c r="I1435" s="2" t="s">
        <v>243</v>
      </c>
      <c r="J1435" s="2">
        <v>21440</v>
      </c>
      <c r="K1435">
        <v>20</v>
      </c>
      <c r="L1435">
        <v>20</v>
      </c>
      <c r="M1435">
        <v>20</v>
      </c>
    </row>
    <row r="1436" spans="1:13" x14ac:dyDescent="0.25">
      <c r="A1436" t="s">
        <v>3174</v>
      </c>
      <c r="B1436" t="s">
        <v>3175</v>
      </c>
      <c r="C1436" t="s">
        <v>357</v>
      </c>
      <c r="D1436" t="s">
        <v>241</v>
      </c>
      <c r="F1436">
        <v>1</v>
      </c>
      <c r="G1436" t="s">
        <v>16</v>
      </c>
      <c r="H1436">
        <v>0</v>
      </c>
      <c r="I1436" s="2" t="s">
        <v>737</v>
      </c>
      <c r="J1436" s="2" t="s">
        <v>3176</v>
      </c>
      <c r="K1436">
        <v>20</v>
      </c>
      <c r="L1436">
        <v>20</v>
      </c>
      <c r="M1436">
        <v>20</v>
      </c>
    </row>
    <row r="1437" spans="1:13" x14ac:dyDescent="0.25">
      <c r="A1437" t="s">
        <v>3177</v>
      </c>
      <c r="B1437" t="s">
        <v>3178</v>
      </c>
      <c r="C1437" t="s">
        <v>357</v>
      </c>
      <c r="D1437" t="s">
        <v>241</v>
      </c>
      <c r="F1437">
        <v>6</v>
      </c>
      <c r="G1437" t="s">
        <v>16</v>
      </c>
      <c r="H1437">
        <v>0</v>
      </c>
      <c r="I1437" s="2" t="s">
        <v>245</v>
      </c>
      <c r="J1437" s="2" t="s">
        <v>3179</v>
      </c>
      <c r="K1437">
        <v>20</v>
      </c>
      <c r="L1437">
        <v>20</v>
      </c>
      <c r="M1437">
        <v>20</v>
      </c>
    </row>
    <row r="1438" spans="1:13" x14ac:dyDescent="0.25">
      <c r="A1438" t="s">
        <v>3180</v>
      </c>
      <c r="B1438" t="s">
        <v>3181</v>
      </c>
      <c r="C1438" t="s">
        <v>241</v>
      </c>
      <c r="D1438" t="s">
        <v>2216</v>
      </c>
      <c r="G1438" t="s">
        <v>16</v>
      </c>
      <c r="H1438">
        <v>0</v>
      </c>
      <c r="I1438" s="2" t="s">
        <v>2233</v>
      </c>
      <c r="J1438" s="2">
        <v>21409</v>
      </c>
      <c r="K1438">
        <v>20</v>
      </c>
      <c r="L1438">
        <v>20</v>
      </c>
      <c r="M1438">
        <v>20</v>
      </c>
    </row>
    <row r="1439" spans="1:13" x14ac:dyDescent="0.25">
      <c r="A1439" t="s">
        <v>3182</v>
      </c>
      <c r="B1439" t="s">
        <v>3181</v>
      </c>
      <c r="C1439" t="s">
        <v>357</v>
      </c>
      <c r="D1439" t="s">
        <v>241</v>
      </c>
      <c r="F1439">
        <v>2</v>
      </c>
      <c r="G1439" t="s">
        <v>16</v>
      </c>
      <c r="H1439">
        <v>0</v>
      </c>
      <c r="I1439" s="2" t="s">
        <v>64</v>
      </c>
      <c r="J1439" s="2">
        <v>10030079</v>
      </c>
      <c r="K1439">
        <v>20</v>
      </c>
      <c r="L1439">
        <v>20</v>
      </c>
      <c r="M1439">
        <v>20</v>
      </c>
    </row>
    <row r="1440" spans="1:13" x14ac:dyDescent="0.25">
      <c r="A1440" t="s">
        <v>3183</v>
      </c>
      <c r="B1440" t="s">
        <v>3181</v>
      </c>
      <c r="C1440" t="s">
        <v>357</v>
      </c>
      <c r="D1440" t="s">
        <v>241</v>
      </c>
      <c r="F1440">
        <v>2</v>
      </c>
      <c r="G1440" t="s">
        <v>16</v>
      </c>
      <c r="H1440">
        <v>0</v>
      </c>
      <c r="I1440" s="2" t="s">
        <v>245</v>
      </c>
      <c r="J1440" s="2" t="s">
        <v>3184</v>
      </c>
      <c r="K1440">
        <v>20</v>
      </c>
      <c r="L1440">
        <v>20</v>
      </c>
      <c r="M1440">
        <v>20</v>
      </c>
    </row>
    <row r="1441" spans="1:13" x14ac:dyDescent="0.25">
      <c r="A1441" t="s">
        <v>3185</v>
      </c>
      <c r="B1441" t="s">
        <v>3181</v>
      </c>
      <c r="C1441" t="s">
        <v>357</v>
      </c>
      <c r="D1441" t="s">
        <v>241</v>
      </c>
      <c r="F1441">
        <v>3</v>
      </c>
      <c r="G1441" t="s">
        <v>16</v>
      </c>
      <c r="H1441">
        <v>0</v>
      </c>
      <c r="I1441" s="2" t="s">
        <v>737</v>
      </c>
      <c r="J1441" s="2" t="s">
        <v>3186</v>
      </c>
      <c r="K1441">
        <v>20</v>
      </c>
      <c r="L1441">
        <v>20</v>
      </c>
      <c r="M1441">
        <v>20</v>
      </c>
    </row>
    <row r="1442" spans="1:13" x14ac:dyDescent="0.25">
      <c r="A1442" t="s">
        <v>3187</v>
      </c>
      <c r="B1442" t="s">
        <v>3189</v>
      </c>
      <c r="C1442" t="s">
        <v>357</v>
      </c>
      <c r="D1442" t="s">
        <v>241</v>
      </c>
      <c r="F1442">
        <v>3</v>
      </c>
      <c r="G1442" t="s">
        <v>16</v>
      </c>
      <c r="H1442">
        <v>0</v>
      </c>
      <c r="I1442" s="2" t="s">
        <v>288</v>
      </c>
      <c r="J1442" s="2" t="s">
        <v>3188</v>
      </c>
      <c r="K1442">
        <v>20</v>
      </c>
      <c r="L1442">
        <v>20</v>
      </c>
      <c r="M1442">
        <v>20</v>
      </c>
    </row>
    <row r="1443" spans="1:13" x14ac:dyDescent="0.25">
      <c r="A1443" t="s">
        <v>3190</v>
      </c>
      <c r="B1443" t="s">
        <v>3191</v>
      </c>
      <c r="C1443" t="s">
        <v>357</v>
      </c>
      <c r="D1443" t="s">
        <v>241</v>
      </c>
      <c r="G1443" t="s">
        <v>16</v>
      </c>
      <c r="H1443">
        <v>0</v>
      </c>
      <c r="I1443" s="2" t="s">
        <v>243</v>
      </c>
      <c r="J1443" s="2">
        <v>21461</v>
      </c>
      <c r="K1443">
        <v>20</v>
      </c>
      <c r="L1443">
        <v>20</v>
      </c>
      <c r="M1443">
        <v>20</v>
      </c>
    </row>
    <row r="1444" spans="1:13" x14ac:dyDescent="0.25">
      <c r="A1444" t="s">
        <v>3192</v>
      </c>
      <c r="B1444" t="s">
        <v>3193</v>
      </c>
      <c r="C1444" t="s">
        <v>357</v>
      </c>
      <c r="D1444" t="s">
        <v>241</v>
      </c>
      <c r="G1444" t="s">
        <v>16</v>
      </c>
      <c r="H1444">
        <v>0</v>
      </c>
      <c r="I1444" s="2" t="s">
        <v>243</v>
      </c>
      <c r="J1444" s="2">
        <v>21191</v>
      </c>
      <c r="K1444">
        <v>20</v>
      </c>
      <c r="L1444">
        <v>20</v>
      </c>
      <c r="M1444">
        <v>20</v>
      </c>
    </row>
    <row r="1445" spans="1:13" x14ac:dyDescent="0.25">
      <c r="A1445" t="s">
        <v>3194</v>
      </c>
      <c r="B1445" t="s">
        <v>3195</v>
      </c>
      <c r="C1445" t="s">
        <v>357</v>
      </c>
      <c r="D1445" t="s">
        <v>241</v>
      </c>
      <c r="G1445" t="s">
        <v>16</v>
      </c>
      <c r="H1445">
        <v>0</v>
      </c>
      <c r="I1445" s="2" t="s">
        <v>2932</v>
      </c>
      <c r="J1445" s="2" t="s">
        <v>3196</v>
      </c>
      <c r="K1445">
        <v>20</v>
      </c>
      <c r="L1445">
        <v>20</v>
      </c>
      <c r="M1445">
        <v>20</v>
      </c>
    </row>
    <row r="1446" spans="1:13" x14ac:dyDescent="0.25">
      <c r="A1446" t="s">
        <v>3197</v>
      </c>
      <c r="B1446" t="s">
        <v>3198</v>
      </c>
      <c r="C1446" t="s">
        <v>357</v>
      </c>
      <c r="D1446" t="s">
        <v>241</v>
      </c>
      <c r="F1446">
        <v>1</v>
      </c>
      <c r="G1446" t="s">
        <v>16</v>
      </c>
      <c r="H1446">
        <v>0</v>
      </c>
      <c r="I1446" s="2" t="s">
        <v>737</v>
      </c>
      <c r="J1446" s="2" t="s">
        <v>3199</v>
      </c>
      <c r="K1446">
        <v>20</v>
      </c>
      <c r="L1446">
        <v>20</v>
      </c>
      <c r="M1446">
        <v>20</v>
      </c>
    </row>
    <row r="1447" spans="1:13" x14ac:dyDescent="0.25">
      <c r="A1447" t="s">
        <v>3200</v>
      </c>
      <c r="B1447" t="s">
        <v>3201</v>
      </c>
      <c r="C1447" t="s">
        <v>357</v>
      </c>
      <c r="D1447" t="s">
        <v>241</v>
      </c>
      <c r="F1447">
        <v>1</v>
      </c>
      <c r="G1447" t="s">
        <v>16</v>
      </c>
      <c r="H1447">
        <v>0</v>
      </c>
      <c r="I1447" s="2" t="s">
        <v>64</v>
      </c>
      <c r="J1447" s="2">
        <v>10031865</v>
      </c>
      <c r="K1447">
        <v>20</v>
      </c>
      <c r="L1447">
        <v>20</v>
      </c>
      <c r="M1447">
        <v>20</v>
      </c>
    </row>
    <row r="1448" spans="1:13" x14ac:dyDescent="0.25">
      <c r="A1448" t="s">
        <v>3202</v>
      </c>
      <c r="B1448" t="s">
        <v>3203</v>
      </c>
      <c r="C1448" t="s">
        <v>357</v>
      </c>
      <c r="D1448" t="s">
        <v>241</v>
      </c>
      <c r="G1448" t="s">
        <v>16</v>
      </c>
      <c r="H1448">
        <v>0</v>
      </c>
      <c r="I1448" s="2" t="s">
        <v>737</v>
      </c>
      <c r="J1448" s="2" t="s">
        <v>3204</v>
      </c>
      <c r="K1448">
        <v>20</v>
      </c>
      <c r="L1448">
        <v>20</v>
      </c>
      <c r="M1448">
        <v>20</v>
      </c>
    </row>
    <row r="1449" spans="1:13" x14ac:dyDescent="0.25">
      <c r="A1449" t="s">
        <v>3205</v>
      </c>
      <c r="B1449" t="s">
        <v>3206</v>
      </c>
      <c r="C1449" t="s">
        <v>241</v>
      </c>
      <c r="D1449" t="s">
        <v>2216</v>
      </c>
      <c r="F1449">
        <v>1</v>
      </c>
      <c r="G1449" t="s">
        <v>16</v>
      </c>
      <c r="H1449">
        <v>0</v>
      </c>
      <c r="I1449" s="2" t="s">
        <v>243</v>
      </c>
      <c r="J1449" s="2">
        <v>21335</v>
      </c>
      <c r="K1449">
        <v>20</v>
      </c>
      <c r="L1449">
        <v>20</v>
      </c>
      <c r="M1449">
        <v>20</v>
      </c>
    </row>
    <row r="1450" spans="1:13" x14ac:dyDescent="0.25">
      <c r="A1450" t="s">
        <v>3207</v>
      </c>
      <c r="B1450" t="s">
        <v>3206</v>
      </c>
      <c r="C1450" t="s">
        <v>357</v>
      </c>
      <c r="D1450" t="s">
        <v>241</v>
      </c>
      <c r="F1450">
        <v>1</v>
      </c>
      <c r="G1450" t="s">
        <v>16</v>
      </c>
      <c r="H1450">
        <v>0</v>
      </c>
      <c r="I1450" s="2" t="s">
        <v>221</v>
      </c>
      <c r="J1450" s="2">
        <v>21335</v>
      </c>
      <c r="K1450">
        <v>20</v>
      </c>
      <c r="L1450">
        <v>20</v>
      </c>
      <c r="M1450">
        <v>20</v>
      </c>
    </row>
    <row r="1451" spans="1:13" x14ac:dyDescent="0.25">
      <c r="A1451" t="s">
        <v>3208</v>
      </c>
      <c r="B1451" t="s">
        <v>3206</v>
      </c>
      <c r="C1451" t="s">
        <v>357</v>
      </c>
      <c r="D1451" t="s">
        <v>241</v>
      </c>
      <c r="F1451">
        <v>1</v>
      </c>
      <c r="G1451" t="s">
        <v>16</v>
      </c>
      <c r="H1451">
        <v>0</v>
      </c>
      <c r="I1451" s="2" t="s">
        <v>737</v>
      </c>
      <c r="J1451" s="2" t="s">
        <v>3209</v>
      </c>
      <c r="K1451">
        <v>20</v>
      </c>
      <c r="L1451">
        <v>20</v>
      </c>
      <c r="M1451">
        <v>20</v>
      </c>
    </row>
    <row r="1452" spans="1:13" x14ac:dyDescent="0.25">
      <c r="A1452" t="s">
        <v>3210</v>
      </c>
      <c r="B1452" t="s">
        <v>3211</v>
      </c>
      <c r="C1452" t="s">
        <v>357</v>
      </c>
      <c r="D1452" t="s">
        <v>241</v>
      </c>
      <c r="F1452">
        <v>1</v>
      </c>
      <c r="G1452" t="s">
        <v>16</v>
      </c>
      <c r="H1452">
        <v>0</v>
      </c>
      <c r="I1452" s="2" t="s">
        <v>737</v>
      </c>
      <c r="J1452" s="2" t="s">
        <v>3212</v>
      </c>
      <c r="K1452">
        <v>20</v>
      </c>
      <c r="L1452">
        <v>20</v>
      </c>
      <c r="M1452">
        <v>20</v>
      </c>
    </row>
    <row r="1453" spans="1:13" x14ac:dyDescent="0.25">
      <c r="A1453" t="s">
        <v>3213</v>
      </c>
      <c r="B1453" t="s">
        <v>3214</v>
      </c>
      <c r="C1453" t="s">
        <v>357</v>
      </c>
      <c r="D1453" t="s">
        <v>241</v>
      </c>
      <c r="F1453">
        <v>1</v>
      </c>
      <c r="G1453" t="s">
        <v>16</v>
      </c>
      <c r="H1453">
        <v>0</v>
      </c>
      <c r="I1453" s="2" t="s">
        <v>243</v>
      </c>
      <c r="J1453" s="2">
        <v>21258</v>
      </c>
      <c r="K1453">
        <v>20</v>
      </c>
      <c r="L1453">
        <v>20</v>
      </c>
      <c r="M1453">
        <v>20</v>
      </c>
    </row>
    <row r="1454" spans="1:13" x14ac:dyDescent="0.25">
      <c r="A1454" t="s">
        <v>3215</v>
      </c>
      <c r="B1454" t="s">
        <v>3216</v>
      </c>
      <c r="C1454" t="s">
        <v>357</v>
      </c>
      <c r="D1454" t="s">
        <v>241</v>
      </c>
      <c r="G1454" t="s">
        <v>16</v>
      </c>
      <c r="H1454">
        <v>0</v>
      </c>
      <c r="I1454" s="2" t="s">
        <v>245</v>
      </c>
      <c r="J1454" s="2" t="s">
        <v>3217</v>
      </c>
      <c r="K1454">
        <v>20</v>
      </c>
      <c r="L1454">
        <v>20</v>
      </c>
      <c r="M1454">
        <v>20</v>
      </c>
    </row>
    <row r="1455" spans="1:13" x14ac:dyDescent="0.25">
      <c r="A1455" t="s">
        <v>3218</v>
      </c>
      <c r="B1455" t="s">
        <v>3219</v>
      </c>
      <c r="C1455" t="s">
        <v>357</v>
      </c>
      <c r="D1455" t="s">
        <v>241</v>
      </c>
      <c r="G1455" t="s">
        <v>16</v>
      </c>
      <c r="H1455">
        <v>0</v>
      </c>
      <c r="I1455" s="2" t="s">
        <v>243</v>
      </c>
      <c r="J1455" s="2">
        <v>21304</v>
      </c>
      <c r="K1455">
        <v>20</v>
      </c>
      <c r="L1455">
        <v>20</v>
      </c>
      <c r="M1455">
        <v>20</v>
      </c>
    </row>
    <row r="1456" spans="1:13" x14ac:dyDescent="0.25">
      <c r="A1456" t="s">
        <v>3220</v>
      </c>
      <c r="B1456" t="s">
        <v>3222</v>
      </c>
      <c r="C1456" t="s">
        <v>357</v>
      </c>
      <c r="D1456" t="s">
        <v>241</v>
      </c>
      <c r="F1456">
        <v>1</v>
      </c>
      <c r="G1456" t="s">
        <v>16</v>
      </c>
      <c r="H1456">
        <v>0</v>
      </c>
      <c r="I1456" s="2" t="s">
        <v>3088</v>
      </c>
      <c r="J1456" s="2" t="s">
        <v>3221</v>
      </c>
      <c r="K1456">
        <v>20</v>
      </c>
      <c r="L1456">
        <v>20</v>
      </c>
      <c r="M1456">
        <v>20</v>
      </c>
    </row>
    <row r="1457" spans="1:13" x14ac:dyDescent="0.25">
      <c r="A1457" t="s">
        <v>3223</v>
      </c>
      <c r="B1457" t="s">
        <v>3224</v>
      </c>
      <c r="C1457" t="s">
        <v>357</v>
      </c>
      <c r="D1457" t="s">
        <v>241</v>
      </c>
      <c r="F1457">
        <v>1</v>
      </c>
      <c r="G1457" t="s">
        <v>16</v>
      </c>
      <c r="H1457">
        <v>0</v>
      </c>
      <c r="I1457" s="2" t="s">
        <v>737</v>
      </c>
      <c r="J1457" s="2" t="s">
        <v>3225</v>
      </c>
      <c r="K1457">
        <v>20</v>
      </c>
      <c r="L1457">
        <v>20</v>
      </c>
      <c r="M1457">
        <v>20</v>
      </c>
    </row>
    <row r="1458" spans="1:13" x14ac:dyDescent="0.25">
      <c r="A1458" t="s">
        <v>3226</v>
      </c>
      <c r="B1458" t="s">
        <v>3227</v>
      </c>
      <c r="C1458" t="s">
        <v>357</v>
      </c>
      <c r="D1458" t="s">
        <v>241</v>
      </c>
      <c r="G1458" t="s">
        <v>16</v>
      </c>
      <c r="H1458">
        <v>0</v>
      </c>
      <c r="I1458" s="2" t="s">
        <v>3228</v>
      </c>
      <c r="J1458" s="2" t="s">
        <v>3229</v>
      </c>
      <c r="K1458">
        <v>20</v>
      </c>
      <c r="L1458">
        <v>20</v>
      </c>
      <c r="M1458">
        <v>20</v>
      </c>
    </row>
    <row r="1459" spans="1:13" x14ac:dyDescent="0.25">
      <c r="A1459" t="s">
        <v>3230</v>
      </c>
      <c r="B1459" t="s">
        <v>3231</v>
      </c>
      <c r="C1459" t="s">
        <v>357</v>
      </c>
      <c r="D1459" t="s">
        <v>241</v>
      </c>
      <c r="F1459">
        <v>1</v>
      </c>
      <c r="G1459" t="s">
        <v>16</v>
      </c>
      <c r="H1459">
        <v>0</v>
      </c>
      <c r="I1459" s="2" t="s">
        <v>737</v>
      </c>
      <c r="J1459" s="2" t="s">
        <v>3232</v>
      </c>
      <c r="K1459">
        <v>20</v>
      </c>
      <c r="L1459">
        <v>20</v>
      </c>
      <c r="M1459">
        <v>20</v>
      </c>
    </row>
    <row r="1460" spans="1:13" x14ac:dyDescent="0.25">
      <c r="A1460" t="s">
        <v>3233</v>
      </c>
      <c r="B1460" t="s">
        <v>3234</v>
      </c>
      <c r="C1460" t="s">
        <v>357</v>
      </c>
      <c r="D1460" t="s">
        <v>241</v>
      </c>
      <c r="G1460" t="s">
        <v>16</v>
      </c>
      <c r="H1460">
        <v>0</v>
      </c>
      <c r="I1460" s="2" t="s">
        <v>243</v>
      </c>
      <c r="J1460" s="2">
        <v>21233</v>
      </c>
      <c r="K1460">
        <v>20</v>
      </c>
      <c r="L1460">
        <v>20</v>
      </c>
      <c r="M1460">
        <v>20</v>
      </c>
    </row>
    <row r="1461" spans="1:13" x14ac:dyDescent="0.25">
      <c r="A1461" t="s">
        <v>3235</v>
      </c>
      <c r="B1461" t="s">
        <v>3236</v>
      </c>
      <c r="C1461" t="s">
        <v>357</v>
      </c>
      <c r="D1461" t="s">
        <v>241</v>
      </c>
      <c r="G1461" t="s">
        <v>16</v>
      </c>
      <c r="H1461">
        <v>0</v>
      </c>
      <c r="I1461" s="2" t="s">
        <v>243</v>
      </c>
      <c r="J1461" s="2">
        <v>21140</v>
      </c>
      <c r="K1461">
        <v>20</v>
      </c>
      <c r="L1461">
        <v>20</v>
      </c>
      <c r="M1461">
        <v>20</v>
      </c>
    </row>
    <row r="1462" spans="1:13" x14ac:dyDescent="0.25">
      <c r="A1462" t="s">
        <v>3237</v>
      </c>
      <c r="B1462" t="s">
        <v>3238</v>
      </c>
      <c r="C1462" t="s">
        <v>357</v>
      </c>
      <c r="D1462" t="s">
        <v>241</v>
      </c>
      <c r="F1462">
        <v>1</v>
      </c>
      <c r="G1462" t="s">
        <v>16</v>
      </c>
      <c r="H1462">
        <v>0</v>
      </c>
      <c r="I1462" s="2" t="s">
        <v>3239</v>
      </c>
      <c r="J1462" s="2" t="s">
        <v>3240</v>
      </c>
      <c r="K1462">
        <v>20</v>
      </c>
      <c r="L1462">
        <v>20</v>
      </c>
      <c r="M1462">
        <v>20</v>
      </c>
    </row>
    <row r="1463" spans="1:13" x14ac:dyDescent="0.25">
      <c r="A1463" t="s">
        <v>3241</v>
      </c>
      <c r="B1463" t="s">
        <v>3243</v>
      </c>
      <c r="C1463" t="s">
        <v>357</v>
      </c>
      <c r="D1463" t="s">
        <v>241</v>
      </c>
      <c r="F1463">
        <v>2</v>
      </c>
      <c r="G1463" t="s">
        <v>16</v>
      </c>
      <c r="H1463">
        <v>0</v>
      </c>
      <c r="I1463" s="2" t="s">
        <v>288</v>
      </c>
      <c r="J1463" s="2" t="s">
        <v>3242</v>
      </c>
      <c r="K1463">
        <v>20</v>
      </c>
      <c r="L1463">
        <v>20</v>
      </c>
      <c r="M1463">
        <v>20</v>
      </c>
    </row>
    <row r="1464" spans="1:13" x14ac:dyDescent="0.25">
      <c r="A1464" t="s">
        <v>3244</v>
      </c>
      <c r="B1464" t="s">
        <v>3243</v>
      </c>
      <c r="C1464" t="s">
        <v>357</v>
      </c>
      <c r="D1464" t="s">
        <v>241</v>
      </c>
      <c r="F1464">
        <v>1</v>
      </c>
      <c r="G1464" t="s">
        <v>16</v>
      </c>
      <c r="H1464">
        <v>0</v>
      </c>
      <c r="I1464" s="2" t="s">
        <v>221</v>
      </c>
      <c r="J1464" s="2">
        <v>21329</v>
      </c>
      <c r="K1464">
        <v>20</v>
      </c>
      <c r="L1464">
        <v>20</v>
      </c>
      <c r="M1464">
        <v>20</v>
      </c>
    </row>
    <row r="1465" spans="1:13" x14ac:dyDescent="0.25">
      <c r="A1465" t="s">
        <v>3245</v>
      </c>
      <c r="B1465" t="s">
        <v>3243</v>
      </c>
      <c r="C1465" t="s">
        <v>357</v>
      </c>
      <c r="D1465" t="s">
        <v>241</v>
      </c>
      <c r="G1465" t="s">
        <v>16</v>
      </c>
      <c r="H1465">
        <v>0</v>
      </c>
      <c r="I1465" s="2" t="s">
        <v>245</v>
      </c>
      <c r="J1465" s="2" t="s">
        <v>3246</v>
      </c>
      <c r="K1465">
        <v>20</v>
      </c>
      <c r="L1465">
        <v>20</v>
      </c>
      <c r="M1465">
        <v>20</v>
      </c>
    </row>
    <row r="1466" spans="1:13" x14ac:dyDescent="0.25">
      <c r="A1466" t="s">
        <v>3247</v>
      </c>
      <c r="B1466" t="s">
        <v>3243</v>
      </c>
      <c r="C1466" t="s">
        <v>357</v>
      </c>
      <c r="D1466" t="s">
        <v>241</v>
      </c>
      <c r="F1466">
        <v>1</v>
      </c>
      <c r="G1466" t="s">
        <v>16</v>
      </c>
      <c r="H1466">
        <v>0</v>
      </c>
      <c r="I1466" s="2" t="s">
        <v>737</v>
      </c>
      <c r="J1466" s="2" t="s">
        <v>3248</v>
      </c>
      <c r="K1466">
        <v>20</v>
      </c>
      <c r="L1466">
        <v>20</v>
      </c>
      <c r="M1466">
        <v>20</v>
      </c>
    </row>
    <row r="1467" spans="1:13" x14ac:dyDescent="0.25">
      <c r="A1467" t="s">
        <v>3249</v>
      </c>
      <c r="B1467" t="s">
        <v>3251</v>
      </c>
      <c r="C1467" t="s">
        <v>357</v>
      </c>
      <c r="D1467" t="s">
        <v>241</v>
      </c>
      <c r="F1467">
        <v>2</v>
      </c>
      <c r="G1467" t="s">
        <v>16</v>
      </c>
      <c r="H1467">
        <v>0</v>
      </c>
      <c r="I1467" s="2" t="s">
        <v>288</v>
      </c>
      <c r="J1467" s="2" t="s">
        <v>3250</v>
      </c>
      <c r="K1467">
        <v>20</v>
      </c>
      <c r="L1467">
        <v>20</v>
      </c>
      <c r="M1467">
        <v>20</v>
      </c>
    </row>
    <row r="1468" spans="1:13" x14ac:dyDescent="0.25">
      <c r="A1468" t="s">
        <v>3252</v>
      </c>
      <c r="B1468" t="s">
        <v>3251</v>
      </c>
      <c r="C1468" t="s">
        <v>357</v>
      </c>
      <c r="D1468" t="s">
        <v>241</v>
      </c>
      <c r="G1468" t="s">
        <v>16</v>
      </c>
      <c r="H1468">
        <v>0</v>
      </c>
      <c r="I1468" s="2" t="s">
        <v>3253</v>
      </c>
      <c r="J1468" s="2" t="s">
        <v>3254</v>
      </c>
      <c r="K1468">
        <v>20</v>
      </c>
      <c r="L1468">
        <v>20</v>
      </c>
      <c r="M1468">
        <v>20</v>
      </c>
    </row>
    <row r="1469" spans="1:13" x14ac:dyDescent="0.25">
      <c r="A1469" t="s">
        <v>3255</v>
      </c>
      <c r="B1469" t="s">
        <v>3251</v>
      </c>
      <c r="C1469" t="s">
        <v>357</v>
      </c>
      <c r="D1469" t="s">
        <v>241</v>
      </c>
      <c r="G1469" t="s">
        <v>16</v>
      </c>
      <c r="H1469">
        <v>0</v>
      </c>
      <c r="I1469" s="2" t="s">
        <v>243</v>
      </c>
      <c r="J1469" s="2">
        <v>21428</v>
      </c>
      <c r="K1469">
        <v>20</v>
      </c>
      <c r="L1469">
        <v>20</v>
      </c>
      <c r="M1469">
        <v>20</v>
      </c>
    </row>
    <row r="1470" spans="1:13" x14ac:dyDescent="0.25">
      <c r="A1470" t="s">
        <v>3256</v>
      </c>
      <c r="B1470" t="s">
        <v>3257</v>
      </c>
      <c r="C1470" t="s">
        <v>357</v>
      </c>
      <c r="D1470" t="s">
        <v>241</v>
      </c>
      <c r="F1470">
        <v>6</v>
      </c>
      <c r="G1470" t="s">
        <v>16</v>
      </c>
      <c r="H1470">
        <v>0</v>
      </c>
      <c r="I1470" s="2" t="s">
        <v>64</v>
      </c>
      <c r="J1470" s="2">
        <v>10030270</v>
      </c>
      <c r="K1470">
        <v>20</v>
      </c>
      <c r="L1470">
        <v>20</v>
      </c>
      <c r="M1470">
        <v>20</v>
      </c>
    </row>
    <row r="1471" spans="1:13" x14ac:dyDescent="0.25">
      <c r="A1471" t="s">
        <v>3258</v>
      </c>
      <c r="B1471" t="s">
        <v>3257</v>
      </c>
      <c r="C1471" t="s">
        <v>357</v>
      </c>
      <c r="D1471" t="s">
        <v>241</v>
      </c>
      <c r="G1471" t="s">
        <v>16</v>
      </c>
      <c r="H1471">
        <v>0</v>
      </c>
      <c r="I1471" s="2" t="s">
        <v>245</v>
      </c>
      <c r="J1471" s="2" t="s">
        <v>3259</v>
      </c>
      <c r="K1471">
        <v>20</v>
      </c>
      <c r="L1471">
        <v>20</v>
      </c>
      <c r="M1471">
        <v>20</v>
      </c>
    </row>
    <row r="1472" spans="1:13" x14ac:dyDescent="0.25">
      <c r="A1472" t="s">
        <v>3260</v>
      </c>
      <c r="B1472" t="s">
        <v>3251</v>
      </c>
      <c r="C1472" t="s">
        <v>357</v>
      </c>
      <c r="D1472" t="s">
        <v>241</v>
      </c>
      <c r="F1472">
        <v>1</v>
      </c>
      <c r="G1472" t="s">
        <v>16</v>
      </c>
      <c r="H1472">
        <v>0</v>
      </c>
      <c r="I1472" s="2" t="s">
        <v>737</v>
      </c>
      <c r="J1472" s="2" t="s">
        <v>3261</v>
      </c>
      <c r="K1472">
        <v>20</v>
      </c>
      <c r="L1472">
        <v>20</v>
      </c>
      <c r="M1472">
        <v>20</v>
      </c>
    </row>
    <row r="1473" spans="1:13" x14ac:dyDescent="0.25">
      <c r="A1473">
        <v>1337715</v>
      </c>
      <c r="B1473" t="s">
        <v>3262</v>
      </c>
      <c r="C1473" t="s">
        <v>241</v>
      </c>
      <c r="D1473" t="s">
        <v>2216</v>
      </c>
      <c r="F1473">
        <v>2</v>
      </c>
      <c r="G1473" t="s">
        <v>16</v>
      </c>
      <c r="H1473">
        <v>0</v>
      </c>
      <c r="I1473" s="2" t="s">
        <v>497</v>
      </c>
      <c r="J1473" s="2">
        <v>13118272</v>
      </c>
      <c r="K1473">
        <v>20</v>
      </c>
      <c r="L1473">
        <v>20</v>
      </c>
      <c r="M1473">
        <v>20</v>
      </c>
    </row>
    <row r="1474" spans="1:13" x14ac:dyDescent="0.25">
      <c r="A1474" t="s">
        <v>3263</v>
      </c>
      <c r="B1474" t="s">
        <v>3262</v>
      </c>
      <c r="C1474" t="s">
        <v>357</v>
      </c>
      <c r="D1474" t="s">
        <v>241</v>
      </c>
      <c r="F1474">
        <v>5</v>
      </c>
      <c r="G1474" t="s">
        <v>16</v>
      </c>
      <c r="H1474">
        <v>0</v>
      </c>
      <c r="I1474" s="2" t="s">
        <v>288</v>
      </c>
      <c r="J1474" s="2" t="s">
        <v>3264</v>
      </c>
      <c r="K1474">
        <v>20</v>
      </c>
      <c r="L1474">
        <v>20</v>
      </c>
      <c r="M1474">
        <v>20</v>
      </c>
    </row>
    <row r="1475" spans="1:13" x14ac:dyDescent="0.25">
      <c r="A1475" t="s">
        <v>3265</v>
      </c>
      <c r="B1475" t="s">
        <v>3262</v>
      </c>
      <c r="C1475" t="s">
        <v>357</v>
      </c>
      <c r="D1475" t="s">
        <v>241</v>
      </c>
      <c r="G1475" t="s">
        <v>16</v>
      </c>
      <c r="H1475">
        <v>0</v>
      </c>
      <c r="I1475" s="2" t="s">
        <v>737</v>
      </c>
      <c r="J1475" s="2" t="s">
        <v>3266</v>
      </c>
      <c r="K1475">
        <v>20</v>
      </c>
      <c r="L1475">
        <v>20</v>
      </c>
      <c r="M1475">
        <v>20</v>
      </c>
    </row>
    <row r="1476" spans="1:13" x14ac:dyDescent="0.25">
      <c r="A1476" t="s">
        <v>3267</v>
      </c>
      <c r="B1476" t="s">
        <v>3268</v>
      </c>
      <c r="C1476" t="s">
        <v>357</v>
      </c>
      <c r="D1476" t="s">
        <v>241</v>
      </c>
      <c r="F1476">
        <v>1</v>
      </c>
      <c r="G1476" t="s">
        <v>16</v>
      </c>
      <c r="H1476">
        <v>0</v>
      </c>
      <c r="I1476" s="2" t="s">
        <v>243</v>
      </c>
      <c r="J1476" s="2">
        <v>21232</v>
      </c>
      <c r="K1476">
        <v>20</v>
      </c>
      <c r="L1476">
        <v>20</v>
      </c>
      <c r="M1476">
        <v>20</v>
      </c>
    </row>
    <row r="1477" spans="1:13" x14ac:dyDescent="0.25">
      <c r="A1477" t="s">
        <v>3269</v>
      </c>
      <c r="B1477" t="s">
        <v>3270</v>
      </c>
      <c r="C1477" t="s">
        <v>357</v>
      </c>
      <c r="D1477" t="s">
        <v>241</v>
      </c>
      <c r="G1477" t="s">
        <v>16</v>
      </c>
      <c r="H1477">
        <v>0</v>
      </c>
      <c r="I1477" s="2" t="s">
        <v>245</v>
      </c>
      <c r="J1477" s="2" t="s">
        <v>3271</v>
      </c>
      <c r="K1477">
        <v>20</v>
      </c>
      <c r="L1477">
        <v>20</v>
      </c>
      <c r="M1477">
        <v>20</v>
      </c>
    </row>
    <row r="1478" spans="1:13" x14ac:dyDescent="0.25">
      <c r="A1478" t="s">
        <v>3272</v>
      </c>
      <c r="B1478" t="s">
        <v>3273</v>
      </c>
      <c r="C1478" t="s">
        <v>357</v>
      </c>
      <c r="D1478" t="s">
        <v>241</v>
      </c>
      <c r="F1478">
        <v>2</v>
      </c>
      <c r="G1478" t="s">
        <v>16</v>
      </c>
      <c r="H1478">
        <v>0</v>
      </c>
      <c r="I1478" s="2" t="s">
        <v>243</v>
      </c>
      <c r="J1478" s="2">
        <v>21274</v>
      </c>
      <c r="K1478">
        <v>20</v>
      </c>
      <c r="L1478">
        <v>20</v>
      </c>
      <c r="M1478">
        <v>20</v>
      </c>
    </row>
    <row r="1479" spans="1:13" x14ac:dyDescent="0.25">
      <c r="A1479" t="s">
        <v>3274</v>
      </c>
      <c r="B1479" t="s">
        <v>3273</v>
      </c>
      <c r="C1479" t="s">
        <v>357</v>
      </c>
      <c r="D1479" t="s">
        <v>241</v>
      </c>
      <c r="F1479">
        <v>1</v>
      </c>
      <c r="G1479" t="s">
        <v>16</v>
      </c>
      <c r="H1479">
        <v>0</v>
      </c>
      <c r="I1479" s="2" t="s">
        <v>245</v>
      </c>
      <c r="J1479" s="2" t="s">
        <v>3275</v>
      </c>
      <c r="K1479">
        <v>20</v>
      </c>
      <c r="L1479">
        <v>20</v>
      </c>
      <c r="M1479">
        <v>20</v>
      </c>
    </row>
    <row r="1480" spans="1:13" x14ac:dyDescent="0.25">
      <c r="A1480" t="s">
        <v>3276</v>
      </c>
      <c r="B1480" t="s">
        <v>3273</v>
      </c>
      <c r="C1480" t="s">
        <v>357</v>
      </c>
      <c r="D1480" t="s">
        <v>241</v>
      </c>
      <c r="F1480">
        <v>4</v>
      </c>
      <c r="G1480" t="s">
        <v>16</v>
      </c>
      <c r="H1480">
        <v>0</v>
      </c>
      <c r="I1480" s="2" t="s">
        <v>737</v>
      </c>
      <c r="J1480" s="2" t="s">
        <v>3277</v>
      </c>
      <c r="K1480">
        <v>20</v>
      </c>
      <c r="L1480">
        <v>20</v>
      </c>
      <c r="M1480">
        <v>20</v>
      </c>
    </row>
    <row r="1481" spans="1:13" x14ac:dyDescent="0.25">
      <c r="A1481" t="s">
        <v>3278</v>
      </c>
      <c r="B1481" t="s">
        <v>3279</v>
      </c>
      <c r="C1481" t="s">
        <v>357</v>
      </c>
      <c r="D1481" t="s">
        <v>241</v>
      </c>
      <c r="G1481" t="s">
        <v>16</v>
      </c>
      <c r="H1481">
        <v>0</v>
      </c>
      <c r="K1481">
        <v>20</v>
      </c>
      <c r="L1481">
        <v>20</v>
      </c>
      <c r="M1481">
        <v>20</v>
      </c>
    </row>
    <row r="1482" spans="1:13" x14ac:dyDescent="0.25">
      <c r="A1482" t="s">
        <v>3280</v>
      </c>
      <c r="B1482" t="s">
        <v>3281</v>
      </c>
      <c r="C1482" t="s">
        <v>357</v>
      </c>
      <c r="D1482" t="s">
        <v>241</v>
      </c>
      <c r="F1482">
        <v>1</v>
      </c>
      <c r="G1482" t="s">
        <v>16</v>
      </c>
      <c r="H1482">
        <v>0</v>
      </c>
      <c r="I1482" s="2" t="s">
        <v>243</v>
      </c>
      <c r="J1482" s="2">
        <v>21556</v>
      </c>
      <c r="K1482">
        <v>20</v>
      </c>
      <c r="L1482">
        <v>20</v>
      </c>
      <c r="M1482">
        <v>20</v>
      </c>
    </row>
    <row r="1483" spans="1:13" x14ac:dyDescent="0.25">
      <c r="A1483" t="s">
        <v>3282</v>
      </c>
      <c r="B1483" t="s">
        <v>3281</v>
      </c>
      <c r="C1483" t="s">
        <v>241</v>
      </c>
      <c r="D1483" t="s">
        <v>2216</v>
      </c>
      <c r="G1483" t="s">
        <v>16</v>
      </c>
      <c r="H1483">
        <v>0</v>
      </c>
      <c r="I1483" s="2" t="s">
        <v>737</v>
      </c>
      <c r="J1483" s="2" t="s">
        <v>3283</v>
      </c>
      <c r="K1483">
        <v>20</v>
      </c>
      <c r="L1483">
        <v>20</v>
      </c>
      <c r="M1483">
        <v>20</v>
      </c>
    </row>
    <row r="1484" spans="1:13" x14ac:dyDescent="0.25">
      <c r="A1484" t="s">
        <v>3284</v>
      </c>
      <c r="B1484" t="s">
        <v>3285</v>
      </c>
      <c r="C1484" t="s">
        <v>496</v>
      </c>
      <c r="D1484" t="s">
        <v>2360</v>
      </c>
      <c r="F1484">
        <v>2</v>
      </c>
      <c r="G1484" t="s">
        <v>16</v>
      </c>
      <c r="H1484">
        <v>0</v>
      </c>
      <c r="I1484" s="2" t="s">
        <v>3286</v>
      </c>
      <c r="J1484" s="2" t="s">
        <v>3287</v>
      </c>
      <c r="K1484">
        <v>20</v>
      </c>
      <c r="L1484">
        <v>20</v>
      </c>
      <c r="M1484">
        <v>20</v>
      </c>
    </row>
    <row r="1485" spans="1:13" x14ac:dyDescent="0.25">
      <c r="A1485" t="s">
        <v>3288</v>
      </c>
      <c r="B1485" t="s">
        <v>3285</v>
      </c>
      <c r="C1485" t="s">
        <v>496</v>
      </c>
      <c r="D1485" t="s">
        <v>2360</v>
      </c>
      <c r="F1485">
        <v>2</v>
      </c>
      <c r="G1485" t="s">
        <v>16</v>
      </c>
      <c r="H1485">
        <v>0</v>
      </c>
      <c r="I1485" s="2" t="s">
        <v>3289</v>
      </c>
      <c r="J1485" s="2" t="s">
        <v>3290</v>
      </c>
      <c r="K1485">
        <v>20</v>
      </c>
      <c r="L1485">
        <v>20</v>
      </c>
      <c r="M1485">
        <v>20</v>
      </c>
    </row>
    <row r="1486" spans="1:13" x14ac:dyDescent="0.25">
      <c r="A1486" t="s">
        <v>3291</v>
      </c>
      <c r="B1486" t="s">
        <v>3292</v>
      </c>
      <c r="C1486" t="s">
        <v>357</v>
      </c>
      <c r="D1486" t="s">
        <v>241</v>
      </c>
      <c r="F1486">
        <v>1</v>
      </c>
      <c r="G1486" t="s">
        <v>16</v>
      </c>
      <c r="H1486">
        <v>0</v>
      </c>
      <c r="I1486" s="2" t="s">
        <v>221</v>
      </c>
      <c r="J1486" s="2">
        <v>21247</v>
      </c>
      <c r="K1486">
        <v>20</v>
      </c>
      <c r="L1486">
        <v>20</v>
      </c>
      <c r="M1486">
        <v>20</v>
      </c>
    </row>
    <row r="1487" spans="1:13" x14ac:dyDescent="0.25">
      <c r="A1487" t="s">
        <v>3293</v>
      </c>
      <c r="B1487" t="s">
        <v>3292</v>
      </c>
      <c r="C1487" t="s">
        <v>357</v>
      </c>
      <c r="D1487" t="s">
        <v>241</v>
      </c>
      <c r="F1487">
        <v>1</v>
      </c>
      <c r="G1487" t="s">
        <v>16</v>
      </c>
      <c r="H1487">
        <v>0</v>
      </c>
      <c r="I1487" s="2" t="s">
        <v>2389</v>
      </c>
      <c r="J1487" s="2" t="str">
        <f>"0500624"</f>
        <v>0500624</v>
      </c>
      <c r="K1487">
        <v>20</v>
      </c>
      <c r="L1487">
        <v>20</v>
      </c>
      <c r="M1487">
        <v>20</v>
      </c>
    </row>
    <row r="1488" spans="1:13" x14ac:dyDescent="0.25">
      <c r="A1488" t="s">
        <v>3294</v>
      </c>
      <c r="B1488" t="s">
        <v>3295</v>
      </c>
      <c r="C1488" t="s">
        <v>241</v>
      </c>
      <c r="D1488" t="s">
        <v>2216</v>
      </c>
      <c r="G1488" t="s">
        <v>16</v>
      </c>
      <c r="H1488">
        <v>0</v>
      </c>
      <c r="I1488" s="2" t="s">
        <v>243</v>
      </c>
      <c r="J1488" s="2">
        <v>21342</v>
      </c>
      <c r="K1488">
        <v>20</v>
      </c>
      <c r="L1488">
        <v>20</v>
      </c>
      <c r="M1488">
        <v>20</v>
      </c>
    </row>
    <row r="1489" spans="1:13" x14ac:dyDescent="0.25">
      <c r="A1489" t="s">
        <v>3296</v>
      </c>
      <c r="B1489" t="s">
        <v>3297</v>
      </c>
      <c r="C1489" t="s">
        <v>357</v>
      </c>
      <c r="D1489" t="s">
        <v>241</v>
      </c>
      <c r="F1489">
        <v>1</v>
      </c>
      <c r="G1489" t="s">
        <v>16</v>
      </c>
      <c r="H1489">
        <v>0</v>
      </c>
      <c r="I1489" s="2" t="s">
        <v>243</v>
      </c>
      <c r="J1489" s="2">
        <v>21362</v>
      </c>
      <c r="K1489">
        <v>20</v>
      </c>
      <c r="L1489">
        <v>20</v>
      </c>
      <c r="M1489">
        <v>20</v>
      </c>
    </row>
    <row r="1490" spans="1:13" x14ac:dyDescent="0.25">
      <c r="A1490" t="s">
        <v>3298</v>
      </c>
      <c r="B1490" t="s">
        <v>3299</v>
      </c>
      <c r="C1490" t="s">
        <v>357</v>
      </c>
      <c r="D1490" t="s">
        <v>241</v>
      </c>
      <c r="F1490">
        <v>1</v>
      </c>
      <c r="G1490" t="s">
        <v>16</v>
      </c>
      <c r="H1490">
        <v>0</v>
      </c>
      <c r="I1490" s="2" t="s">
        <v>221</v>
      </c>
      <c r="J1490" s="2">
        <v>21357</v>
      </c>
      <c r="K1490">
        <v>20</v>
      </c>
      <c r="L1490">
        <v>20</v>
      </c>
      <c r="M1490">
        <v>20</v>
      </c>
    </row>
    <row r="1491" spans="1:13" x14ac:dyDescent="0.25">
      <c r="A1491" t="s">
        <v>3300</v>
      </c>
      <c r="B1491" t="s">
        <v>3299</v>
      </c>
      <c r="C1491" t="s">
        <v>357</v>
      </c>
      <c r="D1491" t="s">
        <v>241</v>
      </c>
      <c r="G1491" t="s">
        <v>16</v>
      </c>
      <c r="H1491">
        <v>0</v>
      </c>
      <c r="I1491" s="2" t="s">
        <v>245</v>
      </c>
      <c r="J1491" s="2" t="s">
        <v>3301</v>
      </c>
      <c r="K1491">
        <v>20</v>
      </c>
      <c r="L1491">
        <v>20</v>
      </c>
      <c r="M1491">
        <v>20</v>
      </c>
    </row>
    <row r="1492" spans="1:13" x14ac:dyDescent="0.25">
      <c r="A1492" t="s">
        <v>3302</v>
      </c>
      <c r="B1492" t="s">
        <v>3299</v>
      </c>
      <c r="C1492" t="s">
        <v>357</v>
      </c>
      <c r="D1492" t="s">
        <v>241</v>
      </c>
      <c r="G1492" t="s">
        <v>16</v>
      </c>
      <c r="H1492">
        <v>0</v>
      </c>
      <c r="I1492" s="2" t="s">
        <v>737</v>
      </c>
      <c r="J1492" s="2" t="s">
        <v>3303</v>
      </c>
      <c r="K1492">
        <v>20</v>
      </c>
      <c r="L1492">
        <v>20</v>
      </c>
      <c r="M1492">
        <v>20</v>
      </c>
    </row>
    <row r="1493" spans="1:13" x14ac:dyDescent="0.25">
      <c r="A1493" t="s">
        <v>3304</v>
      </c>
      <c r="B1493" t="s">
        <v>3305</v>
      </c>
      <c r="C1493" t="s">
        <v>151</v>
      </c>
      <c r="G1493" t="s">
        <v>16</v>
      </c>
      <c r="H1493">
        <v>0</v>
      </c>
      <c r="I1493" s="2" t="s">
        <v>1463</v>
      </c>
      <c r="J1493" s="2">
        <v>210233</v>
      </c>
      <c r="K1493">
        <v>20</v>
      </c>
      <c r="L1493">
        <v>20</v>
      </c>
      <c r="M1493">
        <v>20</v>
      </c>
    </row>
    <row r="1494" spans="1:13" x14ac:dyDescent="0.25">
      <c r="A1494" t="s">
        <v>3306</v>
      </c>
      <c r="B1494" t="s">
        <v>3307</v>
      </c>
      <c r="C1494" t="s">
        <v>357</v>
      </c>
      <c r="D1494" t="s">
        <v>241</v>
      </c>
      <c r="F1494">
        <v>1</v>
      </c>
      <c r="G1494" t="s">
        <v>16</v>
      </c>
      <c r="H1494">
        <v>0</v>
      </c>
      <c r="I1494" s="2" t="s">
        <v>243</v>
      </c>
      <c r="J1494" s="2">
        <v>21341</v>
      </c>
      <c r="K1494">
        <v>20</v>
      </c>
      <c r="L1494">
        <v>20</v>
      </c>
      <c r="M1494">
        <v>20</v>
      </c>
    </row>
    <row r="1495" spans="1:13" x14ac:dyDescent="0.25">
      <c r="A1495" t="s">
        <v>3308</v>
      </c>
      <c r="B1495" t="s">
        <v>3307</v>
      </c>
      <c r="C1495" t="s">
        <v>357</v>
      </c>
      <c r="D1495" t="s">
        <v>241</v>
      </c>
      <c r="G1495" t="s">
        <v>16</v>
      </c>
      <c r="H1495">
        <v>0</v>
      </c>
      <c r="I1495" s="2" t="s">
        <v>245</v>
      </c>
      <c r="J1495" s="2" t="s">
        <v>3309</v>
      </c>
      <c r="K1495">
        <v>20</v>
      </c>
      <c r="L1495">
        <v>20</v>
      </c>
      <c r="M1495">
        <v>20</v>
      </c>
    </row>
    <row r="1496" spans="1:13" x14ac:dyDescent="0.25">
      <c r="A1496" t="s">
        <v>3310</v>
      </c>
      <c r="B1496" t="s">
        <v>3307</v>
      </c>
      <c r="C1496" t="s">
        <v>241</v>
      </c>
      <c r="D1496" t="s">
        <v>2216</v>
      </c>
      <c r="G1496" t="s">
        <v>16</v>
      </c>
      <c r="H1496">
        <v>0</v>
      </c>
      <c r="I1496" s="2" t="s">
        <v>737</v>
      </c>
      <c r="J1496" s="2" t="s">
        <v>3311</v>
      </c>
      <c r="K1496">
        <v>20</v>
      </c>
      <c r="L1496">
        <v>20</v>
      </c>
      <c r="M1496">
        <v>20</v>
      </c>
    </row>
    <row r="1497" spans="1:13" x14ac:dyDescent="0.25">
      <c r="A1497" t="s">
        <v>3312</v>
      </c>
      <c r="B1497" t="s">
        <v>3313</v>
      </c>
      <c r="C1497" t="s">
        <v>357</v>
      </c>
      <c r="D1497" t="s">
        <v>241</v>
      </c>
      <c r="F1497">
        <v>0</v>
      </c>
      <c r="G1497" t="s">
        <v>16</v>
      </c>
      <c r="H1497">
        <v>0</v>
      </c>
      <c r="I1497" s="2" t="s">
        <v>243</v>
      </c>
      <c r="J1497" s="2">
        <v>21242</v>
      </c>
      <c r="K1497">
        <v>20</v>
      </c>
      <c r="L1497">
        <v>20</v>
      </c>
      <c r="M1497">
        <v>20</v>
      </c>
    </row>
    <row r="1498" spans="1:13" x14ac:dyDescent="0.25">
      <c r="A1498" t="s">
        <v>3314</v>
      </c>
      <c r="B1498" t="s">
        <v>3315</v>
      </c>
      <c r="C1498" t="s">
        <v>357</v>
      </c>
      <c r="D1498" t="s">
        <v>241</v>
      </c>
      <c r="F1498">
        <v>1</v>
      </c>
      <c r="G1498" t="s">
        <v>16</v>
      </c>
      <c r="H1498">
        <v>0</v>
      </c>
      <c r="I1498" s="2" t="s">
        <v>243</v>
      </c>
      <c r="J1498" s="2">
        <v>21220</v>
      </c>
      <c r="K1498">
        <v>20</v>
      </c>
      <c r="L1498">
        <v>20</v>
      </c>
      <c r="M1498">
        <v>20</v>
      </c>
    </row>
    <row r="1499" spans="1:13" x14ac:dyDescent="0.25">
      <c r="A1499" t="s">
        <v>3316</v>
      </c>
      <c r="B1499" t="s">
        <v>3315</v>
      </c>
      <c r="C1499" t="s">
        <v>357</v>
      </c>
      <c r="D1499" t="s">
        <v>241</v>
      </c>
      <c r="G1499" t="s">
        <v>16</v>
      </c>
      <c r="H1499">
        <v>0</v>
      </c>
      <c r="I1499" s="2" t="s">
        <v>245</v>
      </c>
      <c r="J1499" s="2" t="s">
        <v>3317</v>
      </c>
      <c r="K1499">
        <v>20</v>
      </c>
      <c r="L1499">
        <v>20</v>
      </c>
      <c r="M1499">
        <v>20</v>
      </c>
    </row>
    <row r="1500" spans="1:13" x14ac:dyDescent="0.25">
      <c r="A1500" t="s">
        <v>3318</v>
      </c>
      <c r="B1500" t="s">
        <v>3319</v>
      </c>
      <c r="C1500" t="s">
        <v>241</v>
      </c>
      <c r="D1500" t="s">
        <v>2216</v>
      </c>
      <c r="F1500">
        <v>1</v>
      </c>
      <c r="G1500" t="s">
        <v>16</v>
      </c>
      <c r="H1500">
        <v>0</v>
      </c>
      <c r="I1500" s="2" t="s">
        <v>737</v>
      </c>
      <c r="J1500" s="2" t="s">
        <v>3320</v>
      </c>
      <c r="K1500">
        <v>20</v>
      </c>
      <c r="L1500">
        <v>20</v>
      </c>
      <c r="M1500">
        <v>20</v>
      </c>
    </row>
    <row r="1501" spans="1:13" x14ac:dyDescent="0.25">
      <c r="A1501" t="s">
        <v>3321</v>
      </c>
      <c r="B1501" t="s">
        <v>3322</v>
      </c>
      <c r="C1501" t="s">
        <v>357</v>
      </c>
      <c r="D1501" t="s">
        <v>241</v>
      </c>
      <c r="G1501" t="s">
        <v>16</v>
      </c>
      <c r="H1501">
        <v>0</v>
      </c>
      <c r="I1501" s="2" t="s">
        <v>243</v>
      </c>
      <c r="J1501" s="2">
        <v>21267</v>
      </c>
      <c r="K1501">
        <v>20</v>
      </c>
      <c r="L1501">
        <v>20</v>
      </c>
      <c r="M1501">
        <v>20</v>
      </c>
    </row>
    <row r="1502" spans="1:13" x14ac:dyDescent="0.25">
      <c r="A1502" t="s">
        <v>3323</v>
      </c>
      <c r="B1502" t="s">
        <v>3322</v>
      </c>
      <c r="C1502" t="s">
        <v>357</v>
      </c>
      <c r="D1502" t="s">
        <v>241</v>
      </c>
      <c r="G1502" t="s">
        <v>16</v>
      </c>
      <c r="H1502">
        <v>0</v>
      </c>
      <c r="I1502" s="2" t="s">
        <v>245</v>
      </c>
      <c r="J1502" s="2" t="s">
        <v>3324</v>
      </c>
      <c r="K1502">
        <v>20</v>
      </c>
      <c r="L1502">
        <v>20</v>
      </c>
      <c r="M1502">
        <v>20</v>
      </c>
    </row>
    <row r="1503" spans="1:13" x14ac:dyDescent="0.25">
      <c r="A1503" t="s">
        <v>3325</v>
      </c>
      <c r="B1503" t="s">
        <v>3322</v>
      </c>
      <c r="C1503" t="s">
        <v>357</v>
      </c>
      <c r="D1503" t="s">
        <v>241</v>
      </c>
      <c r="F1503">
        <v>2</v>
      </c>
      <c r="G1503" t="s">
        <v>16</v>
      </c>
      <c r="H1503">
        <v>0</v>
      </c>
      <c r="I1503" s="2" t="s">
        <v>737</v>
      </c>
      <c r="J1503" s="2" t="s">
        <v>3326</v>
      </c>
      <c r="K1503">
        <v>20</v>
      </c>
      <c r="L1503">
        <v>20</v>
      </c>
      <c r="M1503">
        <v>20</v>
      </c>
    </row>
    <row r="1504" spans="1:13" x14ac:dyDescent="0.25">
      <c r="A1504" t="s">
        <v>3327</v>
      </c>
      <c r="B1504" t="s">
        <v>3328</v>
      </c>
      <c r="C1504" t="s">
        <v>357</v>
      </c>
      <c r="D1504" t="s">
        <v>241</v>
      </c>
      <c r="F1504">
        <v>1</v>
      </c>
      <c r="G1504" t="s">
        <v>16</v>
      </c>
      <c r="H1504">
        <v>0</v>
      </c>
      <c r="I1504" s="2" t="s">
        <v>243</v>
      </c>
      <c r="J1504" s="2">
        <v>21297</v>
      </c>
      <c r="K1504">
        <v>20</v>
      </c>
      <c r="L1504">
        <v>20</v>
      </c>
      <c r="M1504">
        <v>20</v>
      </c>
    </row>
    <row r="1505" spans="1:13" x14ac:dyDescent="0.25">
      <c r="A1505" t="s">
        <v>3329</v>
      </c>
      <c r="B1505" t="s">
        <v>3330</v>
      </c>
      <c r="C1505" t="s">
        <v>357</v>
      </c>
      <c r="D1505" t="s">
        <v>241</v>
      </c>
      <c r="F1505">
        <v>1</v>
      </c>
      <c r="G1505" t="s">
        <v>16</v>
      </c>
      <c r="H1505">
        <v>0</v>
      </c>
      <c r="I1505" s="2" t="s">
        <v>64</v>
      </c>
      <c r="J1505" s="2">
        <v>10031079</v>
      </c>
      <c r="K1505">
        <v>20</v>
      </c>
      <c r="L1505">
        <v>20</v>
      </c>
      <c r="M1505">
        <v>20</v>
      </c>
    </row>
    <row r="1506" spans="1:13" x14ac:dyDescent="0.25">
      <c r="A1506" t="s">
        <v>3331</v>
      </c>
      <c r="B1506" t="s">
        <v>3330</v>
      </c>
      <c r="C1506" t="s">
        <v>357</v>
      </c>
      <c r="D1506" t="s">
        <v>241</v>
      </c>
      <c r="F1506">
        <v>1</v>
      </c>
      <c r="G1506" t="s">
        <v>16</v>
      </c>
      <c r="H1506">
        <v>0</v>
      </c>
      <c r="I1506" s="2" t="s">
        <v>737</v>
      </c>
      <c r="J1506" s="2" t="s">
        <v>3332</v>
      </c>
      <c r="K1506">
        <v>20</v>
      </c>
      <c r="L1506">
        <v>20</v>
      </c>
      <c r="M1506">
        <v>20</v>
      </c>
    </row>
    <row r="1507" spans="1:13" x14ac:dyDescent="0.25">
      <c r="A1507" t="s">
        <v>3333</v>
      </c>
      <c r="B1507" t="s">
        <v>3334</v>
      </c>
      <c r="C1507" t="s">
        <v>357</v>
      </c>
      <c r="D1507" t="s">
        <v>241</v>
      </c>
      <c r="F1507">
        <v>1</v>
      </c>
      <c r="G1507" t="s">
        <v>16</v>
      </c>
      <c r="H1507">
        <v>0</v>
      </c>
      <c r="I1507" s="2" t="s">
        <v>737</v>
      </c>
      <c r="J1507" s="2" t="s">
        <v>3335</v>
      </c>
      <c r="K1507">
        <v>20</v>
      </c>
      <c r="L1507">
        <v>20</v>
      </c>
      <c r="M1507">
        <v>20</v>
      </c>
    </row>
    <row r="1508" spans="1:13" x14ac:dyDescent="0.25">
      <c r="A1508" t="s">
        <v>3336</v>
      </c>
      <c r="B1508" t="s">
        <v>3337</v>
      </c>
      <c r="C1508" t="s">
        <v>357</v>
      </c>
      <c r="D1508" t="s">
        <v>241</v>
      </c>
      <c r="F1508">
        <v>1</v>
      </c>
      <c r="G1508" t="s">
        <v>16</v>
      </c>
      <c r="H1508">
        <v>0</v>
      </c>
      <c r="I1508" s="2" t="s">
        <v>243</v>
      </c>
      <c r="J1508" s="2">
        <v>21644</v>
      </c>
      <c r="K1508">
        <v>20</v>
      </c>
      <c r="L1508">
        <v>20</v>
      </c>
      <c r="M1508">
        <v>20</v>
      </c>
    </row>
    <row r="1509" spans="1:13" x14ac:dyDescent="0.25">
      <c r="A1509" t="s">
        <v>3338</v>
      </c>
      <c r="B1509" t="s">
        <v>3339</v>
      </c>
      <c r="C1509" t="s">
        <v>357</v>
      </c>
      <c r="D1509" t="s">
        <v>241</v>
      </c>
      <c r="G1509" t="s">
        <v>16</v>
      </c>
      <c r="H1509">
        <v>0</v>
      </c>
      <c r="I1509" s="2" t="s">
        <v>64</v>
      </c>
      <c r="J1509" s="2">
        <v>10031948</v>
      </c>
      <c r="K1509">
        <v>20</v>
      </c>
      <c r="L1509">
        <v>20</v>
      </c>
      <c r="M1509">
        <v>20</v>
      </c>
    </row>
    <row r="1510" spans="1:13" x14ac:dyDescent="0.25">
      <c r="A1510" t="s">
        <v>3340</v>
      </c>
      <c r="B1510" t="s">
        <v>3337</v>
      </c>
      <c r="C1510" t="s">
        <v>357</v>
      </c>
      <c r="D1510" t="s">
        <v>241</v>
      </c>
      <c r="F1510">
        <v>2</v>
      </c>
      <c r="G1510" t="s">
        <v>16</v>
      </c>
      <c r="H1510">
        <v>0</v>
      </c>
      <c r="I1510" s="2" t="s">
        <v>737</v>
      </c>
      <c r="J1510" s="2" t="s">
        <v>3341</v>
      </c>
      <c r="K1510">
        <v>20</v>
      </c>
      <c r="L1510">
        <v>20</v>
      </c>
      <c r="M1510">
        <v>20</v>
      </c>
    </row>
    <row r="1511" spans="1:13" x14ac:dyDescent="0.25">
      <c r="A1511" t="s">
        <v>3342</v>
      </c>
      <c r="B1511" t="s">
        <v>3343</v>
      </c>
      <c r="C1511" t="s">
        <v>357</v>
      </c>
      <c r="D1511" t="s">
        <v>241</v>
      </c>
      <c r="G1511" t="s">
        <v>16</v>
      </c>
      <c r="H1511">
        <v>0</v>
      </c>
      <c r="I1511" s="2" t="s">
        <v>2932</v>
      </c>
      <c r="J1511" s="2" t="s">
        <v>3344</v>
      </c>
      <c r="K1511">
        <v>20</v>
      </c>
      <c r="L1511">
        <v>20</v>
      </c>
      <c r="M1511">
        <v>20</v>
      </c>
    </row>
    <row r="1512" spans="1:13" x14ac:dyDescent="0.25">
      <c r="A1512" t="s">
        <v>3345</v>
      </c>
      <c r="B1512" t="s">
        <v>3346</v>
      </c>
      <c r="C1512" t="s">
        <v>357</v>
      </c>
      <c r="D1512" t="s">
        <v>241</v>
      </c>
      <c r="F1512">
        <v>1</v>
      </c>
      <c r="G1512" t="s">
        <v>16</v>
      </c>
      <c r="H1512">
        <v>0</v>
      </c>
      <c r="I1512" s="2" t="s">
        <v>243</v>
      </c>
      <c r="J1512" s="2">
        <v>21225</v>
      </c>
      <c r="K1512">
        <v>20</v>
      </c>
      <c r="L1512">
        <v>20</v>
      </c>
      <c r="M1512">
        <v>20</v>
      </c>
    </row>
    <row r="1513" spans="1:13" x14ac:dyDescent="0.25">
      <c r="A1513" t="s">
        <v>3347</v>
      </c>
      <c r="B1513" t="s">
        <v>3346</v>
      </c>
      <c r="C1513" t="s">
        <v>357</v>
      </c>
      <c r="D1513" t="s">
        <v>241</v>
      </c>
      <c r="F1513">
        <v>1</v>
      </c>
      <c r="G1513" t="s">
        <v>16</v>
      </c>
      <c r="H1513">
        <v>0</v>
      </c>
      <c r="I1513" s="2" t="s">
        <v>245</v>
      </c>
      <c r="J1513" s="2" t="s">
        <v>3348</v>
      </c>
      <c r="K1513">
        <v>20</v>
      </c>
      <c r="L1513">
        <v>20</v>
      </c>
      <c r="M1513">
        <v>20</v>
      </c>
    </row>
    <row r="1514" spans="1:13" x14ac:dyDescent="0.25">
      <c r="A1514" t="s">
        <v>3349</v>
      </c>
      <c r="B1514" t="s">
        <v>3351</v>
      </c>
      <c r="C1514" t="s">
        <v>357</v>
      </c>
      <c r="D1514" t="s">
        <v>241</v>
      </c>
      <c r="F1514">
        <v>1</v>
      </c>
      <c r="G1514" t="s">
        <v>16</v>
      </c>
      <c r="H1514">
        <v>0</v>
      </c>
      <c r="I1514" s="2" t="s">
        <v>765</v>
      </c>
      <c r="J1514" s="2" t="s">
        <v>3350</v>
      </c>
      <c r="K1514">
        <v>20</v>
      </c>
      <c r="L1514">
        <v>20</v>
      </c>
      <c r="M1514">
        <v>20</v>
      </c>
    </row>
    <row r="1515" spans="1:13" x14ac:dyDescent="0.25">
      <c r="A1515" t="s">
        <v>3352</v>
      </c>
      <c r="B1515" t="s">
        <v>3351</v>
      </c>
      <c r="C1515" t="s">
        <v>357</v>
      </c>
      <c r="D1515" t="s">
        <v>241</v>
      </c>
      <c r="F1515">
        <v>1</v>
      </c>
      <c r="G1515" t="s">
        <v>16</v>
      </c>
      <c r="H1515">
        <v>0</v>
      </c>
      <c r="I1515" s="2" t="s">
        <v>243</v>
      </c>
      <c r="J1515" s="2">
        <v>21431</v>
      </c>
      <c r="K1515">
        <v>20</v>
      </c>
      <c r="L1515">
        <v>20</v>
      </c>
      <c r="M1515">
        <v>20</v>
      </c>
    </row>
    <row r="1516" spans="1:13" x14ac:dyDescent="0.25">
      <c r="A1516" t="s">
        <v>3353</v>
      </c>
      <c r="B1516" t="s">
        <v>3351</v>
      </c>
      <c r="C1516" t="s">
        <v>357</v>
      </c>
      <c r="D1516" t="s">
        <v>241</v>
      </c>
      <c r="G1516" t="s">
        <v>16</v>
      </c>
      <c r="H1516">
        <v>0</v>
      </c>
      <c r="I1516" s="2" t="s">
        <v>245</v>
      </c>
      <c r="J1516" s="2" t="s">
        <v>3354</v>
      </c>
      <c r="K1516">
        <v>20</v>
      </c>
      <c r="L1516">
        <v>20</v>
      </c>
      <c r="M1516">
        <v>20</v>
      </c>
    </row>
    <row r="1517" spans="1:13" x14ac:dyDescent="0.25">
      <c r="A1517" t="s">
        <v>3355</v>
      </c>
      <c r="B1517" t="s">
        <v>3357</v>
      </c>
      <c r="C1517" t="s">
        <v>357</v>
      </c>
      <c r="D1517" t="s">
        <v>241</v>
      </c>
      <c r="F1517">
        <v>1</v>
      </c>
      <c r="G1517" t="s">
        <v>16</v>
      </c>
      <c r="H1517">
        <v>0</v>
      </c>
      <c r="I1517" s="2" t="s">
        <v>765</v>
      </c>
      <c r="J1517" s="2" t="s">
        <v>3356</v>
      </c>
      <c r="K1517">
        <v>20</v>
      </c>
      <c r="L1517">
        <v>20</v>
      </c>
      <c r="M1517">
        <v>20</v>
      </c>
    </row>
    <row r="1518" spans="1:13" x14ac:dyDescent="0.25">
      <c r="A1518" t="s">
        <v>3358</v>
      </c>
      <c r="B1518" t="s">
        <v>3357</v>
      </c>
      <c r="C1518" t="s">
        <v>357</v>
      </c>
      <c r="D1518" t="s">
        <v>241</v>
      </c>
      <c r="F1518">
        <v>1</v>
      </c>
      <c r="G1518" t="s">
        <v>16</v>
      </c>
      <c r="H1518">
        <v>0</v>
      </c>
      <c r="I1518" s="2" t="s">
        <v>64</v>
      </c>
      <c r="J1518" s="2">
        <v>10030977</v>
      </c>
      <c r="K1518">
        <v>20</v>
      </c>
      <c r="L1518">
        <v>20</v>
      </c>
      <c r="M1518">
        <v>20</v>
      </c>
    </row>
    <row r="1519" spans="1:13" x14ac:dyDescent="0.25">
      <c r="A1519" t="s">
        <v>3359</v>
      </c>
      <c r="B1519" t="s">
        <v>3357</v>
      </c>
      <c r="C1519" t="s">
        <v>357</v>
      </c>
      <c r="D1519" t="s">
        <v>241</v>
      </c>
      <c r="G1519" t="s">
        <v>16</v>
      </c>
      <c r="H1519">
        <v>0</v>
      </c>
      <c r="I1519" s="2" t="s">
        <v>245</v>
      </c>
      <c r="J1519" s="2" t="s">
        <v>3360</v>
      </c>
      <c r="K1519">
        <v>20</v>
      </c>
      <c r="L1519">
        <v>20</v>
      </c>
      <c r="M1519">
        <v>20</v>
      </c>
    </row>
    <row r="1520" spans="1:13" x14ac:dyDescent="0.25">
      <c r="A1520" t="s">
        <v>3361</v>
      </c>
      <c r="B1520" t="s">
        <v>3362</v>
      </c>
      <c r="C1520" t="s">
        <v>357</v>
      </c>
      <c r="D1520" t="s">
        <v>241</v>
      </c>
      <c r="F1520">
        <v>1</v>
      </c>
      <c r="G1520" t="s">
        <v>16</v>
      </c>
      <c r="H1520">
        <v>0</v>
      </c>
      <c r="I1520" s="2" t="s">
        <v>243</v>
      </c>
      <c r="J1520" s="2">
        <v>21602</v>
      </c>
      <c r="K1520">
        <v>20</v>
      </c>
      <c r="L1520">
        <v>20</v>
      </c>
      <c r="M1520">
        <v>20</v>
      </c>
    </row>
    <row r="1521" spans="1:13" x14ac:dyDescent="0.25">
      <c r="A1521" t="s">
        <v>3363</v>
      </c>
      <c r="B1521" t="s">
        <v>3364</v>
      </c>
      <c r="C1521" t="s">
        <v>357</v>
      </c>
      <c r="D1521" t="s">
        <v>241</v>
      </c>
      <c r="G1521" t="s">
        <v>16</v>
      </c>
      <c r="H1521">
        <v>0</v>
      </c>
      <c r="I1521" s="2" t="s">
        <v>245</v>
      </c>
      <c r="J1521" s="2" t="s">
        <v>3365</v>
      </c>
      <c r="K1521">
        <v>20</v>
      </c>
      <c r="L1521">
        <v>20</v>
      </c>
      <c r="M1521">
        <v>20</v>
      </c>
    </row>
    <row r="1522" spans="1:13" x14ac:dyDescent="0.25">
      <c r="A1522" t="s">
        <v>3366</v>
      </c>
      <c r="B1522" t="s">
        <v>3367</v>
      </c>
      <c r="C1522" t="s">
        <v>357</v>
      </c>
      <c r="D1522" t="s">
        <v>241</v>
      </c>
      <c r="G1522" t="s">
        <v>16</v>
      </c>
      <c r="H1522">
        <v>0</v>
      </c>
      <c r="I1522" s="2" t="s">
        <v>243</v>
      </c>
      <c r="J1522" s="2">
        <v>21601</v>
      </c>
      <c r="K1522">
        <v>20</v>
      </c>
      <c r="L1522">
        <v>20</v>
      </c>
      <c r="M1522">
        <v>20</v>
      </c>
    </row>
    <row r="1523" spans="1:13" x14ac:dyDescent="0.25">
      <c r="A1523" t="s">
        <v>3368</v>
      </c>
      <c r="B1523" t="s">
        <v>3369</v>
      </c>
      <c r="C1523" t="s">
        <v>357</v>
      </c>
      <c r="D1523" t="s">
        <v>241</v>
      </c>
      <c r="G1523" t="s">
        <v>16</v>
      </c>
      <c r="H1523">
        <v>0</v>
      </c>
      <c r="I1523" s="2" t="s">
        <v>737</v>
      </c>
      <c r="J1523" s="2" t="s">
        <v>3370</v>
      </c>
      <c r="K1523">
        <v>20</v>
      </c>
      <c r="L1523">
        <v>20</v>
      </c>
      <c r="M1523">
        <v>20</v>
      </c>
    </row>
    <row r="1524" spans="1:13" x14ac:dyDescent="0.25">
      <c r="A1524" t="s">
        <v>3371</v>
      </c>
      <c r="B1524" t="s">
        <v>3372</v>
      </c>
      <c r="C1524" t="s">
        <v>357</v>
      </c>
      <c r="D1524" t="s">
        <v>241</v>
      </c>
      <c r="F1524">
        <v>1</v>
      </c>
      <c r="G1524" t="s">
        <v>16</v>
      </c>
      <c r="H1524">
        <v>0</v>
      </c>
      <c r="I1524" s="2" t="s">
        <v>243</v>
      </c>
      <c r="J1524" s="2">
        <v>21612</v>
      </c>
      <c r="K1524">
        <v>20</v>
      </c>
      <c r="L1524">
        <v>20</v>
      </c>
      <c r="M1524">
        <v>20</v>
      </c>
    </row>
    <row r="1525" spans="1:13" x14ac:dyDescent="0.25">
      <c r="A1525" t="s">
        <v>3373</v>
      </c>
      <c r="B1525" t="s">
        <v>3374</v>
      </c>
      <c r="C1525" t="s">
        <v>357</v>
      </c>
      <c r="D1525" t="s">
        <v>241</v>
      </c>
      <c r="G1525" t="s">
        <v>16</v>
      </c>
      <c r="H1525">
        <v>0</v>
      </c>
      <c r="I1525" s="2" t="s">
        <v>245</v>
      </c>
      <c r="J1525" s="2" t="s">
        <v>3375</v>
      </c>
      <c r="K1525">
        <v>20</v>
      </c>
      <c r="L1525">
        <v>20</v>
      </c>
      <c r="M1525">
        <v>20</v>
      </c>
    </row>
    <row r="1526" spans="1:13" x14ac:dyDescent="0.25">
      <c r="A1526" t="s">
        <v>3376</v>
      </c>
      <c r="B1526" t="s">
        <v>3377</v>
      </c>
      <c r="C1526" t="s">
        <v>357</v>
      </c>
      <c r="D1526" t="s">
        <v>241</v>
      </c>
      <c r="G1526" t="s">
        <v>16</v>
      </c>
      <c r="H1526">
        <v>0</v>
      </c>
      <c r="I1526" s="2" t="s">
        <v>243</v>
      </c>
      <c r="J1526" s="2">
        <v>21655</v>
      </c>
      <c r="K1526">
        <v>20</v>
      </c>
      <c r="L1526">
        <v>20</v>
      </c>
      <c r="M1526">
        <v>20</v>
      </c>
    </row>
    <row r="1527" spans="1:13" x14ac:dyDescent="0.25">
      <c r="A1527" t="s">
        <v>3378</v>
      </c>
      <c r="B1527" t="s">
        <v>3379</v>
      </c>
      <c r="C1527" t="s">
        <v>357</v>
      </c>
      <c r="D1527" t="s">
        <v>241</v>
      </c>
      <c r="G1527" t="s">
        <v>16</v>
      </c>
      <c r="H1527">
        <v>0</v>
      </c>
      <c r="I1527" s="2" t="s">
        <v>245</v>
      </c>
      <c r="J1527" s="2" t="s">
        <v>3380</v>
      </c>
      <c r="K1527">
        <v>20</v>
      </c>
      <c r="L1527">
        <v>20</v>
      </c>
      <c r="M1527">
        <v>20</v>
      </c>
    </row>
    <row r="1528" spans="1:13" x14ac:dyDescent="0.25">
      <c r="A1528" t="s">
        <v>3381</v>
      </c>
      <c r="B1528" t="s">
        <v>3382</v>
      </c>
      <c r="C1528" t="s">
        <v>357</v>
      </c>
      <c r="D1528" t="s">
        <v>358</v>
      </c>
      <c r="F1528">
        <v>1</v>
      </c>
      <c r="G1528" t="s">
        <v>16</v>
      </c>
      <c r="H1528">
        <v>0</v>
      </c>
      <c r="I1528" s="2" t="s">
        <v>712</v>
      </c>
      <c r="J1528" s="2" t="s">
        <v>3383</v>
      </c>
      <c r="K1528">
        <v>20</v>
      </c>
      <c r="L1528">
        <v>20</v>
      </c>
      <c r="M1528">
        <v>20</v>
      </c>
    </row>
    <row r="1529" spans="1:13" x14ac:dyDescent="0.25">
      <c r="A1529" t="s">
        <v>3384</v>
      </c>
      <c r="B1529" t="s">
        <v>3382</v>
      </c>
      <c r="C1529" t="s">
        <v>357</v>
      </c>
      <c r="D1529" t="s">
        <v>358</v>
      </c>
      <c r="F1529">
        <v>2</v>
      </c>
      <c r="G1529" t="s">
        <v>16</v>
      </c>
      <c r="H1529">
        <v>0</v>
      </c>
      <c r="I1529" s="2" t="s">
        <v>491</v>
      </c>
      <c r="J1529" s="2">
        <v>359001200070</v>
      </c>
      <c r="K1529">
        <v>20</v>
      </c>
      <c r="L1529">
        <v>20</v>
      </c>
      <c r="M1529">
        <v>20</v>
      </c>
    </row>
    <row r="1530" spans="1:13" x14ac:dyDescent="0.25">
      <c r="A1530" t="s">
        <v>3385</v>
      </c>
      <c r="B1530" t="s">
        <v>3382</v>
      </c>
      <c r="C1530" t="s">
        <v>357</v>
      </c>
      <c r="D1530" t="s">
        <v>358</v>
      </c>
      <c r="F1530">
        <v>1</v>
      </c>
      <c r="G1530" t="s">
        <v>16</v>
      </c>
      <c r="H1530">
        <v>0</v>
      </c>
      <c r="I1530" s="2" t="s">
        <v>162</v>
      </c>
      <c r="J1530" s="2">
        <v>85900</v>
      </c>
      <c r="K1530">
        <v>20</v>
      </c>
      <c r="L1530">
        <v>20</v>
      </c>
      <c r="M1530">
        <v>20</v>
      </c>
    </row>
    <row r="1531" spans="1:13" x14ac:dyDescent="0.25">
      <c r="A1531" t="s">
        <v>3386</v>
      </c>
      <c r="B1531" t="s">
        <v>3382</v>
      </c>
      <c r="C1531" t="s">
        <v>357</v>
      </c>
      <c r="D1531" t="s">
        <v>358</v>
      </c>
      <c r="F1531">
        <v>1</v>
      </c>
      <c r="G1531" t="s">
        <v>16</v>
      </c>
      <c r="H1531">
        <v>0</v>
      </c>
      <c r="I1531" s="2" t="s">
        <v>1663</v>
      </c>
      <c r="J1531" s="2" t="s">
        <v>3387</v>
      </c>
      <c r="K1531">
        <v>20</v>
      </c>
      <c r="L1531">
        <v>20</v>
      </c>
      <c r="M1531">
        <v>20</v>
      </c>
    </row>
    <row r="1532" spans="1:13" x14ac:dyDescent="0.25">
      <c r="A1532" t="s">
        <v>3388</v>
      </c>
      <c r="B1532" t="s">
        <v>3382</v>
      </c>
      <c r="C1532" t="s">
        <v>357</v>
      </c>
      <c r="D1532" t="s">
        <v>358</v>
      </c>
      <c r="F1532">
        <v>2</v>
      </c>
      <c r="G1532" t="s">
        <v>16</v>
      </c>
      <c r="H1532">
        <v>0</v>
      </c>
      <c r="I1532" s="2" t="s">
        <v>715</v>
      </c>
      <c r="J1532" s="2" t="s">
        <v>3389</v>
      </c>
      <c r="K1532">
        <v>20</v>
      </c>
      <c r="L1532">
        <v>20</v>
      </c>
      <c r="M1532">
        <v>20</v>
      </c>
    </row>
    <row r="1533" spans="1:13" x14ac:dyDescent="0.25">
      <c r="A1533" t="s">
        <v>3390</v>
      </c>
      <c r="B1533" t="s">
        <v>3391</v>
      </c>
      <c r="C1533" t="s">
        <v>151</v>
      </c>
      <c r="D1533" t="s">
        <v>152</v>
      </c>
      <c r="G1533" t="s">
        <v>16</v>
      </c>
      <c r="H1533">
        <v>0</v>
      </c>
      <c r="I1533" s="2" t="s">
        <v>941</v>
      </c>
      <c r="J1533" s="2" t="s">
        <v>3392</v>
      </c>
      <c r="K1533">
        <v>20</v>
      </c>
      <c r="L1533">
        <v>20</v>
      </c>
      <c r="M1533">
        <v>20</v>
      </c>
    </row>
    <row r="1534" spans="1:13" x14ac:dyDescent="0.25">
      <c r="A1534" t="s">
        <v>3393</v>
      </c>
      <c r="B1534" t="s">
        <v>3394</v>
      </c>
      <c r="C1534" t="s">
        <v>357</v>
      </c>
      <c r="D1534" t="s">
        <v>358</v>
      </c>
      <c r="G1534" t="s">
        <v>16</v>
      </c>
      <c r="H1534">
        <v>0</v>
      </c>
      <c r="I1534" s="2" t="s">
        <v>715</v>
      </c>
      <c r="J1534" s="2" t="s">
        <v>3395</v>
      </c>
      <c r="K1534">
        <v>20</v>
      </c>
      <c r="L1534">
        <v>20</v>
      </c>
      <c r="M1534">
        <v>20</v>
      </c>
    </row>
    <row r="1535" spans="1:13" x14ac:dyDescent="0.25">
      <c r="A1535" t="s">
        <v>3396</v>
      </c>
      <c r="B1535" t="s">
        <v>3397</v>
      </c>
      <c r="C1535" t="s">
        <v>151</v>
      </c>
      <c r="D1535" t="s">
        <v>152</v>
      </c>
      <c r="F1535">
        <v>1</v>
      </c>
      <c r="G1535" t="s">
        <v>16</v>
      </c>
      <c r="H1535">
        <v>0</v>
      </c>
      <c r="I1535" s="2" t="s">
        <v>108</v>
      </c>
      <c r="J1535" s="3">
        <v>2691911002</v>
      </c>
      <c r="K1535">
        <v>20</v>
      </c>
      <c r="L1535">
        <v>20</v>
      </c>
      <c r="M1535">
        <v>20</v>
      </c>
    </row>
    <row r="1536" spans="1:13" x14ac:dyDescent="0.25">
      <c r="A1536" t="s">
        <v>3398</v>
      </c>
      <c r="B1536" t="s">
        <v>3399</v>
      </c>
      <c r="C1536" t="s">
        <v>357</v>
      </c>
      <c r="D1536" t="s">
        <v>358</v>
      </c>
      <c r="F1536">
        <v>1</v>
      </c>
      <c r="G1536" t="s">
        <v>16</v>
      </c>
      <c r="H1536">
        <v>0</v>
      </c>
      <c r="I1536" s="2" t="s">
        <v>715</v>
      </c>
      <c r="J1536" s="2" t="s">
        <v>3400</v>
      </c>
      <c r="K1536">
        <v>20</v>
      </c>
      <c r="L1536">
        <v>20</v>
      </c>
      <c r="M1536">
        <v>20</v>
      </c>
    </row>
    <row r="1537" spans="1:13" x14ac:dyDescent="0.25">
      <c r="A1537" t="s">
        <v>3401</v>
      </c>
      <c r="B1537" t="s">
        <v>3403</v>
      </c>
      <c r="C1537" t="s">
        <v>151</v>
      </c>
      <c r="D1537" t="s">
        <v>152</v>
      </c>
      <c r="F1537">
        <v>2</v>
      </c>
      <c r="G1537" t="s">
        <v>16</v>
      </c>
      <c r="H1537">
        <v>0</v>
      </c>
      <c r="I1537" s="2" t="s">
        <v>69</v>
      </c>
      <c r="J1537" s="2" t="s">
        <v>3402</v>
      </c>
      <c r="K1537">
        <v>20</v>
      </c>
      <c r="L1537">
        <v>20</v>
      </c>
      <c r="M1537">
        <v>20</v>
      </c>
    </row>
    <row r="1538" spans="1:13" x14ac:dyDescent="0.25">
      <c r="A1538" t="s">
        <v>3404</v>
      </c>
      <c r="B1538" t="s">
        <v>3405</v>
      </c>
      <c r="C1538" t="s">
        <v>151</v>
      </c>
      <c r="D1538" t="s">
        <v>152</v>
      </c>
      <c r="G1538" t="s">
        <v>16</v>
      </c>
      <c r="H1538">
        <v>0</v>
      </c>
      <c r="I1538" s="2" t="s">
        <v>842</v>
      </c>
      <c r="J1538" s="2">
        <v>700054</v>
      </c>
      <c r="K1538">
        <v>20</v>
      </c>
      <c r="L1538">
        <v>20</v>
      </c>
      <c r="M1538">
        <v>20</v>
      </c>
    </row>
    <row r="1539" spans="1:13" x14ac:dyDescent="0.25">
      <c r="A1539" t="s">
        <v>3406</v>
      </c>
      <c r="B1539" t="s">
        <v>3405</v>
      </c>
      <c r="C1539" t="s">
        <v>151</v>
      </c>
      <c r="D1539" t="s">
        <v>152</v>
      </c>
      <c r="G1539" t="s">
        <v>16</v>
      </c>
      <c r="H1539">
        <v>0</v>
      </c>
      <c r="I1539" s="2" t="s">
        <v>3407</v>
      </c>
      <c r="J1539" s="2" t="s">
        <v>3408</v>
      </c>
      <c r="K1539">
        <v>20</v>
      </c>
      <c r="L1539">
        <v>20</v>
      </c>
      <c r="M1539">
        <v>20</v>
      </c>
    </row>
    <row r="1540" spans="1:13" x14ac:dyDescent="0.25">
      <c r="A1540" t="s">
        <v>3409</v>
      </c>
      <c r="B1540" t="s">
        <v>3410</v>
      </c>
      <c r="C1540" t="s">
        <v>151</v>
      </c>
      <c r="D1540" t="s">
        <v>152</v>
      </c>
      <c r="F1540">
        <v>1</v>
      </c>
      <c r="G1540" t="s">
        <v>16</v>
      </c>
      <c r="H1540">
        <v>0</v>
      </c>
      <c r="I1540" s="2" t="s">
        <v>108</v>
      </c>
      <c r="J1540" s="3">
        <v>2571911001</v>
      </c>
      <c r="K1540">
        <v>20</v>
      </c>
      <c r="L1540">
        <v>20</v>
      </c>
      <c r="M1540">
        <v>20</v>
      </c>
    </row>
    <row r="1541" spans="1:13" x14ac:dyDescent="0.25">
      <c r="A1541" t="s">
        <v>3411</v>
      </c>
      <c r="B1541" t="s">
        <v>3410</v>
      </c>
      <c r="C1541" t="s">
        <v>151</v>
      </c>
      <c r="D1541" t="s">
        <v>152</v>
      </c>
      <c r="F1541">
        <v>1</v>
      </c>
      <c r="G1541" t="s">
        <v>16</v>
      </c>
      <c r="H1541">
        <v>0</v>
      </c>
      <c r="I1541" s="2" t="s">
        <v>715</v>
      </c>
      <c r="J1541" s="2" t="s">
        <v>3412</v>
      </c>
      <c r="K1541">
        <v>20</v>
      </c>
      <c r="L1541">
        <v>20</v>
      </c>
      <c r="M1541">
        <v>20</v>
      </c>
    </row>
    <row r="1542" spans="1:13" x14ac:dyDescent="0.25">
      <c r="A1542" t="s">
        <v>3413</v>
      </c>
      <c r="B1542" t="s">
        <v>3414</v>
      </c>
      <c r="C1542" t="s">
        <v>151</v>
      </c>
      <c r="D1542" t="s">
        <v>152</v>
      </c>
      <c r="F1542">
        <v>1</v>
      </c>
      <c r="G1542" t="s">
        <v>16</v>
      </c>
      <c r="H1542">
        <v>0</v>
      </c>
      <c r="I1542" s="2" t="s">
        <v>953</v>
      </c>
      <c r="J1542" s="2">
        <v>33706</v>
      </c>
      <c r="K1542">
        <v>20</v>
      </c>
      <c r="L1542">
        <v>20</v>
      </c>
      <c r="M1542">
        <v>20</v>
      </c>
    </row>
    <row r="1543" spans="1:13" x14ac:dyDescent="0.25">
      <c r="A1543" t="s">
        <v>3415</v>
      </c>
      <c r="B1543" t="s">
        <v>3414</v>
      </c>
      <c r="C1543" t="s">
        <v>151</v>
      </c>
      <c r="D1543" t="s">
        <v>152</v>
      </c>
      <c r="F1543">
        <v>1</v>
      </c>
      <c r="G1543" t="s">
        <v>16</v>
      </c>
      <c r="H1543">
        <v>0</v>
      </c>
      <c r="I1543" s="2" t="s">
        <v>715</v>
      </c>
      <c r="J1543" s="2" t="s">
        <v>3416</v>
      </c>
      <c r="K1543">
        <v>20</v>
      </c>
      <c r="L1543">
        <v>20</v>
      </c>
      <c r="M1543">
        <v>20</v>
      </c>
    </row>
    <row r="1544" spans="1:13" x14ac:dyDescent="0.25">
      <c r="A1544">
        <v>1338003</v>
      </c>
      <c r="B1544" t="s">
        <v>3417</v>
      </c>
      <c r="C1544" t="s">
        <v>357</v>
      </c>
      <c r="D1544" t="s">
        <v>358</v>
      </c>
      <c r="F1544">
        <v>2</v>
      </c>
      <c r="G1544" t="s">
        <v>16</v>
      </c>
      <c r="H1544">
        <v>0</v>
      </c>
      <c r="I1544" s="2" t="s">
        <v>497</v>
      </c>
      <c r="J1544" s="2">
        <v>95517651</v>
      </c>
      <c r="K1544">
        <v>20</v>
      </c>
      <c r="L1544">
        <v>20</v>
      </c>
      <c r="M1544">
        <v>20</v>
      </c>
    </row>
    <row r="1545" spans="1:13" x14ac:dyDescent="0.25">
      <c r="A1545" t="s">
        <v>3418</v>
      </c>
      <c r="B1545" t="s">
        <v>3417</v>
      </c>
      <c r="C1545" t="s">
        <v>357</v>
      </c>
      <c r="D1545" t="s">
        <v>358</v>
      </c>
      <c r="F1545">
        <v>4</v>
      </c>
      <c r="G1545" t="s">
        <v>16</v>
      </c>
      <c r="H1545">
        <v>0</v>
      </c>
      <c r="I1545" s="2" t="s">
        <v>288</v>
      </c>
      <c r="J1545" s="2" t="s">
        <v>3419</v>
      </c>
      <c r="K1545">
        <v>20</v>
      </c>
      <c r="L1545">
        <v>20</v>
      </c>
      <c r="M1545">
        <v>20</v>
      </c>
    </row>
    <row r="1546" spans="1:13" x14ac:dyDescent="0.25">
      <c r="A1546" t="s">
        <v>3420</v>
      </c>
      <c r="B1546" t="s">
        <v>3417</v>
      </c>
      <c r="C1546" t="s">
        <v>357</v>
      </c>
      <c r="D1546" t="s">
        <v>358</v>
      </c>
      <c r="G1546" t="s">
        <v>16</v>
      </c>
      <c r="H1546">
        <v>0</v>
      </c>
      <c r="I1546" s="2" t="s">
        <v>3421</v>
      </c>
      <c r="J1546" s="2" t="s">
        <v>3422</v>
      </c>
      <c r="K1546">
        <v>20</v>
      </c>
      <c r="L1546">
        <v>20</v>
      </c>
      <c r="M1546">
        <v>20</v>
      </c>
    </row>
    <row r="1547" spans="1:13" x14ac:dyDescent="0.25">
      <c r="A1547" t="s">
        <v>3423</v>
      </c>
      <c r="B1547" t="s">
        <v>3417</v>
      </c>
      <c r="C1547" t="s">
        <v>357</v>
      </c>
      <c r="D1547" t="s">
        <v>358</v>
      </c>
      <c r="G1547" t="s">
        <v>16</v>
      </c>
      <c r="H1547">
        <v>0</v>
      </c>
      <c r="I1547" s="2" t="s">
        <v>1488</v>
      </c>
      <c r="J1547" s="3">
        <v>78157</v>
      </c>
      <c r="K1547">
        <v>20</v>
      </c>
      <c r="L1547">
        <v>20</v>
      </c>
      <c r="M1547">
        <v>20</v>
      </c>
    </row>
    <row r="1548" spans="1:13" x14ac:dyDescent="0.25">
      <c r="A1548" t="s">
        <v>3424</v>
      </c>
      <c r="B1548" t="s">
        <v>3417</v>
      </c>
      <c r="C1548" t="s">
        <v>357</v>
      </c>
      <c r="D1548" t="s">
        <v>358</v>
      </c>
      <c r="G1548" t="s">
        <v>16</v>
      </c>
      <c r="H1548">
        <v>0</v>
      </c>
      <c r="I1548" s="2" t="s">
        <v>491</v>
      </c>
      <c r="J1548" s="2">
        <v>359001200360</v>
      </c>
      <c r="K1548">
        <v>20</v>
      </c>
      <c r="L1548">
        <v>20</v>
      </c>
      <c r="M1548">
        <v>20</v>
      </c>
    </row>
    <row r="1549" spans="1:13" x14ac:dyDescent="0.25">
      <c r="A1549" t="s">
        <v>3425</v>
      </c>
      <c r="B1549" t="s">
        <v>3417</v>
      </c>
      <c r="C1549" t="s">
        <v>357</v>
      </c>
      <c r="D1549" t="s">
        <v>358</v>
      </c>
      <c r="F1549">
        <v>2</v>
      </c>
      <c r="G1549" t="s">
        <v>16</v>
      </c>
      <c r="H1549">
        <v>0</v>
      </c>
      <c r="I1549" s="2" t="s">
        <v>1906</v>
      </c>
      <c r="J1549" s="2">
        <v>725014</v>
      </c>
      <c r="K1549">
        <v>20</v>
      </c>
      <c r="L1549">
        <v>20</v>
      </c>
      <c r="M1549">
        <v>20</v>
      </c>
    </row>
    <row r="1550" spans="1:13" x14ac:dyDescent="0.25">
      <c r="A1550" t="s">
        <v>3426</v>
      </c>
      <c r="B1550" t="s">
        <v>3417</v>
      </c>
      <c r="C1550" t="s">
        <v>357</v>
      </c>
      <c r="D1550" t="s">
        <v>358</v>
      </c>
      <c r="F1550">
        <v>1</v>
      </c>
      <c r="G1550" t="s">
        <v>16</v>
      </c>
      <c r="H1550">
        <v>0</v>
      </c>
      <c r="I1550" s="2" t="s">
        <v>165</v>
      </c>
      <c r="J1550" s="2">
        <v>206709</v>
      </c>
      <c r="K1550">
        <v>20</v>
      </c>
      <c r="L1550">
        <v>20</v>
      </c>
      <c r="M1550">
        <v>20</v>
      </c>
    </row>
    <row r="1551" spans="1:13" x14ac:dyDescent="0.25">
      <c r="A1551" t="s">
        <v>3427</v>
      </c>
      <c r="B1551" t="s">
        <v>3417</v>
      </c>
      <c r="C1551" t="s">
        <v>357</v>
      </c>
      <c r="D1551" t="s">
        <v>358</v>
      </c>
      <c r="F1551">
        <v>1</v>
      </c>
      <c r="G1551" t="s">
        <v>16</v>
      </c>
      <c r="H1551">
        <v>0</v>
      </c>
      <c r="I1551" s="2" t="s">
        <v>2039</v>
      </c>
      <c r="J1551" s="2">
        <v>13968</v>
      </c>
      <c r="K1551">
        <v>20</v>
      </c>
      <c r="L1551">
        <v>20</v>
      </c>
      <c r="M1551">
        <v>20</v>
      </c>
    </row>
    <row r="1552" spans="1:13" x14ac:dyDescent="0.25">
      <c r="A1552" t="s">
        <v>3428</v>
      </c>
      <c r="B1552" t="s">
        <v>3417</v>
      </c>
      <c r="C1552" t="s">
        <v>357</v>
      </c>
      <c r="D1552" t="s">
        <v>358</v>
      </c>
      <c r="F1552">
        <v>1</v>
      </c>
      <c r="G1552" t="s">
        <v>16</v>
      </c>
      <c r="H1552">
        <v>0</v>
      </c>
      <c r="I1552" s="2" t="s">
        <v>715</v>
      </c>
      <c r="J1552" s="2" t="s">
        <v>3429</v>
      </c>
      <c r="K1552">
        <v>20</v>
      </c>
      <c r="L1552">
        <v>20</v>
      </c>
      <c r="M1552">
        <v>20</v>
      </c>
    </row>
    <row r="1553" spans="1:13" x14ac:dyDescent="0.25">
      <c r="A1553" t="s">
        <v>3430</v>
      </c>
      <c r="B1553" t="s">
        <v>3431</v>
      </c>
      <c r="C1553" t="s">
        <v>357</v>
      </c>
      <c r="D1553" t="s">
        <v>358</v>
      </c>
      <c r="G1553" t="s">
        <v>16</v>
      </c>
      <c r="H1553">
        <v>0</v>
      </c>
      <c r="I1553" s="2" t="s">
        <v>715</v>
      </c>
      <c r="J1553" s="2" t="s">
        <v>3432</v>
      </c>
      <c r="K1553">
        <v>20</v>
      </c>
      <c r="L1553">
        <v>20</v>
      </c>
      <c r="M1553">
        <v>20</v>
      </c>
    </row>
    <row r="1554" spans="1:13" x14ac:dyDescent="0.25">
      <c r="A1554" t="s">
        <v>3433</v>
      </c>
      <c r="B1554" t="s">
        <v>3435</v>
      </c>
      <c r="C1554" t="s">
        <v>357</v>
      </c>
      <c r="D1554" t="s">
        <v>358</v>
      </c>
      <c r="F1554">
        <v>2</v>
      </c>
      <c r="G1554" t="s">
        <v>16</v>
      </c>
      <c r="H1554">
        <v>0</v>
      </c>
      <c r="I1554" s="2" t="s">
        <v>288</v>
      </c>
      <c r="J1554" s="2" t="s">
        <v>3434</v>
      </c>
      <c r="K1554">
        <v>20</v>
      </c>
      <c r="L1554">
        <v>20</v>
      </c>
      <c r="M1554">
        <v>20</v>
      </c>
    </row>
    <row r="1555" spans="1:13" x14ac:dyDescent="0.25">
      <c r="A1555" t="s">
        <v>3436</v>
      </c>
      <c r="B1555" t="s">
        <v>3437</v>
      </c>
      <c r="C1555" t="s">
        <v>357</v>
      </c>
      <c r="D1555" t="s">
        <v>358</v>
      </c>
      <c r="F1555">
        <v>1</v>
      </c>
      <c r="G1555" t="s">
        <v>16</v>
      </c>
      <c r="H1555">
        <v>0</v>
      </c>
      <c r="I1555" s="2" t="s">
        <v>988</v>
      </c>
      <c r="J1555" s="2" t="s">
        <v>3438</v>
      </c>
      <c r="K1555">
        <v>20</v>
      </c>
      <c r="L1555">
        <v>20</v>
      </c>
      <c r="M1555">
        <v>20</v>
      </c>
    </row>
    <row r="1556" spans="1:13" x14ac:dyDescent="0.25">
      <c r="A1556" t="s">
        <v>3439</v>
      </c>
      <c r="B1556" t="s">
        <v>3440</v>
      </c>
      <c r="C1556" t="s">
        <v>357</v>
      </c>
      <c r="D1556" t="s">
        <v>358</v>
      </c>
      <c r="F1556">
        <v>6</v>
      </c>
      <c r="G1556" t="s">
        <v>16</v>
      </c>
      <c r="H1556">
        <v>0</v>
      </c>
      <c r="I1556" s="2" t="s">
        <v>142</v>
      </c>
      <c r="J1556" s="2">
        <v>1338021</v>
      </c>
      <c r="K1556">
        <v>20</v>
      </c>
      <c r="L1556">
        <v>20</v>
      </c>
      <c r="M1556">
        <v>20</v>
      </c>
    </row>
    <row r="1557" spans="1:13" x14ac:dyDescent="0.25">
      <c r="A1557" t="s">
        <v>3441</v>
      </c>
      <c r="B1557" t="s">
        <v>3442</v>
      </c>
      <c r="C1557" t="s">
        <v>20</v>
      </c>
      <c r="D1557" t="s">
        <v>26</v>
      </c>
      <c r="G1557" t="s">
        <v>16</v>
      </c>
      <c r="H1557">
        <v>0</v>
      </c>
      <c r="I1557" s="2" t="s">
        <v>243</v>
      </c>
      <c r="J1557" s="2">
        <v>21243</v>
      </c>
      <c r="K1557">
        <v>20</v>
      </c>
      <c r="L1557">
        <v>20</v>
      </c>
      <c r="M1557">
        <v>20</v>
      </c>
    </row>
    <row r="1558" spans="1:13" x14ac:dyDescent="0.25">
      <c r="A1558" t="s">
        <v>3443</v>
      </c>
      <c r="B1558" t="s">
        <v>3445</v>
      </c>
      <c r="C1558" t="s">
        <v>357</v>
      </c>
      <c r="D1558" t="s">
        <v>358</v>
      </c>
      <c r="F1558">
        <v>1</v>
      </c>
      <c r="G1558" t="s">
        <v>16</v>
      </c>
      <c r="H1558">
        <v>0</v>
      </c>
      <c r="I1558" s="2" t="s">
        <v>288</v>
      </c>
      <c r="J1558" s="2" t="s">
        <v>3444</v>
      </c>
      <c r="K1558">
        <v>20</v>
      </c>
      <c r="L1558">
        <v>20</v>
      </c>
      <c r="M1558">
        <v>20</v>
      </c>
    </row>
    <row r="1559" spans="1:13" x14ac:dyDescent="0.25">
      <c r="A1559" t="s">
        <v>3446</v>
      </c>
      <c r="B1559" t="s">
        <v>3447</v>
      </c>
      <c r="C1559" t="s">
        <v>357</v>
      </c>
      <c r="D1559" t="s">
        <v>358</v>
      </c>
      <c r="G1559" t="s">
        <v>16</v>
      </c>
      <c r="H1559">
        <v>0</v>
      </c>
      <c r="I1559" s="2" t="s">
        <v>988</v>
      </c>
      <c r="J1559" s="2" t="s">
        <v>3448</v>
      </c>
      <c r="K1559">
        <v>20</v>
      </c>
      <c r="L1559">
        <v>20</v>
      </c>
      <c r="M1559">
        <v>20</v>
      </c>
    </row>
    <row r="1560" spans="1:13" x14ac:dyDescent="0.25">
      <c r="A1560" t="s">
        <v>3449</v>
      </c>
      <c r="B1560" t="s">
        <v>3450</v>
      </c>
      <c r="C1560" t="s">
        <v>20</v>
      </c>
      <c r="D1560" t="s">
        <v>26</v>
      </c>
      <c r="G1560" t="s">
        <v>16</v>
      </c>
      <c r="H1560">
        <v>0</v>
      </c>
      <c r="K1560">
        <v>20</v>
      </c>
      <c r="L1560">
        <v>20</v>
      </c>
      <c r="M1560">
        <v>20</v>
      </c>
    </row>
    <row r="1561" spans="1:13" x14ac:dyDescent="0.25">
      <c r="A1561">
        <v>1338049</v>
      </c>
      <c r="B1561" t="s">
        <v>3451</v>
      </c>
      <c r="C1561" t="s">
        <v>357</v>
      </c>
      <c r="D1561" t="s">
        <v>358</v>
      </c>
      <c r="F1561">
        <v>2</v>
      </c>
      <c r="G1561" t="s">
        <v>16</v>
      </c>
      <c r="H1561">
        <v>0</v>
      </c>
      <c r="I1561" s="2" t="s">
        <v>1444</v>
      </c>
      <c r="J1561" s="2">
        <v>90443473</v>
      </c>
      <c r="K1561">
        <v>20</v>
      </c>
      <c r="L1561">
        <v>20</v>
      </c>
      <c r="M1561">
        <v>20</v>
      </c>
    </row>
    <row r="1562" spans="1:13" x14ac:dyDescent="0.25">
      <c r="A1562" t="s">
        <v>3452</v>
      </c>
      <c r="B1562" t="s">
        <v>3451</v>
      </c>
      <c r="C1562" t="s">
        <v>357</v>
      </c>
      <c r="D1562" t="s">
        <v>358</v>
      </c>
      <c r="F1562">
        <v>1</v>
      </c>
      <c r="G1562" t="s">
        <v>16</v>
      </c>
      <c r="H1562">
        <v>0</v>
      </c>
      <c r="I1562" s="2" t="s">
        <v>765</v>
      </c>
      <c r="J1562" s="2" t="s">
        <v>3453</v>
      </c>
      <c r="K1562">
        <v>20</v>
      </c>
      <c r="L1562">
        <v>20</v>
      </c>
      <c r="M1562">
        <v>20</v>
      </c>
    </row>
    <row r="1563" spans="1:13" x14ac:dyDescent="0.25">
      <c r="A1563" t="s">
        <v>3454</v>
      </c>
      <c r="B1563" t="s">
        <v>3451</v>
      </c>
      <c r="C1563" t="s">
        <v>357</v>
      </c>
      <c r="D1563" t="s">
        <v>358</v>
      </c>
      <c r="F1563">
        <v>3</v>
      </c>
      <c r="G1563" t="s">
        <v>16</v>
      </c>
      <c r="H1563">
        <v>0</v>
      </c>
      <c r="I1563" s="2" t="s">
        <v>491</v>
      </c>
      <c r="J1563" s="2">
        <v>359001200130</v>
      </c>
      <c r="K1563">
        <v>20</v>
      </c>
      <c r="L1563">
        <v>20</v>
      </c>
      <c r="M1563">
        <v>20</v>
      </c>
    </row>
    <row r="1564" spans="1:13" x14ac:dyDescent="0.25">
      <c r="A1564" t="s">
        <v>3455</v>
      </c>
      <c r="B1564" t="s">
        <v>3451</v>
      </c>
      <c r="C1564" t="s">
        <v>357</v>
      </c>
      <c r="D1564" t="s">
        <v>358</v>
      </c>
      <c r="G1564" t="s">
        <v>16</v>
      </c>
      <c r="H1564">
        <v>0</v>
      </c>
      <c r="I1564" s="2" t="s">
        <v>993</v>
      </c>
      <c r="J1564" s="2">
        <v>202316</v>
      </c>
      <c r="K1564">
        <v>20</v>
      </c>
      <c r="L1564">
        <v>20</v>
      </c>
      <c r="M1564">
        <v>20</v>
      </c>
    </row>
    <row r="1565" spans="1:13" x14ac:dyDescent="0.25">
      <c r="A1565" t="s">
        <v>3456</v>
      </c>
      <c r="B1565" t="s">
        <v>3457</v>
      </c>
      <c r="C1565" t="s">
        <v>357</v>
      </c>
      <c r="D1565" t="s">
        <v>358</v>
      </c>
      <c r="F1565">
        <v>1</v>
      </c>
      <c r="G1565" t="s">
        <v>16</v>
      </c>
      <c r="H1565">
        <v>0</v>
      </c>
      <c r="I1565" s="2" t="s">
        <v>759</v>
      </c>
      <c r="J1565" s="2" t="s">
        <v>3458</v>
      </c>
      <c r="K1565">
        <v>20</v>
      </c>
      <c r="L1565">
        <v>20</v>
      </c>
      <c r="M1565">
        <v>20</v>
      </c>
    </row>
    <row r="1566" spans="1:13" x14ac:dyDescent="0.25">
      <c r="A1566" t="s">
        <v>3459</v>
      </c>
      <c r="B1566" t="s">
        <v>3457</v>
      </c>
      <c r="C1566" t="s">
        <v>357</v>
      </c>
      <c r="D1566" t="s">
        <v>358</v>
      </c>
      <c r="F1566">
        <v>0</v>
      </c>
      <c r="G1566" t="s">
        <v>16</v>
      </c>
      <c r="H1566">
        <v>0</v>
      </c>
      <c r="I1566" s="2" t="s">
        <v>404</v>
      </c>
      <c r="J1566" s="2" t="s">
        <v>3460</v>
      </c>
      <c r="K1566">
        <v>20</v>
      </c>
      <c r="L1566">
        <v>20</v>
      </c>
      <c r="M1566">
        <v>20</v>
      </c>
    </row>
    <row r="1567" spans="1:13" x14ac:dyDescent="0.25">
      <c r="A1567" t="s">
        <v>3461</v>
      </c>
      <c r="B1567" t="s">
        <v>3457</v>
      </c>
      <c r="C1567" t="s">
        <v>357</v>
      </c>
      <c r="D1567" t="s">
        <v>358</v>
      </c>
      <c r="F1567">
        <v>1</v>
      </c>
      <c r="G1567" t="s">
        <v>16</v>
      </c>
      <c r="H1567">
        <v>0</v>
      </c>
      <c r="I1567" s="2" t="s">
        <v>491</v>
      </c>
      <c r="J1567" s="2">
        <v>359001200090</v>
      </c>
      <c r="K1567">
        <v>20</v>
      </c>
      <c r="L1567">
        <v>20</v>
      </c>
      <c r="M1567">
        <v>20</v>
      </c>
    </row>
    <row r="1568" spans="1:13" x14ac:dyDescent="0.25">
      <c r="A1568" t="s">
        <v>3462</v>
      </c>
      <c r="B1568" t="s">
        <v>3457</v>
      </c>
      <c r="C1568" t="s">
        <v>357</v>
      </c>
      <c r="D1568" t="s">
        <v>358</v>
      </c>
      <c r="G1568" t="s">
        <v>16</v>
      </c>
      <c r="H1568">
        <v>0</v>
      </c>
      <c r="I1568" s="2" t="s">
        <v>285</v>
      </c>
      <c r="J1568" s="2">
        <v>85320</v>
      </c>
      <c r="K1568">
        <v>20</v>
      </c>
      <c r="L1568">
        <v>20</v>
      </c>
      <c r="M1568">
        <v>20</v>
      </c>
    </row>
    <row r="1569" spans="1:13" x14ac:dyDescent="0.25">
      <c r="A1569" t="s">
        <v>3463</v>
      </c>
      <c r="B1569" t="s">
        <v>3457</v>
      </c>
      <c r="C1569" t="s">
        <v>357</v>
      </c>
      <c r="D1569" t="s">
        <v>358</v>
      </c>
      <c r="G1569" t="s">
        <v>16</v>
      </c>
      <c r="H1569">
        <v>0</v>
      </c>
      <c r="I1569" s="2" t="s">
        <v>165</v>
      </c>
      <c r="J1569" s="2">
        <v>202317</v>
      </c>
      <c r="K1569">
        <v>20</v>
      </c>
      <c r="L1569">
        <v>20</v>
      </c>
      <c r="M1569">
        <v>20</v>
      </c>
    </row>
    <row r="1570" spans="1:13" x14ac:dyDescent="0.25">
      <c r="A1570" t="s">
        <v>3464</v>
      </c>
      <c r="B1570" t="s">
        <v>3457</v>
      </c>
      <c r="C1570" t="s">
        <v>357</v>
      </c>
      <c r="D1570" t="s">
        <v>358</v>
      </c>
      <c r="G1570" t="s">
        <v>16</v>
      </c>
      <c r="H1570">
        <v>0</v>
      </c>
      <c r="I1570" s="2" t="s">
        <v>715</v>
      </c>
      <c r="J1570" s="2" t="s">
        <v>3465</v>
      </c>
      <c r="K1570">
        <v>20</v>
      </c>
      <c r="L1570">
        <v>20</v>
      </c>
      <c r="M1570">
        <v>20</v>
      </c>
    </row>
    <row r="1571" spans="1:13" x14ac:dyDescent="0.25">
      <c r="A1571" t="s">
        <v>3466</v>
      </c>
      <c r="B1571" t="s">
        <v>3467</v>
      </c>
      <c r="C1571" t="s">
        <v>357</v>
      </c>
      <c r="D1571" t="s">
        <v>358</v>
      </c>
      <c r="F1571">
        <v>1</v>
      </c>
      <c r="G1571" t="s">
        <v>16</v>
      </c>
      <c r="H1571">
        <v>0</v>
      </c>
      <c r="I1571" s="2" t="s">
        <v>491</v>
      </c>
      <c r="J1571" s="2">
        <v>359001201840</v>
      </c>
      <c r="K1571">
        <v>20</v>
      </c>
      <c r="L1571">
        <v>20</v>
      </c>
      <c r="M1571">
        <v>20</v>
      </c>
    </row>
    <row r="1572" spans="1:13" x14ac:dyDescent="0.25">
      <c r="A1572" t="s">
        <v>3468</v>
      </c>
      <c r="B1572" t="s">
        <v>3469</v>
      </c>
      <c r="C1572" t="s">
        <v>357</v>
      </c>
      <c r="D1572" t="s">
        <v>358</v>
      </c>
      <c r="F1572">
        <v>1</v>
      </c>
      <c r="G1572" t="s">
        <v>16</v>
      </c>
      <c r="H1572">
        <v>0</v>
      </c>
      <c r="I1572" s="2" t="s">
        <v>759</v>
      </c>
      <c r="J1572" s="2" t="s">
        <v>3470</v>
      </c>
      <c r="K1572">
        <v>20</v>
      </c>
      <c r="L1572">
        <v>20</v>
      </c>
      <c r="M1572">
        <v>20</v>
      </c>
    </row>
    <row r="1573" spans="1:13" x14ac:dyDescent="0.25">
      <c r="A1573" t="s">
        <v>3471</v>
      </c>
      <c r="B1573" t="s">
        <v>3473</v>
      </c>
      <c r="C1573" t="s">
        <v>357</v>
      </c>
      <c r="D1573" t="s">
        <v>358</v>
      </c>
      <c r="F1573">
        <v>4</v>
      </c>
      <c r="G1573" t="s">
        <v>16</v>
      </c>
      <c r="H1573">
        <v>0</v>
      </c>
      <c r="I1573" s="2" t="s">
        <v>288</v>
      </c>
      <c r="J1573" s="2" t="s">
        <v>3472</v>
      </c>
      <c r="K1573">
        <v>20</v>
      </c>
      <c r="L1573">
        <v>20</v>
      </c>
      <c r="M1573">
        <v>20</v>
      </c>
    </row>
    <row r="1574" spans="1:13" x14ac:dyDescent="0.25">
      <c r="A1574" t="s">
        <v>3474</v>
      </c>
      <c r="B1574" t="s">
        <v>3473</v>
      </c>
      <c r="C1574" t="s">
        <v>357</v>
      </c>
      <c r="D1574" t="s">
        <v>358</v>
      </c>
      <c r="G1574" t="s">
        <v>16</v>
      </c>
      <c r="H1574">
        <v>0</v>
      </c>
      <c r="I1574" s="2" t="s">
        <v>285</v>
      </c>
      <c r="J1574" s="2">
        <v>85670</v>
      </c>
      <c r="K1574">
        <v>20</v>
      </c>
      <c r="L1574">
        <v>20</v>
      </c>
      <c r="M1574">
        <v>20</v>
      </c>
    </row>
    <row r="1575" spans="1:13" x14ac:dyDescent="0.25">
      <c r="A1575" t="s">
        <v>3475</v>
      </c>
      <c r="B1575" t="s">
        <v>3476</v>
      </c>
      <c r="C1575" t="s">
        <v>357</v>
      </c>
      <c r="D1575" t="s">
        <v>358</v>
      </c>
      <c r="G1575" t="s">
        <v>16</v>
      </c>
      <c r="H1575">
        <v>0</v>
      </c>
      <c r="I1575" s="2" t="s">
        <v>165</v>
      </c>
      <c r="J1575" s="2">
        <v>205174</v>
      </c>
      <c r="K1575">
        <v>20</v>
      </c>
      <c r="L1575">
        <v>20</v>
      </c>
      <c r="M1575">
        <v>20</v>
      </c>
    </row>
    <row r="1576" spans="1:13" x14ac:dyDescent="0.25">
      <c r="A1576" t="s">
        <v>3477</v>
      </c>
      <c r="B1576" t="s">
        <v>3473</v>
      </c>
      <c r="C1576" t="s">
        <v>357</v>
      </c>
      <c r="D1576" t="s">
        <v>358</v>
      </c>
      <c r="F1576">
        <v>2</v>
      </c>
      <c r="G1576" t="s">
        <v>16</v>
      </c>
      <c r="H1576">
        <v>0</v>
      </c>
      <c r="I1576" s="2" t="s">
        <v>715</v>
      </c>
      <c r="J1576" s="2" t="s">
        <v>3478</v>
      </c>
      <c r="K1576">
        <v>20</v>
      </c>
      <c r="L1576">
        <v>20</v>
      </c>
      <c r="M1576">
        <v>20</v>
      </c>
    </row>
    <row r="1577" spans="1:13" x14ac:dyDescent="0.25">
      <c r="A1577" t="s">
        <v>3479</v>
      </c>
      <c r="B1577" t="s">
        <v>3480</v>
      </c>
      <c r="C1577" t="s">
        <v>357</v>
      </c>
      <c r="D1577" t="s">
        <v>358</v>
      </c>
      <c r="G1577" t="s">
        <v>16</v>
      </c>
      <c r="H1577">
        <v>0</v>
      </c>
      <c r="I1577" s="2" t="s">
        <v>3481</v>
      </c>
      <c r="J1577" s="2">
        <v>860054</v>
      </c>
      <c r="K1577">
        <v>20</v>
      </c>
      <c r="L1577">
        <v>20</v>
      </c>
      <c r="M1577">
        <v>20</v>
      </c>
    </row>
    <row r="1578" spans="1:13" x14ac:dyDescent="0.25">
      <c r="A1578" t="s">
        <v>3482</v>
      </c>
      <c r="B1578" t="s">
        <v>3480</v>
      </c>
      <c r="C1578" t="s">
        <v>357</v>
      </c>
      <c r="D1578" t="s">
        <v>358</v>
      </c>
      <c r="G1578" t="s">
        <v>16</v>
      </c>
      <c r="H1578">
        <v>0</v>
      </c>
      <c r="I1578" s="2" t="s">
        <v>491</v>
      </c>
      <c r="J1578" s="2">
        <v>359001200280</v>
      </c>
      <c r="K1578">
        <v>20</v>
      </c>
      <c r="L1578">
        <v>20</v>
      </c>
      <c r="M1578">
        <v>20</v>
      </c>
    </row>
    <row r="1579" spans="1:13" x14ac:dyDescent="0.25">
      <c r="A1579" t="s">
        <v>3483</v>
      </c>
      <c r="B1579" t="s">
        <v>3484</v>
      </c>
      <c r="C1579" t="s">
        <v>357</v>
      </c>
      <c r="D1579" t="s">
        <v>358</v>
      </c>
      <c r="F1579">
        <v>1</v>
      </c>
      <c r="G1579" t="s">
        <v>16</v>
      </c>
      <c r="H1579">
        <v>0</v>
      </c>
      <c r="I1579" s="2" t="s">
        <v>759</v>
      </c>
      <c r="J1579" s="2" t="s">
        <v>3485</v>
      </c>
      <c r="K1579">
        <v>20</v>
      </c>
      <c r="L1579">
        <v>20</v>
      </c>
      <c r="M1579">
        <v>20</v>
      </c>
    </row>
    <row r="1580" spans="1:13" x14ac:dyDescent="0.25">
      <c r="A1580" t="s">
        <v>3486</v>
      </c>
      <c r="B1580" t="s">
        <v>3484</v>
      </c>
      <c r="C1580" t="s">
        <v>357</v>
      </c>
      <c r="D1580" t="s">
        <v>358</v>
      </c>
      <c r="F1580">
        <v>4</v>
      </c>
      <c r="G1580" t="s">
        <v>16</v>
      </c>
      <c r="H1580">
        <v>0</v>
      </c>
      <c r="I1580" s="2" t="s">
        <v>765</v>
      </c>
      <c r="J1580" s="2" t="s">
        <v>3487</v>
      </c>
      <c r="K1580">
        <v>20</v>
      </c>
      <c r="L1580">
        <v>20</v>
      </c>
      <c r="M1580">
        <v>20</v>
      </c>
    </row>
    <row r="1581" spans="1:13" x14ac:dyDescent="0.25">
      <c r="A1581" t="s">
        <v>3488</v>
      </c>
      <c r="B1581" t="s">
        <v>3484</v>
      </c>
      <c r="C1581" t="s">
        <v>357</v>
      </c>
      <c r="D1581" t="s">
        <v>358</v>
      </c>
      <c r="G1581" t="s">
        <v>16</v>
      </c>
      <c r="H1581">
        <v>0</v>
      </c>
      <c r="I1581" s="2" t="s">
        <v>3421</v>
      </c>
      <c r="J1581" s="2" t="s">
        <v>3489</v>
      </c>
      <c r="K1581">
        <v>20</v>
      </c>
      <c r="L1581">
        <v>20</v>
      </c>
      <c r="M1581">
        <v>20</v>
      </c>
    </row>
    <row r="1582" spans="1:13" x14ac:dyDescent="0.25">
      <c r="A1582" t="s">
        <v>3490</v>
      </c>
      <c r="B1582" t="s">
        <v>3484</v>
      </c>
      <c r="C1582" t="s">
        <v>357</v>
      </c>
      <c r="D1582" t="s">
        <v>358</v>
      </c>
      <c r="F1582">
        <v>2</v>
      </c>
      <c r="G1582" t="s">
        <v>16</v>
      </c>
      <c r="H1582">
        <v>0</v>
      </c>
      <c r="I1582" s="2" t="s">
        <v>715</v>
      </c>
      <c r="J1582" s="2" t="s">
        <v>3491</v>
      </c>
      <c r="K1582">
        <v>20</v>
      </c>
      <c r="L1582">
        <v>20</v>
      </c>
      <c r="M1582">
        <v>20</v>
      </c>
    </row>
    <row r="1583" spans="1:13" x14ac:dyDescent="0.25">
      <c r="A1583" t="s">
        <v>3492</v>
      </c>
      <c r="B1583" t="s">
        <v>3493</v>
      </c>
      <c r="C1583" t="s">
        <v>357</v>
      </c>
      <c r="D1583" t="s">
        <v>358</v>
      </c>
      <c r="F1583">
        <v>2</v>
      </c>
      <c r="G1583" t="s">
        <v>16</v>
      </c>
      <c r="H1583">
        <v>0</v>
      </c>
      <c r="I1583" s="2" t="s">
        <v>491</v>
      </c>
      <c r="J1583" s="2">
        <v>359001201820</v>
      </c>
      <c r="K1583">
        <v>20</v>
      </c>
      <c r="L1583">
        <v>20</v>
      </c>
      <c r="M1583">
        <v>20</v>
      </c>
    </row>
    <row r="1584" spans="1:13" x14ac:dyDescent="0.25">
      <c r="A1584" t="s">
        <v>3494</v>
      </c>
      <c r="B1584" t="s">
        <v>3495</v>
      </c>
      <c r="C1584" t="s">
        <v>357</v>
      </c>
      <c r="D1584" t="s">
        <v>358</v>
      </c>
      <c r="G1584" t="s">
        <v>16</v>
      </c>
      <c r="H1584">
        <v>0</v>
      </c>
      <c r="I1584" s="2" t="s">
        <v>285</v>
      </c>
      <c r="J1584" s="2">
        <v>85870</v>
      </c>
      <c r="K1584">
        <v>20</v>
      </c>
      <c r="L1584">
        <v>20</v>
      </c>
      <c r="M1584">
        <v>20</v>
      </c>
    </row>
    <row r="1585" spans="1:13" x14ac:dyDescent="0.25">
      <c r="A1585" t="s">
        <v>3496</v>
      </c>
      <c r="B1585" t="s">
        <v>3498</v>
      </c>
      <c r="C1585" t="s">
        <v>357</v>
      </c>
      <c r="D1585" t="s">
        <v>358</v>
      </c>
      <c r="F1585">
        <v>3</v>
      </c>
      <c r="G1585" t="s">
        <v>16</v>
      </c>
      <c r="H1585">
        <v>0</v>
      </c>
      <c r="I1585" s="2" t="s">
        <v>765</v>
      </c>
      <c r="J1585" s="2" t="s">
        <v>3497</v>
      </c>
      <c r="K1585">
        <v>20</v>
      </c>
      <c r="L1585">
        <v>20</v>
      </c>
      <c r="M1585">
        <v>20</v>
      </c>
    </row>
    <row r="1586" spans="1:13" x14ac:dyDescent="0.25">
      <c r="A1586" t="s">
        <v>3499</v>
      </c>
      <c r="B1586" t="s">
        <v>3500</v>
      </c>
      <c r="C1586" t="s">
        <v>357</v>
      </c>
      <c r="D1586" t="s">
        <v>358</v>
      </c>
      <c r="F1586">
        <v>2</v>
      </c>
      <c r="G1586" t="s">
        <v>16</v>
      </c>
      <c r="H1586">
        <v>0</v>
      </c>
      <c r="I1586" s="2" t="s">
        <v>142</v>
      </c>
      <c r="J1586" s="2" t="s">
        <v>3501</v>
      </c>
      <c r="K1586">
        <v>20</v>
      </c>
      <c r="L1586">
        <v>20</v>
      </c>
      <c r="M1586">
        <v>20</v>
      </c>
    </row>
    <row r="1587" spans="1:13" x14ac:dyDescent="0.25">
      <c r="A1587" t="s">
        <v>3502</v>
      </c>
      <c r="B1587" t="s">
        <v>3504</v>
      </c>
      <c r="C1587" t="s">
        <v>357</v>
      </c>
      <c r="D1587" t="s">
        <v>358</v>
      </c>
      <c r="F1587">
        <v>4</v>
      </c>
      <c r="G1587" t="s">
        <v>16</v>
      </c>
      <c r="H1587">
        <v>0</v>
      </c>
      <c r="I1587" s="2" t="s">
        <v>288</v>
      </c>
      <c r="J1587" s="2" t="s">
        <v>3503</v>
      </c>
      <c r="K1587">
        <v>20</v>
      </c>
      <c r="L1587">
        <v>20</v>
      </c>
      <c r="M1587">
        <v>20</v>
      </c>
    </row>
    <row r="1588" spans="1:13" x14ac:dyDescent="0.25">
      <c r="A1588" t="s">
        <v>3505</v>
      </c>
      <c r="B1588" t="s">
        <v>3504</v>
      </c>
      <c r="C1588" t="s">
        <v>357</v>
      </c>
      <c r="D1588" t="s">
        <v>358</v>
      </c>
      <c r="G1588" t="s">
        <v>16</v>
      </c>
      <c r="H1588">
        <v>0</v>
      </c>
      <c r="I1588" s="2" t="s">
        <v>591</v>
      </c>
      <c r="J1588" s="2">
        <v>221305</v>
      </c>
      <c r="K1588">
        <v>20</v>
      </c>
      <c r="L1588">
        <v>20</v>
      </c>
      <c r="M1588">
        <v>20</v>
      </c>
    </row>
    <row r="1589" spans="1:13" x14ac:dyDescent="0.25">
      <c r="A1589" t="s">
        <v>3506</v>
      </c>
      <c r="B1589" t="s">
        <v>3500</v>
      </c>
      <c r="C1589" t="s">
        <v>357</v>
      </c>
      <c r="D1589" t="s">
        <v>358</v>
      </c>
      <c r="F1589">
        <v>2</v>
      </c>
      <c r="G1589" t="s">
        <v>16</v>
      </c>
      <c r="H1589">
        <v>0</v>
      </c>
      <c r="I1589" s="2" t="s">
        <v>3507</v>
      </c>
      <c r="J1589" s="2">
        <v>96984102</v>
      </c>
      <c r="K1589">
        <v>20</v>
      </c>
      <c r="L1589">
        <v>20</v>
      </c>
      <c r="M1589">
        <v>20</v>
      </c>
    </row>
    <row r="1590" spans="1:13" x14ac:dyDescent="0.25">
      <c r="A1590" t="s">
        <v>3508</v>
      </c>
      <c r="B1590" t="s">
        <v>3504</v>
      </c>
      <c r="C1590" t="s">
        <v>357</v>
      </c>
      <c r="D1590" t="s">
        <v>358</v>
      </c>
      <c r="F1590">
        <v>1</v>
      </c>
      <c r="G1590" t="s">
        <v>16</v>
      </c>
      <c r="H1590">
        <v>0</v>
      </c>
      <c r="I1590" s="2" t="s">
        <v>737</v>
      </c>
      <c r="J1590" s="2" t="s">
        <v>3509</v>
      </c>
      <c r="K1590">
        <v>20</v>
      </c>
      <c r="L1590">
        <v>20</v>
      </c>
      <c r="M1590">
        <v>20</v>
      </c>
    </row>
    <row r="1591" spans="1:13" x14ac:dyDescent="0.25">
      <c r="A1591" t="s">
        <v>3510</v>
      </c>
      <c r="B1591" t="s">
        <v>3512</v>
      </c>
      <c r="C1591" t="s">
        <v>357</v>
      </c>
      <c r="D1591" t="s">
        <v>358</v>
      </c>
      <c r="F1591">
        <v>3</v>
      </c>
      <c r="G1591" t="s">
        <v>16</v>
      </c>
      <c r="H1591">
        <v>0</v>
      </c>
      <c r="I1591" s="2" t="s">
        <v>288</v>
      </c>
      <c r="J1591" s="2" t="s">
        <v>3511</v>
      </c>
      <c r="K1591">
        <v>20</v>
      </c>
      <c r="L1591">
        <v>20</v>
      </c>
      <c r="M1591">
        <v>20</v>
      </c>
    </row>
    <row r="1592" spans="1:13" x14ac:dyDescent="0.25">
      <c r="A1592" t="s">
        <v>3513</v>
      </c>
      <c r="B1592" t="s">
        <v>3512</v>
      </c>
      <c r="C1592" t="s">
        <v>357</v>
      </c>
      <c r="D1592" t="s">
        <v>358</v>
      </c>
      <c r="G1592" t="s">
        <v>16</v>
      </c>
      <c r="H1592">
        <v>0</v>
      </c>
      <c r="I1592" s="2" t="s">
        <v>3421</v>
      </c>
      <c r="J1592" s="2" t="s">
        <v>3514</v>
      </c>
      <c r="K1592">
        <v>20</v>
      </c>
      <c r="L1592">
        <v>20</v>
      </c>
      <c r="M1592">
        <v>20</v>
      </c>
    </row>
    <row r="1593" spans="1:13" x14ac:dyDescent="0.25">
      <c r="A1593" t="s">
        <v>3515</v>
      </c>
      <c r="B1593" t="s">
        <v>3516</v>
      </c>
      <c r="C1593" t="s">
        <v>357</v>
      </c>
      <c r="D1593" t="s">
        <v>358</v>
      </c>
      <c r="F1593">
        <v>3</v>
      </c>
      <c r="G1593" t="s">
        <v>16</v>
      </c>
      <c r="H1593">
        <v>0</v>
      </c>
      <c r="I1593" s="2" t="s">
        <v>2645</v>
      </c>
      <c r="J1593" s="2" t="s">
        <v>3517</v>
      </c>
      <c r="K1593">
        <v>20</v>
      </c>
      <c r="L1593">
        <v>20</v>
      </c>
      <c r="M1593">
        <v>20</v>
      </c>
    </row>
    <row r="1594" spans="1:13" x14ac:dyDescent="0.25">
      <c r="A1594" t="s">
        <v>3518</v>
      </c>
      <c r="B1594" t="s">
        <v>3512</v>
      </c>
      <c r="C1594" t="s">
        <v>357</v>
      </c>
      <c r="D1594" t="s">
        <v>358</v>
      </c>
      <c r="F1594">
        <v>1</v>
      </c>
      <c r="G1594" t="s">
        <v>16</v>
      </c>
      <c r="H1594">
        <v>0</v>
      </c>
      <c r="I1594" s="2" t="s">
        <v>598</v>
      </c>
      <c r="J1594" s="2">
        <v>572420</v>
      </c>
      <c r="K1594">
        <v>20</v>
      </c>
      <c r="L1594">
        <v>20</v>
      </c>
      <c r="M1594">
        <v>20</v>
      </c>
    </row>
    <row r="1595" spans="1:13" x14ac:dyDescent="0.25">
      <c r="A1595" t="s">
        <v>3519</v>
      </c>
      <c r="B1595" t="s">
        <v>3512</v>
      </c>
      <c r="C1595" t="s">
        <v>357</v>
      </c>
      <c r="D1595" t="s">
        <v>358</v>
      </c>
      <c r="F1595">
        <v>1</v>
      </c>
      <c r="G1595" t="s">
        <v>16</v>
      </c>
      <c r="H1595">
        <v>0</v>
      </c>
      <c r="I1595" s="2" t="s">
        <v>158</v>
      </c>
      <c r="J1595" s="2" t="s">
        <v>3520</v>
      </c>
      <c r="K1595">
        <v>20</v>
      </c>
      <c r="L1595">
        <v>20</v>
      </c>
      <c r="M1595">
        <v>20</v>
      </c>
    </row>
    <row r="1596" spans="1:13" x14ac:dyDescent="0.25">
      <c r="A1596" t="s">
        <v>3521</v>
      </c>
      <c r="B1596" t="s">
        <v>3512</v>
      </c>
      <c r="C1596" t="s">
        <v>357</v>
      </c>
      <c r="D1596" t="s">
        <v>358</v>
      </c>
      <c r="F1596">
        <v>1</v>
      </c>
      <c r="G1596" t="s">
        <v>16</v>
      </c>
      <c r="H1596">
        <v>0</v>
      </c>
      <c r="I1596" s="2" t="s">
        <v>500</v>
      </c>
      <c r="J1596" s="2" t="s">
        <v>3522</v>
      </c>
      <c r="K1596">
        <v>20</v>
      </c>
      <c r="L1596">
        <v>20</v>
      </c>
      <c r="M1596">
        <v>20</v>
      </c>
    </row>
    <row r="1597" spans="1:13" x14ac:dyDescent="0.25">
      <c r="A1597" t="s">
        <v>3523</v>
      </c>
      <c r="B1597" t="s">
        <v>3512</v>
      </c>
      <c r="C1597" t="s">
        <v>357</v>
      </c>
      <c r="D1597" t="s">
        <v>358</v>
      </c>
      <c r="G1597" t="s">
        <v>16</v>
      </c>
      <c r="H1597">
        <v>0</v>
      </c>
      <c r="I1597" s="2" t="s">
        <v>285</v>
      </c>
      <c r="J1597" s="2">
        <v>85530</v>
      </c>
      <c r="K1597">
        <v>20</v>
      </c>
      <c r="L1597">
        <v>20</v>
      </c>
      <c r="M1597">
        <v>20</v>
      </c>
    </row>
    <row r="1598" spans="1:13" x14ac:dyDescent="0.25">
      <c r="A1598" t="s">
        <v>3524</v>
      </c>
      <c r="B1598" t="s">
        <v>3512</v>
      </c>
      <c r="C1598" t="s">
        <v>357</v>
      </c>
      <c r="D1598" t="s">
        <v>358</v>
      </c>
      <c r="G1598" t="s">
        <v>16</v>
      </c>
      <c r="H1598">
        <v>0</v>
      </c>
      <c r="I1598" s="2" t="s">
        <v>2039</v>
      </c>
      <c r="J1598" s="2">
        <v>460416</v>
      </c>
      <c r="K1598">
        <v>20</v>
      </c>
      <c r="L1598">
        <v>20</v>
      </c>
      <c r="M1598">
        <v>20</v>
      </c>
    </row>
    <row r="1599" spans="1:13" x14ac:dyDescent="0.25">
      <c r="A1599">
        <v>1338195</v>
      </c>
      <c r="B1599" t="s">
        <v>3525</v>
      </c>
      <c r="C1599" t="s">
        <v>357</v>
      </c>
      <c r="D1599" t="s">
        <v>358</v>
      </c>
      <c r="F1599">
        <v>1</v>
      </c>
      <c r="G1599" t="s">
        <v>16</v>
      </c>
      <c r="H1599">
        <v>0</v>
      </c>
      <c r="I1599" s="2" t="s">
        <v>497</v>
      </c>
      <c r="J1599" s="2">
        <v>90573325</v>
      </c>
      <c r="K1599">
        <v>20</v>
      </c>
      <c r="L1599">
        <v>20</v>
      </c>
      <c r="M1599">
        <v>20</v>
      </c>
    </row>
    <row r="1600" spans="1:13" x14ac:dyDescent="0.25">
      <c r="A1600" t="s">
        <v>3526</v>
      </c>
      <c r="B1600" t="s">
        <v>3527</v>
      </c>
      <c r="C1600" t="s">
        <v>20</v>
      </c>
      <c r="D1600" t="s">
        <v>26</v>
      </c>
      <c r="F1600">
        <v>4</v>
      </c>
      <c r="G1600" t="s">
        <v>16</v>
      </c>
      <c r="H1600">
        <v>0</v>
      </c>
      <c r="I1600" s="2" t="s">
        <v>3528</v>
      </c>
      <c r="J1600" s="2" t="s">
        <v>3529</v>
      </c>
      <c r="K1600">
        <v>20</v>
      </c>
      <c r="L1600">
        <v>20</v>
      </c>
      <c r="M1600">
        <v>20</v>
      </c>
    </row>
    <row r="1601" spans="1:13" x14ac:dyDescent="0.25">
      <c r="A1601" t="s">
        <v>3530</v>
      </c>
      <c r="B1601" t="s">
        <v>3532</v>
      </c>
      <c r="C1601" t="s">
        <v>357</v>
      </c>
      <c r="D1601" t="s">
        <v>241</v>
      </c>
      <c r="F1601">
        <v>1</v>
      </c>
      <c r="G1601" t="s">
        <v>16</v>
      </c>
      <c r="H1601">
        <v>0</v>
      </c>
      <c r="I1601" s="2" t="s">
        <v>288</v>
      </c>
      <c r="J1601" s="2" t="s">
        <v>3531</v>
      </c>
      <c r="K1601">
        <v>20</v>
      </c>
      <c r="L1601">
        <v>20</v>
      </c>
      <c r="M1601">
        <v>20</v>
      </c>
    </row>
    <row r="1602" spans="1:13" x14ac:dyDescent="0.25">
      <c r="A1602" t="s">
        <v>3533</v>
      </c>
      <c r="B1602" t="s">
        <v>3532</v>
      </c>
      <c r="C1602" t="s">
        <v>357</v>
      </c>
      <c r="D1602" t="s">
        <v>241</v>
      </c>
      <c r="F1602">
        <v>2</v>
      </c>
      <c r="G1602" t="s">
        <v>16</v>
      </c>
      <c r="H1602">
        <v>0</v>
      </c>
      <c r="I1602" s="2" t="s">
        <v>221</v>
      </c>
      <c r="J1602" s="2">
        <v>21049</v>
      </c>
      <c r="K1602">
        <v>20</v>
      </c>
      <c r="L1602">
        <v>20</v>
      </c>
      <c r="M1602">
        <v>20</v>
      </c>
    </row>
    <row r="1603" spans="1:13" x14ac:dyDescent="0.25">
      <c r="A1603" t="s">
        <v>3534</v>
      </c>
      <c r="B1603" t="s">
        <v>3536</v>
      </c>
      <c r="C1603" t="s">
        <v>357</v>
      </c>
      <c r="D1603" t="s">
        <v>358</v>
      </c>
      <c r="F1603">
        <v>3</v>
      </c>
      <c r="G1603" t="s">
        <v>16</v>
      </c>
      <c r="H1603">
        <v>0</v>
      </c>
      <c r="I1603" s="2" t="s">
        <v>288</v>
      </c>
      <c r="J1603" s="2" t="s">
        <v>3535</v>
      </c>
      <c r="K1603">
        <v>20</v>
      </c>
      <c r="L1603">
        <v>20</v>
      </c>
      <c r="M1603">
        <v>20</v>
      </c>
    </row>
    <row r="1604" spans="1:13" x14ac:dyDescent="0.25">
      <c r="A1604" t="s">
        <v>3537</v>
      </c>
      <c r="B1604" t="s">
        <v>3538</v>
      </c>
      <c r="C1604" t="s">
        <v>357</v>
      </c>
      <c r="D1604" t="s">
        <v>358</v>
      </c>
      <c r="F1604">
        <v>1</v>
      </c>
      <c r="G1604" t="s">
        <v>16</v>
      </c>
      <c r="H1604">
        <v>0</v>
      </c>
      <c r="I1604" s="2" t="s">
        <v>3539</v>
      </c>
      <c r="J1604" s="2" t="s">
        <v>3540</v>
      </c>
      <c r="K1604">
        <v>20</v>
      </c>
      <c r="L1604">
        <v>20</v>
      </c>
      <c r="M1604">
        <v>20</v>
      </c>
    </row>
    <row r="1605" spans="1:13" x14ac:dyDescent="0.25">
      <c r="A1605" t="s">
        <v>3541</v>
      </c>
      <c r="B1605" t="s">
        <v>3542</v>
      </c>
      <c r="C1605" t="s">
        <v>357</v>
      </c>
      <c r="D1605" t="s">
        <v>358</v>
      </c>
      <c r="G1605" t="s">
        <v>16</v>
      </c>
      <c r="H1605">
        <v>0</v>
      </c>
      <c r="I1605" s="2" t="s">
        <v>1488</v>
      </c>
      <c r="J1605" s="3">
        <v>78783</v>
      </c>
      <c r="K1605">
        <v>20</v>
      </c>
      <c r="L1605">
        <v>20</v>
      </c>
      <c r="M1605">
        <v>20</v>
      </c>
    </row>
    <row r="1606" spans="1:13" x14ac:dyDescent="0.25">
      <c r="A1606" t="s">
        <v>3543</v>
      </c>
      <c r="B1606" t="s">
        <v>3538</v>
      </c>
      <c r="C1606" t="s">
        <v>357</v>
      </c>
      <c r="D1606" t="s">
        <v>358</v>
      </c>
      <c r="G1606" t="s">
        <v>16</v>
      </c>
      <c r="H1606">
        <v>0</v>
      </c>
      <c r="I1606" s="2" t="s">
        <v>988</v>
      </c>
      <c r="J1606" s="2" t="s">
        <v>3544</v>
      </c>
      <c r="K1606">
        <v>20</v>
      </c>
      <c r="L1606">
        <v>20</v>
      </c>
      <c r="M1606">
        <v>20</v>
      </c>
    </row>
    <row r="1607" spans="1:13" x14ac:dyDescent="0.25">
      <c r="A1607" t="s">
        <v>3545</v>
      </c>
      <c r="B1607" t="s">
        <v>3538</v>
      </c>
      <c r="C1607" t="s">
        <v>357</v>
      </c>
      <c r="D1607" t="s">
        <v>358</v>
      </c>
      <c r="F1607">
        <v>1</v>
      </c>
      <c r="G1607" t="s">
        <v>16</v>
      </c>
      <c r="H1607">
        <v>0</v>
      </c>
      <c r="I1607" s="2" t="s">
        <v>1671</v>
      </c>
      <c r="J1607" s="2">
        <v>572380</v>
      </c>
      <c r="K1607">
        <v>20</v>
      </c>
      <c r="L1607">
        <v>20</v>
      </c>
      <c r="M1607">
        <v>20</v>
      </c>
    </row>
    <row r="1608" spans="1:13" x14ac:dyDescent="0.25">
      <c r="A1608" t="s">
        <v>3546</v>
      </c>
      <c r="B1608" t="s">
        <v>3538</v>
      </c>
      <c r="C1608" t="s">
        <v>357</v>
      </c>
      <c r="D1608" t="s">
        <v>358</v>
      </c>
      <c r="G1608" t="s">
        <v>16</v>
      </c>
      <c r="H1608">
        <v>0</v>
      </c>
      <c r="I1608" s="2" t="s">
        <v>1463</v>
      </c>
      <c r="J1608" s="2">
        <v>131135</v>
      </c>
      <c r="K1608">
        <v>20</v>
      </c>
      <c r="L1608">
        <v>20</v>
      </c>
      <c r="M1608">
        <v>20</v>
      </c>
    </row>
    <row r="1609" spans="1:13" x14ac:dyDescent="0.25">
      <c r="A1609" t="s">
        <v>3547</v>
      </c>
      <c r="B1609" t="s">
        <v>3538</v>
      </c>
      <c r="C1609" t="s">
        <v>357</v>
      </c>
      <c r="D1609" t="s">
        <v>358</v>
      </c>
      <c r="F1609">
        <v>1</v>
      </c>
      <c r="G1609" t="s">
        <v>16</v>
      </c>
      <c r="H1609">
        <v>0</v>
      </c>
      <c r="I1609" s="2" t="s">
        <v>2853</v>
      </c>
      <c r="J1609" s="2" t="s">
        <v>3548</v>
      </c>
      <c r="K1609">
        <v>20</v>
      </c>
      <c r="L1609">
        <v>20</v>
      </c>
      <c r="M1609">
        <v>20</v>
      </c>
    </row>
    <row r="1610" spans="1:13" x14ac:dyDescent="0.25">
      <c r="A1610" t="s">
        <v>3549</v>
      </c>
      <c r="B1610" t="s">
        <v>3550</v>
      </c>
      <c r="C1610" t="s">
        <v>151</v>
      </c>
      <c r="D1610" t="s">
        <v>3551</v>
      </c>
      <c r="G1610" t="s">
        <v>16</v>
      </c>
      <c r="H1610">
        <v>0</v>
      </c>
      <c r="I1610" s="2" t="s">
        <v>953</v>
      </c>
      <c r="J1610" s="2">
        <v>33495</v>
      </c>
      <c r="K1610">
        <v>20</v>
      </c>
      <c r="L1610">
        <v>20</v>
      </c>
      <c r="M1610">
        <v>20</v>
      </c>
    </row>
    <row r="1611" spans="1:13" x14ac:dyDescent="0.25">
      <c r="A1611">
        <v>1338370</v>
      </c>
      <c r="B1611" t="s">
        <v>3552</v>
      </c>
      <c r="C1611" t="s">
        <v>151</v>
      </c>
      <c r="D1611" t="s">
        <v>152</v>
      </c>
      <c r="F1611">
        <v>10</v>
      </c>
      <c r="G1611" t="s">
        <v>16</v>
      </c>
      <c r="H1611">
        <v>0</v>
      </c>
      <c r="I1611" s="2" t="s">
        <v>1444</v>
      </c>
      <c r="J1611" s="2">
        <v>55591401</v>
      </c>
      <c r="K1611">
        <v>20</v>
      </c>
      <c r="L1611">
        <v>20</v>
      </c>
      <c r="M1611">
        <v>20</v>
      </c>
    </row>
    <row r="1612" spans="1:13" x14ac:dyDescent="0.25">
      <c r="A1612" t="s">
        <v>3553</v>
      </c>
      <c r="B1612" t="s">
        <v>3552</v>
      </c>
      <c r="C1612" t="s">
        <v>151</v>
      </c>
      <c r="D1612" t="s">
        <v>152</v>
      </c>
      <c r="G1612" t="s">
        <v>16</v>
      </c>
      <c r="H1612">
        <v>0</v>
      </c>
      <c r="I1612" s="2" t="s">
        <v>953</v>
      </c>
      <c r="J1612" s="2">
        <v>32705</v>
      </c>
      <c r="K1612">
        <v>20</v>
      </c>
      <c r="L1612">
        <v>20</v>
      </c>
      <c r="M1612">
        <v>20</v>
      </c>
    </row>
    <row r="1613" spans="1:13" x14ac:dyDescent="0.25">
      <c r="A1613" t="s">
        <v>3554</v>
      </c>
      <c r="B1613" t="s">
        <v>3552</v>
      </c>
      <c r="C1613" t="s">
        <v>151</v>
      </c>
      <c r="D1613" t="s">
        <v>152</v>
      </c>
      <c r="F1613">
        <v>1</v>
      </c>
      <c r="G1613" t="s">
        <v>16</v>
      </c>
      <c r="H1613">
        <v>0</v>
      </c>
      <c r="I1613" s="2" t="s">
        <v>238</v>
      </c>
      <c r="J1613" s="2">
        <v>37083</v>
      </c>
      <c r="K1613">
        <v>20</v>
      </c>
      <c r="L1613">
        <v>20</v>
      </c>
      <c r="M1613">
        <v>20</v>
      </c>
    </row>
    <row r="1614" spans="1:13" x14ac:dyDescent="0.25">
      <c r="A1614" t="s">
        <v>3555</v>
      </c>
      <c r="B1614" t="s">
        <v>3552</v>
      </c>
      <c r="C1614" t="s">
        <v>151</v>
      </c>
      <c r="D1614" t="s">
        <v>152</v>
      </c>
      <c r="G1614" t="s">
        <v>16</v>
      </c>
      <c r="H1614">
        <v>0</v>
      </c>
      <c r="I1614" s="2" t="s">
        <v>500</v>
      </c>
      <c r="J1614" s="2" t="s">
        <v>3556</v>
      </c>
      <c r="K1614">
        <v>20</v>
      </c>
      <c r="L1614">
        <v>20</v>
      </c>
      <c r="M1614">
        <v>20</v>
      </c>
    </row>
    <row r="1615" spans="1:13" x14ac:dyDescent="0.25">
      <c r="A1615">
        <v>1338372</v>
      </c>
      <c r="B1615" t="s">
        <v>3557</v>
      </c>
      <c r="C1615" t="s">
        <v>357</v>
      </c>
      <c r="D1615" t="s">
        <v>358</v>
      </c>
      <c r="F1615">
        <v>1</v>
      </c>
      <c r="G1615" t="s">
        <v>16</v>
      </c>
      <c r="H1615">
        <v>0</v>
      </c>
      <c r="I1615" s="2" t="s">
        <v>1444</v>
      </c>
      <c r="J1615" s="2">
        <v>55587349</v>
      </c>
      <c r="K1615">
        <v>20</v>
      </c>
      <c r="L1615">
        <v>20</v>
      </c>
      <c r="M1615">
        <v>20</v>
      </c>
    </row>
    <row r="1616" spans="1:13" x14ac:dyDescent="0.25">
      <c r="A1616" t="s">
        <v>3558</v>
      </c>
      <c r="B1616" t="s">
        <v>3557</v>
      </c>
      <c r="C1616" t="s">
        <v>357</v>
      </c>
      <c r="D1616" t="s">
        <v>358</v>
      </c>
      <c r="F1616">
        <v>1</v>
      </c>
      <c r="G1616" t="s">
        <v>16</v>
      </c>
      <c r="H1616">
        <v>0</v>
      </c>
      <c r="I1616" s="2" t="s">
        <v>142</v>
      </c>
      <c r="J1616" s="2" t="s">
        <v>3559</v>
      </c>
      <c r="K1616">
        <v>20</v>
      </c>
      <c r="L1616">
        <v>20</v>
      </c>
      <c r="M1616">
        <v>20</v>
      </c>
    </row>
    <row r="1617" spans="1:13" x14ac:dyDescent="0.25">
      <c r="A1617" t="s">
        <v>3560</v>
      </c>
      <c r="B1617" t="s">
        <v>3557</v>
      </c>
      <c r="C1617" t="s">
        <v>357</v>
      </c>
      <c r="D1617" t="s">
        <v>358</v>
      </c>
      <c r="F1617">
        <v>8</v>
      </c>
      <c r="G1617" t="s">
        <v>16</v>
      </c>
      <c r="H1617">
        <v>0</v>
      </c>
      <c r="I1617" s="2" t="s">
        <v>288</v>
      </c>
      <c r="J1617" s="2" t="s">
        <v>3561</v>
      </c>
      <c r="K1617">
        <v>20</v>
      </c>
      <c r="L1617">
        <v>20</v>
      </c>
      <c r="M1617">
        <v>20</v>
      </c>
    </row>
    <row r="1618" spans="1:13" x14ac:dyDescent="0.25">
      <c r="A1618" t="s">
        <v>3562</v>
      </c>
      <c r="B1618" t="s">
        <v>3557</v>
      </c>
      <c r="C1618" t="s">
        <v>357</v>
      </c>
      <c r="D1618" t="s">
        <v>358</v>
      </c>
      <c r="G1618" t="s">
        <v>16</v>
      </c>
      <c r="H1618">
        <v>0</v>
      </c>
      <c r="I1618" s="2" t="s">
        <v>3286</v>
      </c>
      <c r="J1618" s="2" t="s">
        <v>3563</v>
      </c>
      <c r="K1618">
        <v>20</v>
      </c>
      <c r="L1618">
        <v>20</v>
      </c>
      <c r="M1618">
        <v>20</v>
      </c>
    </row>
    <row r="1619" spans="1:13" x14ac:dyDescent="0.25">
      <c r="A1619" t="s">
        <v>3564</v>
      </c>
      <c r="B1619" t="s">
        <v>3565</v>
      </c>
      <c r="C1619" t="s">
        <v>357</v>
      </c>
      <c r="D1619" t="s">
        <v>358</v>
      </c>
      <c r="G1619" t="s">
        <v>16</v>
      </c>
      <c r="H1619">
        <v>0</v>
      </c>
      <c r="I1619" s="2" t="s">
        <v>988</v>
      </c>
      <c r="J1619" s="2" t="s">
        <v>3566</v>
      </c>
      <c r="K1619">
        <v>20</v>
      </c>
      <c r="L1619">
        <v>20</v>
      </c>
      <c r="M1619">
        <v>20</v>
      </c>
    </row>
    <row r="1620" spans="1:13" x14ac:dyDescent="0.25">
      <c r="A1620" t="s">
        <v>3567</v>
      </c>
      <c r="B1620" t="s">
        <v>3557</v>
      </c>
      <c r="C1620" t="s">
        <v>357</v>
      </c>
      <c r="D1620" t="s">
        <v>358</v>
      </c>
      <c r="G1620" t="s">
        <v>16</v>
      </c>
      <c r="H1620">
        <v>0</v>
      </c>
      <c r="I1620" s="2" t="s">
        <v>2039</v>
      </c>
      <c r="J1620" s="2">
        <v>460242</v>
      </c>
      <c r="K1620">
        <v>20</v>
      </c>
      <c r="L1620">
        <v>20</v>
      </c>
      <c r="M1620">
        <v>20</v>
      </c>
    </row>
    <row r="1621" spans="1:13" x14ac:dyDescent="0.25">
      <c r="A1621" t="s">
        <v>3568</v>
      </c>
      <c r="B1621" t="s">
        <v>3569</v>
      </c>
      <c r="C1621" t="s">
        <v>357</v>
      </c>
      <c r="D1621" t="s">
        <v>358</v>
      </c>
      <c r="G1621" t="s">
        <v>16</v>
      </c>
      <c r="H1621">
        <v>0</v>
      </c>
      <c r="I1621" s="2" t="s">
        <v>715</v>
      </c>
      <c r="J1621" s="2" t="s">
        <v>3570</v>
      </c>
      <c r="K1621">
        <v>20</v>
      </c>
      <c r="L1621">
        <v>20</v>
      </c>
      <c r="M1621">
        <v>20</v>
      </c>
    </row>
    <row r="1622" spans="1:13" x14ac:dyDescent="0.25">
      <c r="A1622" t="s">
        <v>3571</v>
      </c>
      <c r="B1622" t="s">
        <v>3569</v>
      </c>
      <c r="C1622" t="s">
        <v>357</v>
      </c>
      <c r="D1622" t="s">
        <v>358</v>
      </c>
      <c r="G1622" t="s">
        <v>16</v>
      </c>
      <c r="H1622">
        <v>0</v>
      </c>
      <c r="K1622">
        <v>20</v>
      </c>
      <c r="L1622">
        <v>20</v>
      </c>
      <c r="M1622">
        <v>20</v>
      </c>
    </row>
    <row r="1623" spans="1:13" x14ac:dyDescent="0.25">
      <c r="A1623" t="s">
        <v>3572</v>
      </c>
      <c r="B1623" t="s">
        <v>3573</v>
      </c>
      <c r="C1623" t="s">
        <v>357</v>
      </c>
      <c r="D1623" t="s">
        <v>241</v>
      </c>
      <c r="F1623">
        <v>1</v>
      </c>
      <c r="G1623" t="s">
        <v>16</v>
      </c>
      <c r="H1623">
        <v>0</v>
      </c>
      <c r="I1623" s="2" t="s">
        <v>3574</v>
      </c>
      <c r="J1623" s="2" t="s">
        <v>3575</v>
      </c>
      <c r="K1623">
        <v>20</v>
      </c>
      <c r="L1623">
        <v>20</v>
      </c>
      <c r="M1623">
        <v>20</v>
      </c>
    </row>
    <row r="1624" spans="1:13" x14ac:dyDescent="0.25">
      <c r="A1624" t="s">
        <v>3576</v>
      </c>
      <c r="B1624" t="s">
        <v>3573</v>
      </c>
      <c r="C1624" t="s">
        <v>357</v>
      </c>
      <c r="D1624" t="s">
        <v>241</v>
      </c>
      <c r="F1624">
        <v>2</v>
      </c>
      <c r="G1624" t="s">
        <v>16</v>
      </c>
      <c r="H1624">
        <v>0</v>
      </c>
      <c r="I1624" s="2" t="s">
        <v>266</v>
      </c>
      <c r="J1624" s="2">
        <v>34908</v>
      </c>
      <c r="K1624">
        <v>20</v>
      </c>
      <c r="L1624">
        <v>20</v>
      </c>
      <c r="M1624">
        <v>20</v>
      </c>
    </row>
    <row r="1625" spans="1:13" x14ac:dyDescent="0.25">
      <c r="A1625">
        <v>1338379</v>
      </c>
      <c r="B1625" t="s">
        <v>3577</v>
      </c>
      <c r="C1625" t="s">
        <v>357</v>
      </c>
      <c r="D1625" t="s">
        <v>358</v>
      </c>
      <c r="F1625">
        <v>0</v>
      </c>
      <c r="G1625" t="s">
        <v>16</v>
      </c>
      <c r="H1625">
        <v>0</v>
      </c>
      <c r="I1625" s="2" t="s">
        <v>497</v>
      </c>
      <c r="J1625" s="2">
        <v>25200454</v>
      </c>
      <c r="K1625">
        <v>20</v>
      </c>
      <c r="L1625">
        <v>20</v>
      </c>
      <c r="M1625">
        <v>20</v>
      </c>
    </row>
    <row r="1626" spans="1:13" x14ac:dyDescent="0.25">
      <c r="A1626" t="s">
        <v>3578</v>
      </c>
      <c r="B1626" t="s">
        <v>3579</v>
      </c>
      <c r="C1626" t="s">
        <v>357</v>
      </c>
      <c r="D1626" t="s">
        <v>358</v>
      </c>
      <c r="F1626">
        <v>1</v>
      </c>
      <c r="G1626" t="s">
        <v>16</v>
      </c>
      <c r="H1626">
        <v>0</v>
      </c>
      <c r="I1626" s="2" t="s">
        <v>2645</v>
      </c>
      <c r="J1626" s="2" t="s">
        <v>3580</v>
      </c>
      <c r="K1626">
        <v>20</v>
      </c>
      <c r="L1626">
        <v>20</v>
      </c>
      <c r="M1626">
        <v>20</v>
      </c>
    </row>
    <row r="1627" spans="1:13" x14ac:dyDescent="0.25">
      <c r="A1627" t="s">
        <v>3581</v>
      </c>
      <c r="B1627" t="s">
        <v>3579</v>
      </c>
      <c r="C1627" t="s">
        <v>357</v>
      </c>
      <c r="D1627" t="s">
        <v>358</v>
      </c>
      <c r="F1627">
        <v>0</v>
      </c>
      <c r="G1627" t="s">
        <v>16</v>
      </c>
      <c r="H1627">
        <v>0</v>
      </c>
      <c r="I1627" s="2" t="s">
        <v>3582</v>
      </c>
      <c r="J1627" s="2" t="s">
        <v>3583</v>
      </c>
      <c r="K1627">
        <v>20</v>
      </c>
      <c r="L1627">
        <v>20</v>
      </c>
      <c r="M1627">
        <v>20</v>
      </c>
    </row>
    <row r="1628" spans="1:13" x14ac:dyDescent="0.25">
      <c r="A1628" t="s">
        <v>3584</v>
      </c>
      <c r="B1628" t="s">
        <v>3577</v>
      </c>
      <c r="C1628" t="s">
        <v>357</v>
      </c>
      <c r="D1628" t="s">
        <v>358</v>
      </c>
      <c r="F1628">
        <v>3</v>
      </c>
      <c r="G1628" t="s">
        <v>16</v>
      </c>
      <c r="H1628">
        <v>0</v>
      </c>
      <c r="I1628" s="2" t="s">
        <v>288</v>
      </c>
      <c r="J1628" s="2" t="s">
        <v>3585</v>
      </c>
      <c r="K1628">
        <v>20</v>
      </c>
      <c r="L1628">
        <v>20</v>
      </c>
      <c r="M1628">
        <v>20</v>
      </c>
    </row>
    <row r="1629" spans="1:13" x14ac:dyDescent="0.25">
      <c r="A1629" t="s">
        <v>3586</v>
      </c>
      <c r="B1629" t="s">
        <v>3577</v>
      </c>
      <c r="C1629" t="s">
        <v>357</v>
      </c>
      <c r="D1629" t="s">
        <v>358</v>
      </c>
      <c r="G1629" t="s">
        <v>16</v>
      </c>
      <c r="H1629">
        <v>0</v>
      </c>
      <c r="I1629" s="2" t="s">
        <v>3421</v>
      </c>
      <c r="J1629" s="2" t="s">
        <v>3587</v>
      </c>
      <c r="K1629">
        <v>20</v>
      </c>
      <c r="L1629">
        <v>20</v>
      </c>
      <c r="M1629">
        <v>20</v>
      </c>
    </row>
    <row r="1630" spans="1:13" x14ac:dyDescent="0.25">
      <c r="A1630" t="s">
        <v>3588</v>
      </c>
      <c r="B1630" t="s">
        <v>3577</v>
      </c>
      <c r="C1630" t="s">
        <v>357</v>
      </c>
      <c r="D1630" t="s">
        <v>358</v>
      </c>
      <c r="F1630">
        <v>0</v>
      </c>
      <c r="G1630" t="s">
        <v>16</v>
      </c>
      <c r="H1630">
        <v>0</v>
      </c>
      <c r="I1630" s="2" t="s">
        <v>511</v>
      </c>
      <c r="J1630" s="2">
        <v>221308</v>
      </c>
      <c r="K1630">
        <v>20</v>
      </c>
      <c r="L1630">
        <v>20</v>
      </c>
      <c r="M1630">
        <v>20</v>
      </c>
    </row>
    <row r="1631" spans="1:13" x14ac:dyDescent="0.25">
      <c r="A1631" t="s">
        <v>3589</v>
      </c>
      <c r="B1631" t="s">
        <v>3577</v>
      </c>
      <c r="C1631" t="s">
        <v>357</v>
      </c>
      <c r="D1631" t="s">
        <v>358</v>
      </c>
      <c r="G1631" t="s">
        <v>16</v>
      </c>
      <c r="H1631">
        <v>0</v>
      </c>
      <c r="I1631" s="2" t="s">
        <v>848</v>
      </c>
      <c r="J1631" s="2" t="s">
        <v>3590</v>
      </c>
      <c r="K1631">
        <v>20</v>
      </c>
      <c r="L1631">
        <v>20</v>
      </c>
      <c r="M1631">
        <v>20</v>
      </c>
    </row>
    <row r="1632" spans="1:13" x14ac:dyDescent="0.25">
      <c r="A1632" t="s">
        <v>3591</v>
      </c>
      <c r="B1632" t="s">
        <v>3577</v>
      </c>
      <c r="C1632" t="s">
        <v>357</v>
      </c>
      <c r="D1632" t="s">
        <v>358</v>
      </c>
      <c r="G1632" t="s">
        <v>16</v>
      </c>
      <c r="H1632">
        <v>0</v>
      </c>
      <c r="I1632" s="2" t="s">
        <v>238</v>
      </c>
      <c r="J1632" s="2">
        <v>46578</v>
      </c>
      <c r="K1632">
        <v>20</v>
      </c>
      <c r="L1632">
        <v>20</v>
      </c>
      <c r="M1632">
        <v>20</v>
      </c>
    </row>
    <row r="1633" spans="1:13" x14ac:dyDescent="0.25">
      <c r="A1633" t="s">
        <v>3592</v>
      </c>
      <c r="B1633" t="s">
        <v>3593</v>
      </c>
      <c r="C1633" t="s">
        <v>357</v>
      </c>
      <c r="D1633" t="s">
        <v>358</v>
      </c>
      <c r="F1633">
        <v>1</v>
      </c>
      <c r="G1633" t="s">
        <v>16</v>
      </c>
      <c r="H1633">
        <v>0</v>
      </c>
      <c r="I1633" s="2" t="s">
        <v>3594</v>
      </c>
      <c r="J1633" s="2" t="s">
        <v>3595</v>
      </c>
      <c r="K1633">
        <v>20</v>
      </c>
      <c r="L1633">
        <v>20</v>
      </c>
      <c r="M1633">
        <v>20</v>
      </c>
    </row>
    <row r="1634" spans="1:13" x14ac:dyDescent="0.25">
      <c r="A1634" t="s">
        <v>3596</v>
      </c>
      <c r="B1634" t="s">
        <v>3577</v>
      </c>
      <c r="C1634" t="s">
        <v>357</v>
      </c>
      <c r="D1634" t="s">
        <v>358</v>
      </c>
      <c r="F1634">
        <v>0</v>
      </c>
      <c r="G1634" t="s">
        <v>16</v>
      </c>
      <c r="H1634">
        <v>0</v>
      </c>
      <c r="I1634" s="2" t="s">
        <v>715</v>
      </c>
      <c r="J1634" s="2" t="s">
        <v>3597</v>
      </c>
      <c r="K1634">
        <v>20</v>
      </c>
      <c r="L1634">
        <v>20</v>
      </c>
      <c r="M1634">
        <v>20</v>
      </c>
    </row>
    <row r="1635" spans="1:13" x14ac:dyDescent="0.25">
      <c r="A1635" t="s">
        <v>3598</v>
      </c>
      <c r="B1635" t="s">
        <v>3599</v>
      </c>
      <c r="C1635" t="s">
        <v>357</v>
      </c>
      <c r="D1635" t="s">
        <v>358</v>
      </c>
      <c r="F1635">
        <v>1</v>
      </c>
      <c r="G1635" t="s">
        <v>16</v>
      </c>
      <c r="H1635">
        <v>0</v>
      </c>
      <c r="I1635" s="2" t="s">
        <v>2645</v>
      </c>
      <c r="J1635" s="2" t="s">
        <v>3600</v>
      </c>
      <c r="K1635">
        <v>20</v>
      </c>
      <c r="L1635">
        <v>20</v>
      </c>
      <c r="M1635">
        <v>20</v>
      </c>
    </row>
    <row r="1636" spans="1:13" x14ac:dyDescent="0.25">
      <c r="A1636" t="s">
        <v>3601</v>
      </c>
      <c r="B1636" t="s">
        <v>3599</v>
      </c>
      <c r="C1636" t="s">
        <v>357</v>
      </c>
      <c r="D1636" t="s">
        <v>358</v>
      </c>
      <c r="F1636">
        <v>0</v>
      </c>
      <c r="G1636" t="s">
        <v>16</v>
      </c>
      <c r="H1636">
        <v>0</v>
      </c>
      <c r="I1636" s="2" t="s">
        <v>3582</v>
      </c>
      <c r="J1636" s="2" t="s">
        <v>3602</v>
      </c>
      <c r="K1636">
        <v>20</v>
      </c>
      <c r="L1636">
        <v>20</v>
      </c>
      <c r="M1636">
        <v>20</v>
      </c>
    </row>
    <row r="1637" spans="1:13" x14ac:dyDescent="0.25">
      <c r="A1637" t="s">
        <v>3603</v>
      </c>
      <c r="B1637" t="s">
        <v>3605</v>
      </c>
      <c r="C1637" t="s">
        <v>357</v>
      </c>
      <c r="D1637" t="s">
        <v>358</v>
      </c>
      <c r="F1637">
        <v>4</v>
      </c>
      <c r="G1637" t="s">
        <v>16</v>
      </c>
      <c r="H1637">
        <v>0</v>
      </c>
      <c r="I1637" s="2" t="s">
        <v>765</v>
      </c>
      <c r="J1637" s="2" t="s">
        <v>3604</v>
      </c>
      <c r="K1637">
        <v>20</v>
      </c>
      <c r="L1637">
        <v>20</v>
      </c>
      <c r="M1637">
        <v>20</v>
      </c>
    </row>
    <row r="1638" spans="1:13" x14ac:dyDescent="0.25">
      <c r="A1638" t="s">
        <v>3606</v>
      </c>
      <c r="B1638" t="s">
        <v>3605</v>
      </c>
      <c r="C1638" t="s">
        <v>357</v>
      </c>
      <c r="D1638" t="s">
        <v>358</v>
      </c>
      <c r="G1638" t="s">
        <v>16</v>
      </c>
      <c r="H1638">
        <v>0</v>
      </c>
      <c r="I1638" s="2" t="s">
        <v>3286</v>
      </c>
      <c r="J1638" s="2" t="s">
        <v>3607</v>
      </c>
      <c r="K1638">
        <v>20</v>
      </c>
      <c r="L1638">
        <v>20</v>
      </c>
      <c r="M1638">
        <v>20</v>
      </c>
    </row>
    <row r="1639" spans="1:13" x14ac:dyDescent="0.25">
      <c r="A1639" t="s">
        <v>3608</v>
      </c>
      <c r="B1639" t="s">
        <v>3605</v>
      </c>
      <c r="C1639" t="s">
        <v>357</v>
      </c>
      <c r="D1639" t="s">
        <v>358</v>
      </c>
      <c r="G1639" t="s">
        <v>16</v>
      </c>
      <c r="H1639">
        <v>0</v>
      </c>
      <c r="I1639" s="2" t="s">
        <v>848</v>
      </c>
      <c r="J1639" s="2" t="s">
        <v>3609</v>
      </c>
      <c r="K1639">
        <v>20</v>
      </c>
      <c r="L1639">
        <v>20</v>
      </c>
      <c r="M1639">
        <v>20</v>
      </c>
    </row>
    <row r="1640" spans="1:13" x14ac:dyDescent="0.25">
      <c r="A1640" t="s">
        <v>3610</v>
      </c>
      <c r="B1640" t="s">
        <v>3605</v>
      </c>
      <c r="C1640" t="s">
        <v>357</v>
      </c>
      <c r="D1640" t="s">
        <v>358</v>
      </c>
      <c r="F1640">
        <v>1</v>
      </c>
      <c r="G1640" t="s">
        <v>16</v>
      </c>
      <c r="H1640">
        <v>0</v>
      </c>
      <c r="I1640" s="2" t="s">
        <v>285</v>
      </c>
      <c r="J1640" s="2">
        <v>85210</v>
      </c>
      <c r="K1640">
        <v>20</v>
      </c>
      <c r="L1640">
        <v>20</v>
      </c>
      <c r="M1640">
        <v>20</v>
      </c>
    </row>
    <row r="1641" spans="1:13" x14ac:dyDescent="0.25">
      <c r="A1641" t="s">
        <v>3611</v>
      </c>
      <c r="B1641" t="s">
        <v>3612</v>
      </c>
      <c r="C1641" t="s">
        <v>357</v>
      </c>
      <c r="D1641" t="s">
        <v>358</v>
      </c>
      <c r="F1641">
        <v>1</v>
      </c>
      <c r="G1641" t="s">
        <v>16</v>
      </c>
      <c r="H1641">
        <v>0</v>
      </c>
      <c r="I1641" s="2" t="s">
        <v>3594</v>
      </c>
      <c r="J1641" s="2" t="s">
        <v>3613</v>
      </c>
      <c r="K1641">
        <v>20</v>
      </c>
      <c r="L1641">
        <v>20</v>
      </c>
      <c r="M1641">
        <v>20</v>
      </c>
    </row>
    <row r="1642" spans="1:13" x14ac:dyDescent="0.25">
      <c r="A1642" t="s">
        <v>3614</v>
      </c>
      <c r="B1642" t="s">
        <v>3615</v>
      </c>
      <c r="C1642" t="s">
        <v>357</v>
      </c>
      <c r="D1642" t="s">
        <v>358</v>
      </c>
      <c r="G1642" t="s">
        <v>16</v>
      </c>
      <c r="H1642">
        <v>0</v>
      </c>
      <c r="K1642">
        <v>20</v>
      </c>
      <c r="L1642">
        <v>20</v>
      </c>
      <c r="M1642">
        <v>20</v>
      </c>
    </row>
    <row r="1643" spans="1:13" x14ac:dyDescent="0.25">
      <c r="A1643" t="s">
        <v>3616</v>
      </c>
      <c r="B1643" t="s">
        <v>3618</v>
      </c>
      <c r="C1643" t="s">
        <v>357</v>
      </c>
      <c r="D1643" t="s">
        <v>358</v>
      </c>
      <c r="G1643" t="s">
        <v>16</v>
      </c>
      <c r="H1643">
        <v>0</v>
      </c>
      <c r="I1643" s="2" t="s">
        <v>765</v>
      </c>
      <c r="J1643" s="2" t="s">
        <v>3617</v>
      </c>
      <c r="K1643">
        <v>20</v>
      </c>
      <c r="L1643">
        <v>20</v>
      </c>
      <c r="M1643">
        <v>20</v>
      </c>
    </row>
    <row r="1644" spans="1:13" x14ac:dyDescent="0.25">
      <c r="A1644" t="s">
        <v>3619</v>
      </c>
      <c r="B1644" t="s">
        <v>3620</v>
      </c>
      <c r="C1644" t="s">
        <v>357</v>
      </c>
      <c r="D1644" t="s">
        <v>792</v>
      </c>
      <c r="F1644">
        <v>1</v>
      </c>
      <c r="G1644" t="s">
        <v>16</v>
      </c>
      <c r="H1644">
        <v>0</v>
      </c>
      <c r="I1644" s="2" t="s">
        <v>500</v>
      </c>
      <c r="J1644" s="2" t="s">
        <v>3621</v>
      </c>
      <c r="K1644">
        <v>20</v>
      </c>
      <c r="L1644">
        <v>20</v>
      </c>
      <c r="M1644">
        <v>20</v>
      </c>
    </row>
    <row r="1645" spans="1:13" x14ac:dyDescent="0.25">
      <c r="A1645" t="s">
        <v>3622</v>
      </c>
      <c r="B1645" t="s">
        <v>3624</v>
      </c>
      <c r="C1645" t="s">
        <v>357</v>
      </c>
      <c r="D1645" t="s">
        <v>358</v>
      </c>
      <c r="F1645">
        <v>6</v>
      </c>
      <c r="G1645" t="s">
        <v>16</v>
      </c>
      <c r="H1645">
        <v>0</v>
      </c>
      <c r="I1645" s="2" t="s">
        <v>1107</v>
      </c>
      <c r="J1645" s="2" t="s">
        <v>3623</v>
      </c>
      <c r="K1645">
        <v>20</v>
      </c>
      <c r="L1645">
        <v>20</v>
      </c>
      <c r="M1645">
        <v>20</v>
      </c>
    </row>
    <row r="1646" spans="1:13" x14ac:dyDescent="0.25">
      <c r="A1646" t="s">
        <v>3625</v>
      </c>
      <c r="B1646" t="s">
        <v>3627</v>
      </c>
      <c r="C1646" t="s">
        <v>357</v>
      </c>
      <c r="D1646" t="s">
        <v>358</v>
      </c>
      <c r="F1646">
        <v>1</v>
      </c>
      <c r="G1646" t="s">
        <v>16</v>
      </c>
      <c r="H1646">
        <v>0</v>
      </c>
      <c r="I1646" s="2" t="s">
        <v>288</v>
      </c>
      <c r="J1646" s="2" t="s">
        <v>3626</v>
      </c>
      <c r="K1646">
        <v>20</v>
      </c>
      <c r="L1646">
        <v>20</v>
      </c>
      <c r="M1646">
        <v>20</v>
      </c>
    </row>
    <row r="1647" spans="1:13" x14ac:dyDescent="0.25">
      <c r="A1647" t="s">
        <v>3628</v>
      </c>
      <c r="B1647" t="s">
        <v>3629</v>
      </c>
      <c r="C1647" t="s">
        <v>357</v>
      </c>
      <c r="D1647" t="s">
        <v>358</v>
      </c>
      <c r="G1647" t="s">
        <v>16</v>
      </c>
      <c r="H1647">
        <v>0</v>
      </c>
      <c r="I1647" s="2" t="s">
        <v>715</v>
      </c>
      <c r="J1647" s="2" t="s">
        <v>3630</v>
      </c>
      <c r="K1647">
        <v>20</v>
      </c>
      <c r="L1647">
        <v>20</v>
      </c>
      <c r="M1647">
        <v>20</v>
      </c>
    </row>
    <row r="1648" spans="1:13" x14ac:dyDescent="0.25">
      <c r="A1648" t="s">
        <v>3631</v>
      </c>
      <c r="B1648" t="s">
        <v>3632</v>
      </c>
      <c r="C1648" t="s">
        <v>151</v>
      </c>
      <c r="D1648" t="s">
        <v>152</v>
      </c>
      <c r="F1648">
        <v>1</v>
      </c>
      <c r="G1648" t="s">
        <v>16</v>
      </c>
      <c r="H1648">
        <v>0</v>
      </c>
      <c r="I1648" s="2" t="s">
        <v>1488</v>
      </c>
      <c r="J1648" s="3">
        <v>73128</v>
      </c>
      <c r="K1648">
        <v>20</v>
      </c>
      <c r="L1648">
        <v>20</v>
      </c>
      <c r="M1648">
        <v>20</v>
      </c>
    </row>
    <row r="1649" spans="1:13" x14ac:dyDescent="0.25">
      <c r="A1649" t="s">
        <v>3633</v>
      </c>
      <c r="B1649" t="s">
        <v>3632</v>
      </c>
      <c r="C1649" t="s">
        <v>151</v>
      </c>
      <c r="D1649" t="s">
        <v>152</v>
      </c>
      <c r="G1649" t="s">
        <v>16</v>
      </c>
      <c r="H1649">
        <v>0</v>
      </c>
      <c r="K1649">
        <v>20</v>
      </c>
      <c r="L1649">
        <v>20</v>
      </c>
      <c r="M1649">
        <v>20</v>
      </c>
    </row>
    <row r="1650" spans="1:13" x14ac:dyDescent="0.25">
      <c r="A1650" t="s">
        <v>3634</v>
      </c>
      <c r="B1650" t="s">
        <v>3635</v>
      </c>
      <c r="C1650" t="s">
        <v>151</v>
      </c>
      <c r="D1650" t="s">
        <v>152</v>
      </c>
      <c r="F1650">
        <v>1</v>
      </c>
      <c r="G1650" t="s">
        <v>16</v>
      </c>
      <c r="H1650">
        <v>0</v>
      </c>
      <c r="I1650" s="2" t="s">
        <v>953</v>
      </c>
      <c r="J1650" s="2">
        <v>33480</v>
      </c>
      <c r="K1650">
        <v>20</v>
      </c>
      <c r="L1650">
        <v>20</v>
      </c>
      <c r="M1650">
        <v>20</v>
      </c>
    </row>
    <row r="1651" spans="1:13" x14ac:dyDescent="0.25">
      <c r="A1651" t="s">
        <v>3636</v>
      </c>
      <c r="B1651" t="s">
        <v>3637</v>
      </c>
      <c r="C1651" t="s">
        <v>151</v>
      </c>
      <c r="D1651" t="s">
        <v>152</v>
      </c>
      <c r="F1651">
        <v>2</v>
      </c>
      <c r="G1651" t="s">
        <v>16</v>
      </c>
      <c r="H1651">
        <v>0</v>
      </c>
      <c r="I1651" s="2" t="s">
        <v>707</v>
      </c>
      <c r="J1651" s="2" t="s">
        <v>3638</v>
      </c>
      <c r="K1651">
        <v>20</v>
      </c>
      <c r="L1651">
        <v>20</v>
      </c>
      <c r="M1651">
        <v>20</v>
      </c>
    </row>
    <row r="1652" spans="1:13" x14ac:dyDescent="0.25">
      <c r="A1652">
        <v>1338487</v>
      </c>
      <c r="B1652" t="s">
        <v>3639</v>
      </c>
      <c r="C1652" t="s">
        <v>357</v>
      </c>
      <c r="D1652" t="s">
        <v>358</v>
      </c>
      <c r="F1652">
        <v>2</v>
      </c>
      <c r="G1652" t="s">
        <v>16</v>
      </c>
      <c r="H1652">
        <v>0</v>
      </c>
      <c r="I1652" s="2" t="s">
        <v>1444</v>
      </c>
      <c r="J1652" s="2">
        <v>25192985</v>
      </c>
      <c r="K1652">
        <v>20</v>
      </c>
      <c r="L1652">
        <v>20</v>
      </c>
      <c r="M1652">
        <v>20</v>
      </c>
    </row>
    <row r="1653" spans="1:13" x14ac:dyDescent="0.25">
      <c r="A1653" t="s">
        <v>3640</v>
      </c>
      <c r="B1653" t="s">
        <v>3641</v>
      </c>
      <c r="C1653" t="s">
        <v>357</v>
      </c>
      <c r="D1653" t="s">
        <v>358</v>
      </c>
      <c r="G1653" t="s">
        <v>16</v>
      </c>
      <c r="H1653">
        <v>0</v>
      </c>
      <c r="I1653" s="2" t="s">
        <v>142</v>
      </c>
      <c r="J1653" s="2" t="s">
        <v>3642</v>
      </c>
      <c r="K1653">
        <v>20</v>
      </c>
      <c r="L1653">
        <v>20</v>
      </c>
      <c r="M1653">
        <v>20</v>
      </c>
    </row>
    <row r="1654" spans="1:13" x14ac:dyDescent="0.25">
      <c r="A1654" t="s">
        <v>3643</v>
      </c>
      <c r="B1654" t="s">
        <v>3644</v>
      </c>
      <c r="C1654" t="s">
        <v>357</v>
      </c>
      <c r="D1654" t="s">
        <v>358</v>
      </c>
      <c r="F1654">
        <v>4</v>
      </c>
      <c r="G1654" t="s">
        <v>16</v>
      </c>
      <c r="H1654">
        <v>0</v>
      </c>
      <c r="I1654" s="2" t="s">
        <v>142</v>
      </c>
      <c r="J1654" s="2" t="s">
        <v>3645</v>
      </c>
      <c r="K1654">
        <v>20</v>
      </c>
      <c r="L1654">
        <v>20</v>
      </c>
      <c r="M1654">
        <v>20</v>
      </c>
    </row>
    <row r="1655" spans="1:13" x14ac:dyDescent="0.25">
      <c r="A1655" t="s">
        <v>3646</v>
      </c>
      <c r="B1655" t="s">
        <v>3648</v>
      </c>
      <c r="C1655" t="s">
        <v>357</v>
      </c>
      <c r="D1655" t="s">
        <v>358</v>
      </c>
      <c r="G1655" t="s">
        <v>16</v>
      </c>
      <c r="H1655">
        <v>0</v>
      </c>
      <c r="I1655" s="2" t="s">
        <v>288</v>
      </c>
      <c r="J1655" s="2" t="s">
        <v>3647</v>
      </c>
      <c r="K1655">
        <v>20</v>
      </c>
      <c r="L1655">
        <v>20</v>
      </c>
      <c r="M1655">
        <v>20</v>
      </c>
    </row>
    <row r="1656" spans="1:13" x14ac:dyDescent="0.25">
      <c r="A1656" t="s">
        <v>3649</v>
      </c>
      <c r="B1656" t="s">
        <v>3639</v>
      </c>
      <c r="C1656" t="s">
        <v>357</v>
      </c>
      <c r="D1656" t="s">
        <v>358</v>
      </c>
      <c r="G1656" t="s">
        <v>16</v>
      </c>
      <c r="H1656">
        <v>0</v>
      </c>
      <c r="I1656" s="2" t="s">
        <v>591</v>
      </c>
      <c r="J1656" s="2">
        <v>221319</v>
      </c>
      <c r="K1656">
        <v>20</v>
      </c>
      <c r="L1656">
        <v>20</v>
      </c>
      <c r="M1656">
        <v>20</v>
      </c>
    </row>
    <row r="1657" spans="1:13" x14ac:dyDescent="0.25">
      <c r="A1657" t="s">
        <v>3650</v>
      </c>
      <c r="B1657" t="s">
        <v>3639</v>
      </c>
      <c r="C1657" t="s">
        <v>357</v>
      </c>
      <c r="D1657" t="s">
        <v>358</v>
      </c>
      <c r="F1657">
        <v>0</v>
      </c>
      <c r="G1657" t="s">
        <v>16</v>
      </c>
      <c r="H1657">
        <v>0</v>
      </c>
      <c r="I1657" s="2" t="s">
        <v>500</v>
      </c>
      <c r="J1657" s="2" t="s">
        <v>3651</v>
      </c>
      <c r="K1657">
        <v>20</v>
      </c>
      <c r="L1657">
        <v>20</v>
      </c>
      <c r="M1657">
        <v>20</v>
      </c>
    </row>
    <row r="1658" spans="1:13" x14ac:dyDescent="0.25">
      <c r="A1658" t="s">
        <v>3652</v>
      </c>
      <c r="B1658" t="s">
        <v>3639</v>
      </c>
      <c r="C1658" t="s">
        <v>357</v>
      </c>
      <c r="D1658" t="s">
        <v>358</v>
      </c>
      <c r="G1658" t="s">
        <v>16</v>
      </c>
      <c r="H1658">
        <v>0</v>
      </c>
      <c r="I1658" s="2" t="s">
        <v>2039</v>
      </c>
      <c r="J1658" s="2">
        <v>460004</v>
      </c>
      <c r="K1658">
        <v>20</v>
      </c>
      <c r="L1658">
        <v>20</v>
      </c>
      <c r="M1658">
        <v>20</v>
      </c>
    </row>
    <row r="1659" spans="1:13" x14ac:dyDescent="0.25">
      <c r="A1659" t="s">
        <v>3653</v>
      </c>
      <c r="B1659" t="s">
        <v>3644</v>
      </c>
      <c r="C1659" t="s">
        <v>357</v>
      </c>
      <c r="D1659" t="s">
        <v>358</v>
      </c>
      <c r="F1659">
        <v>1</v>
      </c>
      <c r="G1659" t="s">
        <v>16</v>
      </c>
      <c r="H1659">
        <v>0</v>
      </c>
      <c r="K1659">
        <v>20</v>
      </c>
      <c r="L1659">
        <v>20</v>
      </c>
      <c r="M1659">
        <v>20</v>
      </c>
    </row>
    <row r="1660" spans="1:13" x14ac:dyDescent="0.25">
      <c r="A1660">
        <v>1338489</v>
      </c>
      <c r="B1660" t="s">
        <v>3618</v>
      </c>
      <c r="C1660" t="s">
        <v>357</v>
      </c>
      <c r="D1660" t="s">
        <v>358</v>
      </c>
      <c r="F1660">
        <v>1</v>
      </c>
      <c r="G1660" t="s">
        <v>16</v>
      </c>
      <c r="H1660">
        <v>0</v>
      </c>
      <c r="I1660" s="2" t="s">
        <v>497</v>
      </c>
      <c r="J1660" s="2">
        <v>25193922</v>
      </c>
      <c r="K1660">
        <v>20</v>
      </c>
      <c r="L1660">
        <v>20</v>
      </c>
      <c r="M1660">
        <v>20</v>
      </c>
    </row>
    <row r="1661" spans="1:13" x14ac:dyDescent="0.25">
      <c r="A1661" t="s">
        <v>3654</v>
      </c>
      <c r="B1661" t="s">
        <v>3655</v>
      </c>
      <c r="C1661" t="s">
        <v>357</v>
      </c>
      <c r="D1661" t="s">
        <v>358</v>
      </c>
      <c r="F1661">
        <v>3</v>
      </c>
      <c r="G1661" t="s">
        <v>16</v>
      </c>
      <c r="H1661">
        <v>0</v>
      </c>
      <c r="I1661" s="2" t="s">
        <v>759</v>
      </c>
      <c r="J1661" s="2" t="s">
        <v>3656</v>
      </c>
      <c r="K1661">
        <v>20</v>
      </c>
      <c r="L1661">
        <v>20</v>
      </c>
      <c r="M1661">
        <v>20</v>
      </c>
    </row>
    <row r="1662" spans="1:13" x14ac:dyDescent="0.25">
      <c r="A1662" t="s">
        <v>3657</v>
      </c>
      <c r="B1662" t="s">
        <v>3658</v>
      </c>
      <c r="C1662" t="s">
        <v>357</v>
      </c>
      <c r="D1662" t="s">
        <v>358</v>
      </c>
      <c r="F1662">
        <v>5</v>
      </c>
      <c r="G1662" t="s">
        <v>16</v>
      </c>
      <c r="H1662">
        <v>0</v>
      </c>
      <c r="I1662" s="2" t="s">
        <v>1175</v>
      </c>
      <c r="J1662" s="2" t="s">
        <v>3659</v>
      </c>
      <c r="K1662">
        <v>20</v>
      </c>
      <c r="L1662">
        <v>20</v>
      </c>
      <c r="M1662">
        <v>20</v>
      </c>
    </row>
    <row r="1663" spans="1:13" x14ac:dyDescent="0.25">
      <c r="A1663" t="s">
        <v>3660</v>
      </c>
      <c r="B1663" t="s">
        <v>3618</v>
      </c>
      <c r="C1663" t="s">
        <v>357</v>
      </c>
      <c r="D1663" t="s">
        <v>358</v>
      </c>
      <c r="G1663" t="s">
        <v>16</v>
      </c>
      <c r="H1663">
        <v>0</v>
      </c>
      <c r="I1663" s="2" t="s">
        <v>591</v>
      </c>
      <c r="J1663" s="2">
        <v>221312</v>
      </c>
      <c r="K1663">
        <v>20</v>
      </c>
      <c r="L1663">
        <v>20</v>
      </c>
      <c r="M1663">
        <v>20</v>
      </c>
    </row>
    <row r="1664" spans="1:13" x14ac:dyDescent="0.25">
      <c r="A1664" t="s">
        <v>3661</v>
      </c>
      <c r="B1664" t="s">
        <v>3662</v>
      </c>
      <c r="C1664" t="s">
        <v>151</v>
      </c>
      <c r="D1664" t="s">
        <v>152</v>
      </c>
      <c r="G1664" t="s">
        <v>16</v>
      </c>
      <c r="H1664">
        <v>0</v>
      </c>
      <c r="I1664" s="2" t="s">
        <v>953</v>
      </c>
      <c r="J1664" s="2">
        <v>33490</v>
      </c>
      <c r="K1664">
        <v>20</v>
      </c>
      <c r="L1664">
        <v>20</v>
      </c>
      <c r="M1664">
        <v>20</v>
      </c>
    </row>
    <row r="1665" spans="1:13" x14ac:dyDescent="0.25">
      <c r="A1665">
        <v>1338561</v>
      </c>
      <c r="B1665" t="s">
        <v>3663</v>
      </c>
      <c r="C1665" t="s">
        <v>357</v>
      </c>
      <c r="D1665" t="s">
        <v>241</v>
      </c>
      <c r="F1665">
        <v>0</v>
      </c>
      <c r="G1665" t="s">
        <v>16</v>
      </c>
      <c r="H1665">
        <v>0</v>
      </c>
      <c r="I1665" s="2" t="s">
        <v>497</v>
      </c>
      <c r="J1665" s="2">
        <v>93188243</v>
      </c>
      <c r="K1665">
        <v>20</v>
      </c>
      <c r="L1665">
        <v>20</v>
      </c>
      <c r="M1665">
        <v>20</v>
      </c>
    </row>
    <row r="1666" spans="1:13" x14ac:dyDescent="0.25">
      <c r="A1666" t="s">
        <v>3664</v>
      </c>
      <c r="B1666" t="s">
        <v>3663</v>
      </c>
      <c r="C1666" t="s">
        <v>357</v>
      </c>
      <c r="D1666" t="s">
        <v>241</v>
      </c>
      <c r="F1666">
        <v>5</v>
      </c>
      <c r="G1666" t="s">
        <v>16</v>
      </c>
      <c r="H1666">
        <v>0</v>
      </c>
      <c r="I1666" s="2" t="s">
        <v>3574</v>
      </c>
      <c r="J1666" s="2" t="s">
        <v>3665</v>
      </c>
      <c r="K1666">
        <v>20</v>
      </c>
      <c r="L1666">
        <v>20</v>
      </c>
      <c r="M1666">
        <v>20</v>
      </c>
    </row>
    <row r="1667" spans="1:13" x14ac:dyDescent="0.25">
      <c r="A1667" t="s">
        <v>3666</v>
      </c>
      <c r="B1667" t="s">
        <v>3663</v>
      </c>
      <c r="C1667" t="s">
        <v>357</v>
      </c>
      <c r="D1667" t="s">
        <v>241</v>
      </c>
      <c r="F1667">
        <v>0</v>
      </c>
      <c r="G1667" t="s">
        <v>16</v>
      </c>
      <c r="H1667">
        <v>0</v>
      </c>
      <c r="I1667" s="2" t="s">
        <v>497</v>
      </c>
      <c r="J1667" s="2">
        <v>93187897</v>
      </c>
      <c r="K1667">
        <v>20</v>
      </c>
      <c r="L1667">
        <v>20</v>
      </c>
      <c r="M1667">
        <v>20</v>
      </c>
    </row>
    <row r="1668" spans="1:13" x14ac:dyDescent="0.25">
      <c r="A1668" t="s">
        <v>3667</v>
      </c>
      <c r="B1668" t="s">
        <v>3668</v>
      </c>
      <c r="C1668" t="s">
        <v>357</v>
      </c>
      <c r="D1668" t="s">
        <v>241</v>
      </c>
      <c r="G1668" t="s">
        <v>16</v>
      </c>
      <c r="H1668">
        <v>0</v>
      </c>
      <c r="I1668" s="2" t="s">
        <v>500</v>
      </c>
      <c r="J1668" s="2" t="s">
        <v>3669</v>
      </c>
      <c r="K1668">
        <v>20</v>
      </c>
      <c r="L1668">
        <v>20</v>
      </c>
      <c r="M1668">
        <v>20</v>
      </c>
    </row>
    <row r="1669" spans="1:13" x14ac:dyDescent="0.25">
      <c r="A1669" t="s">
        <v>3670</v>
      </c>
      <c r="B1669" t="s">
        <v>3668</v>
      </c>
      <c r="C1669" t="s">
        <v>357</v>
      </c>
      <c r="D1669" t="s">
        <v>241</v>
      </c>
      <c r="G1669" t="s">
        <v>16</v>
      </c>
      <c r="H1669">
        <v>0</v>
      </c>
      <c r="I1669" s="2" t="s">
        <v>737</v>
      </c>
      <c r="J1669" s="2" t="s">
        <v>3671</v>
      </c>
      <c r="K1669">
        <v>20</v>
      </c>
      <c r="L1669">
        <v>20</v>
      </c>
      <c r="M1669">
        <v>20</v>
      </c>
    </row>
    <row r="1670" spans="1:13" x14ac:dyDescent="0.25">
      <c r="A1670" t="s">
        <v>3672</v>
      </c>
      <c r="B1670" t="s">
        <v>3673</v>
      </c>
      <c r="C1670" t="s">
        <v>357</v>
      </c>
      <c r="D1670" t="s">
        <v>358</v>
      </c>
      <c r="F1670">
        <v>1</v>
      </c>
      <c r="G1670" t="s">
        <v>16</v>
      </c>
      <c r="H1670">
        <v>0</v>
      </c>
      <c r="I1670" s="2" t="s">
        <v>1710</v>
      </c>
      <c r="J1670" s="2">
        <v>359001201860</v>
      </c>
      <c r="K1670">
        <v>20</v>
      </c>
      <c r="L1670">
        <v>20</v>
      </c>
      <c r="M1670">
        <v>20</v>
      </c>
    </row>
    <row r="1671" spans="1:13" x14ac:dyDescent="0.25">
      <c r="A1671" t="s">
        <v>3674</v>
      </c>
      <c r="B1671" t="s">
        <v>3675</v>
      </c>
      <c r="C1671" t="s">
        <v>357</v>
      </c>
      <c r="D1671" t="s">
        <v>241</v>
      </c>
      <c r="F1671">
        <v>3</v>
      </c>
      <c r="G1671" t="s">
        <v>16</v>
      </c>
      <c r="H1671">
        <v>0</v>
      </c>
      <c r="I1671" s="2" t="s">
        <v>245</v>
      </c>
      <c r="J1671" s="2" t="s">
        <v>3676</v>
      </c>
      <c r="K1671">
        <v>20</v>
      </c>
      <c r="L1671">
        <v>20</v>
      </c>
      <c r="M1671">
        <v>20</v>
      </c>
    </row>
    <row r="1672" spans="1:13" x14ac:dyDescent="0.25">
      <c r="A1672" t="s">
        <v>3677</v>
      </c>
      <c r="B1672" t="s">
        <v>3675</v>
      </c>
      <c r="C1672" t="s">
        <v>357</v>
      </c>
      <c r="D1672" t="s">
        <v>241</v>
      </c>
      <c r="F1672">
        <v>10</v>
      </c>
      <c r="G1672" t="s">
        <v>16</v>
      </c>
      <c r="H1672">
        <v>0</v>
      </c>
      <c r="I1672" s="2" t="s">
        <v>266</v>
      </c>
      <c r="J1672" s="2">
        <v>66009</v>
      </c>
      <c r="K1672">
        <v>20</v>
      </c>
      <c r="L1672">
        <v>20</v>
      </c>
      <c r="M1672">
        <v>20</v>
      </c>
    </row>
    <row r="1673" spans="1:13" x14ac:dyDescent="0.25">
      <c r="A1673" t="s">
        <v>3678</v>
      </c>
      <c r="B1673" t="s">
        <v>3679</v>
      </c>
      <c r="C1673" t="s">
        <v>357</v>
      </c>
      <c r="D1673" t="s">
        <v>241</v>
      </c>
      <c r="F1673">
        <v>2</v>
      </c>
      <c r="G1673" t="s">
        <v>16</v>
      </c>
      <c r="H1673">
        <v>0</v>
      </c>
      <c r="I1673" s="2" t="s">
        <v>3680</v>
      </c>
      <c r="J1673" s="2" t="s">
        <v>3681</v>
      </c>
      <c r="K1673">
        <v>20</v>
      </c>
      <c r="L1673">
        <v>20</v>
      </c>
      <c r="M1673">
        <v>20</v>
      </c>
    </row>
    <row r="1674" spans="1:13" x14ac:dyDescent="0.25">
      <c r="A1674" t="s">
        <v>3682</v>
      </c>
      <c r="B1674" t="s">
        <v>3679</v>
      </c>
      <c r="C1674" t="s">
        <v>357</v>
      </c>
      <c r="D1674" t="s">
        <v>241</v>
      </c>
      <c r="F1674">
        <v>2</v>
      </c>
      <c r="G1674" t="s">
        <v>16</v>
      </c>
      <c r="H1674">
        <v>0</v>
      </c>
      <c r="I1674" s="2" t="s">
        <v>2896</v>
      </c>
      <c r="J1674" s="2">
        <v>131304</v>
      </c>
      <c r="K1674">
        <v>20</v>
      </c>
      <c r="L1674">
        <v>20</v>
      </c>
      <c r="M1674">
        <v>20</v>
      </c>
    </row>
    <row r="1675" spans="1:13" x14ac:dyDescent="0.25">
      <c r="A1675" t="s">
        <v>3683</v>
      </c>
      <c r="B1675" t="s">
        <v>3684</v>
      </c>
      <c r="C1675" t="s">
        <v>357</v>
      </c>
      <c r="D1675" t="s">
        <v>241</v>
      </c>
      <c r="F1675">
        <v>2</v>
      </c>
      <c r="G1675" t="s">
        <v>16</v>
      </c>
      <c r="H1675">
        <v>0</v>
      </c>
      <c r="I1675" s="2" t="s">
        <v>3574</v>
      </c>
      <c r="J1675" s="2" t="s">
        <v>3685</v>
      </c>
      <c r="K1675">
        <v>20</v>
      </c>
      <c r="L1675">
        <v>20</v>
      </c>
      <c r="M1675">
        <v>20</v>
      </c>
    </row>
    <row r="1676" spans="1:13" x14ac:dyDescent="0.25">
      <c r="A1676" t="s">
        <v>3686</v>
      </c>
      <c r="B1676" t="s">
        <v>3684</v>
      </c>
      <c r="C1676" t="s">
        <v>357</v>
      </c>
      <c r="D1676" t="s">
        <v>241</v>
      </c>
      <c r="F1676">
        <v>3</v>
      </c>
      <c r="G1676" t="s">
        <v>16</v>
      </c>
      <c r="H1676">
        <v>0</v>
      </c>
      <c r="I1676" s="2" t="s">
        <v>266</v>
      </c>
      <c r="J1676" s="2">
        <v>34907</v>
      </c>
      <c r="K1676">
        <v>20</v>
      </c>
      <c r="L1676">
        <v>20</v>
      </c>
      <c r="M1676">
        <v>20</v>
      </c>
    </row>
    <row r="1677" spans="1:13" x14ac:dyDescent="0.25">
      <c r="A1677" t="s">
        <v>3687</v>
      </c>
      <c r="B1677" t="s">
        <v>3688</v>
      </c>
      <c r="C1677" t="s">
        <v>20</v>
      </c>
      <c r="D1677" t="s">
        <v>899</v>
      </c>
      <c r="F1677">
        <v>2</v>
      </c>
      <c r="G1677" t="s">
        <v>16</v>
      </c>
      <c r="H1677">
        <v>0</v>
      </c>
      <c r="I1677" s="2" t="s">
        <v>3689</v>
      </c>
      <c r="J1677" s="2" t="s">
        <v>3690</v>
      </c>
      <c r="K1677">
        <v>20</v>
      </c>
      <c r="L1677">
        <v>20</v>
      </c>
      <c r="M1677">
        <v>20</v>
      </c>
    </row>
    <row r="1678" spans="1:13" x14ac:dyDescent="0.25">
      <c r="A1678" t="s">
        <v>3691</v>
      </c>
      <c r="B1678" t="s">
        <v>3692</v>
      </c>
      <c r="C1678" t="s">
        <v>20</v>
      </c>
      <c r="D1678" t="s">
        <v>899</v>
      </c>
      <c r="F1678">
        <v>1</v>
      </c>
      <c r="G1678" t="s">
        <v>16</v>
      </c>
      <c r="H1678">
        <v>0</v>
      </c>
      <c r="I1678" s="2" t="s">
        <v>3689</v>
      </c>
      <c r="J1678" s="2" t="s">
        <v>3693</v>
      </c>
      <c r="K1678">
        <v>20</v>
      </c>
      <c r="L1678">
        <v>20</v>
      </c>
      <c r="M1678">
        <v>20</v>
      </c>
    </row>
    <row r="1679" spans="1:13" x14ac:dyDescent="0.25">
      <c r="A1679" t="s">
        <v>3694</v>
      </c>
      <c r="B1679" t="s">
        <v>3695</v>
      </c>
      <c r="C1679" t="s">
        <v>20</v>
      </c>
      <c r="D1679" t="s">
        <v>899</v>
      </c>
      <c r="G1679" t="s">
        <v>16</v>
      </c>
      <c r="H1679">
        <v>0</v>
      </c>
      <c r="I1679" s="2" t="s">
        <v>383</v>
      </c>
      <c r="J1679" s="2">
        <v>1987946059</v>
      </c>
      <c r="K1679">
        <v>20</v>
      </c>
      <c r="L1679">
        <v>20</v>
      </c>
      <c r="M1679">
        <v>20</v>
      </c>
    </row>
    <row r="1680" spans="1:13" x14ac:dyDescent="0.25">
      <c r="A1680" t="s">
        <v>3696</v>
      </c>
      <c r="B1680" t="s">
        <v>3695</v>
      </c>
      <c r="C1680" t="s">
        <v>20</v>
      </c>
      <c r="D1680" t="s">
        <v>899</v>
      </c>
      <c r="G1680" t="s">
        <v>16</v>
      </c>
      <c r="H1680">
        <v>0</v>
      </c>
      <c r="I1680" s="2" t="s">
        <v>3697</v>
      </c>
      <c r="J1680" s="2" t="s">
        <v>3698</v>
      </c>
      <c r="K1680">
        <v>20</v>
      </c>
      <c r="L1680">
        <v>20</v>
      </c>
      <c r="M1680">
        <v>20</v>
      </c>
    </row>
    <row r="1681" spans="1:13" x14ac:dyDescent="0.25">
      <c r="A1681" t="s">
        <v>3699</v>
      </c>
      <c r="B1681" t="s">
        <v>3700</v>
      </c>
      <c r="C1681" t="s">
        <v>20</v>
      </c>
      <c r="D1681" t="s">
        <v>899</v>
      </c>
      <c r="G1681" t="s">
        <v>16</v>
      </c>
      <c r="H1681">
        <v>0</v>
      </c>
      <c r="I1681" s="2" t="s">
        <v>3701</v>
      </c>
      <c r="J1681" s="2" t="s">
        <v>3702</v>
      </c>
      <c r="K1681">
        <v>20</v>
      </c>
      <c r="L1681">
        <v>20</v>
      </c>
      <c r="M1681">
        <v>20</v>
      </c>
    </row>
    <row r="1682" spans="1:13" x14ac:dyDescent="0.25">
      <c r="A1682" t="s">
        <v>3703</v>
      </c>
      <c r="B1682" t="s">
        <v>3700</v>
      </c>
      <c r="C1682" t="s">
        <v>20</v>
      </c>
      <c r="D1682" t="s">
        <v>899</v>
      </c>
      <c r="F1682">
        <v>5</v>
      </c>
      <c r="G1682" t="s">
        <v>16</v>
      </c>
      <c r="H1682">
        <v>0</v>
      </c>
      <c r="I1682" s="2" t="s">
        <v>411</v>
      </c>
      <c r="J1682" s="2" t="s">
        <v>3704</v>
      </c>
      <c r="K1682">
        <v>20</v>
      </c>
      <c r="L1682">
        <v>20</v>
      </c>
      <c r="M1682">
        <v>20</v>
      </c>
    </row>
    <row r="1683" spans="1:13" x14ac:dyDescent="0.25">
      <c r="A1683" t="s">
        <v>3705</v>
      </c>
      <c r="B1683" t="s">
        <v>3706</v>
      </c>
      <c r="C1683" t="s">
        <v>20</v>
      </c>
      <c r="D1683" t="s">
        <v>899</v>
      </c>
      <c r="F1683">
        <v>3</v>
      </c>
      <c r="G1683" t="s">
        <v>16</v>
      </c>
      <c r="H1683">
        <v>0</v>
      </c>
      <c r="I1683" s="2" t="s">
        <v>3689</v>
      </c>
      <c r="J1683" s="2" t="s">
        <v>3707</v>
      </c>
      <c r="K1683">
        <v>20</v>
      </c>
      <c r="L1683">
        <v>20</v>
      </c>
      <c r="M1683">
        <v>20</v>
      </c>
    </row>
    <row r="1684" spans="1:13" x14ac:dyDescent="0.25">
      <c r="A1684" t="s">
        <v>3708</v>
      </c>
      <c r="B1684" t="s">
        <v>3709</v>
      </c>
      <c r="C1684" t="s">
        <v>20</v>
      </c>
      <c r="D1684" t="s">
        <v>899</v>
      </c>
      <c r="G1684" t="s">
        <v>16</v>
      </c>
      <c r="H1684">
        <v>0</v>
      </c>
      <c r="I1684" s="2" t="s">
        <v>3710</v>
      </c>
      <c r="J1684" s="2" t="s">
        <v>3711</v>
      </c>
      <c r="K1684">
        <v>20</v>
      </c>
      <c r="L1684">
        <v>20</v>
      </c>
      <c r="M1684">
        <v>20</v>
      </c>
    </row>
    <row r="1685" spans="1:13" x14ac:dyDescent="0.25">
      <c r="A1685" t="s">
        <v>3712</v>
      </c>
      <c r="B1685" t="s">
        <v>3706</v>
      </c>
      <c r="C1685" t="s">
        <v>20</v>
      </c>
      <c r="D1685" t="s">
        <v>899</v>
      </c>
      <c r="F1685">
        <v>1</v>
      </c>
      <c r="G1685" t="s">
        <v>16</v>
      </c>
      <c r="H1685">
        <v>0</v>
      </c>
      <c r="I1685" s="2" t="s">
        <v>383</v>
      </c>
      <c r="J1685" s="2">
        <v>1987945711</v>
      </c>
      <c r="K1685">
        <v>20</v>
      </c>
      <c r="L1685">
        <v>20</v>
      </c>
      <c r="M1685">
        <v>20</v>
      </c>
    </row>
    <row r="1686" spans="1:13" x14ac:dyDescent="0.25">
      <c r="A1686" t="s">
        <v>3713</v>
      </c>
      <c r="B1686" t="s">
        <v>3714</v>
      </c>
      <c r="C1686" t="s">
        <v>20</v>
      </c>
      <c r="D1686" t="s">
        <v>899</v>
      </c>
      <c r="G1686" t="s">
        <v>16</v>
      </c>
      <c r="H1686">
        <v>0</v>
      </c>
      <c r="I1686" s="2" t="s">
        <v>3710</v>
      </c>
      <c r="J1686" s="2" t="s">
        <v>3715</v>
      </c>
      <c r="K1686">
        <v>20</v>
      </c>
      <c r="L1686">
        <v>20</v>
      </c>
      <c r="M1686">
        <v>20</v>
      </c>
    </row>
    <row r="1687" spans="1:13" x14ac:dyDescent="0.25">
      <c r="A1687" t="s">
        <v>3716</v>
      </c>
      <c r="B1687" t="s">
        <v>3714</v>
      </c>
      <c r="C1687" t="s">
        <v>20</v>
      </c>
      <c r="D1687" t="s">
        <v>899</v>
      </c>
      <c r="G1687" t="s">
        <v>16</v>
      </c>
      <c r="H1687">
        <v>0</v>
      </c>
      <c r="I1687" s="2" t="s">
        <v>685</v>
      </c>
      <c r="J1687" s="2">
        <v>1987946078</v>
      </c>
      <c r="K1687">
        <v>20</v>
      </c>
      <c r="L1687">
        <v>20</v>
      </c>
      <c r="M1687">
        <v>20</v>
      </c>
    </row>
    <row r="1688" spans="1:13" x14ac:dyDescent="0.25">
      <c r="A1688" t="s">
        <v>3717</v>
      </c>
      <c r="B1688" t="s">
        <v>3718</v>
      </c>
      <c r="C1688" t="s">
        <v>20</v>
      </c>
      <c r="D1688" t="s">
        <v>899</v>
      </c>
      <c r="F1688">
        <v>3</v>
      </c>
      <c r="G1688" t="s">
        <v>16</v>
      </c>
      <c r="H1688">
        <v>0</v>
      </c>
      <c r="I1688" s="2" t="s">
        <v>3710</v>
      </c>
      <c r="K1688">
        <v>20</v>
      </c>
      <c r="L1688">
        <v>20</v>
      </c>
      <c r="M1688">
        <v>20</v>
      </c>
    </row>
    <row r="1689" spans="1:13" x14ac:dyDescent="0.25">
      <c r="A1689" t="s">
        <v>3719</v>
      </c>
      <c r="B1689" t="s">
        <v>3720</v>
      </c>
      <c r="C1689" t="s">
        <v>20</v>
      </c>
      <c r="D1689" t="s">
        <v>899</v>
      </c>
      <c r="G1689" t="s">
        <v>16</v>
      </c>
      <c r="H1689">
        <v>0</v>
      </c>
      <c r="I1689" s="2" t="s">
        <v>383</v>
      </c>
      <c r="J1689" s="2">
        <v>1987947554</v>
      </c>
      <c r="K1689">
        <v>20</v>
      </c>
      <c r="L1689">
        <v>20</v>
      </c>
      <c r="M1689">
        <v>20</v>
      </c>
    </row>
    <row r="1690" spans="1:13" x14ac:dyDescent="0.25">
      <c r="A1690" t="s">
        <v>3721</v>
      </c>
      <c r="B1690" t="s">
        <v>3718</v>
      </c>
      <c r="C1690" t="s">
        <v>20</v>
      </c>
      <c r="D1690" t="s">
        <v>899</v>
      </c>
      <c r="F1690">
        <v>1</v>
      </c>
      <c r="G1690" t="s">
        <v>16</v>
      </c>
      <c r="H1690">
        <v>0</v>
      </c>
      <c r="I1690" s="2" t="s">
        <v>3697</v>
      </c>
      <c r="J1690" s="2" t="s">
        <v>3722</v>
      </c>
      <c r="K1690">
        <v>20</v>
      </c>
      <c r="L1690">
        <v>20</v>
      </c>
      <c r="M1690">
        <v>20</v>
      </c>
    </row>
    <row r="1691" spans="1:13" x14ac:dyDescent="0.25">
      <c r="A1691" t="s">
        <v>3723</v>
      </c>
      <c r="B1691" t="s">
        <v>3718</v>
      </c>
      <c r="C1691" t="s">
        <v>20</v>
      </c>
      <c r="D1691" t="s">
        <v>899</v>
      </c>
      <c r="F1691">
        <v>2</v>
      </c>
      <c r="G1691" t="s">
        <v>16</v>
      </c>
      <c r="H1691">
        <v>0</v>
      </c>
      <c r="I1691" s="2" t="s">
        <v>3724</v>
      </c>
      <c r="J1691" s="2" t="s">
        <v>3722</v>
      </c>
      <c r="K1691">
        <v>20</v>
      </c>
      <c r="L1691">
        <v>20</v>
      </c>
      <c r="M1691">
        <v>20</v>
      </c>
    </row>
    <row r="1692" spans="1:13" x14ac:dyDescent="0.25">
      <c r="A1692" t="s">
        <v>3725</v>
      </c>
      <c r="B1692" t="s">
        <v>3726</v>
      </c>
      <c r="C1692" t="s">
        <v>20</v>
      </c>
      <c r="D1692" t="s">
        <v>899</v>
      </c>
      <c r="G1692" t="s">
        <v>16</v>
      </c>
      <c r="H1692">
        <v>0</v>
      </c>
      <c r="I1692" s="2" t="s">
        <v>3701</v>
      </c>
      <c r="J1692" s="2" t="s">
        <v>3727</v>
      </c>
      <c r="K1692">
        <v>20</v>
      </c>
      <c r="L1692">
        <v>20</v>
      </c>
      <c r="M1692">
        <v>20</v>
      </c>
    </row>
    <row r="1693" spans="1:13" x14ac:dyDescent="0.25">
      <c r="A1693" t="s">
        <v>3728</v>
      </c>
      <c r="B1693" t="s">
        <v>3726</v>
      </c>
      <c r="C1693" t="s">
        <v>20</v>
      </c>
      <c r="D1693" t="s">
        <v>899</v>
      </c>
      <c r="G1693" t="s">
        <v>16</v>
      </c>
      <c r="H1693">
        <v>0</v>
      </c>
      <c r="I1693" s="2" t="s">
        <v>685</v>
      </c>
      <c r="J1693" s="2">
        <v>1987945985</v>
      </c>
      <c r="K1693">
        <v>20</v>
      </c>
      <c r="L1693">
        <v>20</v>
      </c>
      <c r="M1693">
        <v>20</v>
      </c>
    </row>
    <row r="1694" spans="1:13" x14ac:dyDescent="0.25">
      <c r="A1694" t="s">
        <v>3729</v>
      </c>
      <c r="B1694" t="s">
        <v>3730</v>
      </c>
      <c r="C1694" t="s">
        <v>20</v>
      </c>
      <c r="D1694" t="s">
        <v>899</v>
      </c>
      <c r="G1694" t="s">
        <v>16</v>
      </c>
      <c r="H1694">
        <v>0</v>
      </c>
      <c r="I1694" s="2" t="s">
        <v>3731</v>
      </c>
      <c r="J1694" s="3">
        <v>36061635</v>
      </c>
      <c r="K1694">
        <v>20</v>
      </c>
      <c r="L1694">
        <v>20</v>
      </c>
      <c r="M1694">
        <v>20</v>
      </c>
    </row>
    <row r="1695" spans="1:13" x14ac:dyDescent="0.25">
      <c r="A1695" t="s">
        <v>3732</v>
      </c>
      <c r="B1695" t="s">
        <v>3733</v>
      </c>
      <c r="C1695" t="s">
        <v>20</v>
      </c>
      <c r="D1695" t="s">
        <v>894</v>
      </c>
      <c r="F1695">
        <v>1</v>
      </c>
      <c r="G1695" t="s">
        <v>16</v>
      </c>
      <c r="H1695">
        <v>0</v>
      </c>
      <c r="I1695" s="2" t="s">
        <v>3689</v>
      </c>
      <c r="J1695" s="2">
        <v>25309164</v>
      </c>
      <c r="K1695">
        <v>20</v>
      </c>
      <c r="L1695">
        <v>20</v>
      </c>
      <c r="M1695">
        <v>20</v>
      </c>
    </row>
    <row r="1696" spans="1:13" x14ac:dyDescent="0.25">
      <c r="A1696" t="s">
        <v>3734</v>
      </c>
      <c r="B1696" t="s">
        <v>3735</v>
      </c>
      <c r="C1696" t="s">
        <v>20</v>
      </c>
      <c r="D1696" t="s">
        <v>894</v>
      </c>
      <c r="F1696">
        <v>1</v>
      </c>
      <c r="G1696" t="s">
        <v>16</v>
      </c>
      <c r="H1696">
        <v>0</v>
      </c>
      <c r="I1696" s="2" t="s">
        <v>142</v>
      </c>
      <c r="J1696" s="2" t="s">
        <v>3736</v>
      </c>
      <c r="K1696">
        <v>20</v>
      </c>
      <c r="L1696">
        <v>20</v>
      </c>
      <c r="M1696">
        <v>20</v>
      </c>
    </row>
    <row r="1697" spans="1:13" x14ac:dyDescent="0.25">
      <c r="A1697" t="s">
        <v>3737</v>
      </c>
      <c r="B1697" t="s">
        <v>3733</v>
      </c>
      <c r="C1697" t="s">
        <v>20</v>
      </c>
      <c r="D1697" t="s">
        <v>894</v>
      </c>
      <c r="F1697">
        <v>4</v>
      </c>
      <c r="G1697" t="s">
        <v>16</v>
      </c>
      <c r="H1697">
        <v>0</v>
      </c>
      <c r="I1697" s="2" t="s">
        <v>288</v>
      </c>
      <c r="J1697" s="2" t="s">
        <v>3738</v>
      </c>
      <c r="K1697">
        <v>20</v>
      </c>
      <c r="L1697">
        <v>20</v>
      </c>
      <c r="M1697">
        <v>20</v>
      </c>
    </row>
    <row r="1698" spans="1:13" x14ac:dyDescent="0.25">
      <c r="A1698" t="s">
        <v>3739</v>
      </c>
      <c r="B1698" t="s">
        <v>3733</v>
      </c>
      <c r="C1698" t="s">
        <v>20</v>
      </c>
      <c r="D1698" t="s">
        <v>894</v>
      </c>
      <c r="G1698" t="s">
        <v>16</v>
      </c>
      <c r="H1698">
        <v>0</v>
      </c>
      <c r="I1698" s="2" t="s">
        <v>2838</v>
      </c>
      <c r="J1698" s="2" t="s">
        <v>3740</v>
      </c>
      <c r="K1698">
        <v>20</v>
      </c>
      <c r="L1698">
        <v>20</v>
      </c>
      <c r="M1698">
        <v>20</v>
      </c>
    </row>
    <row r="1699" spans="1:13" x14ac:dyDescent="0.25">
      <c r="A1699" t="s">
        <v>3741</v>
      </c>
      <c r="B1699" t="s">
        <v>3735</v>
      </c>
      <c r="C1699" t="s">
        <v>20</v>
      </c>
      <c r="D1699" t="s">
        <v>894</v>
      </c>
      <c r="F1699">
        <v>1</v>
      </c>
      <c r="G1699" t="s">
        <v>16</v>
      </c>
      <c r="H1699">
        <v>0</v>
      </c>
      <c r="I1699" s="2" t="s">
        <v>3742</v>
      </c>
      <c r="J1699" s="2" t="s">
        <v>3743</v>
      </c>
      <c r="K1699">
        <v>20</v>
      </c>
      <c r="L1699">
        <v>20</v>
      </c>
      <c r="M1699">
        <v>20</v>
      </c>
    </row>
    <row r="1700" spans="1:13" x14ac:dyDescent="0.25">
      <c r="A1700" t="s">
        <v>3744</v>
      </c>
      <c r="B1700" t="s">
        <v>3745</v>
      </c>
      <c r="C1700" t="s">
        <v>20</v>
      </c>
      <c r="D1700" t="s">
        <v>899</v>
      </c>
      <c r="F1700">
        <v>2</v>
      </c>
      <c r="G1700" t="s">
        <v>16</v>
      </c>
      <c r="H1700">
        <v>0</v>
      </c>
      <c r="I1700" s="2" t="s">
        <v>3689</v>
      </c>
      <c r="J1700" s="2" t="s">
        <v>3746</v>
      </c>
      <c r="K1700">
        <v>20</v>
      </c>
      <c r="L1700">
        <v>20</v>
      </c>
      <c r="M1700">
        <v>20</v>
      </c>
    </row>
    <row r="1701" spans="1:13" x14ac:dyDescent="0.25">
      <c r="A1701" t="s">
        <v>3747</v>
      </c>
      <c r="B1701" t="s">
        <v>3748</v>
      </c>
      <c r="C1701" t="s">
        <v>20</v>
      </c>
      <c r="D1701" t="s">
        <v>899</v>
      </c>
      <c r="F1701">
        <v>1</v>
      </c>
      <c r="G1701" t="s">
        <v>16</v>
      </c>
      <c r="H1701">
        <v>0</v>
      </c>
      <c r="I1701" s="2" t="s">
        <v>383</v>
      </c>
      <c r="J1701" s="2">
        <v>1987945728</v>
      </c>
      <c r="K1701">
        <v>20</v>
      </c>
      <c r="L1701">
        <v>20</v>
      </c>
      <c r="M1701">
        <v>20</v>
      </c>
    </row>
    <row r="1702" spans="1:13" x14ac:dyDescent="0.25">
      <c r="A1702">
        <v>13403357</v>
      </c>
      <c r="B1702" t="s">
        <v>3749</v>
      </c>
      <c r="C1702" t="s">
        <v>151</v>
      </c>
      <c r="G1702" t="s">
        <v>16</v>
      </c>
      <c r="H1702">
        <v>0</v>
      </c>
      <c r="I1702" s="2" t="s">
        <v>497</v>
      </c>
      <c r="J1702" s="2">
        <v>13403357</v>
      </c>
      <c r="K1702">
        <v>20</v>
      </c>
      <c r="L1702">
        <v>20</v>
      </c>
      <c r="M1702">
        <v>20</v>
      </c>
    </row>
    <row r="1703" spans="1:13" x14ac:dyDescent="0.25">
      <c r="A1703" t="s">
        <v>3750</v>
      </c>
      <c r="B1703" t="s">
        <v>3751</v>
      </c>
      <c r="C1703" t="s">
        <v>20</v>
      </c>
      <c r="D1703" t="s">
        <v>894</v>
      </c>
      <c r="G1703" t="s">
        <v>16</v>
      </c>
      <c r="H1703">
        <v>0</v>
      </c>
      <c r="I1703" s="2" t="s">
        <v>3689</v>
      </c>
      <c r="J1703" s="2">
        <v>25316203</v>
      </c>
      <c r="K1703">
        <v>20</v>
      </c>
      <c r="L1703">
        <v>20</v>
      </c>
      <c r="M1703">
        <v>20</v>
      </c>
    </row>
    <row r="1704" spans="1:13" x14ac:dyDescent="0.25">
      <c r="A1704" t="s">
        <v>3752</v>
      </c>
      <c r="B1704" t="s">
        <v>3751</v>
      </c>
      <c r="C1704" t="s">
        <v>20</v>
      </c>
      <c r="D1704" t="s">
        <v>894</v>
      </c>
      <c r="G1704" t="s">
        <v>16</v>
      </c>
      <c r="H1704">
        <v>0</v>
      </c>
      <c r="I1704" s="2" t="s">
        <v>900</v>
      </c>
      <c r="J1704" s="2" t="s">
        <v>3753</v>
      </c>
      <c r="K1704">
        <v>20</v>
      </c>
      <c r="L1704">
        <v>20</v>
      </c>
      <c r="M1704">
        <v>20</v>
      </c>
    </row>
    <row r="1705" spans="1:13" x14ac:dyDescent="0.25">
      <c r="A1705" t="s">
        <v>3754</v>
      </c>
      <c r="B1705" t="s">
        <v>3755</v>
      </c>
      <c r="C1705" t="s">
        <v>20</v>
      </c>
      <c r="D1705" t="s">
        <v>894</v>
      </c>
      <c r="G1705" t="s">
        <v>16</v>
      </c>
      <c r="H1705">
        <v>0</v>
      </c>
      <c r="I1705" s="2" t="s">
        <v>3756</v>
      </c>
      <c r="J1705" s="2" t="s">
        <v>3757</v>
      </c>
      <c r="K1705">
        <v>20</v>
      </c>
      <c r="L1705">
        <v>20</v>
      </c>
      <c r="M1705">
        <v>20</v>
      </c>
    </row>
    <row r="1706" spans="1:13" x14ac:dyDescent="0.25">
      <c r="A1706" t="s">
        <v>3758</v>
      </c>
      <c r="B1706" t="s">
        <v>3755</v>
      </c>
      <c r="C1706" t="s">
        <v>20</v>
      </c>
      <c r="D1706" t="s">
        <v>894</v>
      </c>
      <c r="F1706">
        <v>4</v>
      </c>
      <c r="G1706" t="s">
        <v>16</v>
      </c>
      <c r="H1706">
        <v>0</v>
      </c>
      <c r="I1706" s="2" t="s">
        <v>1137</v>
      </c>
      <c r="J1706" s="2" t="s">
        <v>3759</v>
      </c>
      <c r="K1706">
        <v>20</v>
      </c>
      <c r="L1706">
        <v>20</v>
      </c>
      <c r="M1706">
        <v>20</v>
      </c>
    </row>
    <row r="1707" spans="1:13" x14ac:dyDescent="0.25">
      <c r="A1707" t="s">
        <v>3760</v>
      </c>
      <c r="B1707" t="s">
        <v>3761</v>
      </c>
      <c r="C1707" t="s">
        <v>20</v>
      </c>
      <c r="D1707" t="s">
        <v>894</v>
      </c>
      <c r="F1707">
        <v>1</v>
      </c>
      <c r="G1707" t="s">
        <v>16</v>
      </c>
      <c r="H1707">
        <v>0</v>
      </c>
      <c r="I1707" s="2" t="s">
        <v>142</v>
      </c>
      <c r="J1707" s="2" t="s">
        <v>3762</v>
      </c>
      <c r="K1707">
        <v>20</v>
      </c>
      <c r="L1707">
        <v>20</v>
      </c>
      <c r="M1707">
        <v>20</v>
      </c>
    </row>
    <row r="1708" spans="1:13" x14ac:dyDescent="0.25">
      <c r="A1708" t="s">
        <v>3763</v>
      </c>
      <c r="B1708" t="s">
        <v>3764</v>
      </c>
      <c r="C1708" t="s">
        <v>20</v>
      </c>
      <c r="D1708" t="s">
        <v>894</v>
      </c>
      <c r="G1708" t="s">
        <v>16</v>
      </c>
      <c r="H1708">
        <v>0</v>
      </c>
      <c r="I1708" s="2" t="s">
        <v>288</v>
      </c>
      <c r="J1708" s="2" t="s">
        <v>3765</v>
      </c>
      <c r="K1708">
        <v>20</v>
      </c>
      <c r="L1708">
        <v>20</v>
      </c>
      <c r="M1708">
        <v>20</v>
      </c>
    </row>
    <row r="1709" spans="1:13" x14ac:dyDescent="0.25">
      <c r="A1709" t="s">
        <v>3766</v>
      </c>
      <c r="B1709" t="s">
        <v>3768</v>
      </c>
      <c r="C1709" t="s">
        <v>20</v>
      </c>
      <c r="D1709" t="s">
        <v>894</v>
      </c>
      <c r="G1709" t="s">
        <v>16</v>
      </c>
      <c r="H1709">
        <v>0</v>
      </c>
      <c r="I1709" s="2" t="s">
        <v>900</v>
      </c>
      <c r="J1709" s="2" t="s">
        <v>3767</v>
      </c>
      <c r="K1709">
        <v>20</v>
      </c>
      <c r="L1709">
        <v>20</v>
      </c>
      <c r="M1709">
        <v>20</v>
      </c>
    </row>
    <row r="1710" spans="1:13" x14ac:dyDescent="0.25">
      <c r="A1710" t="s">
        <v>3769</v>
      </c>
      <c r="B1710" t="s">
        <v>3768</v>
      </c>
      <c r="C1710" t="s">
        <v>20</v>
      </c>
      <c r="D1710" t="s">
        <v>894</v>
      </c>
      <c r="F1710">
        <v>2</v>
      </c>
      <c r="G1710" t="s">
        <v>16</v>
      </c>
      <c r="H1710">
        <v>0</v>
      </c>
      <c r="I1710" s="2" t="s">
        <v>1137</v>
      </c>
      <c r="J1710" s="2" t="s">
        <v>3770</v>
      </c>
      <c r="K1710">
        <v>20</v>
      </c>
      <c r="L1710">
        <v>20</v>
      </c>
      <c r="M1710">
        <v>20</v>
      </c>
    </row>
    <row r="1711" spans="1:13" x14ac:dyDescent="0.25">
      <c r="A1711" t="s">
        <v>3771</v>
      </c>
      <c r="B1711" t="s">
        <v>3772</v>
      </c>
      <c r="C1711" t="s">
        <v>20</v>
      </c>
      <c r="D1711" t="s">
        <v>894</v>
      </c>
      <c r="G1711" t="s">
        <v>16</v>
      </c>
      <c r="H1711">
        <v>0</v>
      </c>
      <c r="I1711" s="2" t="s">
        <v>301</v>
      </c>
      <c r="J1711" s="2">
        <v>25305008</v>
      </c>
      <c r="K1711">
        <v>20</v>
      </c>
      <c r="L1711">
        <v>20</v>
      </c>
      <c r="M1711">
        <v>20</v>
      </c>
    </row>
    <row r="1712" spans="1:13" x14ac:dyDescent="0.25">
      <c r="A1712" t="s">
        <v>3773</v>
      </c>
      <c r="B1712" t="s">
        <v>3775</v>
      </c>
      <c r="C1712" t="s">
        <v>20</v>
      </c>
      <c r="D1712" t="s">
        <v>894</v>
      </c>
      <c r="G1712" t="s">
        <v>16</v>
      </c>
      <c r="H1712">
        <v>0</v>
      </c>
      <c r="I1712" s="2" t="s">
        <v>288</v>
      </c>
      <c r="J1712" s="2" t="s">
        <v>3774</v>
      </c>
      <c r="K1712">
        <v>20</v>
      </c>
      <c r="L1712">
        <v>20</v>
      </c>
      <c r="M1712">
        <v>20</v>
      </c>
    </row>
    <row r="1713" spans="1:13" x14ac:dyDescent="0.25">
      <c r="A1713" t="s">
        <v>3776</v>
      </c>
      <c r="B1713" t="s">
        <v>3777</v>
      </c>
      <c r="C1713" t="s">
        <v>20</v>
      </c>
      <c r="D1713" t="s">
        <v>899</v>
      </c>
      <c r="F1713">
        <v>1</v>
      </c>
      <c r="G1713" t="s">
        <v>16</v>
      </c>
      <c r="H1713">
        <v>0</v>
      </c>
      <c r="I1713" s="2" t="s">
        <v>3689</v>
      </c>
      <c r="J1713" s="2">
        <v>25305009</v>
      </c>
      <c r="K1713">
        <v>20</v>
      </c>
      <c r="L1713">
        <v>20</v>
      </c>
      <c r="M1713">
        <v>20</v>
      </c>
    </row>
    <row r="1714" spans="1:13" x14ac:dyDescent="0.25">
      <c r="A1714" t="s">
        <v>3778</v>
      </c>
      <c r="B1714" t="s">
        <v>3777</v>
      </c>
      <c r="C1714" t="s">
        <v>20</v>
      </c>
      <c r="D1714" t="s">
        <v>894</v>
      </c>
      <c r="F1714">
        <v>0</v>
      </c>
      <c r="G1714" t="s">
        <v>16</v>
      </c>
      <c r="H1714">
        <v>0</v>
      </c>
      <c r="I1714" s="2" t="s">
        <v>3779</v>
      </c>
      <c r="J1714" s="2" t="str">
        <f>"03304"</f>
        <v>03304</v>
      </c>
      <c r="K1714">
        <v>20</v>
      </c>
      <c r="L1714">
        <v>20</v>
      </c>
      <c r="M1714">
        <v>20</v>
      </c>
    </row>
    <row r="1715" spans="1:13" x14ac:dyDescent="0.25">
      <c r="A1715" t="s">
        <v>3780</v>
      </c>
      <c r="B1715" t="s">
        <v>3777</v>
      </c>
      <c r="C1715" t="s">
        <v>20</v>
      </c>
      <c r="D1715" t="s">
        <v>894</v>
      </c>
      <c r="F1715">
        <v>3</v>
      </c>
      <c r="G1715" t="s">
        <v>16</v>
      </c>
      <c r="H1715">
        <v>0</v>
      </c>
      <c r="I1715" s="2" t="s">
        <v>765</v>
      </c>
      <c r="J1715" s="2" t="s">
        <v>3781</v>
      </c>
      <c r="K1715">
        <v>20</v>
      </c>
      <c r="L1715">
        <v>20</v>
      </c>
      <c r="M1715">
        <v>20</v>
      </c>
    </row>
    <row r="1716" spans="1:13" x14ac:dyDescent="0.25">
      <c r="A1716" t="s">
        <v>3782</v>
      </c>
      <c r="B1716" t="s">
        <v>3777</v>
      </c>
      <c r="C1716" t="s">
        <v>20</v>
      </c>
      <c r="D1716" t="s">
        <v>894</v>
      </c>
      <c r="G1716" t="s">
        <v>16</v>
      </c>
      <c r="H1716">
        <v>0</v>
      </c>
      <c r="I1716" s="2" t="s">
        <v>3783</v>
      </c>
      <c r="J1716" s="2" t="s">
        <v>3784</v>
      </c>
      <c r="K1716">
        <v>20</v>
      </c>
      <c r="L1716">
        <v>20</v>
      </c>
      <c r="M1716">
        <v>20</v>
      </c>
    </row>
    <row r="1717" spans="1:13" x14ac:dyDescent="0.25">
      <c r="A1717" t="s">
        <v>3785</v>
      </c>
      <c r="B1717" t="s">
        <v>3777</v>
      </c>
      <c r="C1717" t="s">
        <v>20</v>
      </c>
      <c r="D1717" t="s">
        <v>894</v>
      </c>
      <c r="F1717">
        <v>0</v>
      </c>
      <c r="G1717" t="s">
        <v>16</v>
      </c>
      <c r="H1717">
        <v>0</v>
      </c>
      <c r="I1717" s="2" t="s">
        <v>3724</v>
      </c>
      <c r="J1717" s="2" t="s">
        <v>3786</v>
      </c>
      <c r="K1717">
        <v>20</v>
      </c>
      <c r="L1717">
        <v>20</v>
      </c>
      <c r="M1717">
        <v>20</v>
      </c>
    </row>
    <row r="1718" spans="1:13" x14ac:dyDescent="0.25">
      <c r="A1718" t="s">
        <v>3787</v>
      </c>
      <c r="B1718" t="s">
        <v>3788</v>
      </c>
      <c r="C1718" t="s">
        <v>20</v>
      </c>
      <c r="D1718" t="s">
        <v>894</v>
      </c>
      <c r="G1718" t="s">
        <v>16</v>
      </c>
      <c r="H1718">
        <v>0</v>
      </c>
      <c r="I1718" s="2" t="s">
        <v>301</v>
      </c>
      <c r="J1718" s="2">
        <v>25310115</v>
      </c>
      <c r="K1718">
        <v>20</v>
      </c>
      <c r="L1718">
        <v>20</v>
      </c>
      <c r="M1718">
        <v>20</v>
      </c>
    </row>
    <row r="1719" spans="1:13" x14ac:dyDescent="0.25">
      <c r="A1719" t="s">
        <v>3789</v>
      </c>
      <c r="B1719" t="s">
        <v>3790</v>
      </c>
      <c r="C1719" t="s">
        <v>20</v>
      </c>
      <c r="D1719" t="s">
        <v>894</v>
      </c>
      <c r="F1719">
        <v>1</v>
      </c>
      <c r="G1719" t="s">
        <v>16</v>
      </c>
      <c r="H1719">
        <v>0</v>
      </c>
      <c r="I1719" s="2" t="s">
        <v>759</v>
      </c>
      <c r="J1719" s="2" t="s">
        <v>3791</v>
      </c>
      <c r="K1719">
        <v>20</v>
      </c>
      <c r="L1719">
        <v>20</v>
      </c>
      <c r="M1719">
        <v>20</v>
      </c>
    </row>
    <row r="1720" spans="1:13" x14ac:dyDescent="0.25">
      <c r="A1720" t="s">
        <v>3792</v>
      </c>
      <c r="B1720" t="s">
        <v>3788</v>
      </c>
      <c r="C1720" t="s">
        <v>20</v>
      </c>
      <c r="D1720" t="s">
        <v>894</v>
      </c>
      <c r="G1720" t="s">
        <v>16</v>
      </c>
      <c r="H1720">
        <v>0</v>
      </c>
      <c r="I1720" s="2" t="s">
        <v>3779</v>
      </c>
      <c r="J1720" s="2" t="str">
        <f>"03307"</f>
        <v>03307</v>
      </c>
      <c r="K1720">
        <v>20</v>
      </c>
      <c r="L1720">
        <v>20</v>
      </c>
      <c r="M1720">
        <v>20</v>
      </c>
    </row>
    <row r="1721" spans="1:13" x14ac:dyDescent="0.25">
      <c r="A1721" t="s">
        <v>3793</v>
      </c>
      <c r="B1721" t="s">
        <v>3788</v>
      </c>
      <c r="C1721" t="s">
        <v>20</v>
      </c>
      <c r="D1721" t="s">
        <v>894</v>
      </c>
      <c r="F1721">
        <v>8</v>
      </c>
      <c r="G1721" t="s">
        <v>16</v>
      </c>
      <c r="H1721">
        <v>0</v>
      </c>
      <c r="I1721" s="2" t="s">
        <v>288</v>
      </c>
      <c r="J1721" s="2" t="s">
        <v>3794</v>
      </c>
      <c r="K1721">
        <v>20</v>
      </c>
      <c r="L1721">
        <v>20</v>
      </c>
      <c r="M1721">
        <v>20</v>
      </c>
    </row>
    <row r="1722" spans="1:13" x14ac:dyDescent="0.25">
      <c r="A1722" t="s">
        <v>3795</v>
      </c>
      <c r="B1722" t="s">
        <v>3788</v>
      </c>
      <c r="C1722" t="s">
        <v>20</v>
      </c>
      <c r="D1722" t="s">
        <v>894</v>
      </c>
      <c r="F1722">
        <v>1</v>
      </c>
      <c r="G1722" t="s">
        <v>16</v>
      </c>
      <c r="H1722">
        <v>0</v>
      </c>
      <c r="I1722" s="2" t="s">
        <v>3421</v>
      </c>
      <c r="J1722" s="2" t="s">
        <v>3796</v>
      </c>
      <c r="K1722">
        <v>20</v>
      </c>
      <c r="L1722">
        <v>20</v>
      </c>
      <c r="M1722">
        <v>20</v>
      </c>
    </row>
    <row r="1723" spans="1:13" x14ac:dyDescent="0.25">
      <c r="A1723" t="s">
        <v>3797</v>
      </c>
      <c r="B1723" t="s">
        <v>3788</v>
      </c>
      <c r="C1723" t="s">
        <v>20</v>
      </c>
      <c r="D1723" t="s">
        <v>894</v>
      </c>
      <c r="G1723" t="s">
        <v>16</v>
      </c>
      <c r="H1723">
        <v>0</v>
      </c>
      <c r="I1723" s="2" t="s">
        <v>3783</v>
      </c>
      <c r="J1723" s="2" t="s">
        <v>3798</v>
      </c>
      <c r="K1723">
        <v>20</v>
      </c>
      <c r="L1723">
        <v>20</v>
      </c>
      <c r="M1723">
        <v>20</v>
      </c>
    </row>
    <row r="1724" spans="1:13" x14ac:dyDescent="0.25">
      <c r="A1724" t="s">
        <v>3799</v>
      </c>
      <c r="B1724" t="s">
        <v>3788</v>
      </c>
      <c r="C1724" t="s">
        <v>20</v>
      </c>
      <c r="D1724" t="s">
        <v>894</v>
      </c>
      <c r="G1724" t="s">
        <v>16</v>
      </c>
      <c r="H1724">
        <v>0</v>
      </c>
      <c r="I1724" s="2" t="s">
        <v>3800</v>
      </c>
      <c r="J1724" s="2" t="s">
        <v>3801</v>
      </c>
      <c r="K1724">
        <v>20</v>
      </c>
      <c r="L1724">
        <v>20</v>
      </c>
      <c r="M1724">
        <v>20</v>
      </c>
    </row>
    <row r="1725" spans="1:13" x14ac:dyDescent="0.25">
      <c r="A1725" t="s">
        <v>3802</v>
      </c>
      <c r="B1725" t="s">
        <v>3788</v>
      </c>
      <c r="C1725" t="s">
        <v>20</v>
      </c>
      <c r="D1725" t="s">
        <v>894</v>
      </c>
      <c r="F1725">
        <v>1</v>
      </c>
      <c r="G1725" t="s">
        <v>16</v>
      </c>
      <c r="H1725">
        <v>0</v>
      </c>
      <c r="I1725" s="2" t="s">
        <v>297</v>
      </c>
      <c r="J1725" s="2">
        <v>534011520</v>
      </c>
      <c r="K1725">
        <v>20</v>
      </c>
      <c r="L1725">
        <v>20</v>
      </c>
      <c r="M1725">
        <v>20</v>
      </c>
    </row>
    <row r="1726" spans="1:13" x14ac:dyDescent="0.25">
      <c r="A1726" t="s">
        <v>3803</v>
      </c>
      <c r="B1726" t="s">
        <v>3788</v>
      </c>
      <c r="C1726" t="s">
        <v>20</v>
      </c>
      <c r="D1726" t="s">
        <v>894</v>
      </c>
      <c r="G1726" t="s">
        <v>16</v>
      </c>
      <c r="H1726">
        <v>0</v>
      </c>
      <c r="I1726" s="2" t="s">
        <v>2838</v>
      </c>
      <c r="J1726" s="2" t="s">
        <v>3804</v>
      </c>
      <c r="K1726">
        <v>20</v>
      </c>
      <c r="L1726">
        <v>20</v>
      </c>
      <c r="M1726">
        <v>20</v>
      </c>
    </row>
    <row r="1727" spans="1:13" x14ac:dyDescent="0.25">
      <c r="A1727" t="s">
        <v>3805</v>
      </c>
      <c r="B1727" t="s">
        <v>3788</v>
      </c>
      <c r="C1727" t="s">
        <v>20</v>
      </c>
      <c r="D1727" t="s">
        <v>894</v>
      </c>
      <c r="F1727">
        <v>1</v>
      </c>
      <c r="G1727" t="s">
        <v>16</v>
      </c>
      <c r="H1727">
        <v>0</v>
      </c>
      <c r="I1727" s="2" t="s">
        <v>479</v>
      </c>
      <c r="J1727" s="2" t="s">
        <v>3806</v>
      </c>
      <c r="K1727">
        <v>20</v>
      </c>
      <c r="L1727">
        <v>20</v>
      </c>
      <c r="M1727">
        <v>20</v>
      </c>
    </row>
    <row r="1728" spans="1:13" x14ac:dyDescent="0.25">
      <c r="A1728" t="s">
        <v>3807</v>
      </c>
      <c r="B1728" t="s">
        <v>3788</v>
      </c>
      <c r="C1728" t="s">
        <v>20</v>
      </c>
      <c r="D1728" t="s">
        <v>894</v>
      </c>
      <c r="G1728" t="s">
        <v>16</v>
      </c>
      <c r="H1728">
        <v>0</v>
      </c>
      <c r="I1728" s="2" t="s">
        <v>3808</v>
      </c>
      <c r="J1728" s="2" t="s">
        <v>3809</v>
      </c>
      <c r="K1728">
        <v>20</v>
      </c>
      <c r="L1728">
        <v>20</v>
      </c>
      <c r="M1728">
        <v>20</v>
      </c>
    </row>
    <row r="1729" spans="1:13" x14ac:dyDescent="0.25">
      <c r="A1729" t="s">
        <v>3810</v>
      </c>
      <c r="B1729" t="s">
        <v>3811</v>
      </c>
      <c r="C1729" t="s">
        <v>20</v>
      </c>
      <c r="D1729" t="s">
        <v>894</v>
      </c>
      <c r="F1729">
        <v>4</v>
      </c>
      <c r="G1729" t="s">
        <v>16</v>
      </c>
      <c r="H1729">
        <v>0</v>
      </c>
      <c r="I1729" s="2" t="s">
        <v>3756</v>
      </c>
      <c r="J1729" s="2" t="s">
        <v>3812</v>
      </c>
      <c r="K1729">
        <v>20</v>
      </c>
      <c r="L1729">
        <v>20</v>
      </c>
      <c r="M1729">
        <v>20</v>
      </c>
    </row>
    <row r="1730" spans="1:13" x14ac:dyDescent="0.25">
      <c r="A1730" t="s">
        <v>3813</v>
      </c>
      <c r="B1730" t="s">
        <v>3814</v>
      </c>
      <c r="C1730" t="s">
        <v>20</v>
      </c>
      <c r="D1730" t="s">
        <v>899</v>
      </c>
      <c r="G1730" t="s">
        <v>16</v>
      </c>
      <c r="H1730">
        <v>0</v>
      </c>
      <c r="I1730" s="2" t="s">
        <v>383</v>
      </c>
      <c r="J1730" s="2">
        <v>1987947777</v>
      </c>
      <c r="K1730">
        <v>20</v>
      </c>
      <c r="L1730">
        <v>20</v>
      </c>
      <c r="M1730">
        <v>20</v>
      </c>
    </row>
    <row r="1731" spans="1:13" x14ac:dyDescent="0.25">
      <c r="A1731" t="s">
        <v>3815</v>
      </c>
      <c r="B1731" t="s">
        <v>3816</v>
      </c>
      <c r="C1731" t="s">
        <v>20</v>
      </c>
      <c r="D1731" t="s">
        <v>899</v>
      </c>
      <c r="F1731">
        <v>0</v>
      </c>
      <c r="G1731" t="s">
        <v>16</v>
      </c>
      <c r="H1731">
        <v>0</v>
      </c>
      <c r="I1731" s="2" t="s">
        <v>3689</v>
      </c>
      <c r="J1731" s="2" t="s">
        <v>3817</v>
      </c>
      <c r="K1731">
        <v>20</v>
      </c>
      <c r="L1731">
        <v>20</v>
      </c>
      <c r="M1731">
        <v>20</v>
      </c>
    </row>
    <row r="1732" spans="1:13" x14ac:dyDescent="0.25">
      <c r="A1732" t="s">
        <v>3818</v>
      </c>
      <c r="B1732" t="s">
        <v>3816</v>
      </c>
      <c r="C1732" t="s">
        <v>20</v>
      </c>
      <c r="D1732" t="s">
        <v>899</v>
      </c>
      <c r="F1732">
        <v>1</v>
      </c>
      <c r="G1732" t="s">
        <v>16</v>
      </c>
      <c r="H1732">
        <v>0</v>
      </c>
      <c r="I1732" s="2" t="s">
        <v>3697</v>
      </c>
      <c r="J1732" s="2" t="s">
        <v>3819</v>
      </c>
      <c r="K1732">
        <v>20</v>
      </c>
      <c r="L1732">
        <v>20</v>
      </c>
      <c r="M1732">
        <v>20</v>
      </c>
    </row>
    <row r="1733" spans="1:13" x14ac:dyDescent="0.25">
      <c r="A1733" t="s">
        <v>3820</v>
      </c>
      <c r="B1733" t="s">
        <v>3821</v>
      </c>
      <c r="C1733" t="s">
        <v>20</v>
      </c>
      <c r="D1733" t="s">
        <v>899</v>
      </c>
      <c r="F1733">
        <v>4</v>
      </c>
      <c r="G1733" t="s">
        <v>16</v>
      </c>
      <c r="H1733">
        <v>0</v>
      </c>
      <c r="I1733" s="2" t="s">
        <v>3710</v>
      </c>
      <c r="J1733" s="2" t="s">
        <v>3822</v>
      </c>
      <c r="K1733">
        <v>20</v>
      </c>
      <c r="L1733">
        <v>20</v>
      </c>
      <c r="M1733">
        <v>20</v>
      </c>
    </row>
    <row r="1734" spans="1:13" x14ac:dyDescent="0.25">
      <c r="A1734" t="s">
        <v>3823</v>
      </c>
      <c r="B1734" t="s">
        <v>3821</v>
      </c>
      <c r="C1734" t="s">
        <v>20</v>
      </c>
      <c r="D1734" t="s">
        <v>899</v>
      </c>
      <c r="F1734">
        <v>3</v>
      </c>
      <c r="G1734" t="s">
        <v>16</v>
      </c>
      <c r="H1734">
        <v>0</v>
      </c>
      <c r="I1734" s="2" t="s">
        <v>383</v>
      </c>
      <c r="J1734" s="2">
        <v>1987945982</v>
      </c>
      <c r="K1734">
        <v>20</v>
      </c>
      <c r="L1734">
        <v>20</v>
      </c>
      <c r="M1734">
        <v>20</v>
      </c>
    </row>
    <row r="1735" spans="1:13" x14ac:dyDescent="0.25">
      <c r="A1735" t="s">
        <v>3824</v>
      </c>
      <c r="B1735" t="s">
        <v>3825</v>
      </c>
      <c r="C1735" t="s">
        <v>20</v>
      </c>
      <c r="D1735" t="s">
        <v>899</v>
      </c>
      <c r="F1735">
        <v>4</v>
      </c>
      <c r="G1735" t="s">
        <v>16</v>
      </c>
      <c r="H1735">
        <v>0</v>
      </c>
      <c r="I1735" s="2" t="s">
        <v>404</v>
      </c>
      <c r="J1735" s="2" t="s">
        <v>3826</v>
      </c>
      <c r="K1735">
        <v>20</v>
      </c>
      <c r="L1735">
        <v>20</v>
      </c>
      <c r="M1735">
        <v>20</v>
      </c>
    </row>
    <row r="1736" spans="1:13" x14ac:dyDescent="0.25">
      <c r="A1736" t="s">
        <v>3827</v>
      </c>
      <c r="B1736" t="s">
        <v>3821</v>
      </c>
      <c r="C1736" t="s">
        <v>20</v>
      </c>
      <c r="D1736" t="s">
        <v>899</v>
      </c>
      <c r="F1736">
        <v>1</v>
      </c>
      <c r="G1736" t="s">
        <v>16</v>
      </c>
      <c r="H1736">
        <v>0</v>
      </c>
      <c r="I1736" s="2" t="s">
        <v>3697</v>
      </c>
      <c r="J1736" s="2" t="s">
        <v>3828</v>
      </c>
      <c r="K1736">
        <v>20</v>
      </c>
      <c r="L1736">
        <v>20</v>
      </c>
      <c r="M1736">
        <v>20</v>
      </c>
    </row>
    <row r="1737" spans="1:13" x14ac:dyDescent="0.25">
      <c r="A1737" t="s">
        <v>3829</v>
      </c>
      <c r="B1737" t="s">
        <v>3821</v>
      </c>
      <c r="C1737" t="s">
        <v>20</v>
      </c>
      <c r="D1737" t="s">
        <v>899</v>
      </c>
      <c r="F1737">
        <v>0</v>
      </c>
      <c r="G1737" t="s">
        <v>16</v>
      </c>
      <c r="H1737">
        <v>0</v>
      </c>
      <c r="I1737" s="2" t="s">
        <v>3830</v>
      </c>
      <c r="J1737" s="2" t="s">
        <v>3831</v>
      </c>
      <c r="K1737">
        <v>20</v>
      </c>
      <c r="L1737">
        <v>20</v>
      </c>
      <c r="M1737">
        <v>20</v>
      </c>
    </row>
    <row r="1738" spans="1:13" x14ac:dyDescent="0.25">
      <c r="A1738" t="s">
        <v>3832</v>
      </c>
      <c r="B1738" t="s">
        <v>3825</v>
      </c>
      <c r="C1738" t="s">
        <v>20</v>
      </c>
      <c r="D1738" t="s">
        <v>899</v>
      </c>
      <c r="G1738" t="s">
        <v>16</v>
      </c>
      <c r="H1738">
        <v>0</v>
      </c>
      <c r="I1738" s="2" t="s">
        <v>3731</v>
      </c>
      <c r="J1738" s="3">
        <v>36061900</v>
      </c>
      <c r="K1738">
        <v>20</v>
      </c>
      <c r="L1738">
        <v>20</v>
      </c>
      <c r="M1738">
        <v>20</v>
      </c>
    </row>
    <row r="1739" spans="1:13" x14ac:dyDescent="0.25">
      <c r="A1739" t="s">
        <v>3833</v>
      </c>
      <c r="B1739" t="s">
        <v>3834</v>
      </c>
      <c r="C1739" t="s">
        <v>20</v>
      </c>
      <c r="D1739" t="s">
        <v>899</v>
      </c>
      <c r="F1739">
        <v>1</v>
      </c>
      <c r="G1739" t="s">
        <v>16</v>
      </c>
      <c r="H1739">
        <v>0</v>
      </c>
      <c r="I1739" s="2" t="s">
        <v>3689</v>
      </c>
      <c r="J1739" s="2" t="s">
        <v>3835</v>
      </c>
      <c r="K1739">
        <v>20</v>
      </c>
      <c r="L1739">
        <v>20</v>
      </c>
      <c r="M1739">
        <v>20</v>
      </c>
    </row>
    <row r="1740" spans="1:13" x14ac:dyDescent="0.25">
      <c r="A1740" t="s">
        <v>3836</v>
      </c>
      <c r="B1740" t="s">
        <v>3838</v>
      </c>
      <c r="C1740" t="s">
        <v>20</v>
      </c>
      <c r="D1740" t="s">
        <v>899</v>
      </c>
      <c r="F1740">
        <v>1</v>
      </c>
      <c r="G1740" t="s">
        <v>16</v>
      </c>
      <c r="H1740">
        <v>0</v>
      </c>
      <c r="I1740" s="2" t="s">
        <v>3689</v>
      </c>
      <c r="J1740" s="2" t="s">
        <v>3837</v>
      </c>
      <c r="K1740">
        <v>20</v>
      </c>
      <c r="L1740">
        <v>20</v>
      </c>
      <c r="M1740">
        <v>20</v>
      </c>
    </row>
    <row r="1741" spans="1:13" x14ac:dyDescent="0.25">
      <c r="A1741" t="s">
        <v>3839</v>
      </c>
      <c r="B1741" t="s">
        <v>3834</v>
      </c>
      <c r="C1741" t="s">
        <v>20</v>
      </c>
      <c r="D1741" t="s">
        <v>899</v>
      </c>
      <c r="G1741" t="s">
        <v>16</v>
      </c>
      <c r="H1741">
        <v>0</v>
      </c>
      <c r="I1741" s="2" t="s">
        <v>3783</v>
      </c>
      <c r="J1741" s="2" t="s">
        <v>3835</v>
      </c>
      <c r="K1741">
        <v>20</v>
      </c>
      <c r="L1741">
        <v>20</v>
      </c>
      <c r="M1741">
        <v>20</v>
      </c>
    </row>
    <row r="1742" spans="1:13" x14ac:dyDescent="0.25">
      <c r="A1742" t="s">
        <v>3840</v>
      </c>
      <c r="B1742" t="s">
        <v>3841</v>
      </c>
      <c r="C1742" t="s">
        <v>20</v>
      </c>
      <c r="D1742" t="s">
        <v>899</v>
      </c>
      <c r="F1742">
        <v>2</v>
      </c>
      <c r="G1742" t="s">
        <v>16</v>
      </c>
      <c r="H1742">
        <v>0</v>
      </c>
      <c r="I1742" s="2" t="s">
        <v>3689</v>
      </c>
      <c r="J1742" s="2" t="s">
        <v>3842</v>
      </c>
      <c r="K1742">
        <v>20</v>
      </c>
      <c r="L1742">
        <v>20</v>
      </c>
      <c r="M1742">
        <v>20</v>
      </c>
    </row>
    <row r="1743" spans="1:13" x14ac:dyDescent="0.25">
      <c r="A1743" t="s">
        <v>3843</v>
      </c>
      <c r="B1743" t="s">
        <v>3841</v>
      </c>
      <c r="C1743" t="s">
        <v>20</v>
      </c>
      <c r="D1743" t="s">
        <v>899</v>
      </c>
      <c r="G1743" t="s">
        <v>16</v>
      </c>
      <c r="H1743">
        <v>0</v>
      </c>
      <c r="I1743" s="2" t="s">
        <v>3844</v>
      </c>
      <c r="J1743" s="3">
        <v>36051255</v>
      </c>
      <c r="K1743">
        <v>20</v>
      </c>
      <c r="L1743">
        <v>20</v>
      </c>
      <c r="M1743">
        <v>20</v>
      </c>
    </row>
    <row r="1744" spans="1:13" x14ac:dyDescent="0.25">
      <c r="A1744" t="s">
        <v>3845</v>
      </c>
      <c r="B1744" t="s">
        <v>3846</v>
      </c>
      <c r="C1744" t="s">
        <v>20</v>
      </c>
      <c r="D1744" t="s">
        <v>899</v>
      </c>
      <c r="F1744">
        <v>2</v>
      </c>
      <c r="G1744" t="s">
        <v>16</v>
      </c>
      <c r="H1744">
        <v>0</v>
      </c>
      <c r="I1744" s="2" t="s">
        <v>3689</v>
      </c>
      <c r="J1744" s="2" t="s">
        <v>3847</v>
      </c>
      <c r="K1744">
        <v>20</v>
      </c>
      <c r="L1744">
        <v>20</v>
      </c>
      <c r="M1744">
        <v>20</v>
      </c>
    </row>
    <row r="1745" spans="1:13" x14ac:dyDescent="0.25">
      <c r="A1745" t="s">
        <v>3848</v>
      </c>
      <c r="B1745" t="s">
        <v>3846</v>
      </c>
      <c r="C1745" t="s">
        <v>20</v>
      </c>
      <c r="D1745" t="s">
        <v>899</v>
      </c>
      <c r="G1745" t="s">
        <v>16</v>
      </c>
      <c r="H1745">
        <v>0</v>
      </c>
      <c r="I1745" s="2" t="s">
        <v>3830</v>
      </c>
      <c r="J1745" s="2" t="s">
        <v>3849</v>
      </c>
      <c r="K1745">
        <v>20</v>
      </c>
      <c r="L1745">
        <v>20</v>
      </c>
      <c r="M1745">
        <v>20</v>
      </c>
    </row>
    <row r="1746" spans="1:13" x14ac:dyDescent="0.25">
      <c r="A1746" t="s">
        <v>3850</v>
      </c>
      <c r="B1746" t="s">
        <v>3851</v>
      </c>
      <c r="C1746" t="s">
        <v>20</v>
      </c>
      <c r="D1746" t="s">
        <v>899</v>
      </c>
      <c r="G1746" t="s">
        <v>16</v>
      </c>
      <c r="H1746">
        <v>0</v>
      </c>
      <c r="I1746" s="2" t="s">
        <v>383</v>
      </c>
      <c r="J1746" s="2">
        <v>1987948459</v>
      </c>
      <c r="K1746">
        <v>20</v>
      </c>
      <c r="L1746">
        <v>20</v>
      </c>
      <c r="M1746">
        <v>20</v>
      </c>
    </row>
    <row r="1747" spans="1:13" x14ac:dyDescent="0.25">
      <c r="A1747" t="s">
        <v>3852</v>
      </c>
      <c r="B1747" t="s">
        <v>3853</v>
      </c>
      <c r="C1747" t="s">
        <v>496</v>
      </c>
      <c r="D1747" t="s">
        <v>2360</v>
      </c>
      <c r="F1747">
        <v>2</v>
      </c>
      <c r="G1747" t="s">
        <v>16</v>
      </c>
      <c r="H1747">
        <v>0</v>
      </c>
      <c r="I1747" s="2" t="s">
        <v>2517</v>
      </c>
      <c r="J1747" s="2" t="s">
        <v>3854</v>
      </c>
      <c r="K1747">
        <v>20</v>
      </c>
      <c r="L1747">
        <v>20</v>
      </c>
      <c r="M1747">
        <v>20</v>
      </c>
    </row>
    <row r="1748" spans="1:13" x14ac:dyDescent="0.25">
      <c r="A1748" t="s">
        <v>3855</v>
      </c>
      <c r="B1748" t="s">
        <v>3856</v>
      </c>
      <c r="C1748" t="s">
        <v>20</v>
      </c>
      <c r="D1748" t="s">
        <v>899</v>
      </c>
      <c r="G1748" t="s">
        <v>16</v>
      </c>
      <c r="H1748">
        <v>0</v>
      </c>
      <c r="I1748" s="2" t="s">
        <v>3710</v>
      </c>
      <c r="J1748" s="2" t="s">
        <v>3857</v>
      </c>
      <c r="K1748">
        <v>20</v>
      </c>
      <c r="L1748">
        <v>20</v>
      </c>
      <c r="M1748">
        <v>20</v>
      </c>
    </row>
    <row r="1749" spans="1:13" x14ac:dyDescent="0.25">
      <c r="A1749" t="s">
        <v>3858</v>
      </c>
      <c r="B1749" t="s">
        <v>3859</v>
      </c>
      <c r="C1749" t="s">
        <v>20</v>
      </c>
      <c r="D1749" t="s">
        <v>894</v>
      </c>
      <c r="F1749">
        <v>1</v>
      </c>
      <c r="G1749" t="s">
        <v>16</v>
      </c>
      <c r="H1749">
        <v>0</v>
      </c>
      <c r="I1749" s="2" t="s">
        <v>1137</v>
      </c>
      <c r="J1749" s="2" t="s">
        <v>3860</v>
      </c>
      <c r="K1749">
        <v>20</v>
      </c>
      <c r="L1749">
        <v>20</v>
      </c>
      <c r="M1749">
        <v>20</v>
      </c>
    </row>
    <row r="1750" spans="1:13" x14ac:dyDescent="0.25">
      <c r="A1750" t="s">
        <v>3861</v>
      </c>
      <c r="B1750" t="s">
        <v>2930</v>
      </c>
      <c r="C1750" t="s">
        <v>357</v>
      </c>
      <c r="D1750" t="s">
        <v>241</v>
      </c>
      <c r="F1750">
        <v>2</v>
      </c>
      <c r="G1750" t="s">
        <v>16</v>
      </c>
      <c r="H1750">
        <v>0</v>
      </c>
      <c r="I1750" s="2" t="s">
        <v>737</v>
      </c>
      <c r="J1750" s="2" t="s">
        <v>3862</v>
      </c>
      <c r="K1750">
        <v>20</v>
      </c>
      <c r="L1750">
        <v>20</v>
      </c>
      <c r="M1750">
        <v>20</v>
      </c>
    </row>
    <row r="1751" spans="1:13" x14ac:dyDescent="0.25">
      <c r="A1751" t="s">
        <v>3863</v>
      </c>
      <c r="B1751" t="s">
        <v>3864</v>
      </c>
      <c r="C1751" t="s">
        <v>151</v>
      </c>
      <c r="D1751" t="s">
        <v>1670</v>
      </c>
      <c r="F1751">
        <v>1</v>
      </c>
      <c r="G1751" t="s">
        <v>16</v>
      </c>
      <c r="H1751">
        <v>0</v>
      </c>
      <c r="I1751" s="2" t="s">
        <v>1107</v>
      </c>
      <c r="J1751" s="2" t="s">
        <v>3865</v>
      </c>
      <c r="K1751">
        <v>20</v>
      </c>
      <c r="L1751">
        <v>20</v>
      </c>
      <c r="M1751">
        <v>20</v>
      </c>
    </row>
    <row r="1752" spans="1:13" x14ac:dyDescent="0.25">
      <c r="A1752" t="s">
        <v>3866</v>
      </c>
      <c r="B1752" t="s">
        <v>3867</v>
      </c>
      <c r="C1752" t="s">
        <v>151</v>
      </c>
      <c r="D1752" t="s">
        <v>3551</v>
      </c>
      <c r="F1752">
        <v>3</v>
      </c>
      <c r="G1752" t="s">
        <v>16</v>
      </c>
      <c r="H1752">
        <v>0</v>
      </c>
      <c r="I1752" s="2" t="s">
        <v>142</v>
      </c>
      <c r="J1752" s="2" t="s">
        <v>3868</v>
      </c>
      <c r="K1752">
        <v>20</v>
      </c>
      <c r="L1752">
        <v>20</v>
      </c>
      <c r="M1752">
        <v>20</v>
      </c>
    </row>
    <row r="1753" spans="1:13" x14ac:dyDescent="0.25">
      <c r="A1753" t="s">
        <v>3869</v>
      </c>
      <c r="B1753" t="s">
        <v>3867</v>
      </c>
      <c r="C1753" t="s">
        <v>151</v>
      </c>
      <c r="D1753" t="s">
        <v>3551</v>
      </c>
      <c r="G1753" t="s">
        <v>16</v>
      </c>
      <c r="H1753">
        <v>0</v>
      </c>
      <c r="I1753" s="2" t="s">
        <v>1488</v>
      </c>
      <c r="J1753" s="3">
        <v>75117</v>
      </c>
      <c r="K1753">
        <v>20</v>
      </c>
      <c r="L1753">
        <v>20</v>
      </c>
      <c r="M1753">
        <v>20</v>
      </c>
    </row>
    <row r="1754" spans="1:13" x14ac:dyDescent="0.25">
      <c r="A1754" t="s">
        <v>3870</v>
      </c>
      <c r="B1754" t="s">
        <v>3867</v>
      </c>
      <c r="C1754" t="s">
        <v>151</v>
      </c>
      <c r="D1754" t="s">
        <v>3551</v>
      </c>
      <c r="G1754" t="s">
        <v>16</v>
      </c>
      <c r="H1754">
        <v>0</v>
      </c>
      <c r="I1754" s="2" t="s">
        <v>953</v>
      </c>
      <c r="J1754" s="2">
        <v>37280</v>
      </c>
      <c r="K1754">
        <v>20</v>
      </c>
      <c r="L1754">
        <v>20</v>
      </c>
      <c r="M1754">
        <v>20</v>
      </c>
    </row>
    <row r="1755" spans="1:13" x14ac:dyDescent="0.25">
      <c r="A1755" t="s">
        <v>3871</v>
      </c>
      <c r="B1755" t="s">
        <v>3867</v>
      </c>
      <c r="C1755" t="s">
        <v>151</v>
      </c>
      <c r="D1755" t="s">
        <v>3551</v>
      </c>
      <c r="F1755">
        <v>1</v>
      </c>
      <c r="G1755" t="s">
        <v>16</v>
      </c>
      <c r="H1755">
        <v>0</v>
      </c>
      <c r="I1755" s="2" t="s">
        <v>165</v>
      </c>
      <c r="J1755" s="2">
        <v>202351</v>
      </c>
      <c r="K1755">
        <v>20</v>
      </c>
      <c r="L1755">
        <v>20</v>
      </c>
      <c r="M1755">
        <v>20</v>
      </c>
    </row>
    <row r="1756" spans="1:13" x14ac:dyDescent="0.25">
      <c r="A1756" t="s">
        <v>3872</v>
      </c>
      <c r="B1756" t="s">
        <v>3867</v>
      </c>
      <c r="C1756" t="s">
        <v>151</v>
      </c>
      <c r="D1756" t="s">
        <v>3551</v>
      </c>
      <c r="F1756">
        <v>1</v>
      </c>
      <c r="G1756" t="s">
        <v>16</v>
      </c>
      <c r="H1756">
        <v>0</v>
      </c>
      <c r="I1756" s="2" t="s">
        <v>715</v>
      </c>
      <c r="J1756" s="2" t="s">
        <v>3873</v>
      </c>
      <c r="K1756">
        <v>20</v>
      </c>
      <c r="L1756">
        <v>20</v>
      </c>
      <c r="M1756">
        <v>20</v>
      </c>
    </row>
    <row r="1757" spans="1:13" x14ac:dyDescent="0.25">
      <c r="A1757" t="s">
        <v>3874</v>
      </c>
      <c r="B1757" t="s">
        <v>3875</v>
      </c>
      <c r="C1757" t="s">
        <v>151</v>
      </c>
      <c r="D1757" t="s">
        <v>3551</v>
      </c>
      <c r="G1757" t="s">
        <v>16</v>
      </c>
      <c r="H1757">
        <v>0</v>
      </c>
      <c r="I1757" s="2" t="s">
        <v>142</v>
      </c>
      <c r="J1757" s="2" t="s">
        <v>3876</v>
      </c>
      <c r="K1757">
        <v>20</v>
      </c>
      <c r="L1757">
        <v>20</v>
      </c>
      <c r="M1757">
        <v>20</v>
      </c>
    </row>
    <row r="1758" spans="1:13" x14ac:dyDescent="0.25">
      <c r="A1758" t="s">
        <v>3877</v>
      </c>
      <c r="B1758" t="s">
        <v>3875</v>
      </c>
      <c r="C1758" t="s">
        <v>151</v>
      </c>
      <c r="D1758" t="s">
        <v>3551</v>
      </c>
      <c r="F1758">
        <v>1</v>
      </c>
      <c r="G1758" t="s">
        <v>16</v>
      </c>
      <c r="H1758">
        <v>0</v>
      </c>
      <c r="I1758" s="2" t="s">
        <v>1477</v>
      </c>
      <c r="J1758" s="2">
        <v>38030</v>
      </c>
      <c r="K1758">
        <v>20</v>
      </c>
      <c r="L1758">
        <v>20</v>
      </c>
      <c r="M1758">
        <v>20</v>
      </c>
    </row>
    <row r="1759" spans="1:13" x14ac:dyDescent="0.25">
      <c r="A1759" t="s">
        <v>3878</v>
      </c>
      <c r="B1759" t="s">
        <v>3879</v>
      </c>
      <c r="C1759" t="s">
        <v>151</v>
      </c>
      <c r="D1759" t="s">
        <v>3551</v>
      </c>
      <c r="F1759">
        <v>2</v>
      </c>
      <c r="G1759" t="s">
        <v>16</v>
      </c>
      <c r="H1759">
        <v>0</v>
      </c>
      <c r="I1759" s="2" t="s">
        <v>1175</v>
      </c>
      <c r="J1759" s="2" t="s">
        <v>3880</v>
      </c>
      <c r="K1759">
        <v>20</v>
      </c>
      <c r="L1759">
        <v>20</v>
      </c>
      <c r="M1759">
        <v>20</v>
      </c>
    </row>
    <row r="1760" spans="1:13" x14ac:dyDescent="0.25">
      <c r="A1760" t="s">
        <v>3881</v>
      </c>
      <c r="B1760" t="s">
        <v>3882</v>
      </c>
      <c r="C1760" t="s">
        <v>151</v>
      </c>
      <c r="D1760" t="s">
        <v>3551</v>
      </c>
      <c r="G1760" t="s">
        <v>16</v>
      </c>
      <c r="H1760">
        <v>0</v>
      </c>
      <c r="I1760" s="2" t="s">
        <v>993</v>
      </c>
      <c r="J1760" s="2">
        <v>202355</v>
      </c>
      <c r="K1760">
        <v>20</v>
      </c>
      <c r="L1760">
        <v>20</v>
      </c>
      <c r="M1760">
        <v>20</v>
      </c>
    </row>
    <row r="1761" spans="1:13" x14ac:dyDescent="0.25">
      <c r="A1761" t="s">
        <v>3883</v>
      </c>
      <c r="B1761" t="s">
        <v>3884</v>
      </c>
      <c r="C1761" t="s">
        <v>151</v>
      </c>
      <c r="D1761" t="s">
        <v>3551</v>
      </c>
      <c r="G1761" t="s">
        <v>16</v>
      </c>
      <c r="H1761">
        <v>0</v>
      </c>
      <c r="I1761" s="2" t="s">
        <v>953</v>
      </c>
      <c r="J1761" s="2">
        <v>36190</v>
      </c>
      <c r="K1761">
        <v>20</v>
      </c>
      <c r="L1761">
        <v>20</v>
      </c>
      <c r="M1761">
        <v>20</v>
      </c>
    </row>
    <row r="1762" spans="1:13" x14ac:dyDescent="0.25">
      <c r="A1762" t="s">
        <v>3885</v>
      </c>
      <c r="B1762" t="s">
        <v>3886</v>
      </c>
      <c r="C1762" t="s">
        <v>151</v>
      </c>
      <c r="D1762" t="s">
        <v>3551</v>
      </c>
      <c r="F1762">
        <v>2</v>
      </c>
      <c r="G1762" t="s">
        <v>16</v>
      </c>
      <c r="H1762">
        <v>0</v>
      </c>
      <c r="I1762" s="2" t="s">
        <v>142</v>
      </c>
      <c r="J1762" s="2" t="s">
        <v>3887</v>
      </c>
      <c r="K1762">
        <v>20</v>
      </c>
      <c r="L1762">
        <v>20</v>
      </c>
      <c r="M1762">
        <v>20</v>
      </c>
    </row>
    <row r="1763" spans="1:13" x14ac:dyDescent="0.25">
      <c r="A1763" t="s">
        <v>3888</v>
      </c>
      <c r="B1763" t="s">
        <v>3886</v>
      </c>
      <c r="C1763" t="s">
        <v>151</v>
      </c>
      <c r="D1763" t="s">
        <v>3551</v>
      </c>
      <c r="F1763">
        <v>1</v>
      </c>
      <c r="G1763" t="s">
        <v>16</v>
      </c>
      <c r="H1763">
        <v>0</v>
      </c>
      <c r="I1763" s="2" t="s">
        <v>953</v>
      </c>
      <c r="J1763" s="2">
        <v>38360</v>
      </c>
      <c r="K1763">
        <v>20</v>
      </c>
      <c r="L1763">
        <v>20</v>
      </c>
      <c r="M1763">
        <v>20</v>
      </c>
    </row>
    <row r="1764" spans="1:13" x14ac:dyDescent="0.25">
      <c r="A1764" t="s">
        <v>3889</v>
      </c>
      <c r="B1764" t="s">
        <v>3890</v>
      </c>
      <c r="C1764" t="s">
        <v>151</v>
      </c>
      <c r="D1764" t="s">
        <v>3551</v>
      </c>
      <c r="G1764" t="s">
        <v>16</v>
      </c>
      <c r="H1764">
        <v>0</v>
      </c>
      <c r="I1764" s="2" t="s">
        <v>953</v>
      </c>
      <c r="J1764" s="2">
        <v>38330</v>
      </c>
      <c r="K1764">
        <v>20</v>
      </c>
      <c r="L1764">
        <v>20</v>
      </c>
      <c r="M1764">
        <v>20</v>
      </c>
    </row>
    <row r="1765" spans="1:13" x14ac:dyDescent="0.25">
      <c r="A1765" t="s">
        <v>3891</v>
      </c>
      <c r="B1765" t="s">
        <v>3890</v>
      </c>
      <c r="C1765" t="s">
        <v>151</v>
      </c>
      <c r="D1765" t="s">
        <v>3551</v>
      </c>
      <c r="F1765">
        <v>1</v>
      </c>
      <c r="G1765" t="s">
        <v>16</v>
      </c>
      <c r="H1765">
        <v>0</v>
      </c>
      <c r="I1765" s="2" t="s">
        <v>64</v>
      </c>
      <c r="J1765" s="2" t="str">
        <f>"05080319"</f>
        <v>05080319</v>
      </c>
      <c r="K1765">
        <v>20</v>
      </c>
      <c r="L1765">
        <v>20</v>
      </c>
      <c r="M1765">
        <v>20</v>
      </c>
    </row>
    <row r="1766" spans="1:13" x14ac:dyDescent="0.25">
      <c r="A1766" t="s">
        <v>3892</v>
      </c>
      <c r="B1766" t="s">
        <v>3890</v>
      </c>
      <c r="C1766" t="s">
        <v>151</v>
      </c>
      <c r="D1766" t="s">
        <v>3551</v>
      </c>
      <c r="F1766">
        <v>3</v>
      </c>
      <c r="G1766" t="s">
        <v>16</v>
      </c>
      <c r="H1766">
        <v>0</v>
      </c>
      <c r="I1766" s="2" t="s">
        <v>165</v>
      </c>
      <c r="J1766" s="2">
        <v>205938</v>
      </c>
      <c r="K1766">
        <v>20</v>
      </c>
      <c r="L1766">
        <v>20</v>
      </c>
      <c r="M1766">
        <v>20</v>
      </c>
    </row>
    <row r="1767" spans="1:13" x14ac:dyDescent="0.25">
      <c r="A1767" t="s">
        <v>3893</v>
      </c>
      <c r="B1767" t="s">
        <v>3894</v>
      </c>
      <c r="C1767" t="s">
        <v>151</v>
      </c>
      <c r="D1767" t="s">
        <v>1670</v>
      </c>
      <c r="G1767" t="s">
        <v>16</v>
      </c>
      <c r="H1767">
        <v>0</v>
      </c>
      <c r="I1767" s="2" t="s">
        <v>64</v>
      </c>
      <c r="J1767" s="2" t="str">
        <f>"08120033"</f>
        <v>08120033</v>
      </c>
      <c r="K1767">
        <v>20</v>
      </c>
      <c r="L1767">
        <v>20</v>
      </c>
      <c r="M1767">
        <v>20</v>
      </c>
    </row>
    <row r="1768" spans="1:13" x14ac:dyDescent="0.25">
      <c r="A1768" t="s">
        <v>3895</v>
      </c>
      <c r="B1768" t="s">
        <v>3896</v>
      </c>
      <c r="C1768" t="s">
        <v>151</v>
      </c>
      <c r="D1768" t="s">
        <v>1670</v>
      </c>
      <c r="F1768">
        <v>1</v>
      </c>
      <c r="G1768" t="s">
        <v>16</v>
      </c>
      <c r="H1768">
        <v>0</v>
      </c>
      <c r="I1768" s="2" t="s">
        <v>162</v>
      </c>
      <c r="J1768" s="2">
        <v>83617</v>
      </c>
      <c r="K1768">
        <v>20</v>
      </c>
      <c r="L1768">
        <v>20</v>
      </c>
      <c r="M1768">
        <v>20</v>
      </c>
    </row>
    <row r="1769" spans="1:13" x14ac:dyDescent="0.25">
      <c r="A1769" t="s">
        <v>3897</v>
      </c>
      <c r="B1769" t="s">
        <v>3898</v>
      </c>
      <c r="C1769" t="s">
        <v>151</v>
      </c>
      <c r="D1769" t="s">
        <v>1670</v>
      </c>
      <c r="F1769">
        <v>1</v>
      </c>
      <c r="G1769" t="s">
        <v>16</v>
      </c>
      <c r="H1769">
        <v>0</v>
      </c>
      <c r="I1769" s="2" t="s">
        <v>1200</v>
      </c>
      <c r="J1769" s="2" t="s">
        <v>3899</v>
      </c>
      <c r="K1769">
        <v>20</v>
      </c>
      <c r="L1769">
        <v>20</v>
      </c>
      <c r="M1769">
        <v>20</v>
      </c>
    </row>
    <row r="1770" spans="1:13" x14ac:dyDescent="0.25">
      <c r="A1770" t="s">
        <v>3900</v>
      </c>
      <c r="B1770" t="s">
        <v>3901</v>
      </c>
      <c r="C1770" t="s">
        <v>151</v>
      </c>
      <c r="D1770" t="s">
        <v>1670</v>
      </c>
      <c r="F1770">
        <v>1</v>
      </c>
      <c r="G1770" t="s">
        <v>16</v>
      </c>
      <c r="H1770">
        <v>0</v>
      </c>
      <c r="I1770" s="2" t="s">
        <v>285</v>
      </c>
      <c r="J1770" s="2">
        <v>83613</v>
      </c>
      <c r="K1770">
        <v>20</v>
      </c>
      <c r="L1770">
        <v>20</v>
      </c>
      <c r="M1770">
        <v>20</v>
      </c>
    </row>
    <row r="1771" spans="1:13" x14ac:dyDescent="0.25">
      <c r="A1771" t="s">
        <v>3902</v>
      </c>
      <c r="B1771" t="s">
        <v>3903</v>
      </c>
      <c r="C1771" t="s">
        <v>151</v>
      </c>
      <c r="D1771" t="s">
        <v>1670</v>
      </c>
      <c r="G1771" t="s">
        <v>16</v>
      </c>
      <c r="H1771">
        <v>0</v>
      </c>
      <c r="I1771" s="2" t="s">
        <v>1107</v>
      </c>
      <c r="J1771" s="2" t="s">
        <v>3904</v>
      </c>
      <c r="K1771">
        <v>20</v>
      </c>
      <c r="L1771">
        <v>20</v>
      </c>
      <c r="M1771">
        <v>20</v>
      </c>
    </row>
    <row r="1772" spans="1:13" x14ac:dyDescent="0.25">
      <c r="A1772" t="s">
        <v>3905</v>
      </c>
      <c r="B1772" t="s">
        <v>3906</v>
      </c>
      <c r="C1772" t="s">
        <v>151</v>
      </c>
      <c r="D1772" t="s">
        <v>1670</v>
      </c>
      <c r="G1772" t="s">
        <v>16</v>
      </c>
      <c r="H1772">
        <v>0</v>
      </c>
      <c r="I1772" s="2" t="s">
        <v>598</v>
      </c>
      <c r="J1772" s="2">
        <v>418800</v>
      </c>
      <c r="K1772">
        <v>20</v>
      </c>
      <c r="L1772">
        <v>20</v>
      </c>
      <c r="M1772">
        <v>20</v>
      </c>
    </row>
    <row r="1773" spans="1:13" x14ac:dyDescent="0.25">
      <c r="A1773" t="s">
        <v>3907</v>
      </c>
      <c r="B1773" t="s">
        <v>3908</v>
      </c>
      <c r="C1773" t="s">
        <v>151</v>
      </c>
      <c r="D1773" t="s">
        <v>1670</v>
      </c>
      <c r="G1773" t="s">
        <v>16</v>
      </c>
      <c r="H1773">
        <v>0</v>
      </c>
      <c r="I1773" s="2" t="s">
        <v>3909</v>
      </c>
      <c r="J1773" s="2">
        <v>59355</v>
      </c>
      <c r="K1773">
        <v>20</v>
      </c>
      <c r="L1773">
        <v>20</v>
      </c>
      <c r="M1773">
        <v>20</v>
      </c>
    </row>
    <row r="1774" spans="1:13" x14ac:dyDescent="0.25">
      <c r="A1774" t="s">
        <v>3910</v>
      </c>
      <c r="B1774" t="s">
        <v>3911</v>
      </c>
      <c r="C1774" t="s">
        <v>151</v>
      </c>
      <c r="D1774" t="s">
        <v>1670</v>
      </c>
      <c r="F1774">
        <v>1</v>
      </c>
      <c r="G1774" t="s">
        <v>16</v>
      </c>
      <c r="H1774">
        <v>0</v>
      </c>
      <c r="I1774" s="2" t="s">
        <v>3912</v>
      </c>
      <c r="J1774" s="2">
        <v>85208</v>
      </c>
      <c r="K1774">
        <v>20</v>
      </c>
      <c r="L1774">
        <v>20</v>
      </c>
      <c r="M1774">
        <v>20</v>
      </c>
    </row>
    <row r="1775" spans="1:13" x14ac:dyDescent="0.25">
      <c r="A1775" t="s">
        <v>3913</v>
      </c>
      <c r="B1775" t="s">
        <v>3914</v>
      </c>
      <c r="C1775" t="s">
        <v>151</v>
      </c>
      <c r="D1775" t="s">
        <v>1670</v>
      </c>
      <c r="G1775" t="s">
        <v>16</v>
      </c>
      <c r="H1775">
        <v>0</v>
      </c>
      <c r="I1775" s="2" t="s">
        <v>3909</v>
      </c>
      <c r="J1775" s="2">
        <v>59359</v>
      </c>
      <c r="K1775">
        <v>20</v>
      </c>
      <c r="L1775">
        <v>20</v>
      </c>
      <c r="M1775">
        <v>20</v>
      </c>
    </row>
    <row r="1776" spans="1:13" x14ac:dyDescent="0.25">
      <c r="A1776" t="s">
        <v>3915</v>
      </c>
      <c r="B1776" t="s">
        <v>3914</v>
      </c>
      <c r="C1776" t="s">
        <v>151</v>
      </c>
      <c r="D1776" t="s">
        <v>1670</v>
      </c>
      <c r="F1776">
        <v>1</v>
      </c>
      <c r="G1776" t="s">
        <v>16</v>
      </c>
      <c r="H1776">
        <v>0</v>
      </c>
      <c r="I1776" s="2" t="s">
        <v>266</v>
      </c>
      <c r="J1776" s="2">
        <v>86132</v>
      </c>
      <c r="K1776">
        <v>20</v>
      </c>
      <c r="L1776">
        <v>20</v>
      </c>
      <c r="M1776">
        <v>20</v>
      </c>
    </row>
    <row r="1777" spans="1:13" x14ac:dyDescent="0.25">
      <c r="A1777" t="s">
        <v>3916</v>
      </c>
      <c r="B1777" t="s">
        <v>3917</v>
      </c>
      <c r="C1777" t="s">
        <v>151</v>
      </c>
      <c r="D1777" t="s">
        <v>1670</v>
      </c>
      <c r="F1777">
        <v>1</v>
      </c>
      <c r="G1777" t="s">
        <v>16</v>
      </c>
      <c r="H1777">
        <v>0</v>
      </c>
      <c r="I1777" s="2" t="s">
        <v>598</v>
      </c>
      <c r="J1777" s="2">
        <v>414000</v>
      </c>
      <c r="K1777">
        <v>20</v>
      </c>
      <c r="L1777">
        <v>20</v>
      </c>
      <c r="M1777">
        <v>20</v>
      </c>
    </row>
    <row r="1778" spans="1:13" x14ac:dyDescent="0.25">
      <c r="A1778" t="s">
        <v>3918</v>
      </c>
      <c r="B1778" t="s">
        <v>3917</v>
      </c>
      <c r="C1778" t="s">
        <v>151</v>
      </c>
      <c r="D1778" t="s">
        <v>1670</v>
      </c>
      <c r="F1778">
        <v>0</v>
      </c>
      <c r="G1778" t="s">
        <v>16</v>
      </c>
      <c r="H1778">
        <v>0</v>
      </c>
      <c r="I1778" s="2" t="s">
        <v>993</v>
      </c>
      <c r="J1778" s="2">
        <v>202364001</v>
      </c>
      <c r="K1778">
        <v>20</v>
      </c>
      <c r="L1778">
        <v>20</v>
      </c>
      <c r="M1778">
        <v>20</v>
      </c>
    </row>
    <row r="1779" spans="1:13" x14ac:dyDescent="0.25">
      <c r="A1779" t="s">
        <v>3919</v>
      </c>
      <c r="B1779" t="s">
        <v>3920</v>
      </c>
      <c r="C1779" t="s">
        <v>151</v>
      </c>
      <c r="D1779" t="s">
        <v>1670</v>
      </c>
      <c r="F1779">
        <v>1</v>
      </c>
      <c r="G1779" t="s">
        <v>16</v>
      </c>
      <c r="H1779">
        <v>0</v>
      </c>
      <c r="I1779" s="2" t="s">
        <v>3921</v>
      </c>
      <c r="J1779" s="2">
        <v>59331</v>
      </c>
      <c r="K1779">
        <v>20</v>
      </c>
      <c r="L1779">
        <v>20</v>
      </c>
      <c r="M1779">
        <v>20</v>
      </c>
    </row>
    <row r="1780" spans="1:13" x14ac:dyDescent="0.25">
      <c r="A1780" t="s">
        <v>3922</v>
      </c>
      <c r="B1780" t="s">
        <v>3923</v>
      </c>
      <c r="C1780" t="s">
        <v>151</v>
      </c>
      <c r="D1780" t="s">
        <v>1670</v>
      </c>
      <c r="F1780">
        <v>1</v>
      </c>
      <c r="G1780" t="s">
        <v>16</v>
      </c>
      <c r="H1780">
        <v>0</v>
      </c>
      <c r="I1780" s="2" t="s">
        <v>162</v>
      </c>
      <c r="J1780" s="2">
        <v>83116</v>
      </c>
      <c r="K1780">
        <v>20</v>
      </c>
      <c r="L1780">
        <v>20</v>
      </c>
      <c r="M1780">
        <v>20</v>
      </c>
    </row>
    <row r="1781" spans="1:13" x14ac:dyDescent="0.25">
      <c r="A1781" t="s">
        <v>3924</v>
      </c>
      <c r="B1781" t="s">
        <v>3923</v>
      </c>
      <c r="C1781" t="s">
        <v>151</v>
      </c>
      <c r="D1781" t="s">
        <v>1670</v>
      </c>
      <c r="G1781" t="s">
        <v>16</v>
      </c>
      <c r="H1781">
        <v>0</v>
      </c>
      <c r="I1781" s="2" t="s">
        <v>3909</v>
      </c>
      <c r="J1781" s="2">
        <v>59334</v>
      </c>
      <c r="K1781">
        <v>20</v>
      </c>
      <c r="L1781">
        <v>20</v>
      </c>
      <c r="M1781">
        <v>20</v>
      </c>
    </row>
    <row r="1782" spans="1:13" x14ac:dyDescent="0.25">
      <c r="A1782" t="s">
        <v>3925</v>
      </c>
      <c r="B1782" t="s">
        <v>3923</v>
      </c>
      <c r="C1782" t="s">
        <v>151</v>
      </c>
      <c r="D1782" t="s">
        <v>1670</v>
      </c>
      <c r="F1782">
        <v>1</v>
      </c>
      <c r="G1782" t="s">
        <v>16</v>
      </c>
      <c r="H1782">
        <v>0</v>
      </c>
      <c r="I1782" s="2" t="s">
        <v>266</v>
      </c>
      <c r="J1782" s="2">
        <v>86434</v>
      </c>
      <c r="K1782">
        <v>20</v>
      </c>
      <c r="L1782">
        <v>20</v>
      </c>
      <c r="M1782">
        <v>20</v>
      </c>
    </row>
    <row r="1783" spans="1:13" x14ac:dyDescent="0.25">
      <c r="A1783" t="s">
        <v>3926</v>
      </c>
      <c r="B1783" t="s">
        <v>3927</v>
      </c>
      <c r="C1783" t="s">
        <v>151</v>
      </c>
      <c r="D1783" t="s">
        <v>1670</v>
      </c>
      <c r="F1783">
        <v>1</v>
      </c>
      <c r="G1783" t="s">
        <v>16</v>
      </c>
      <c r="H1783">
        <v>0</v>
      </c>
      <c r="I1783" s="2" t="s">
        <v>285</v>
      </c>
      <c r="J1783" s="2">
        <v>83162</v>
      </c>
      <c r="K1783">
        <v>20</v>
      </c>
      <c r="L1783">
        <v>20</v>
      </c>
      <c r="M1783">
        <v>20</v>
      </c>
    </row>
    <row r="1784" spans="1:13" x14ac:dyDescent="0.25">
      <c r="A1784" t="s">
        <v>3928</v>
      </c>
      <c r="B1784" t="s">
        <v>3929</v>
      </c>
      <c r="C1784" t="s">
        <v>151</v>
      </c>
      <c r="D1784" t="s">
        <v>1670</v>
      </c>
      <c r="F1784">
        <v>1</v>
      </c>
      <c r="G1784" t="s">
        <v>16</v>
      </c>
      <c r="H1784">
        <v>0</v>
      </c>
      <c r="I1784" s="2" t="s">
        <v>598</v>
      </c>
      <c r="J1784" s="2">
        <v>419400</v>
      </c>
      <c r="K1784">
        <v>20</v>
      </c>
      <c r="L1784">
        <v>20</v>
      </c>
      <c r="M1784">
        <v>20</v>
      </c>
    </row>
    <row r="1785" spans="1:13" x14ac:dyDescent="0.25">
      <c r="A1785" t="s">
        <v>3930</v>
      </c>
      <c r="B1785" t="s">
        <v>3931</v>
      </c>
      <c r="C1785" t="s">
        <v>151</v>
      </c>
      <c r="D1785" t="s">
        <v>1670</v>
      </c>
      <c r="G1785" t="s">
        <v>16</v>
      </c>
      <c r="H1785">
        <v>0</v>
      </c>
      <c r="I1785" s="2" t="s">
        <v>3909</v>
      </c>
      <c r="J1785" s="2">
        <v>59344</v>
      </c>
      <c r="K1785">
        <v>20</v>
      </c>
      <c r="L1785">
        <v>20</v>
      </c>
      <c r="M1785">
        <v>20</v>
      </c>
    </row>
    <row r="1786" spans="1:13" x14ac:dyDescent="0.25">
      <c r="A1786" t="s">
        <v>3932</v>
      </c>
      <c r="B1786" t="s">
        <v>3933</v>
      </c>
      <c r="C1786" t="s">
        <v>151</v>
      </c>
      <c r="D1786" t="s">
        <v>1670</v>
      </c>
      <c r="G1786" t="s">
        <v>16</v>
      </c>
      <c r="H1786">
        <v>0</v>
      </c>
      <c r="I1786" s="2" t="s">
        <v>500</v>
      </c>
      <c r="J1786" s="2" t="s">
        <v>3934</v>
      </c>
      <c r="K1786">
        <v>20</v>
      </c>
      <c r="L1786">
        <v>20</v>
      </c>
      <c r="M1786">
        <v>20</v>
      </c>
    </row>
    <row r="1787" spans="1:13" x14ac:dyDescent="0.25">
      <c r="A1787" t="s">
        <v>3935</v>
      </c>
      <c r="B1787" t="s">
        <v>3936</v>
      </c>
      <c r="C1787" t="s">
        <v>151</v>
      </c>
      <c r="D1787" t="s">
        <v>1670</v>
      </c>
      <c r="G1787" t="s">
        <v>16</v>
      </c>
      <c r="H1787">
        <v>0</v>
      </c>
      <c r="I1787" s="2" t="s">
        <v>504</v>
      </c>
      <c r="J1787" s="2" t="s">
        <v>3935</v>
      </c>
      <c r="K1787">
        <v>20</v>
      </c>
      <c r="L1787">
        <v>20</v>
      </c>
      <c r="M1787">
        <v>20</v>
      </c>
    </row>
    <row r="1788" spans="1:13" x14ac:dyDescent="0.25">
      <c r="A1788" t="s">
        <v>3937</v>
      </c>
      <c r="B1788" t="s">
        <v>3938</v>
      </c>
      <c r="C1788" t="s">
        <v>151</v>
      </c>
      <c r="D1788" t="s">
        <v>1670</v>
      </c>
      <c r="F1788">
        <v>1</v>
      </c>
      <c r="G1788" t="s">
        <v>16</v>
      </c>
      <c r="H1788">
        <v>0</v>
      </c>
      <c r="I1788" s="2" t="s">
        <v>1107</v>
      </c>
      <c r="J1788" s="2" t="s">
        <v>3939</v>
      </c>
      <c r="K1788">
        <v>20</v>
      </c>
      <c r="L1788">
        <v>20</v>
      </c>
      <c r="M1788">
        <v>20</v>
      </c>
    </row>
    <row r="1789" spans="1:13" x14ac:dyDescent="0.25">
      <c r="A1789" t="s">
        <v>3940</v>
      </c>
      <c r="B1789" t="s">
        <v>3941</v>
      </c>
      <c r="C1789" t="s">
        <v>151</v>
      </c>
      <c r="D1789" t="s">
        <v>1670</v>
      </c>
      <c r="G1789" t="s">
        <v>16</v>
      </c>
      <c r="H1789">
        <v>0</v>
      </c>
      <c r="I1789" s="2" t="s">
        <v>500</v>
      </c>
      <c r="J1789" s="2" t="s">
        <v>3942</v>
      </c>
      <c r="K1789">
        <v>20</v>
      </c>
      <c r="L1789">
        <v>20</v>
      </c>
      <c r="M1789">
        <v>20</v>
      </c>
    </row>
    <row r="1790" spans="1:13" x14ac:dyDescent="0.25">
      <c r="A1790" t="s">
        <v>3943</v>
      </c>
      <c r="B1790" t="s">
        <v>3944</v>
      </c>
      <c r="C1790" t="s">
        <v>151</v>
      </c>
      <c r="D1790" t="s">
        <v>1670</v>
      </c>
      <c r="F1790">
        <v>1</v>
      </c>
      <c r="G1790" t="s">
        <v>16</v>
      </c>
      <c r="H1790">
        <v>0</v>
      </c>
      <c r="I1790" s="2" t="s">
        <v>3945</v>
      </c>
      <c r="J1790" s="2">
        <v>6142360016</v>
      </c>
      <c r="K1790">
        <v>20</v>
      </c>
      <c r="L1790">
        <v>20</v>
      </c>
      <c r="M1790">
        <v>20</v>
      </c>
    </row>
    <row r="1791" spans="1:13" x14ac:dyDescent="0.25">
      <c r="A1791" t="s">
        <v>3946</v>
      </c>
      <c r="B1791" t="s">
        <v>3947</v>
      </c>
      <c r="C1791" t="s">
        <v>151</v>
      </c>
      <c r="D1791" t="s">
        <v>1670</v>
      </c>
      <c r="F1791">
        <v>1</v>
      </c>
      <c r="G1791" t="s">
        <v>16</v>
      </c>
      <c r="H1791">
        <v>0</v>
      </c>
      <c r="I1791" s="2" t="s">
        <v>598</v>
      </c>
      <c r="J1791" s="2">
        <v>418600</v>
      </c>
      <c r="K1791">
        <v>20</v>
      </c>
      <c r="L1791">
        <v>20</v>
      </c>
      <c r="M1791">
        <v>20</v>
      </c>
    </row>
    <row r="1792" spans="1:13" x14ac:dyDescent="0.25">
      <c r="A1792" t="s">
        <v>3948</v>
      </c>
      <c r="B1792" t="s">
        <v>3949</v>
      </c>
      <c r="C1792" t="s">
        <v>151</v>
      </c>
      <c r="D1792" t="s">
        <v>1670</v>
      </c>
      <c r="F1792">
        <v>0</v>
      </c>
      <c r="G1792" t="s">
        <v>16</v>
      </c>
      <c r="H1792">
        <v>0</v>
      </c>
      <c r="I1792" s="2" t="s">
        <v>1175</v>
      </c>
      <c r="J1792" s="2" t="s">
        <v>3950</v>
      </c>
      <c r="K1792">
        <v>20</v>
      </c>
      <c r="L1792">
        <v>20</v>
      </c>
      <c r="M1792">
        <v>20</v>
      </c>
    </row>
    <row r="1793" spans="1:13" x14ac:dyDescent="0.25">
      <c r="A1793" t="s">
        <v>3951</v>
      </c>
      <c r="B1793" t="s">
        <v>3949</v>
      </c>
      <c r="C1793" t="s">
        <v>151</v>
      </c>
      <c r="D1793" t="s">
        <v>1670</v>
      </c>
      <c r="F1793">
        <v>1</v>
      </c>
      <c r="G1793" t="s">
        <v>16</v>
      </c>
      <c r="H1793">
        <v>0</v>
      </c>
      <c r="I1793" s="2" t="s">
        <v>285</v>
      </c>
      <c r="J1793" s="2">
        <v>83163</v>
      </c>
      <c r="K1793">
        <v>20</v>
      </c>
      <c r="L1793">
        <v>20</v>
      </c>
      <c r="M1793">
        <v>20</v>
      </c>
    </row>
    <row r="1794" spans="1:13" x14ac:dyDescent="0.25">
      <c r="A1794" t="s">
        <v>3952</v>
      </c>
      <c r="B1794" t="s">
        <v>3953</v>
      </c>
      <c r="C1794" t="s">
        <v>151</v>
      </c>
      <c r="D1794" t="s">
        <v>1670</v>
      </c>
      <c r="F1794">
        <v>1</v>
      </c>
      <c r="G1794" t="s">
        <v>16</v>
      </c>
      <c r="H1794">
        <v>0</v>
      </c>
      <c r="I1794" s="2" t="s">
        <v>3921</v>
      </c>
      <c r="J1794" s="2">
        <v>59735</v>
      </c>
      <c r="K1794">
        <v>20</v>
      </c>
      <c r="L1794">
        <v>20</v>
      </c>
      <c r="M1794">
        <v>20</v>
      </c>
    </row>
    <row r="1795" spans="1:13" x14ac:dyDescent="0.25">
      <c r="A1795" t="s">
        <v>3954</v>
      </c>
      <c r="B1795" t="s">
        <v>3955</v>
      </c>
      <c r="C1795" t="s">
        <v>151</v>
      </c>
      <c r="D1795" t="s">
        <v>1670</v>
      </c>
      <c r="F1795">
        <v>1</v>
      </c>
      <c r="G1795" t="s">
        <v>16</v>
      </c>
      <c r="H1795">
        <v>0</v>
      </c>
      <c r="I1795" s="2" t="s">
        <v>3921</v>
      </c>
      <c r="J1795" s="2">
        <v>59399</v>
      </c>
      <c r="K1795">
        <v>20</v>
      </c>
      <c r="L1795">
        <v>20</v>
      </c>
      <c r="M1795">
        <v>20</v>
      </c>
    </row>
    <row r="1796" spans="1:13" x14ac:dyDescent="0.25">
      <c r="A1796" t="s">
        <v>3956</v>
      </c>
      <c r="B1796" t="s">
        <v>3957</v>
      </c>
      <c r="C1796" t="s">
        <v>151</v>
      </c>
      <c r="D1796" t="s">
        <v>1670</v>
      </c>
      <c r="F1796">
        <v>2</v>
      </c>
      <c r="G1796" t="s">
        <v>16</v>
      </c>
      <c r="H1796">
        <v>0</v>
      </c>
      <c r="I1796" s="2" t="s">
        <v>500</v>
      </c>
      <c r="J1796" s="2" t="s">
        <v>3958</v>
      </c>
      <c r="K1796">
        <v>20</v>
      </c>
      <c r="L1796">
        <v>20</v>
      </c>
      <c r="M1796">
        <v>20</v>
      </c>
    </row>
    <row r="1797" spans="1:13" x14ac:dyDescent="0.25">
      <c r="A1797" t="s">
        <v>3959</v>
      </c>
      <c r="B1797" t="s">
        <v>3960</v>
      </c>
      <c r="C1797" t="s">
        <v>151</v>
      </c>
      <c r="D1797" t="s">
        <v>3551</v>
      </c>
      <c r="G1797" t="s">
        <v>16</v>
      </c>
      <c r="H1797">
        <v>0</v>
      </c>
      <c r="I1797" s="2" t="s">
        <v>142</v>
      </c>
      <c r="J1797" s="2" t="s">
        <v>3961</v>
      </c>
      <c r="K1797">
        <v>20</v>
      </c>
      <c r="L1797">
        <v>20</v>
      </c>
      <c r="M1797">
        <v>20</v>
      </c>
    </row>
    <row r="1798" spans="1:13" x14ac:dyDescent="0.25">
      <c r="A1798" t="s">
        <v>3962</v>
      </c>
      <c r="B1798" t="s">
        <v>3960</v>
      </c>
      <c r="C1798" t="s">
        <v>151</v>
      </c>
      <c r="D1798" t="s">
        <v>3551</v>
      </c>
      <c r="F1798">
        <v>3</v>
      </c>
      <c r="G1798" t="s">
        <v>16</v>
      </c>
      <c r="H1798">
        <v>0</v>
      </c>
      <c r="I1798" s="2" t="s">
        <v>491</v>
      </c>
      <c r="J1798" s="2">
        <v>359003410010</v>
      </c>
      <c r="K1798">
        <v>20</v>
      </c>
      <c r="L1798">
        <v>20</v>
      </c>
      <c r="M1798">
        <v>20</v>
      </c>
    </row>
    <row r="1799" spans="1:13" x14ac:dyDescent="0.25">
      <c r="A1799" t="s">
        <v>3963</v>
      </c>
      <c r="B1799" t="s">
        <v>3960</v>
      </c>
      <c r="C1799" t="s">
        <v>151</v>
      </c>
      <c r="D1799" t="s">
        <v>1670</v>
      </c>
      <c r="F1799">
        <v>7</v>
      </c>
      <c r="G1799" t="s">
        <v>16</v>
      </c>
      <c r="H1799">
        <v>0</v>
      </c>
      <c r="I1799" s="2" t="s">
        <v>1175</v>
      </c>
      <c r="J1799" s="2" t="s">
        <v>3964</v>
      </c>
      <c r="K1799">
        <v>20</v>
      </c>
      <c r="L1799">
        <v>20</v>
      </c>
      <c r="M1799">
        <v>20</v>
      </c>
    </row>
    <row r="1800" spans="1:13" x14ac:dyDescent="0.25">
      <c r="A1800" t="s">
        <v>3965</v>
      </c>
      <c r="B1800" t="s">
        <v>3966</v>
      </c>
      <c r="C1800" t="s">
        <v>151</v>
      </c>
      <c r="D1800" t="s">
        <v>1670</v>
      </c>
      <c r="F1800">
        <v>1</v>
      </c>
      <c r="G1800" t="s">
        <v>16</v>
      </c>
      <c r="H1800">
        <v>0</v>
      </c>
      <c r="I1800" s="2" t="s">
        <v>996</v>
      </c>
      <c r="J1800" s="2" t="s">
        <v>3967</v>
      </c>
      <c r="K1800">
        <v>20</v>
      </c>
      <c r="L1800">
        <v>20</v>
      </c>
      <c r="M1800">
        <v>20</v>
      </c>
    </row>
    <row r="1801" spans="1:13" x14ac:dyDescent="0.25">
      <c r="A1801" t="s">
        <v>3968</v>
      </c>
      <c r="B1801" t="s">
        <v>3969</v>
      </c>
      <c r="C1801" t="s">
        <v>540</v>
      </c>
      <c r="F1801">
        <v>5</v>
      </c>
      <c r="G1801" t="s">
        <v>16</v>
      </c>
      <c r="H1801">
        <v>0</v>
      </c>
      <c r="I1801" s="2" t="s">
        <v>591</v>
      </c>
      <c r="J1801" s="2">
        <v>220823</v>
      </c>
      <c r="K1801">
        <v>20</v>
      </c>
      <c r="L1801">
        <v>20</v>
      </c>
      <c r="M1801">
        <v>20</v>
      </c>
    </row>
    <row r="1802" spans="1:13" x14ac:dyDescent="0.25">
      <c r="A1802" t="s">
        <v>3970</v>
      </c>
      <c r="B1802" t="s">
        <v>3971</v>
      </c>
      <c r="C1802" t="s">
        <v>1736</v>
      </c>
      <c r="G1802" t="s">
        <v>16</v>
      </c>
      <c r="H1802">
        <v>0</v>
      </c>
      <c r="I1802" s="2" t="s">
        <v>1745</v>
      </c>
      <c r="J1802" s="2" t="s">
        <v>3972</v>
      </c>
      <c r="K1802">
        <v>20</v>
      </c>
      <c r="L1802">
        <v>20</v>
      </c>
      <c r="M1802">
        <v>20</v>
      </c>
    </row>
    <row r="1803" spans="1:13" x14ac:dyDescent="0.25">
      <c r="A1803" t="s">
        <v>3973</v>
      </c>
      <c r="B1803" t="s">
        <v>3975</v>
      </c>
      <c r="C1803" t="s">
        <v>1736</v>
      </c>
      <c r="F1803">
        <v>2</v>
      </c>
      <c r="G1803" t="s">
        <v>16</v>
      </c>
      <c r="H1803">
        <v>0</v>
      </c>
      <c r="I1803" s="2" t="s">
        <v>1802</v>
      </c>
      <c r="J1803" s="2" t="s">
        <v>3974</v>
      </c>
      <c r="K1803">
        <v>20</v>
      </c>
      <c r="L1803">
        <v>20</v>
      </c>
      <c r="M1803">
        <v>20</v>
      </c>
    </row>
    <row r="1804" spans="1:13" x14ac:dyDescent="0.25">
      <c r="A1804" t="s">
        <v>3976</v>
      </c>
      <c r="B1804" t="s">
        <v>3975</v>
      </c>
      <c r="C1804" t="s">
        <v>540</v>
      </c>
      <c r="D1804" t="s">
        <v>1736</v>
      </c>
      <c r="G1804" t="s">
        <v>16</v>
      </c>
      <c r="H1804">
        <v>0</v>
      </c>
      <c r="I1804" s="2" t="s">
        <v>1463</v>
      </c>
      <c r="J1804" s="2">
        <v>26550</v>
      </c>
      <c r="K1804">
        <v>20</v>
      </c>
      <c r="L1804">
        <v>20</v>
      </c>
      <c r="M1804">
        <v>20</v>
      </c>
    </row>
    <row r="1805" spans="1:13" x14ac:dyDescent="0.25">
      <c r="A1805" t="s">
        <v>3977</v>
      </c>
      <c r="B1805" t="s">
        <v>3978</v>
      </c>
      <c r="C1805" t="s">
        <v>540</v>
      </c>
      <c r="D1805" t="s">
        <v>1736</v>
      </c>
      <c r="G1805" t="s">
        <v>16</v>
      </c>
      <c r="H1805">
        <v>0</v>
      </c>
      <c r="I1805" s="2" t="s">
        <v>1107</v>
      </c>
      <c r="J1805" s="2" t="s">
        <v>3979</v>
      </c>
      <c r="K1805">
        <v>20</v>
      </c>
      <c r="L1805">
        <v>20</v>
      </c>
      <c r="M1805">
        <v>20</v>
      </c>
    </row>
    <row r="1806" spans="1:13" x14ac:dyDescent="0.25">
      <c r="A1806" t="s">
        <v>3980</v>
      </c>
      <c r="B1806" t="s">
        <v>3975</v>
      </c>
      <c r="C1806" t="s">
        <v>1736</v>
      </c>
      <c r="G1806" t="s">
        <v>16</v>
      </c>
      <c r="H1806">
        <v>0</v>
      </c>
      <c r="K1806">
        <v>20</v>
      </c>
      <c r="L1806">
        <v>20</v>
      </c>
      <c r="M1806">
        <v>20</v>
      </c>
    </row>
    <row r="1807" spans="1:13" x14ac:dyDescent="0.25">
      <c r="A1807" t="s">
        <v>3981</v>
      </c>
      <c r="B1807" t="s">
        <v>3983</v>
      </c>
      <c r="C1807" t="s">
        <v>241</v>
      </c>
      <c r="D1807" t="s">
        <v>242</v>
      </c>
      <c r="G1807" t="s">
        <v>16</v>
      </c>
      <c r="H1807">
        <v>0</v>
      </c>
      <c r="I1807" s="2" t="s">
        <v>737</v>
      </c>
      <c r="J1807" s="2" t="s">
        <v>3982</v>
      </c>
      <c r="K1807">
        <v>20</v>
      </c>
      <c r="L1807">
        <v>20</v>
      </c>
      <c r="M1807">
        <v>20</v>
      </c>
    </row>
    <row r="1808" spans="1:13" x14ac:dyDescent="0.25">
      <c r="A1808" t="s">
        <v>3984</v>
      </c>
      <c r="B1808" t="s">
        <v>3985</v>
      </c>
      <c r="C1808" t="s">
        <v>151</v>
      </c>
      <c r="G1808" t="s">
        <v>16</v>
      </c>
      <c r="H1808">
        <v>0</v>
      </c>
      <c r="I1808" s="2" t="s">
        <v>500</v>
      </c>
      <c r="J1808" s="2" t="s">
        <v>3986</v>
      </c>
      <c r="K1808">
        <v>20</v>
      </c>
      <c r="L1808">
        <v>20</v>
      </c>
      <c r="M1808">
        <v>20</v>
      </c>
    </row>
    <row r="1809" spans="1:13" x14ac:dyDescent="0.25">
      <c r="A1809" t="s">
        <v>3987</v>
      </c>
      <c r="B1809" t="s">
        <v>3988</v>
      </c>
      <c r="C1809" t="s">
        <v>357</v>
      </c>
      <c r="D1809" t="s">
        <v>241</v>
      </c>
      <c r="F1809">
        <v>1</v>
      </c>
      <c r="G1809" t="s">
        <v>16</v>
      </c>
      <c r="H1809">
        <v>0</v>
      </c>
      <c r="I1809" s="2" t="s">
        <v>737</v>
      </c>
      <c r="J1809" s="2" t="s">
        <v>3989</v>
      </c>
      <c r="K1809">
        <v>20</v>
      </c>
      <c r="L1809">
        <v>20</v>
      </c>
      <c r="M1809">
        <v>20</v>
      </c>
    </row>
    <row r="1810" spans="1:13" x14ac:dyDescent="0.25">
      <c r="A1810" t="s">
        <v>3990</v>
      </c>
      <c r="B1810" t="s">
        <v>3991</v>
      </c>
      <c r="C1810" t="s">
        <v>357</v>
      </c>
      <c r="D1810" t="s">
        <v>241</v>
      </c>
      <c r="G1810" t="s">
        <v>16</v>
      </c>
      <c r="H1810">
        <v>0</v>
      </c>
      <c r="I1810" s="2" t="s">
        <v>243</v>
      </c>
      <c r="J1810" s="2">
        <v>21659</v>
      </c>
      <c r="K1810">
        <v>20</v>
      </c>
      <c r="L1810">
        <v>20</v>
      </c>
      <c r="M1810">
        <v>20</v>
      </c>
    </row>
    <row r="1811" spans="1:13" x14ac:dyDescent="0.25">
      <c r="A1811" t="s">
        <v>3992</v>
      </c>
      <c r="B1811" t="s">
        <v>3993</v>
      </c>
      <c r="C1811" t="s">
        <v>357</v>
      </c>
      <c r="D1811" t="s">
        <v>241</v>
      </c>
      <c r="F1811">
        <v>1</v>
      </c>
      <c r="G1811" t="s">
        <v>16</v>
      </c>
      <c r="H1811">
        <v>0</v>
      </c>
      <c r="I1811" s="2" t="s">
        <v>243</v>
      </c>
      <c r="J1811" s="2">
        <v>21658</v>
      </c>
      <c r="K1811">
        <v>20</v>
      </c>
      <c r="L1811">
        <v>20</v>
      </c>
      <c r="M1811">
        <v>20</v>
      </c>
    </row>
    <row r="1812" spans="1:13" x14ac:dyDescent="0.25">
      <c r="A1812" t="s">
        <v>3994</v>
      </c>
      <c r="B1812" t="s">
        <v>3996</v>
      </c>
      <c r="C1812" t="s">
        <v>540</v>
      </c>
      <c r="G1812" t="s">
        <v>16</v>
      </c>
      <c r="H1812">
        <v>0</v>
      </c>
      <c r="I1812" s="2" t="s">
        <v>288</v>
      </c>
      <c r="J1812" s="2" t="s">
        <v>3995</v>
      </c>
      <c r="K1812">
        <v>20</v>
      </c>
      <c r="L1812">
        <v>20</v>
      </c>
      <c r="M1812">
        <v>20</v>
      </c>
    </row>
    <row r="1813" spans="1:13" x14ac:dyDescent="0.25">
      <c r="A1813" t="s">
        <v>3997</v>
      </c>
      <c r="B1813" t="s">
        <v>3998</v>
      </c>
      <c r="C1813" t="s">
        <v>540</v>
      </c>
      <c r="F1813">
        <v>1</v>
      </c>
      <c r="G1813" t="s">
        <v>16</v>
      </c>
      <c r="H1813">
        <v>0</v>
      </c>
      <c r="I1813" s="2" t="s">
        <v>2331</v>
      </c>
      <c r="J1813" s="2" t="s">
        <v>3999</v>
      </c>
      <c r="K1813">
        <v>20</v>
      </c>
      <c r="L1813">
        <v>20</v>
      </c>
      <c r="M1813">
        <v>20</v>
      </c>
    </row>
    <row r="1814" spans="1:13" x14ac:dyDescent="0.25">
      <c r="A1814" t="s">
        <v>4000</v>
      </c>
      <c r="B1814" t="s">
        <v>4001</v>
      </c>
      <c r="C1814" t="s">
        <v>151</v>
      </c>
      <c r="D1814" t="s">
        <v>152</v>
      </c>
      <c r="G1814" t="s">
        <v>16</v>
      </c>
      <c r="H1814">
        <v>0</v>
      </c>
      <c r="I1814" s="2" t="s">
        <v>1488</v>
      </c>
      <c r="J1814" s="3">
        <v>73005</v>
      </c>
      <c r="K1814">
        <v>20</v>
      </c>
      <c r="L1814">
        <v>20</v>
      </c>
      <c r="M1814">
        <v>20</v>
      </c>
    </row>
    <row r="1815" spans="1:13" x14ac:dyDescent="0.25">
      <c r="A1815" t="s">
        <v>4002</v>
      </c>
      <c r="B1815" t="s">
        <v>4001</v>
      </c>
      <c r="C1815" t="s">
        <v>151</v>
      </c>
      <c r="D1815" t="s">
        <v>152</v>
      </c>
      <c r="G1815" t="s">
        <v>16</v>
      </c>
      <c r="H1815">
        <v>0</v>
      </c>
      <c r="I1815" s="2" t="s">
        <v>953</v>
      </c>
      <c r="J1815" s="2">
        <v>32230</v>
      </c>
      <c r="K1815">
        <v>20</v>
      </c>
      <c r="L1815">
        <v>20</v>
      </c>
      <c r="M1815">
        <v>20</v>
      </c>
    </row>
    <row r="1816" spans="1:13" x14ac:dyDescent="0.25">
      <c r="A1816" t="s">
        <v>4003</v>
      </c>
      <c r="B1816" t="s">
        <v>4004</v>
      </c>
      <c r="C1816" t="s">
        <v>151</v>
      </c>
      <c r="D1816" t="s">
        <v>152</v>
      </c>
      <c r="F1816">
        <v>2</v>
      </c>
      <c r="G1816" t="s">
        <v>16</v>
      </c>
      <c r="H1816">
        <v>0</v>
      </c>
      <c r="I1816" s="2" t="s">
        <v>759</v>
      </c>
      <c r="J1816" s="2" t="s">
        <v>4005</v>
      </c>
      <c r="K1816">
        <v>20</v>
      </c>
      <c r="L1816">
        <v>20</v>
      </c>
      <c r="M1816">
        <v>20</v>
      </c>
    </row>
    <row r="1817" spans="1:13" x14ac:dyDescent="0.25">
      <c r="A1817" t="s">
        <v>4006</v>
      </c>
      <c r="B1817" t="s">
        <v>4007</v>
      </c>
      <c r="C1817" t="s">
        <v>151</v>
      </c>
      <c r="D1817" t="s">
        <v>152</v>
      </c>
      <c r="F1817">
        <v>2</v>
      </c>
      <c r="G1817" t="s">
        <v>16</v>
      </c>
      <c r="H1817">
        <v>0</v>
      </c>
      <c r="I1817" s="2" t="s">
        <v>383</v>
      </c>
      <c r="J1817" s="2" t="str">
        <f>"0281002209"</f>
        <v>0281002209</v>
      </c>
      <c r="K1817">
        <v>20</v>
      </c>
      <c r="L1817">
        <v>20</v>
      </c>
      <c r="M1817">
        <v>20</v>
      </c>
    </row>
    <row r="1818" spans="1:13" x14ac:dyDescent="0.25">
      <c r="A1818" t="s">
        <v>4008</v>
      </c>
      <c r="B1818" t="s">
        <v>4007</v>
      </c>
      <c r="C1818" t="s">
        <v>151</v>
      </c>
      <c r="D1818" t="s">
        <v>152</v>
      </c>
      <c r="F1818">
        <v>1</v>
      </c>
      <c r="G1818" t="s">
        <v>16</v>
      </c>
      <c r="H1818">
        <v>0</v>
      </c>
      <c r="I1818" s="2" t="s">
        <v>1488</v>
      </c>
      <c r="J1818" s="3">
        <v>73239</v>
      </c>
      <c r="K1818">
        <v>20</v>
      </c>
      <c r="L1818">
        <v>20</v>
      </c>
      <c r="M1818">
        <v>20</v>
      </c>
    </row>
    <row r="1819" spans="1:13" x14ac:dyDescent="0.25">
      <c r="A1819" t="s">
        <v>4009</v>
      </c>
      <c r="B1819" t="s">
        <v>4007</v>
      </c>
      <c r="C1819" t="s">
        <v>151</v>
      </c>
      <c r="D1819" t="s">
        <v>152</v>
      </c>
      <c r="F1819">
        <v>3</v>
      </c>
      <c r="G1819" t="s">
        <v>16</v>
      </c>
      <c r="H1819">
        <v>0</v>
      </c>
      <c r="I1819" s="2" t="s">
        <v>953</v>
      </c>
      <c r="J1819" s="2">
        <v>33685</v>
      </c>
      <c r="K1819">
        <v>20</v>
      </c>
      <c r="L1819">
        <v>20</v>
      </c>
      <c r="M1819">
        <v>20</v>
      </c>
    </row>
    <row r="1820" spans="1:13" x14ac:dyDescent="0.25">
      <c r="A1820" t="s">
        <v>4010</v>
      </c>
      <c r="B1820" t="s">
        <v>4011</v>
      </c>
      <c r="C1820" t="s">
        <v>151</v>
      </c>
      <c r="D1820" t="s">
        <v>152</v>
      </c>
      <c r="G1820" t="s">
        <v>16</v>
      </c>
      <c r="H1820">
        <v>0</v>
      </c>
      <c r="I1820" s="2" t="s">
        <v>953</v>
      </c>
      <c r="J1820" s="2">
        <v>33680</v>
      </c>
      <c r="K1820">
        <v>20</v>
      </c>
      <c r="L1820">
        <v>20</v>
      </c>
      <c r="M1820">
        <v>20</v>
      </c>
    </row>
    <row r="1821" spans="1:13" x14ac:dyDescent="0.25">
      <c r="A1821" t="s">
        <v>4012</v>
      </c>
      <c r="B1821" t="s">
        <v>4013</v>
      </c>
      <c r="C1821" t="s">
        <v>151</v>
      </c>
      <c r="D1821" t="s">
        <v>152</v>
      </c>
      <c r="G1821" t="s">
        <v>16</v>
      </c>
      <c r="H1821">
        <v>0</v>
      </c>
      <c r="I1821" s="2" t="s">
        <v>953</v>
      </c>
      <c r="J1821" s="2">
        <v>33320</v>
      </c>
      <c r="K1821">
        <v>20</v>
      </c>
      <c r="L1821">
        <v>20</v>
      </c>
      <c r="M1821">
        <v>20</v>
      </c>
    </row>
    <row r="1822" spans="1:13" x14ac:dyDescent="0.25">
      <c r="A1822" t="s">
        <v>4014</v>
      </c>
      <c r="B1822" t="s">
        <v>4013</v>
      </c>
      <c r="C1822" t="s">
        <v>151</v>
      </c>
      <c r="D1822" t="s">
        <v>152</v>
      </c>
      <c r="F1822">
        <v>1</v>
      </c>
      <c r="G1822" t="s">
        <v>16</v>
      </c>
      <c r="H1822">
        <v>0</v>
      </c>
      <c r="I1822" s="2" t="s">
        <v>165</v>
      </c>
      <c r="J1822" s="2">
        <v>205095</v>
      </c>
      <c r="K1822">
        <v>20</v>
      </c>
      <c r="L1822">
        <v>20</v>
      </c>
      <c r="M1822">
        <v>20</v>
      </c>
    </row>
    <row r="1823" spans="1:13" x14ac:dyDescent="0.25">
      <c r="A1823" t="s">
        <v>4015</v>
      </c>
      <c r="B1823" t="s">
        <v>4016</v>
      </c>
      <c r="C1823" t="s">
        <v>241</v>
      </c>
      <c r="D1823" t="s">
        <v>2216</v>
      </c>
      <c r="F1823">
        <v>1</v>
      </c>
      <c r="G1823" t="s">
        <v>16</v>
      </c>
      <c r="H1823">
        <v>0</v>
      </c>
      <c r="I1823" s="2" t="s">
        <v>245</v>
      </c>
      <c r="J1823" s="2" t="s">
        <v>4017</v>
      </c>
      <c r="K1823">
        <v>20</v>
      </c>
      <c r="L1823">
        <v>20</v>
      </c>
      <c r="M1823">
        <v>20</v>
      </c>
    </row>
    <row r="1824" spans="1:13" x14ac:dyDescent="0.25">
      <c r="A1824" t="s">
        <v>4018</v>
      </c>
      <c r="B1824" t="s">
        <v>4019</v>
      </c>
      <c r="C1824" t="s">
        <v>241</v>
      </c>
      <c r="D1824" t="s">
        <v>2216</v>
      </c>
      <c r="F1824">
        <v>1</v>
      </c>
      <c r="G1824" t="s">
        <v>16</v>
      </c>
      <c r="H1824">
        <v>0</v>
      </c>
      <c r="I1824" s="2" t="s">
        <v>737</v>
      </c>
      <c r="J1824" s="2" t="s">
        <v>4020</v>
      </c>
      <c r="K1824">
        <v>20</v>
      </c>
      <c r="L1824">
        <v>20</v>
      </c>
      <c r="M1824">
        <v>20</v>
      </c>
    </row>
    <row r="1825" spans="1:13" x14ac:dyDescent="0.25">
      <c r="A1825" t="s">
        <v>4021</v>
      </c>
      <c r="B1825" t="s">
        <v>4022</v>
      </c>
      <c r="C1825" t="s">
        <v>357</v>
      </c>
      <c r="D1825" t="s">
        <v>241</v>
      </c>
      <c r="G1825" t="s">
        <v>16</v>
      </c>
      <c r="H1825">
        <v>0</v>
      </c>
      <c r="I1825" s="2" t="s">
        <v>243</v>
      </c>
      <c r="J1825" s="2">
        <v>17355</v>
      </c>
      <c r="K1825">
        <v>20</v>
      </c>
      <c r="L1825">
        <v>20</v>
      </c>
      <c r="M1825">
        <v>20</v>
      </c>
    </row>
    <row r="1826" spans="1:13" x14ac:dyDescent="0.25">
      <c r="A1826" t="s">
        <v>4023</v>
      </c>
      <c r="B1826" t="s">
        <v>4024</v>
      </c>
      <c r="C1826" t="s">
        <v>357</v>
      </c>
      <c r="D1826" t="s">
        <v>241</v>
      </c>
      <c r="F1826">
        <v>1</v>
      </c>
      <c r="G1826" t="s">
        <v>16</v>
      </c>
      <c r="H1826">
        <v>0</v>
      </c>
      <c r="I1826" s="2" t="s">
        <v>243</v>
      </c>
      <c r="J1826" s="2">
        <v>17351</v>
      </c>
      <c r="K1826">
        <v>20</v>
      </c>
      <c r="L1826">
        <v>20</v>
      </c>
      <c r="M1826">
        <v>20</v>
      </c>
    </row>
    <row r="1827" spans="1:13" x14ac:dyDescent="0.25">
      <c r="A1827" t="s">
        <v>4025</v>
      </c>
      <c r="B1827" t="s">
        <v>4024</v>
      </c>
      <c r="C1827" t="s">
        <v>357</v>
      </c>
      <c r="D1827" t="s">
        <v>241</v>
      </c>
      <c r="G1827" t="s">
        <v>16</v>
      </c>
      <c r="H1827">
        <v>0</v>
      </c>
      <c r="I1827" s="2" t="s">
        <v>64</v>
      </c>
      <c r="J1827" s="2">
        <v>10031339</v>
      </c>
      <c r="K1827">
        <v>20</v>
      </c>
      <c r="L1827">
        <v>20</v>
      </c>
      <c r="M1827">
        <v>20</v>
      </c>
    </row>
    <row r="1828" spans="1:13" x14ac:dyDescent="0.25">
      <c r="A1828" t="s">
        <v>4026</v>
      </c>
      <c r="B1828" t="s">
        <v>4027</v>
      </c>
      <c r="C1828" t="s">
        <v>357</v>
      </c>
      <c r="D1828" t="s">
        <v>241</v>
      </c>
      <c r="G1828" t="s">
        <v>16</v>
      </c>
      <c r="H1828">
        <v>0</v>
      </c>
      <c r="I1828" s="2" t="s">
        <v>245</v>
      </c>
      <c r="J1828" s="2" t="s">
        <v>4028</v>
      </c>
      <c r="K1828">
        <v>20</v>
      </c>
      <c r="L1828">
        <v>20</v>
      </c>
      <c r="M1828">
        <v>20</v>
      </c>
    </row>
    <row r="1829" spans="1:13" x14ac:dyDescent="0.25">
      <c r="A1829" t="s">
        <v>4029</v>
      </c>
      <c r="B1829" t="s">
        <v>4030</v>
      </c>
      <c r="C1829" t="s">
        <v>241</v>
      </c>
      <c r="D1829" t="s">
        <v>2216</v>
      </c>
      <c r="F1829">
        <v>1</v>
      </c>
      <c r="G1829" t="s">
        <v>16</v>
      </c>
      <c r="H1829">
        <v>0</v>
      </c>
      <c r="I1829" s="2" t="s">
        <v>51</v>
      </c>
      <c r="J1829" s="2" t="s">
        <v>4031</v>
      </c>
      <c r="K1829">
        <v>20</v>
      </c>
      <c r="L1829">
        <v>20</v>
      </c>
      <c r="M1829">
        <v>20</v>
      </c>
    </row>
    <row r="1830" spans="1:13" x14ac:dyDescent="0.25">
      <c r="A1830" t="s">
        <v>4032</v>
      </c>
      <c r="B1830" t="s">
        <v>4033</v>
      </c>
      <c r="C1830" t="s">
        <v>241</v>
      </c>
      <c r="D1830" t="s">
        <v>2216</v>
      </c>
      <c r="F1830">
        <v>1</v>
      </c>
      <c r="G1830" t="s">
        <v>16</v>
      </c>
      <c r="H1830">
        <v>0</v>
      </c>
      <c r="I1830" s="2" t="s">
        <v>245</v>
      </c>
      <c r="J1830" s="2" t="s">
        <v>4034</v>
      </c>
      <c r="K1830">
        <v>20</v>
      </c>
      <c r="L1830">
        <v>20</v>
      </c>
      <c r="M1830">
        <v>20</v>
      </c>
    </row>
    <row r="1831" spans="1:13" x14ac:dyDescent="0.25">
      <c r="A1831" t="s">
        <v>4035</v>
      </c>
      <c r="B1831" t="s">
        <v>4036</v>
      </c>
      <c r="C1831" t="s">
        <v>357</v>
      </c>
      <c r="D1831" t="s">
        <v>241</v>
      </c>
      <c r="G1831" t="s">
        <v>16</v>
      </c>
      <c r="H1831">
        <v>0</v>
      </c>
      <c r="I1831" s="2" t="s">
        <v>243</v>
      </c>
      <c r="J1831" s="2">
        <v>17281</v>
      </c>
      <c r="K1831">
        <v>20</v>
      </c>
      <c r="L1831">
        <v>20</v>
      </c>
      <c r="M1831">
        <v>20</v>
      </c>
    </row>
    <row r="1832" spans="1:13" x14ac:dyDescent="0.25">
      <c r="A1832" t="s">
        <v>4037</v>
      </c>
      <c r="B1832" t="s">
        <v>4036</v>
      </c>
      <c r="C1832" t="s">
        <v>357</v>
      </c>
      <c r="D1832" t="s">
        <v>241</v>
      </c>
      <c r="F1832">
        <v>2</v>
      </c>
      <c r="G1832" t="s">
        <v>16</v>
      </c>
      <c r="H1832">
        <v>0</v>
      </c>
      <c r="I1832" s="2" t="s">
        <v>266</v>
      </c>
      <c r="J1832" s="2">
        <v>66760</v>
      </c>
      <c r="K1832">
        <v>20</v>
      </c>
      <c r="L1832">
        <v>20</v>
      </c>
      <c r="M1832">
        <v>20</v>
      </c>
    </row>
    <row r="1833" spans="1:13" x14ac:dyDescent="0.25">
      <c r="A1833" t="s">
        <v>4038</v>
      </c>
      <c r="B1833" t="s">
        <v>4039</v>
      </c>
      <c r="C1833" t="s">
        <v>357</v>
      </c>
      <c r="D1833" t="s">
        <v>241</v>
      </c>
      <c r="F1833">
        <v>1</v>
      </c>
      <c r="G1833" t="s">
        <v>16</v>
      </c>
      <c r="H1833">
        <v>0</v>
      </c>
      <c r="I1833" s="2" t="s">
        <v>4040</v>
      </c>
      <c r="J1833" s="2">
        <v>73170</v>
      </c>
      <c r="K1833">
        <v>20</v>
      </c>
      <c r="L1833">
        <v>20</v>
      </c>
      <c r="M1833">
        <v>20</v>
      </c>
    </row>
    <row r="1834" spans="1:13" x14ac:dyDescent="0.25">
      <c r="A1834" t="s">
        <v>4041</v>
      </c>
      <c r="B1834" t="s">
        <v>4039</v>
      </c>
      <c r="C1834" t="s">
        <v>357</v>
      </c>
      <c r="D1834" t="s">
        <v>241</v>
      </c>
      <c r="F1834">
        <v>1</v>
      </c>
      <c r="G1834" t="s">
        <v>16</v>
      </c>
      <c r="H1834">
        <v>0</v>
      </c>
      <c r="I1834" s="2" t="s">
        <v>4042</v>
      </c>
      <c r="J1834" s="2">
        <v>17354</v>
      </c>
      <c r="K1834">
        <v>20</v>
      </c>
      <c r="L1834">
        <v>20</v>
      </c>
      <c r="M1834">
        <v>20</v>
      </c>
    </row>
    <row r="1835" spans="1:13" x14ac:dyDescent="0.25">
      <c r="A1835" t="s">
        <v>4043</v>
      </c>
      <c r="B1835" t="s">
        <v>4039</v>
      </c>
      <c r="C1835" t="s">
        <v>357</v>
      </c>
      <c r="D1835" t="s">
        <v>241</v>
      </c>
      <c r="F1835">
        <v>2</v>
      </c>
      <c r="G1835" t="s">
        <v>16</v>
      </c>
      <c r="H1835">
        <v>0</v>
      </c>
      <c r="I1835" s="2" t="s">
        <v>271</v>
      </c>
      <c r="J1835" s="2">
        <v>3353</v>
      </c>
      <c r="K1835">
        <v>20</v>
      </c>
      <c r="L1835">
        <v>20</v>
      </c>
      <c r="M1835">
        <v>20</v>
      </c>
    </row>
    <row r="1836" spans="1:13" x14ac:dyDescent="0.25">
      <c r="A1836" t="s">
        <v>4044</v>
      </c>
      <c r="B1836" t="s">
        <v>4039</v>
      </c>
      <c r="C1836" t="s">
        <v>357</v>
      </c>
      <c r="D1836" t="s">
        <v>241</v>
      </c>
      <c r="F1836">
        <v>1</v>
      </c>
      <c r="G1836" t="s">
        <v>16</v>
      </c>
      <c r="H1836">
        <v>0</v>
      </c>
      <c r="I1836" s="2" t="s">
        <v>245</v>
      </c>
      <c r="J1836" s="2" t="s">
        <v>4045</v>
      </c>
      <c r="K1836">
        <v>20</v>
      </c>
      <c r="L1836">
        <v>20</v>
      </c>
      <c r="M1836">
        <v>20</v>
      </c>
    </row>
    <row r="1837" spans="1:13" x14ac:dyDescent="0.25">
      <c r="A1837" t="s">
        <v>4046</v>
      </c>
      <c r="B1837" t="s">
        <v>4047</v>
      </c>
      <c r="C1837" t="s">
        <v>241</v>
      </c>
      <c r="D1837" t="s">
        <v>2216</v>
      </c>
      <c r="F1837">
        <v>1</v>
      </c>
      <c r="G1837" t="s">
        <v>16</v>
      </c>
      <c r="H1837">
        <v>0</v>
      </c>
      <c r="I1837" s="2" t="s">
        <v>245</v>
      </c>
      <c r="J1837" s="2" t="s">
        <v>4048</v>
      </c>
      <c r="K1837">
        <v>20</v>
      </c>
      <c r="L1837">
        <v>20</v>
      </c>
      <c r="M1837">
        <v>20</v>
      </c>
    </row>
    <row r="1838" spans="1:13" x14ac:dyDescent="0.25">
      <c r="A1838" t="s">
        <v>4049</v>
      </c>
      <c r="B1838" t="s">
        <v>4050</v>
      </c>
      <c r="C1838" t="s">
        <v>241</v>
      </c>
      <c r="D1838" t="s">
        <v>2216</v>
      </c>
      <c r="F1838">
        <v>1</v>
      </c>
      <c r="G1838" t="s">
        <v>16</v>
      </c>
      <c r="H1838">
        <v>0</v>
      </c>
      <c r="I1838" s="2" t="s">
        <v>737</v>
      </c>
      <c r="J1838" s="2" t="s">
        <v>4051</v>
      </c>
      <c r="K1838">
        <v>20</v>
      </c>
      <c r="L1838">
        <v>20</v>
      </c>
      <c r="M1838">
        <v>20</v>
      </c>
    </row>
    <row r="1839" spans="1:13" x14ac:dyDescent="0.25">
      <c r="A1839" t="s">
        <v>4052</v>
      </c>
      <c r="B1839" t="s">
        <v>4053</v>
      </c>
      <c r="C1839" t="s">
        <v>357</v>
      </c>
      <c r="D1839" t="s">
        <v>241</v>
      </c>
      <c r="F1839">
        <v>1</v>
      </c>
      <c r="G1839" t="s">
        <v>16</v>
      </c>
      <c r="H1839">
        <v>0</v>
      </c>
      <c r="I1839" s="2" t="s">
        <v>257</v>
      </c>
      <c r="J1839" s="2">
        <v>101029</v>
      </c>
      <c r="K1839">
        <v>20</v>
      </c>
      <c r="L1839">
        <v>20</v>
      </c>
      <c r="M1839">
        <v>20</v>
      </c>
    </row>
    <row r="1840" spans="1:13" x14ac:dyDescent="0.25">
      <c r="A1840" t="s">
        <v>4054</v>
      </c>
      <c r="B1840" t="s">
        <v>4055</v>
      </c>
      <c r="C1840" t="s">
        <v>357</v>
      </c>
      <c r="D1840" t="s">
        <v>241</v>
      </c>
      <c r="F1840">
        <v>1</v>
      </c>
      <c r="G1840" t="s">
        <v>16</v>
      </c>
      <c r="H1840">
        <v>0</v>
      </c>
      <c r="I1840" s="2" t="s">
        <v>245</v>
      </c>
      <c r="J1840" s="2" t="s">
        <v>4056</v>
      </c>
      <c r="K1840">
        <v>20</v>
      </c>
      <c r="L1840">
        <v>20</v>
      </c>
      <c r="M1840">
        <v>20</v>
      </c>
    </row>
    <row r="1841" spans="1:13" x14ac:dyDescent="0.25">
      <c r="A1841" t="s">
        <v>4057</v>
      </c>
      <c r="B1841" t="s">
        <v>4058</v>
      </c>
      <c r="C1841" t="s">
        <v>357</v>
      </c>
      <c r="D1841" t="s">
        <v>241</v>
      </c>
      <c r="F1841">
        <v>1</v>
      </c>
      <c r="G1841" t="s">
        <v>16</v>
      </c>
      <c r="H1841">
        <v>0</v>
      </c>
      <c r="I1841" s="2" t="s">
        <v>64</v>
      </c>
      <c r="J1841" s="2">
        <v>10031151</v>
      </c>
      <c r="K1841">
        <v>20</v>
      </c>
      <c r="L1841">
        <v>20</v>
      </c>
      <c r="M1841">
        <v>20</v>
      </c>
    </row>
    <row r="1842" spans="1:13" x14ac:dyDescent="0.25">
      <c r="A1842" t="s">
        <v>4059</v>
      </c>
      <c r="B1842" t="s">
        <v>4060</v>
      </c>
      <c r="C1842" t="s">
        <v>357</v>
      </c>
      <c r="D1842" t="s">
        <v>241</v>
      </c>
      <c r="F1842">
        <v>1</v>
      </c>
      <c r="G1842" t="s">
        <v>16</v>
      </c>
      <c r="H1842">
        <v>0</v>
      </c>
      <c r="I1842" s="2" t="s">
        <v>243</v>
      </c>
      <c r="J1842" s="2">
        <v>17671</v>
      </c>
      <c r="K1842">
        <v>20</v>
      </c>
      <c r="L1842">
        <v>20</v>
      </c>
      <c r="M1842">
        <v>20</v>
      </c>
    </row>
    <row r="1843" spans="1:13" x14ac:dyDescent="0.25">
      <c r="A1843" t="s">
        <v>4061</v>
      </c>
      <c r="B1843" t="s">
        <v>4060</v>
      </c>
      <c r="C1843" t="s">
        <v>241</v>
      </c>
      <c r="D1843" t="s">
        <v>2216</v>
      </c>
      <c r="F1843">
        <v>3</v>
      </c>
      <c r="G1843" t="s">
        <v>16</v>
      </c>
      <c r="H1843">
        <v>0</v>
      </c>
      <c r="I1843" s="2" t="s">
        <v>245</v>
      </c>
      <c r="J1843" s="2" t="s">
        <v>4062</v>
      </c>
      <c r="K1843">
        <v>20</v>
      </c>
      <c r="L1843">
        <v>20</v>
      </c>
      <c r="M1843">
        <v>20</v>
      </c>
    </row>
    <row r="1844" spans="1:13" x14ac:dyDescent="0.25">
      <c r="A1844" t="s">
        <v>4063</v>
      </c>
      <c r="B1844" t="s">
        <v>4060</v>
      </c>
      <c r="C1844" t="s">
        <v>357</v>
      </c>
      <c r="D1844" t="s">
        <v>241</v>
      </c>
      <c r="F1844">
        <v>1</v>
      </c>
      <c r="G1844" t="s">
        <v>16</v>
      </c>
      <c r="H1844">
        <v>0</v>
      </c>
      <c r="I1844" s="2" t="s">
        <v>737</v>
      </c>
      <c r="J1844" s="2" t="s">
        <v>4064</v>
      </c>
      <c r="K1844">
        <v>20</v>
      </c>
      <c r="L1844">
        <v>20</v>
      </c>
      <c r="M1844">
        <v>20</v>
      </c>
    </row>
    <row r="1845" spans="1:13" x14ac:dyDescent="0.25">
      <c r="A1845" t="s">
        <v>4065</v>
      </c>
      <c r="B1845" t="s">
        <v>4066</v>
      </c>
      <c r="C1845" t="s">
        <v>241</v>
      </c>
      <c r="D1845" t="s">
        <v>2216</v>
      </c>
      <c r="F1845">
        <v>2</v>
      </c>
      <c r="G1845" t="s">
        <v>16</v>
      </c>
      <c r="H1845">
        <v>0</v>
      </c>
      <c r="I1845" s="2" t="s">
        <v>51</v>
      </c>
      <c r="J1845" s="2" t="s">
        <v>4065</v>
      </c>
      <c r="K1845">
        <v>20</v>
      </c>
      <c r="L1845">
        <v>20</v>
      </c>
      <c r="M1845">
        <v>20</v>
      </c>
    </row>
    <row r="1846" spans="1:13" x14ac:dyDescent="0.25">
      <c r="A1846" t="s">
        <v>4067</v>
      </c>
      <c r="B1846" t="s">
        <v>4068</v>
      </c>
      <c r="C1846" t="s">
        <v>241</v>
      </c>
      <c r="D1846" t="s">
        <v>2216</v>
      </c>
      <c r="F1846">
        <v>1</v>
      </c>
      <c r="G1846" t="s">
        <v>16</v>
      </c>
      <c r="H1846">
        <v>0</v>
      </c>
      <c r="I1846" s="2" t="s">
        <v>245</v>
      </c>
      <c r="J1846" s="2" t="s">
        <v>4069</v>
      </c>
      <c r="K1846">
        <v>20</v>
      </c>
      <c r="L1846">
        <v>20</v>
      </c>
      <c r="M1846">
        <v>20</v>
      </c>
    </row>
    <row r="1847" spans="1:13" x14ac:dyDescent="0.25">
      <c r="A1847" t="s">
        <v>4070</v>
      </c>
      <c r="B1847" t="s">
        <v>4071</v>
      </c>
      <c r="C1847" t="s">
        <v>357</v>
      </c>
      <c r="D1847" t="s">
        <v>241</v>
      </c>
      <c r="F1847">
        <v>1</v>
      </c>
      <c r="G1847" t="s">
        <v>16</v>
      </c>
      <c r="H1847">
        <v>0</v>
      </c>
      <c r="I1847" s="2" t="s">
        <v>737</v>
      </c>
      <c r="J1847" s="2" t="s">
        <v>4072</v>
      </c>
      <c r="K1847">
        <v>20</v>
      </c>
      <c r="L1847">
        <v>20</v>
      </c>
      <c r="M1847">
        <v>20</v>
      </c>
    </row>
    <row r="1848" spans="1:13" x14ac:dyDescent="0.25">
      <c r="A1848" t="s">
        <v>4073</v>
      </c>
      <c r="B1848" t="s">
        <v>4074</v>
      </c>
      <c r="C1848" t="s">
        <v>241</v>
      </c>
      <c r="D1848" t="s">
        <v>2216</v>
      </c>
      <c r="F1848">
        <v>1</v>
      </c>
      <c r="G1848" t="s">
        <v>16</v>
      </c>
      <c r="H1848">
        <v>0</v>
      </c>
      <c r="I1848" s="2" t="s">
        <v>245</v>
      </c>
      <c r="J1848" s="2" t="s">
        <v>4075</v>
      </c>
      <c r="K1848">
        <v>20</v>
      </c>
      <c r="L1848">
        <v>20</v>
      </c>
      <c r="M1848">
        <v>20</v>
      </c>
    </row>
    <row r="1849" spans="1:13" x14ac:dyDescent="0.25">
      <c r="A1849" t="s">
        <v>4076</v>
      </c>
      <c r="B1849" t="s">
        <v>4077</v>
      </c>
      <c r="C1849" t="s">
        <v>357</v>
      </c>
      <c r="D1849" t="s">
        <v>2026</v>
      </c>
      <c r="F1849">
        <v>1</v>
      </c>
      <c r="G1849" t="s">
        <v>16</v>
      </c>
      <c r="H1849">
        <v>0</v>
      </c>
      <c r="I1849" s="2" t="s">
        <v>4078</v>
      </c>
      <c r="J1849" s="2" t="s">
        <v>4079</v>
      </c>
      <c r="K1849">
        <v>20</v>
      </c>
      <c r="L1849">
        <v>20</v>
      </c>
      <c r="M1849">
        <v>20</v>
      </c>
    </row>
    <row r="1850" spans="1:13" x14ac:dyDescent="0.25">
      <c r="A1850" t="s">
        <v>4080</v>
      </c>
      <c r="B1850" t="s">
        <v>4082</v>
      </c>
      <c r="C1850" t="s">
        <v>496</v>
      </c>
      <c r="D1850" t="s">
        <v>4083</v>
      </c>
      <c r="G1850" t="s">
        <v>16</v>
      </c>
      <c r="H1850">
        <v>0</v>
      </c>
      <c r="I1850" s="2" t="s">
        <v>288</v>
      </c>
      <c r="J1850" s="2" t="s">
        <v>4081</v>
      </c>
      <c r="K1850">
        <v>20</v>
      </c>
      <c r="L1850">
        <v>20</v>
      </c>
      <c r="M1850">
        <v>20</v>
      </c>
    </row>
    <row r="1851" spans="1:13" x14ac:dyDescent="0.25">
      <c r="A1851" t="s">
        <v>4084</v>
      </c>
      <c r="B1851" t="s">
        <v>4085</v>
      </c>
      <c r="C1851" t="s">
        <v>2493</v>
      </c>
      <c r="G1851" t="s">
        <v>16</v>
      </c>
      <c r="H1851">
        <v>0</v>
      </c>
      <c r="I1851" s="2" t="s">
        <v>4086</v>
      </c>
      <c r="J1851" s="2" t="str">
        <f>"04677"</f>
        <v>04677</v>
      </c>
      <c r="K1851">
        <v>20</v>
      </c>
      <c r="L1851">
        <v>20</v>
      </c>
      <c r="M1851">
        <v>20</v>
      </c>
    </row>
    <row r="1852" spans="1:13" x14ac:dyDescent="0.25">
      <c r="A1852" t="s">
        <v>4087</v>
      </c>
      <c r="B1852" t="s">
        <v>4088</v>
      </c>
      <c r="C1852" t="s">
        <v>357</v>
      </c>
      <c r="D1852" t="s">
        <v>241</v>
      </c>
      <c r="G1852" t="s">
        <v>16</v>
      </c>
      <c r="H1852">
        <v>0</v>
      </c>
      <c r="I1852" s="2" t="s">
        <v>737</v>
      </c>
      <c r="J1852" s="2" t="s">
        <v>4089</v>
      </c>
      <c r="K1852">
        <v>20</v>
      </c>
      <c r="L1852">
        <v>20</v>
      </c>
      <c r="M1852">
        <v>20</v>
      </c>
    </row>
    <row r="1853" spans="1:13" x14ac:dyDescent="0.25">
      <c r="A1853">
        <v>13478300</v>
      </c>
      <c r="B1853" t="s">
        <v>4090</v>
      </c>
      <c r="C1853" t="s">
        <v>362</v>
      </c>
      <c r="D1853" t="s">
        <v>4091</v>
      </c>
      <c r="F1853">
        <v>1</v>
      </c>
      <c r="G1853" t="s">
        <v>16</v>
      </c>
      <c r="H1853">
        <v>0</v>
      </c>
      <c r="I1853" s="2" t="s">
        <v>497</v>
      </c>
      <c r="J1853" s="2">
        <v>39103797</v>
      </c>
      <c r="K1853">
        <v>20</v>
      </c>
      <c r="L1853">
        <v>20</v>
      </c>
      <c r="M1853">
        <v>20</v>
      </c>
    </row>
    <row r="1854" spans="1:13" x14ac:dyDescent="0.25">
      <c r="A1854" t="s">
        <v>4092</v>
      </c>
      <c r="B1854" t="s">
        <v>4090</v>
      </c>
      <c r="C1854" t="s">
        <v>362</v>
      </c>
      <c r="D1854" t="s">
        <v>4091</v>
      </c>
      <c r="G1854" t="s">
        <v>16</v>
      </c>
      <c r="H1854">
        <v>0</v>
      </c>
      <c r="I1854" s="2" t="s">
        <v>4093</v>
      </c>
      <c r="J1854" s="2" t="s">
        <v>4094</v>
      </c>
      <c r="K1854">
        <v>20</v>
      </c>
      <c r="L1854">
        <v>20</v>
      </c>
      <c r="M1854">
        <v>20</v>
      </c>
    </row>
    <row r="1855" spans="1:13" x14ac:dyDescent="0.25">
      <c r="A1855" t="s">
        <v>4095</v>
      </c>
      <c r="B1855" t="s">
        <v>4096</v>
      </c>
      <c r="C1855" t="s">
        <v>362</v>
      </c>
      <c r="D1855" t="s">
        <v>4097</v>
      </c>
      <c r="F1855">
        <v>2</v>
      </c>
      <c r="G1855" t="s">
        <v>16</v>
      </c>
      <c r="H1855">
        <v>0</v>
      </c>
      <c r="K1855">
        <v>20</v>
      </c>
      <c r="L1855">
        <v>20</v>
      </c>
      <c r="M1855">
        <v>20</v>
      </c>
    </row>
    <row r="1856" spans="1:13" x14ac:dyDescent="0.25">
      <c r="A1856">
        <v>13506028</v>
      </c>
      <c r="B1856" t="s">
        <v>4098</v>
      </c>
      <c r="C1856" t="s">
        <v>151</v>
      </c>
      <c r="F1856">
        <v>1</v>
      </c>
      <c r="G1856" t="s">
        <v>16</v>
      </c>
      <c r="H1856">
        <v>0</v>
      </c>
      <c r="I1856" s="2" t="s">
        <v>3724</v>
      </c>
      <c r="J1856" s="2" t="s">
        <v>4099</v>
      </c>
      <c r="K1856">
        <v>20</v>
      </c>
      <c r="L1856">
        <v>20</v>
      </c>
      <c r="M1856">
        <v>20</v>
      </c>
    </row>
    <row r="1857" spans="1:13" x14ac:dyDescent="0.25">
      <c r="A1857">
        <v>13507016</v>
      </c>
      <c r="B1857" t="s">
        <v>4100</v>
      </c>
      <c r="C1857" t="s">
        <v>496</v>
      </c>
      <c r="D1857" t="s">
        <v>4101</v>
      </c>
      <c r="F1857">
        <v>1</v>
      </c>
      <c r="G1857" t="s">
        <v>16</v>
      </c>
      <c r="H1857">
        <v>0</v>
      </c>
      <c r="I1857" s="2" t="s">
        <v>497</v>
      </c>
      <c r="J1857" s="2" t="s">
        <v>4102</v>
      </c>
      <c r="K1857">
        <v>20</v>
      </c>
      <c r="L1857">
        <v>20</v>
      </c>
      <c r="M1857">
        <v>20</v>
      </c>
    </row>
    <row r="1858" spans="1:13" x14ac:dyDescent="0.25">
      <c r="A1858" t="s">
        <v>4103</v>
      </c>
      <c r="B1858" t="s">
        <v>4104</v>
      </c>
      <c r="C1858" t="s">
        <v>496</v>
      </c>
      <c r="D1858" t="s">
        <v>4101</v>
      </c>
      <c r="F1858">
        <v>0</v>
      </c>
      <c r="G1858" t="s">
        <v>16</v>
      </c>
      <c r="H1858">
        <v>0</v>
      </c>
      <c r="I1858" s="2" t="s">
        <v>4105</v>
      </c>
      <c r="J1858" s="2">
        <v>713645210</v>
      </c>
      <c r="K1858">
        <v>20</v>
      </c>
      <c r="L1858">
        <v>20</v>
      </c>
      <c r="M1858">
        <v>20</v>
      </c>
    </row>
    <row r="1859" spans="1:13" x14ac:dyDescent="0.25">
      <c r="A1859" t="s">
        <v>4106</v>
      </c>
      <c r="B1859" t="s">
        <v>4107</v>
      </c>
      <c r="C1859" t="s">
        <v>362</v>
      </c>
      <c r="D1859" t="s">
        <v>363</v>
      </c>
      <c r="F1859">
        <v>2</v>
      </c>
      <c r="G1859" t="s">
        <v>16</v>
      </c>
      <c r="H1859">
        <v>0</v>
      </c>
      <c r="I1859" s="2" t="s">
        <v>4108</v>
      </c>
      <c r="J1859" s="2" t="s">
        <v>4109</v>
      </c>
      <c r="K1859">
        <v>20</v>
      </c>
      <c r="L1859">
        <v>20</v>
      </c>
      <c r="M1859">
        <v>20</v>
      </c>
    </row>
    <row r="1860" spans="1:13" x14ac:dyDescent="0.25">
      <c r="A1860" t="s">
        <v>4110</v>
      </c>
      <c r="B1860" t="s">
        <v>4111</v>
      </c>
      <c r="C1860" t="s">
        <v>357</v>
      </c>
      <c r="D1860" t="s">
        <v>241</v>
      </c>
      <c r="F1860">
        <v>2</v>
      </c>
      <c r="G1860" t="s">
        <v>16</v>
      </c>
      <c r="H1860">
        <v>0</v>
      </c>
      <c r="I1860" s="2" t="s">
        <v>737</v>
      </c>
      <c r="J1860" s="2" t="s">
        <v>4112</v>
      </c>
      <c r="K1860">
        <v>20</v>
      </c>
      <c r="L1860">
        <v>20</v>
      </c>
      <c r="M1860">
        <v>20</v>
      </c>
    </row>
    <row r="1861" spans="1:13" x14ac:dyDescent="0.25">
      <c r="A1861" t="s">
        <v>4113</v>
      </c>
      <c r="B1861" t="s">
        <v>4114</v>
      </c>
      <c r="C1861" t="s">
        <v>357</v>
      </c>
      <c r="D1861" t="s">
        <v>241</v>
      </c>
      <c r="F1861">
        <v>1</v>
      </c>
      <c r="G1861" t="s">
        <v>16</v>
      </c>
      <c r="H1861">
        <v>0</v>
      </c>
      <c r="I1861" s="2" t="s">
        <v>243</v>
      </c>
      <c r="J1861" s="2">
        <v>17352</v>
      </c>
      <c r="K1861">
        <v>20</v>
      </c>
      <c r="L1861">
        <v>20</v>
      </c>
      <c r="M1861">
        <v>20</v>
      </c>
    </row>
    <row r="1862" spans="1:13" x14ac:dyDescent="0.25">
      <c r="A1862" t="s">
        <v>4115</v>
      </c>
      <c r="B1862" t="s">
        <v>4114</v>
      </c>
      <c r="C1862" t="s">
        <v>357</v>
      </c>
      <c r="D1862" t="s">
        <v>241</v>
      </c>
      <c r="F1862">
        <v>1</v>
      </c>
      <c r="G1862" t="s">
        <v>16</v>
      </c>
      <c r="H1862">
        <v>0</v>
      </c>
      <c r="I1862" s="2" t="s">
        <v>266</v>
      </c>
      <c r="J1862" s="2">
        <v>66453</v>
      </c>
      <c r="K1862">
        <v>20</v>
      </c>
      <c r="L1862">
        <v>20</v>
      </c>
      <c r="M1862">
        <v>20</v>
      </c>
    </row>
    <row r="1863" spans="1:13" x14ac:dyDescent="0.25">
      <c r="A1863" t="s">
        <v>4116</v>
      </c>
      <c r="B1863" t="s">
        <v>4117</v>
      </c>
      <c r="C1863" t="s">
        <v>241</v>
      </c>
      <c r="D1863" t="s">
        <v>2216</v>
      </c>
      <c r="F1863">
        <v>2</v>
      </c>
      <c r="G1863" t="s">
        <v>16</v>
      </c>
      <c r="H1863">
        <v>0</v>
      </c>
      <c r="I1863" s="2" t="s">
        <v>737</v>
      </c>
      <c r="J1863" s="2" t="s">
        <v>4118</v>
      </c>
      <c r="K1863">
        <v>20</v>
      </c>
      <c r="L1863">
        <v>20</v>
      </c>
      <c r="M1863">
        <v>20</v>
      </c>
    </row>
    <row r="1864" spans="1:13" x14ac:dyDescent="0.25">
      <c r="A1864" t="s">
        <v>4119</v>
      </c>
      <c r="B1864" t="s">
        <v>4120</v>
      </c>
      <c r="C1864" t="s">
        <v>357</v>
      </c>
      <c r="D1864" t="s">
        <v>241</v>
      </c>
      <c r="F1864">
        <v>1</v>
      </c>
      <c r="G1864" t="s">
        <v>16</v>
      </c>
      <c r="H1864">
        <v>0</v>
      </c>
      <c r="I1864" s="2" t="s">
        <v>266</v>
      </c>
      <c r="J1864" s="2">
        <v>66444</v>
      </c>
      <c r="K1864">
        <v>20</v>
      </c>
      <c r="L1864">
        <v>20</v>
      </c>
      <c r="M1864">
        <v>20</v>
      </c>
    </row>
    <row r="1865" spans="1:13" x14ac:dyDescent="0.25">
      <c r="A1865" t="s">
        <v>4121</v>
      </c>
      <c r="B1865" t="s">
        <v>4122</v>
      </c>
      <c r="C1865" t="s">
        <v>241</v>
      </c>
      <c r="D1865" t="s">
        <v>2216</v>
      </c>
      <c r="G1865" t="s">
        <v>16</v>
      </c>
      <c r="H1865">
        <v>0</v>
      </c>
      <c r="I1865" s="2" t="s">
        <v>64</v>
      </c>
      <c r="J1865" s="2">
        <v>10034806</v>
      </c>
      <c r="K1865">
        <v>20</v>
      </c>
      <c r="L1865">
        <v>20</v>
      </c>
      <c r="M1865">
        <v>20</v>
      </c>
    </row>
    <row r="1866" spans="1:13" x14ac:dyDescent="0.25">
      <c r="A1866" t="s">
        <v>4123</v>
      </c>
      <c r="B1866" t="s">
        <v>4122</v>
      </c>
      <c r="C1866" t="s">
        <v>357</v>
      </c>
      <c r="D1866" t="s">
        <v>241</v>
      </c>
      <c r="F1866">
        <v>1</v>
      </c>
      <c r="G1866" t="s">
        <v>16</v>
      </c>
      <c r="H1866">
        <v>0</v>
      </c>
      <c r="I1866" s="2" t="s">
        <v>221</v>
      </c>
      <c r="J1866" s="2">
        <v>17168</v>
      </c>
      <c r="K1866">
        <v>20</v>
      </c>
      <c r="L1866">
        <v>20</v>
      </c>
      <c r="M1866">
        <v>20</v>
      </c>
    </row>
    <row r="1867" spans="1:13" x14ac:dyDescent="0.25">
      <c r="A1867" t="s">
        <v>4124</v>
      </c>
      <c r="B1867" t="s">
        <v>4125</v>
      </c>
      <c r="C1867" t="s">
        <v>357</v>
      </c>
      <c r="D1867" t="s">
        <v>241</v>
      </c>
      <c r="F1867">
        <v>1</v>
      </c>
      <c r="G1867" t="s">
        <v>16</v>
      </c>
      <c r="H1867">
        <v>0</v>
      </c>
      <c r="I1867" s="2" t="s">
        <v>108</v>
      </c>
      <c r="J1867" s="3">
        <v>2661412002</v>
      </c>
      <c r="K1867">
        <v>20</v>
      </c>
      <c r="L1867">
        <v>20</v>
      </c>
      <c r="M1867">
        <v>20</v>
      </c>
    </row>
    <row r="1868" spans="1:13" x14ac:dyDescent="0.25">
      <c r="A1868" t="s">
        <v>4126</v>
      </c>
      <c r="B1868" t="s">
        <v>4125</v>
      </c>
      <c r="C1868" t="s">
        <v>241</v>
      </c>
      <c r="D1868" t="s">
        <v>2216</v>
      </c>
      <c r="G1868" t="s">
        <v>16</v>
      </c>
      <c r="H1868">
        <v>0</v>
      </c>
      <c r="I1868" s="2" t="s">
        <v>243</v>
      </c>
      <c r="J1868" s="2">
        <v>17239</v>
      </c>
      <c r="K1868">
        <v>20</v>
      </c>
      <c r="L1868">
        <v>20</v>
      </c>
      <c r="M1868">
        <v>20</v>
      </c>
    </row>
    <row r="1869" spans="1:13" x14ac:dyDescent="0.25">
      <c r="A1869" t="s">
        <v>4127</v>
      </c>
      <c r="B1869" t="s">
        <v>4125</v>
      </c>
      <c r="C1869" t="s">
        <v>357</v>
      </c>
      <c r="D1869" t="s">
        <v>241</v>
      </c>
      <c r="F1869">
        <v>1</v>
      </c>
      <c r="G1869" t="s">
        <v>16</v>
      </c>
      <c r="H1869">
        <v>0</v>
      </c>
      <c r="I1869" s="2" t="s">
        <v>221</v>
      </c>
      <c r="J1869" s="2">
        <v>17239</v>
      </c>
      <c r="K1869">
        <v>20</v>
      </c>
      <c r="L1869">
        <v>20</v>
      </c>
      <c r="M1869">
        <v>20</v>
      </c>
    </row>
    <row r="1870" spans="1:13" x14ac:dyDescent="0.25">
      <c r="A1870" t="s">
        <v>4128</v>
      </c>
      <c r="B1870" t="s">
        <v>4129</v>
      </c>
      <c r="C1870" t="s">
        <v>357</v>
      </c>
      <c r="D1870" t="s">
        <v>241</v>
      </c>
      <c r="G1870" t="s">
        <v>16</v>
      </c>
      <c r="H1870">
        <v>0</v>
      </c>
      <c r="I1870" s="2" t="s">
        <v>108</v>
      </c>
      <c r="J1870" s="3">
        <v>2551412001</v>
      </c>
      <c r="K1870">
        <v>20</v>
      </c>
      <c r="L1870">
        <v>20</v>
      </c>
      <c r="M1870">
        <v>20</v>
      </c>
    </row>
    <row r="1871" spans="1:13" x14ac:dyDescent="0.25">
      <c r="A1871" t="s">
        <v>4130</v>
      </c>
      <c r="B1871" t="s">
        <v>4131</v>
      </c>
      <c r="C1871" t="s">
        <v>357</v>
      </c>
      <c r="D1871" t="s">
        <v>241</v>
      </c>
      <c r="F1871">
        <v>1</v>
      </c>
      <c r="G1871" t="s">
        <v>16</v>
      </c>
      <c r="H1871">
        <v>0</v>
      </c>
      <c r="I1871" s="2" t="s">
        <v>243</v>
      </c>
      <c r="J1871" s="2">
        <v>17327</v>
      </c>
      <c r="K1871">
        <v>20</v>
      </c>
      <c r="L1871">
        <v>20</v>
      </c>
      <c r="M1871">
        <v>20</v>
      </c>
    </row>
    <row r="1872" spans="1:13" x14ac:dyDescent="0.25">
      <c r="A1872" t="s">
        <v>4132</v>
      </c>
      <c r="B1872" t="s">
        <v>4133</v>
      </c>
      <c r="C1872" t="s">
        <v>357</v>
      </c>
      <c r="D1872" t="s">
        <v>241</v>
      </c>
      <c r="F1872">
        <v>1</v>
      </c>
      <c r="G1872" t="s">
        <v>16</v>
      </c>
      <c r="H1872">
        <v>0</v>
      </c>
      <c r="I1872" s="2" t="s">
        <v>243</v>
      </c>
      <c r="J1872" s="2">
        <v>17672</v>
      </c>
      <c r="K1872">
        <v>20</v>
      </c>
      <c r="L1872">
        <v>20</v>
      </c>
      <c r="M1872">
        <v>20</v>
      </c>
    </row>
    <row r="1873" spans="1:13" x14ac:dyDescent="0.25">
      <c r="A1873" t="s">
        <v>4134</v>
      </c>
      <c r="B1873" t="s">
        <v>4135</v>
      </c>
      <c r="C1873" t="s">
        <v>357</v>
      </c>
      <c r="D1873" t="s">
        <v>241</v>
      </c>
      <c r="F1873">
        <v>1</v>
      </c>
      <c r="G1873" t="s">
        <v>16</v>
      </c>
      <c r="H1873">
        <v>0</v>
      </c>
      <c r="I1873" s="2" t="s">
        <v>245</v>
      </c>
      <c r="J1873" s="2" t="s">
        <v>4136</v>
      </c>
      <c r="K1873">
        <v>20</v>
      </c>
      <c r="L1873">
        <v>20</v>
      </c>
      <c r="M1873">
        <v>20</v>
      </c>
    </row>
    <row r="1874" spans="1:13" x14ac:dyDescent="0.25">
      <c r="A1874" t="s">
        <v>4137</v>
      </c>
      <c r="B1874" t="s">
        <v>4133</v>
      </c>
      <c r="C1874" t="s">
        <v>357</v>
      </c>
      <c r="D1874" t="s">
        <v>241</v>
      </c>
      <c r="F1874">
        <v>1</v>
      </c>
      <c r="G1874" t="s">
        <v>16</v>
      </c>
      <c r="H1874">
        <v>0</v>
      </c>
      <c r="I1874" s="2" t="s">
        <v>257</v>
      </c>
      <c r="J1874" s="2">
        <v>121016</v>
      </c>
      <c r="K1874">
        <v>20</v>
      </c>
      <c r="L1874">
        <v>20</v>
      </c>
      <c r="M1874">
        <v>20</v>
      </c>
    </row>
    <row r="1875" spans="1:13" x14ac:dyDescent="0.25">
      <c r="A1875" t="s">
        <v>4138</v>
      </c>
      <c r="B1875" t="s">
        <v>4139</v>
      </c>
      <c r="C1875" t="s">
        <v>357</v>
      </c>
      <c r="D1875" t="s">
        <v>241</v>
      </c>
      <c r="G1875" t="s">
        <v>16</v>
      </c>
      <c r="H1875">
        <v>0</v>
      </c>
      <c r="I1875" s="2" t="s">
        <v>245</v>
      </c>
      <c r="J1875" s="2" t="s">
        <v>4140</v>
      </c>
      <c r="K1875">
        <v>20</v>
      </c>
      <c r="L1875">
        <v>20</v>
      </c>
      <c r="M1875">
        <v>20</v>
      </c>
    </row>
    <row r="1876" spans="1:13" x14ac:dyDescent="0.25">
      <c r="A1876" t="s">
        <v>4141</v>
      </c>
      <c r="B1876" t="s">
        <v>4139</v>
      </c>
      <c r="C1876" t="s">
        <v>357</v>
      </c>
      <c r="D1876" t="s">
        <v>241</v>
      </c>
      <c r="F1876">
        <v>1</v>
      </c>
      <c r="G1876" t="s">
        <v>16</v>
      </c>
      <c r="H1876">
        <v>0</v>
      </c>
      <c r="I1876" s="2" t="s">
        <v>266</v>
      </c>
      <c r="J1876" s="2">
        <v>66186</v>
      </c>
      <c r="K1876">
        <v>20</v>
      </c>
      <c r="L1876">
        <v>20</v>
      </c>
      <c r="M1876">
        <v>20</v>
      </c>
    </row>
    <row r="1877" spans="1:13" x14ac:dyDescent="0.25">
      <c r="A1877" t="s">
        <v>4142</v>
      </c>
      <c r="B1877" t="s">
        <v>4143</v>
      </c>
      <c r="C1877" t="s">
        <v>357</v>
      </c>
      <c r="D1877" t="s">
        <v>241</v>
      </c>
      <c r="F1877">
        <v>2</v>
      </c>
      <c r="G1877" t="s">
        <v>16</v>
      </c>
      <c r="H1877">
        <v>0</v>
      </c>
      <c r="I1877" s="2" t="s">
        <v>243</v>
      </c>
      <c r="J1877" s="2">
        <v>17286</v>
      </c>
      <c r="K1877">
        <v>20</v>
      </c>
      <c r="L1877">
        <v>20</v>
      </c>
      <c r="M1877">
        <v>20</v>
      </c>
    </row>
    <row r="1878" spans="1:13" x14ac:dyDescent="0.25">
      <c r="A1878" t="s">
        <v>4144</v>
      </c>
      <c r="B1878" t="s">
        <v>4143</v>
      </c>
      <c r="C1878" t="s">
        <v>241</v>
      </c>
      <c r="D1878" t="s">
        <v>2216</v>
      </c>
      <c r="F1878">
        <v>1</v>
      </c>
      <c r="G1878" t="s">
        <v>16</v>
      </c>
      <c r="H1878">
        <v>0</v>
      </c>
      <c r="I1878" s="2" t="s">
        <v>3088</v>
      </c>
      <c r="J1878" s="2" t="s">
        <v>4145</v>
      </c>
      <c r="K1878">
        <v>20</v>
      </c>
      <c r="L1878">
        <v>20</v>
      </c>
      <c r="M1878">
        <v>20</v>
      </c>
    </row>
    <row r="1879" spans="1:13" x14ac:dyDescent="0.25">
      <c r="A1879" t="s">
        <v>4146</v>
      </c>
      <c r="B1879" t="s">
        <v>4147</v>
      </c>
      <c r="C1879" t="s">
        <v>241</v>
      </c>
      <c r="D1879" t="s">
        <v>2216</v>
      </c>
      <c r="F1879">
        <v>1</v>
      </c>
      <c r="G1879" t="s">
        <v>16</v>
      </c>
      <c r="H1879">
        <v>0</v>
      </c>
      <c r="I1879" s="2" t="s">
        <v>737</v>
      </c>
      <c r="J1879" s="2" t="s">
        <v>4148</v>
      </c>
      <c r="K1879">
        <v>20</v>
      </c>
      <c r="L1879">
        <v>20</v>
      </c>
      <c r="M1879">
        <v>20</v>
      </c>
    </row>
    <row r="1880" spans="1:13" x14ac:dyDescent="0.25">
      <c r="A1880" t="s">
        <v>4149</v>
      </c>
      <c r="B1880" t="s">
        <v>4150</v>
      </c>
      <c r="C1880" t="s">
        <v>357</v>
      </c>
      <c r="D1880" t="s">
        <v>241</v>
      </c>
      <c r="G1880" t="s">
        <v>16</v>
      </c>
      <c r="H1880">
        <v>0</v>
      </c>
      <c r="I1880" s="2" t="s">
        <v>245</v>
      </c>
      <c r="J1880" s="2" t="s">
        <v>4151</v>
      </c>
      <c r="K1880">
        <v>20</v>
      </c>
      <c r="L1880">
        <v>20</v>
      </c>
      <c r="M1880">
        <v>20</v>
      </c>
    </row>
    <row r="1881" spans="1:13" x14ac:dyDescent="0.25">
      <c r="A1881" t="s">
        <v>4152</v>
      </c>
      <c r="B1881" t="s">
        <v>4153</v>
      </c>
      <c r="C1881" t="s">
        <v>357</v>
      </c>
      <c r="D1881" t="s">
        <v>241</v>
      </c>
      <c r="F1881">
        <v>1</v>
      </c>
      <c r="G1881" t="s">
        <v>16</v>
      </c>
      <c r="H1881">
        <v>0</v>
      </c>
      <c r="I1881" s="2" t="s">
        <v>64</v>
      </c>
      <c r="J1881" s="2">
        <v>10031198</v>
      </c>
      <c r="K1881">
        <v>20</v>
      </c>
      <c r="L1881">
        <v>20</v>
      </c>
      <c r="M1881">
        <v>20</v>
      </c>
    </row>
    <row r="1882" spans="1:13" x14ac:dyDescent="0.25">
      <c r="A1882" t="s">
        <v>4154</v>
      </c>
      <c r="B1882" t="s">
        <v>4155</v>
      </c>
      <c r="C1882" t="s">
        <v>357</v>
      </c>
      <c r="D1882" t="s">
        <v>241</v>
      </c>
      <c r="F1882">
        <v>1</v>
      </c>
      <c r="G1882" t="s">
        <v>16</v>
      </c>
      <c r="H1882">
        <v>0</v>
      </c>
      <c r="I1882" s="2" t="s">
        <v>64</v>
      </c>
      <c r="J1882" s="2">
        <v>10030946</v>
      </c>
      <c r="K1882">
        <v>20</v>
      </c>
      <c r="L1882">
        <v>20</v>
      </c>
      <c r="M1882">
        <v>20</v>
      </c>
    </row>
    <row r="1883" spans="1:13" x14ac:dyDescent="0.25">
      <c r="A1883" t="s">
        <v>4156</v>
      </c>
      <c r="B1883" t="s">
        <v>4155</v>
      </c>
      <c r="C1883" t="s">
        <v>357</v>
      </c>
      <c r="D1883" t="s">
        <v>241</v>
      </c>
      <c r="G1883" t="s">
        <v>16</v>
      </c>
      <c r="H1883">
        <v>0</v>
      </c>
      <c r="I1883" s="2" t="s">
        <v>245</v>
      </c>
      <c r="J1883" s="2" t="s">
        <v>4157</v>
      </c>
      <c r="K1883">
        <v>20</v>
      </c>
      <c r="L1883">
        <v>20</v>
      </c>
      <c r="M1883">
        <v>20</v>
      </c>
    </row>
    <row r="1884" spans="1:13" x14ac:dyDescent="0.25">
      <c r="A1884" t="s">
        <v>4158</v>
      </c>
      <c r="B1884" t="s">
        <v>4155</v>
      </c>
      <c r="C1884" t="s">
        <v>357</v>
      </c>
      <c r="D1884" t="s">
        <v>241</v>
      </c>
      <c r="F1884">
        <v>1</v>
      </c>
      <c r="G1884" t="s">
        <v>16</v>
      </c>
      <c r="H1884">
        <v>0</v>
      </c>
      <c r="I1884" s="2" t="s">
        <v>266</v>
      </c>
      <c r="J1884" s="2">
        <v>66319</v>
      </c>
      <c r="K1884">
        <v>20</v>
      </c>
      <c r="L1884">
        <v>20</v>
      </c>
      <c r="M1884">
        <v>20</v>
      </c>
    </row>
    <row r="1885" spans="1:13" x14ac:dyDescent="0.25">
      <c r="A1885" t="s">
        <v>4159</v>
      </c>
      <c r="B1885" t="s">
        <v>4160</v>
      </c>
      <c r="C1885" t="s">
        <v>241</v>
      </c>
      <c r="D1885" t="s">
        <v>2216</v>
      </c>
      <c r="F1885">
        <v>1</v>
      </c>
      <c r="G1885" t="s">
        <v>16</v>
      </c>
      <c r="H1885">
        <v>0</v>
      </c>
      <c r="I1885" s="2" t="s">
        <v>243</v>
      </c>
      <c r="J1885" s="2">
        <v>17603</v>
      </c>
      <c r="K1885">
        <v>20</v>
      </c>
      <c r="L1885">
        <v>20</v>
      </c>
      <c r="M1885">
        <v>20</v>
      </c>
    </row>
    <row r="1886" spans="1:13" x14ac:dyDescent="0.25">
      <c r="A1886" t="s">
        <v>4161</v>
      </c>
      <c r="B1886" t="s">
        <v>4162</v>
      </c>
      <c r="C1886" t="s">
        <v>540</v>
      </c>
      <c r="F1886">
        <v>1</v>
      </c>
      <c r="G1886" t="s">
        <v>16</v>
      </c>
      <c r="H1886">
        <v>0</v>
      </c>
      <c r="I1886" s="2" t="s">
        <v>500</v>
      </c>
      <c r="J1886" s="2" t="s">
        <v>4163</v>
      </c>
      <c r="K1886">
        <v>20</v>
      </c>
      <c r="L1886">
        <v>20</v>
      </c>
      <c r="M1886">
        <v>20</v>
      </c>
    </row>
    <row r="1887" spans="1:13" x14ac:dyDescent="0.25">
      <c r="A1887" t="s">
        <v>4164</v>
      </c>
      <c r="B1887" t="s">
        <v>4165</v>
      </c>
      <c r="C1887" t="s">
        <v>362</v>
      </c>
      <c r="D1887" t="s">
        <v>4091</v>
      </c>
      <c r="F1887">
        <v>4</v>
      </c>
      <c r="G1887" t="s">
        <v>16</v>
      </c>
      <c r="H1887">
        <v>0</v>
      </c>
      <c r="I1887" s="2" t="s">
        <v>4093</v>
      </c>
      <c r="J1887" s="2" t="s">
        <v>4166</v>
      </c>
      <c r="K1887">
        <v>20</v>
      </c>
      <c r="L1887">
        <v>20</v>
      </c>
      <c r="M1887">
        <v>20</v>
      </c>
    </row>
    <row r="1888" spans="1:13" x14ac:dyDescent="0.25">
      <c r="A1888" t="s">
        <v>4167</v>
      </c>
      <c r="B1888" t="s">
        <v>4169</v>
      </c>
      <c r="C1888" t="s">
        <v>362</v>
      </c>
      <c r="D1888" t="s">
        <v>4091</v>
      </c>
      <c r="G1888" t="s">
        <v>16</v>
      </c>
      <c r="H1888">
        <v>0</v>
      </c>
      <c r="I1888" s="2" t="s">
        <v>288</v>
      </c>
      <c r="J1888" s="2" t="s">
        <v>4168</v>
      </c>
      <c r="K1888">
        <v>20</v>
      </c>
      <c r="L1888">
        <v>20</v>
      </c>
      <c r="M1888">
        <v>20</v>
      </c>
    </row>
    <row r="1889" spans="1:13" x14ac:dyDescent="0.25">
      <c r="A1889" t="s">
        <v>4170</v>
      </c>
      <c r="B1889" t="s">
        <v>4165</v>
      </c>
      <c r="C1889" t="s">
        <v>362</v>
      </c>
      <c r="D1889" t="s">
        <v>4091</v>
      </c>
      <c r="F1889">
        <v>1</v>
      </c>
      <c r="G1889" t="s">
        <v>16</v>
      </c>
      <c r="H1889">
        <v>0</v>
      </c>
      <c r="I1889" s="2" t="s">
        <v>707</v>
      </c>
      <c r="J1889" s="2" t="s">
        <v>4171</v>
      </c>
      <c r="K1889">
        <v>20</v>
      </c>
      <c r="L1889">
        <v>20</v>
      </c>
      <c r="M1889">
        <v>20</v>
      </c>
    </row>
    <row r="1890" spans="1:13" x14ac:dyDescent="0.25">
      <c r="A1890" t="s">
        <v>4172</v>
      </c>
      <c r="B1890" t="s">
        <v>4165</v>
      </c>
      <c r="C1890" t="s">
        <v>362</v>
      </c>
      <c r="D1890" t="s">
        <v>4091</v>
      </c>
      <c r="F1890">
        <v>1</v>
      </c>
      <c r="G1890" t="s">
        <v>16</v>
      </c>
      <c r="H1890">
        <v>0</v>
      </c>
      <c r="I1890" s="2" t="s">
        <v>248</v>
      </c>
      <c r="J1890" s="2">
        <v>116249</v>
      </c>
      <c r="K1890">
        <v>20</v>
      </c>
      <c r="L1890">
        <v>20</v>
      </c>
      <c r="M1890">
        <v>20</v>
      </c>
    </row>
    <row r="1891" spans="1:13" x14ac:dyDescent="0.25">
      <c r="A1891" t="s">
        <v>4173</v>
      </c>
      <c r="B1891" t="s">
        <v>4175</v>
      </c>
      <c r="C1891" t="s">
        <v>362</v>
      </c>
      <c r="D1891" t="s">
        <v>4091</v>
      </c>
      <c r="F1891">
        <v>4</v>
      </c>
      <c r="G1891" t="s">
        <v>16</v>
      </c>
      <c r="H1891">
        <v>0</v>
      </c>
      <c r="I1891" s="2" t="s">
        <v>288</v>
      </c>
      <c r="J1891" s="2" t="s">
        <v>4174</v>
      </c>
      <c r="K1891">
        <v>20</v>
      </c>
      <c r="L1891">
        <v>20</v>
      </c>
      <c r="M1891">
        <v>20</v>
      </c>
    </row>
    <row r="1892" spans="1:13" x14ac:dyDescent="0.25">
      <c r="A1892" t="s">
        <v>4176</v>
      </c>
      <c r="B1892" t="s">
        <v>4175</v>
      </c>
      <c r="C1892" t="s">
        <v>362</v>
      </c>
      <c r="D1892" t="s">
        <v>4091</v>
      </c>
      <c r="G1892" t="s">
        <v>16</v>
      </c>
      <c r="H1892">
        <v>0</v>
      </c>
      <c r="I1892" s="2" t="s">
        <v>2533</v>
      </c>
      <c r="J1892" s="2" t="s">
        <v>4177</v>
      </c>
      <c r="K1892">
        <v>20</v>
      </c>
      <c r="L1892">
        <v>20</v>
      </c>
      <c r="M1892">
        <v>20</v>
      </c>
    </row>
    <row r="1893" spans="1:13" x14ac:dyDescent="0.25">
      <c r="A1893" t="s">
        <v>4178</v>
      </c>
      <c r="B1893" t="s">
        <v>4179</v>
      </c>
      <c r="C1893" t="s">
        <v>362</v>
      </c>
      <c r="D1893" t="s">
        <v>4091</v>
      </c>
      <c r="G1893" t="s">
        <v>16</v>
      </c>
      <c r="H1893">
        <v>0</v>
      </c>
      <c r="I1893" s="2" t="s">
        <v>514</v>
      </c>
      <c r="J1893" s="2" t="s">
        <v>4180</v>
      </c>
      <c r="K1893">
        <v>20</v>
      </c>
      <c r="L1893">
        <v>20</v>
      </c>
      <c r="M1893">
        <v>20</v>
      </c>
    </row>
    <row r="1894" spans="1:13" x14ac:dyDescent="0.25">
      <c r="A1894" t="s">
        <v>4181</v>
      </c>
      <c r="B1894" t="s">
        <v>4179</v>
      </c>
      <c r="C1894" t="s">
        <v>362</v>
      </c>
      <c r="D1894" t="s">
        <v>4091</v>
      </c>
      <c r="F1894">
        <v>1</v>
      </c>
      <c r="G1894" t="s">
        <v>16</v>
      </c>
      <c r="H1894">
        <v>0</v>
      </c>
      <c r="I1894" s="2" t="s">
        <v>4182</v>
      </c>
      <c r="J1894" s="2" t="s">
        <v>4183</v>
      </c>
      <c r="K1894">
        <v>20</v>
      </c>
      <c r="L1894">
        <v>20</v>
      </c>
      <c r="M1894">
        <v>20</v>
      </c>
    </row>
    <row r="1895" spans="1:13" x14ac:dyDescent="0.25">
      <c r="A1895" t="s">
        <v>4184</v>
      </c>
      <c r="B1895" t="s">
        <v>4179</v>
      </c>
      <c r="C1895" t="s">
        <v>362</v>
      </c>
      <c r="D1895" t="s">
        <v>4091</v>
      </c>
      <c r="F1895">
        <v>1</v>
      </c>
      <c r="G1895" t="s">
        <v>16</v>
      </c>
      <c r="H1895">
        <v>0</v>
      </c>
      <c r="I1895" s="2" t="s">
        <v>707</v>
      </c>
      <c r="J1895" s="2" t="s">
        <v>4185</v>
      </c>
      <c r="K1895">
        <v>20</v>
      </c>
      <c r="L1895">
        <v>20</v>
      </c>
      <c r="M1895">
        <v>20</v>
      </c>
    </row>
    <row r="1896" spans="1:13" x14ac:dyDescent="0.25">
      <c r="A1896" t="s">
        <v>4186</v>
      </c>
      <c r="B1896" t="s">
        <v>4187</v>
      </c>
      <c r="C1896" t="s">
        <v>362</v>
      </c>
      <c r="D1896" t="s">
        <v>4091</v>
      </c>
      <c r="G1896" t="s">
        <v>16</v>
      </c>
      <c r="H1896">
        <v>0</v>
      </c>
      <c r="I1896" s="2" t="s">
        <v>162</v>
      </c>
      <c r="J1896" s="2">
        <v>55706</v>
      </c>
      <c r="K1896">
        <v>20</v>
      </c>
      <c r="L1896">
        <v>20</v>
      </c>
      <c r="M1896">
        <v>20</v>
      </c>
    </row>
    <row r="1897" spans="1:13" x14ac:dyDescent="0.25">
      <c r="A1897" t="s">
        <v>4188</v>
      </c>
      <c r="B1897" t="s">
        <v>4189</v>
      </c>
      <c r="C1897" t="s">
        <v>362</v>
      </c>
      <c r="D1897" t="s">
        <v>363</v>
      </c>
      <c r="F1897">
        <v>2</v>
      </c>
      <c r="G1897" t="s">
        <v>16</v>
      </c>
      <c r="H1897">
        <v>0</v>
      </c>
      <c r="I1897" s="2" t="s">
        <v>514</v>
      </c>
      <c r="J1897" s="2" t="s">
        <v>4190</v>
      </c>
      <c r="K1897">
        <v>20</v>
      </c>
      <c r="L1897">
        <v>20</v>
      </c>
      <c r="M1897">
        <v>20</v>
      </c>
    </row>
    <row r="1898" spans="1:13" x14ac:dyDescent="0.25">
      <c r="A1898" t="s">
        <v>4191</v>
      </c>
      <c r="B1898" t="s">
        <v>4192</v>
      </c>
      <c r="C1898" t="s">
        <v>362</v>
      </c>
      <c r="D1898" t="s">
        <v>363</v>
      </c>
      <c r="F1898">
        <v>0</v>
      </c>
      <c r="G1898" t="s">
        <v>22</v>
      </c>
      <c r="H1898">
        <v>0</v>
      </c>
      <c r="I1898" s="2" t="s">
        <v>4193</v>
      </c>
      <c r="J1898" s="2" t="s">
        <v>4194</v>
      </c>
      <c r="K1898">
        <v>20</v>
      </c>
      <c r="L1898">
        <v>20</v>
      </c>
      <c r="M1898">
        <v>20</v>
      </c>
    </row>
    <row r="1899" spans="1:13" x14ac:dyDescent="0.25">
      <c r="A1899" t="s">
        <v>4195</v>
      </c>
      <c r="B1899" t="s">
        <v>4196</v>
      </c>
      <c r="C1899" t="s">
        <v>241</v>
      </c>
      <c r="D1899" t="s">
        <v>2216</v>
      </c>
      <c r="F1899">
        <v>1</v>
      </c>
      <c r="G1899" t="s">
        <v>16</v>
      </c>
      <c r="H1899">
        <v>0</v>
      </c>
      <c r="I1899" s="2" t="s">
        <v>51</v>
      </c>
      <c r="J1899" s="2">
        <v>135223</v>
      </c>
      <c r="K1899">
        <v>20</v>
      </c>
      <c r="L1899">
        <v>20</v>
      </c>
      <c r="M1899">
        <v>20</v>
      </c>
    </row>
    <row r="1900" spans="1:13" x14ac:dyDescent="0.25">
      <c r="A1900" t="s">
        <v>4197</v>
      </c>
      <c r="B1900" t="s">
        <v>4198</v>
      </c>
      <c r="C1900" t="s">
        <v>357</v>
      </c>
      <c r="D1900" t="s">
        <v>241</v>
      </c>
      <c r="G1900" t="s">
        <v>16</v>
      </c>
      <c r="H1900">
        <v>0</v>
      </c>
      <c r="I1900" s="2" t="s">
        <v>245</v>
      </c>
      <c r="J1900" s="2" t="s">
        <v>4199</v>
      </c>
      <c r="K1900">
        <v>20</v>
      </c>
      <c r="L1900">
        <v>20</v>
      </c>
      <c r="M1900">
        <v>20</v>
      </c>
    </row>
    <row r="1901" spans="1:13" x14ac:dyDescent="0.25">
      <c r="A1901" t="s">
        <v>4200</v>
      </c>
      <c r="B1901" t="s">
        <v>4201</v>
      </c>
      <c r="C1901" t="s">
        <v>357</v>
      </c>
      <c r="D1901" t="s">
        <v>241</v>
      </c>
      <c r="G1901" t="s">
        <v>16</v>
      </c>
      <c r="H1901">
        <v>0</v>
      </c>
      <c r="I1901" s="2" t="s">
        <v>55</v>
      </c>
      <c r="J1901" s="2" t="s">
        <v>4200</v>
      </c>
      <c r="K1901">
        <v>20</v>
      </c>
      <c r="L1901">
        <v>20</v>
      </c>
      <c r="M1901">
        <v>20</v>
      </c>
    </row>
    <row r="1902" spans="1:13" x14ac:dyDescent="0.25">
      <c r="A1902" t="s">
        <v>4202</v>
      </c>
      <c r="B1902" t="s">
        <v>4203</v>
      </c>
      <c r="C1902" t="s">
        <v>362</v>
      </c>
      <c r="D1902" t="s">
        <v>363</v>
      </c>
      <c r="F1902">
        <v>4</v>
      </c>
      <c r="G1902" t="s">
        <v>16</v>
      </c>
      <c r="H1902">
        <v>0</v>
      </c>
      <c r="I1902" s="2" t="s">
        <v>707</v>
      </c>
      <c r="J1902" s="2" t="s">
        <v>4204</v>
      </c>
      <c r="K1902">
        <v>20</v>
      </c>
      <c r="L1902">
        <v>20</v>
      </c>
      <c r="M1902">
        <v>20</v>
      </c>
    </row>
    <row r="1903" spans="1:13" x14ac:dyDescent="0.25">
      <c r="A1903" t="s">
        <v>4205</v>
      </c>
      <c r="B1903" t="s">
        <v>4206</v>
      </c>
      <c r="C1903" t="s">
        <v>362</v>
      </c>
      <c r="D1903" t="s">
        <v>363</v>
      </c>
      <c r="F1903">
        <v>0</v>
      </c>
      <c r="G1903" t="s">
        <v>16</v>
      </c>
      <c r="H1903">
        <v>0</v>
      </c>
      <c r="I1903" s="2" t="s">
        <v>389</v>
      </c>
      <c r="J1903" s="2">
        <v>1676005280</v>
      </c>
      <c r="K1903">
        <v>20</v>
      </c>
      <c r="L1903">
        <v>20</v>
      </c>
      <c r="M1903">
        <v>20</v>
      </c>
    </row>
    <row r="1904" spans="1:13" x14ac:dyDescent="0.25">
      <c r="A1904" t="s">
        <v>4207</v>
      </c>
      <c r="B1904" t="s">
        <v>4208</v>
      </c>
      <c r="C1904" t="s">
        <v>362</v>
      </c>
      <c r="D1904" t="s">
        <v>363</v>
      </c>
      <c r="F1904">
        <v>2</v>
      </c>
      <c r="G1904" t="s">
        <v>22</v>
      </c>
      <c r="H1904">
        <v>0</v>
      </c>
      <c r="I1904" s="2" t="s">
        <v>707</v>
      </c>
      <c r="J1904" s="2" t="s">
        <v>4209</v>
      </c>
      <c r="K1904">
        <v>20</v>
      </c>
      <c r="L1904">
        <v>20</v>
      </c>
      <c r="M1904">
        <v>20</v>
      </c>
    </row>
    <row r="1905" spans="1:13" x14ac:dyDescent="0.25">
      <c r="A1905" t="s">
        <v>4210</v>
      </c>
      <c r="B1905" t="s">
        <v>4211</v>
      </c>
      <c r="C1905" t="s">
        <v>1436</v>
      </c>
      <c r="D1905" t="s">
        <v>1437</v>
      </c>
      <c r="F1905">
        <v>1</v>
      </c>
      <c r="G1905" t="s">
        <v>16</v>
      </c>
      <c r="H1905">
        <v>0</v>
      </c>
      <c r="I1905" s="2" t="s">
        <v>685</v>
      </c>
      <c r="K1905">
        <v>20</v>
      </c>
      <c r="L1905">
        <v>20</v>
      </c>
      <c r="M1905">
        <v>20</v>
      </c>
    </row>
    <row r="1906" spans="1:13" x14ac:dyDescent="0.25">
      <c r="A1906" t="s">
        <v>4212</v>
      </c>
      <c r="B1906" t="s">
        <v>4213</v>
      </c>
      <c r="C1906" t="s">
        <v>496</v>
      </c>
      <c r="F1906">
        <v>2</v>
      </c>
      <c r="G1906" t="s">
        <v>16</v>
      </c>
      <c r="H1906">
        <v>0</v>
      </c>
      <c r="I1906" s="2" t="s">
        <v>4214</v>
      </c>
      <c r="J1906" s="2" t="s">
        <v>4215</v>
      </c>
      <c r="K1906">
        <v>20</v>
      </c>
      <c r="L1906">
        <v>20</v>
      </c>
      <c r="M1906">
        <v>20</v>
      </c>
    </row>
    <row r="1907" spans="1:13" x14ac:dyDescent="0.25">
      <c r="A1907" t="s">
        <v>4216</v>
      </c>
      <c r="B1907" t="s">
        <v>4217</v>
      </c>
      <c r="C1907" t="s">
        <v>1426</v>
      </c>
      <c r="F1907">
        <v>1</v>
      </c>
      <c r="G1907" t="s">
        <v>16</v>
      </c>
      <c r="H1907">
        <v>0</v>
      </c>
      <c r="I1907" s="2" t="s">
        <v>4218</v>
      </c>
      <c r="J1907" s="2" t="s">
        <v>4219</v>
      </c>
      <c r="K1907">
        <v>20</v>
      </c>
      <c r="L1907">
        <v>20</v>
      </c>
      <c r="M1907">
        <v>20</v>
      </c>
    </row>
    <row r="1908" spans="1:13" x14ac:dyDescent="0.25">
      <c r="A1908" t="s">
        <v>4220</v>
      </c>
      <c r="B1908" t="s">
        <v>4221</v>
      </c>
      <c r="C1908" t="s">
        <v>540</v>
      </c>
      <c r="G1908" t="s">
        <v>16</v>
      </c>
      <c r="H1908">
        <v>0</v>
      </c>
      <c r="I1908" s="2" t="s">
        <v>1175</v>
      </c>
      <c r="J1908" s="2" t="s">
        <v>4222</v>
      </c>
      <c r="K1908">
        <v>20</v>
      </c>
      <c r="L1908">
        <v>20</v>
      </c>
      <c r="M1908">
        <v>20</v>
      </c>
    </row>
    <row r="1909" spans="1:13" x14ac:dyDescent="0.25">
      <c r="A1909" t="s">
        <v>4223</v>
      </c>
      <c r="B1909" t="s">
        <v>4224</v>
      </c>
      <c r="C1909" t="s">
        <v>540</v>
      </c>
      <c r="G1909" t="s">
        <v>16</v>
      </c>
      <c r="H1909">
        <v>0</v>
      </c>
      <c r="I1909" s="2" t="s">
        <v>511</v>
      </c>
      <c r="J1909" s="2">
        <v>220818</v>
      </c>
      <c r="K1909">
        <v>20</v>
      </c>
      <c r="L1909">
        <v>20</v>
      </c>
      <c r="M1909">
        <v>20</v>
      </c>
    </row>
    <row r="1910" spans="1:13" x14ac:dyDescent="0.25">
      <c r="A1910" t="s">
        <v>4225</v>
      </c>
      <c r="B1910" t="s">
        <v>4224</v>
      </c>
      <c r="C1910" t="s">
        <v>1426</v>
      </c>
      <c r="F1910">
        <v>3</v>
      </c>
      <c r="G1910" t="s">
        <v>16</v>
      </c>
      <c r="H1910">
        <v>0</v>
      </c>
      <c r="I1910" s="2" t="s">
        <v>4226</v>
      </c>
      <c r="J1910" s="2">
        <v>5600011</v>
      </c>
      <c r="K1910">
        <v>20</v>
      </c>
      <c r="L1910">
        <v>20</v>
      </c>
      <c r="M1910">
        <v>20</v>
      </c>
    </row>
    <row r="1911" spans="1:13" x14ac:dyDescent="0.25">
      <c r="A1911" t="s">
        <v>4227</v>
      </c>
      <c r="B1911" t="s">
        <v>4228</v>
      </c>
      <c r="C1911" t="s">
        <v>540</v>
      </c>
      <c r="G1911" t="s">
        <v>16</v>
      </c>
      <c r="H1911">
        <v>0</v>
      </c>
      <c r="I1911" s="2" t="s">
        <v>511</v>
      </c>
      <c r="J1911" s="2">
        <v>220819</v>
      </c>
      <c r="K1911">
        <v>20</v>
      </c>
      <c r="L1911">
        <v>20</v>
      </c>
      <c r="M1911">
        <v>20</v>
      </c>
    </row>
    <row r="1912" spans="1:13" x14ac:dyDescent="0.25">
      <c r="A1912" t="s">
        <v>4229</v>
      </c>
      <c r="B1912" t="s">
        <v>4228</v>
      </c>
      <c r="C1912" t="s">
        <v>1426</v>
      </c>
      <c r="F1912">
        <v>1</v>
      </c>
      <c r="G1912" t="s">
        <v>16</v>
      </c>
      <c r="H1912">
        <v>0</v>
      </c>
      <c r="I1912" s="2" t="s">
        <v>4226</v>
      </c>
      <c r="J1912" s="2">
        <v>5600012</v>
      </c>
      <c r="K1912">
        <v>20</v>
      </c>
      <c r="L1912">
        <v>20</v>
      </c>
      <c r="M1912">
        <v>20</v>
      </c>
    </row>
    <row r="1913" spans="1:13" x14ac:dyDescent="0.25">
      <c r="A1913" t="s">
        <v>4230</v>
      </c>
      <c r="B1913" t="s">
        <v>4231</v>
      </c>
      <c r="C1913" t="s">
        <v>1426</v>
      </c>
      <c r="F1913">
        <v>1</v>
      </c>
      <c r="G1913" t="s">
        <v>16</v>
      </c>
      <c r="H1913">
        <v>0</v>
      </c>
      <c r="I1913" s="2" t="s">
        <v>511</v>
      </c>
      <c r="J1913" s="2">
        <v>220821</v>
      </c>
      <c r="K1913">
        <v>20</v>
      </c>
      <c r="L1913">
        <v>20</v>
      </c>
      <c r="M1913">
        <v>20</v>
      </c>
    </row>
    <row r="1914" spans="1:13" x14ac:dyDescent="0.25">
      <c r="A1914" t="s">
        <v>4232</v>
      </c>
      <c r="B1914" t="s">
        <v>4233</v>
      </c>
      <c r="C1914" t="s">
        <v>1426</v>
      </c>
      <c r="F1914">
        <v>2</v>
      </c>
      <c r="G1914" t="s">
        <v>16</v>
      </c>
      <c r="H1914">
        <v>0</v>
      </c>
      <c r="I1914" s="2" t="s">
        <v>511</v>
      </c>
      <c r="J1914" s="2">
        <v>220820</v>
      </c>
      <c r="K1914">
        <v>20</v>
      </c>
      <c r="L1914">
        <v>20</v>
      </c>
      <c r="M1914">
        <v>20</v>
      </c>
    </row>
    <row r="1915" spans="1:13" x14ac:dyDescent="0.25">
      <c r="A1915" t="s">
        <v>4234</v>
      </c>
      <c r="B1915" t="s">
        <v>4235</v>
      </c>
      <c r="C1915" t="s">
        <v>540</v>
      </c>
      <c r="G1915" t="s">
        <v>16</v>
      </c>
      <c r="H1915">
        <v>0</v>
      </c>
      <c r="I1915" s="2" t="s">
        <v>591</v>
      </c>
      <c r="J1915" s="2">
        <v>220815</v>
      </c>
      <c r="K1915">
        <v>20</v>
      </c>
      <c r="L1915">
        <v>20</v>
      </c>
      <c r="M1915">
        <v>20</v>
      </c>
    </row>
    <row r="1916" spans="1:13" x14ac:dyDescent="0.25">
      <c r="A1916" t="s">
        <v>4236</v>
      </c>
      <c r="B1916" t="s">
        <v>4237</v>
      </c>
      <c r="C1916" t="s">
        <v>540</v>
      </c>
      <c r="F1916">
        <v>1</v>
      </c>
      <c r="G1916" t="s">
        <v>16</v>
      </c>
      <c r="H1916">
        <v>0</v>
      </c>
      <c r="I1916" s="2" t="s">
        <v>142</v>
      </c>
      <c r="J1916" s="2" t="s">
        <v>4238</v>
      </c>
      <c r="K1916">
        <v>20</v>
      </c>
      <c r="L1916">
        <v>20</v>
      </c>
      <c r="M1916">
        <v>20</v>
      </c>
    </row>
    <row r="1917" spans="1:13" x14ac:dyDescent="0.25">
      <c r="A1917" t="s">
        <v>4239</v>
      </c>
      <c r="B1917" t="s">
        <v>4240</v>
      </c>
      <c r="C1917" t="s">
        <v>540</v>
      </c>
      <c r="F1917">
        <v>1</v>
      </c>
      <c r="G1917" t="s">
        <v>16</v>
      </c>
      <c r="H1917">
        <v>0</v>
      </c>
      <c r="I1917" s="2" t="s">
        <v>142</v>
      </c>
      <c r="J1917" s="2" t="s">
        <v>4241</v>
      </c>
      <c r="K1917">
        <v>20</v>
      </c>
      <c r="L1917">
        <v>20</v>
      </c>
      <c r="M1917">
        <v>20</v>
      </c>
    </row>
    <row r="1918" spans="1:13" x14ac:dyDescent="0.25">
      <c r="A1918" t="s">
        <v>4242</v>
      </c>
      <c r="B1918" t="s">
        <v>4244</v>
      </c>
      <c r="C1918" t="s">
        <v>241</v>
      </c>
      <c r="D1918" t="s">
        <v>244</v>
      </c>
      <c r="F1918">
        <v>1</v>
      </c>
      <c r="G1918" t="s">
        <v>16</v>
      </c>
      <c r="H1918">
        <v>0</v>
      </c>
      <c r="I1918" s="2" t="s">
        <v>288</v>
      </c>
      <c r="J1918" s="2" t="s">
        <v>4243</v>
      </c>
      <c r="K1918">
        <v>20</v>
      </c>
      <c r="L1918">
        <v>20</v>
      </c>
      <c r="M1918">
        <v>20</v>
      </c>
    </row>
    <row r="1919" spans="1:13" x14ac:dyDescent="0.25">
      <c r="A1919" t="s">
        <v>4245</v>
      </c>
      <c r="B1919" t="s">
        <v>4246</v>
      </c>
      <c r="C1919" t="s">
        <v>14</v>
      </c>
      <c r="D1919" t="s">
        <v>191</v>
      </c>
      <c r="F1919">
        <v>1</v>
      </c>
      <c r="G1919" t="s">
        <v>16</v>
      </c>
      <c r="H1919">
        <v>0</v>
      </c>
      <c r="I1919" s="2" t="s">
        <v>290</v>
      </c>
      <c r="J1919" s="2" t="s">
        <v>4247</v>
      </c>
      <c r="K1919">
        <v>20</v>
      </c>
      <c r="L1919">
        <v>20</v>
      </c>
      <c r="M1919">
        <v>20</v>
      </c>
    </row>
    <row r="1920" spans="1:13" x14ac:dyDescent="0.25">
      <c r="A1920" t="s">
        <v>4248</v>
      </c>
      <c r="B1920" t="s">
        <v>4249</v>
      </c>
      <c r="C1920" t="s">
        <v>20</v>
      </c>
      <c r="D1920" t="s">
        <v>899</v>
      </c>
      <c r="F1920">
        <v>1</v>
      </c>
      <c r="G1920" t="s">
        <v>16</v>
      </c>
      <c r="H1920">
        <v>0</v>
      </c>
      <c r="I1920" s="2" t="s">
        <v>4250</v>
      </c>
      <c r="K1920">
        <v>20</v>
      </c>
      <c r="L1920">
        <v>20</v>
      </c>
      <c r="M1920">
        <v>20</v>
      </c>
    </row>
    <row r="1921" spans="1:13" x14ac:dyDescent="0.25">
      <c r="A1921" t="s">
        <v>4251</v>
      </c>
      <c r="B1921" t="s">
        <v>4252</v>
      </c>
      <c r="C1921" t="s">
        <v>540</v>
      </c>
      <c r="F1921">
        <v>1</v>
      </c>
      <c r="G1921" t="s">
        <v>16</v>
      </c>
      <c r="H1921">
        <v>0</v>
      </c>
      <c r="I1921" s="2" t="s">
        <v>545</v>
      </c>
      <c r="J1921" s="2" t="s">
        <v>4253</v>
      </c>
      <c r="K1921">
        <v>20</v>
      </c>
      <c r="L1921">
        <v>20</v>
      </c>
      <c r="M1921">
        <v>20</v>
      </c>
    </row>
    <row r="1922" spans="1:13" x14ac:dyDescent="0.25">
      <c r="A1922" t="s">
        <v>4254</v>
      </c>
      <c r="B1922" t="s">
        <v>4255</v>
      </c>
      <c r="C1922" t="s">
        <v>540</v>
      </c>
      <c r="F1922">
        <v>2</v>
      </c>
      <c r="G1922" t="s">
        <v>16</v>
      </c>
      <c r="H1922">
        <v>0</v>
      </c>
      <c r="I1922" s="2" t="s">
        <v>545</v>
      </c>
      <c r="J1922" s="2" t="s">
        <v>4256</v>
      </c>
      <c r="K1922">
        <v>20</v>
      </c>
      <c r="L1922">
        <v>20</v>
      </c>
      <c r="M1922">
        <v>20</v>
      </c>
    </row>
    <row r="1923" spans="1:13" x14ac:dyDescent="0.25">
      <c r="A1923">
        <v>1400196</v>
      </c>
      <c r="B1923" t="s">
        <v>4257</v>
      </c>
      <c r="C1923" t="s">
        <v>540</v>
      </c>
      <c r="F1923">
        <v>0</v>
      </c>
      <c r="G1923" t="s">
        <v>16</v>
      </c>
      <c r="H1923">
        <v>0</v>
      </c>
      <c r="I1923" s="2" t="s">
        <v>497</v>
      </c>
      <c r="J1923" s="2">
        <v>9118766</v>
      </c>
      <c r="K1923">
        <v>20</v>
      </c>
      <c r="L1923">
        <v>20</v>
      </c>
      <c r="M1923">
        <v>20</v>
      </c>
    </row>
    <row r="1924" spans="1:13" x14ac:dyDescent="0.25">
      <c r="A1924" t="s">
        <v>4258</v>
      </c>
      <c r="B1924" t="s">
        <v>4259</v>
      </c>
      <c r="C1924" t="s">
        <v>540</v>
      </c>
      <c r="F1924">
        <v>1</v>
      </c>
      <c r="G1924" t="s">
        <v>16</v>
      </c>
      <c r="H1924">
        <v>0</v>
      </c>
      <c r="I1924" s="2" t="s">
        <v>4260</v>
      </c>
      <c r="J1924" s="2" t="s">
        <v>4261</v>
      </c>
      <c r="K1924">
        <v>20</v>
      </c>
      <c r="L1924">
        <v>20</v>
      </c>
      <c r="M1924">
        <v>20</v>
      </c>
    </row>
    <row r="1925" spans="1:13" x14ac:dyDescent="0.25">
      <c r="A1925" t="s">
        <v>4262</v>
      </c>
      <c r="B1925" t="s">
        <v>4263</v>
      </c>
      <c r="C1925" t="s">
        <v>540</v>
      </c>
      <c r="F1925">
        <v>1</v>
      </c>
      <c r="G1925" t="s">
        <v>16</v>
      </c>
      <c r="H1925">
        <v>0</v>
      </c>
      <c r="I1925" s="2" t="s">
        <v>4264</v>
      </c>
      <c r="J1925" s="2" t="s">
        <v>4265</v>
      </c>
      <c r="K1925">
        <v>20</v>
      </c>
      <c r="L1925">
        <v>20</v>
      </c>
      <c r="M1925">
        <v>20</v>
      </c>
    </row>
    <row r="1926" spans="1:13" x14ac:dyDescent="0.25">
      <c r="A1926" t="s">
        <v>4266</v>
      </c>
      <c r="B1926" t="s">
        <v>4257</v>
      </c>
      <c r="C1926" t="s">
        <v>540</v>
      </c>
      <c r="G1926" t="s">
        <v>16</v>
      </c>
      <c r="H1926">
        <v>0</v>
      </c>
      <c r="I1926" s="2" t="s">
        <v>4267</v>
      </c>
      <c r="J1926" s="2" t="s">
        <v>4268</v>
      </c>
      <c r="K1926">
        <v>20</v>
      </c>
      <c r="L1926">
        <v>20</v>
      </c>
      <c r="M1926">
        <v>20</v>
      </c>
    </row>
    <row r="1927" spans="1:13" x14ac:dyDescent="0.25">
      <c r="A1927" t="s">
        <v>4269</v>
      </c>
      <c r="B1927" t="s">
        <v>4270</v>
      </c>
      <c r="C1927" t="s">
        <v>540</v>
      </c>
      <c r="F1927">
        <v>0</v>
      </c>
      <c r="G1927" t="s">
        <v>16</v>
      </c>
      <c r="H1927">
        <v>0</v>
      </c>
      <c r="I1927" s="2" t="s">
        <v>4218</v>
      </c>
      <c r="J1927" s="2" t="s">
        <v>4271</v>
      </c>
      <c r="K1927">
        <v>20</v>
      </c>
      <c r="L1927">
        <v>20</v>
      </c>
      <c r="M1927">
        <v>20</v>
      </c>
    </row>
    <row r="1928" spans="1:13" x14ac:dyDescent="0.25">
      <c r="A1928" t="s">
        <v>4272</v>
      </c>
      <c r="B1928" t="s">
        <v>4273</v>
      </c>
      <c r="C1928" t="s">
        <v>540</v>
      </c>
      <c r="F1928">
        <v>0</v>
      </c>
      <c r="G1928" t="s">
        <v>16</v>
      </c>
      <c r="H1928">
        <v>0</v>
      </c>
      <c r="I1928" s="2" t="s">
        <v>4260</v>
      </c>
      <c r="J1928" s="2" t="s">
        <v>4274</v>
      </c>
      <c r="K1928">
        <v>20</v>
      </c>
      <c r="L1928">
        <v>20</v>
      </c>
      <c r="M1928">
        <v>20</v>
      </c>
    </row>
    <row r="1929" spans="1:13" x14ac:dyDescent="0.25">
      <c r="A1929" t="s">
        <v>4275</v>
      </c>
      <c r="B1929" t="s">
        <v>4273</v>
      </c>
      <c r="C1929" t="s">
        <v>540</v>
      </c>
      <c r="F1929">
        <v>1</v>
      </c>
      <c r="G1929" t="s">
        <v>16</v>
      </c>
      <c r="H1929">
        <v>0</v>
      </c>
      <c r="I1929" s="2" t="s">
        <v>4218</v>
      </c>
      <c r="J1929" s="2" t="s">
        <v>4276</v>
      </c>
      <c r="K1929">
        <v>20</v>
      </c>
      <c r="L1929">
        <v>20</v>
      </c>
      <c r="M1929">
        <v>20</v>
      </c>
    </row>
    <row r="1930" spans="1:13" x14ac:dyDescent="0.25">
      <c r="A1930" t="s">
        <v>4277</v>
      </c>
      <c r="B1930" t="s">
        <v>4278</v>
      </c>
      <c r="C1930" t="s">
        <v>540</v>
      </c>
      <c r="F1930">
        <v>1</v>
      </c>
      <c r="G1930" t="s">
        <v>16</v>
      </c>
      <c r="H1930">
        <v>0</v>
      </c>
      <c r="I1930" s="2" t="s">
        <v>643</v>
      </c>
      <c r="J1930" s="2">
        <v>111270</v>
      </c>
      <c r="K1930">
        <v>20</v>
      </c>
      <c r="L1930">
        <v>20</v>
      </c>
      <c r="M1930">
        <v>20</v>
      </c>
    </row>
    <row r="1931" spans="1:13" x14ac:dyDescent="0.25">
      <c r="A1931" t="s">
        <v>4279</v>
      </c>
      <c r="B1931" t="s">
        <v>4280</v>
      </c>
      <c r="C1931" t="s">
        <v>540</v>
      </c>
      <c r="F1931">
        <v>1</v>
      </c>
      <c r="G1931" t="s">
        <v>16</v>
      </c>
      <c r="H1931">
        <v>0</v>
      </c>
      <c r="I1931" s="2" t="s">
        <v>2331</v>
      </c>
      <c r="J1931" s="2" t="s">
        <v>4281</v>
      </c>
      <c r="K1931">
        <v>20</v>
      </c>
      <c r="L1931">
        <v>20</v>
      </c>
      <c r="M1931">
        <v>20</v>
      </c>
    </row>
    <row r="1932" spans="1:13" x14ac:dyDescent="0.25">
      <c r="A1932" t="s">
        <v>4282</v>
      </c>
      <c r="B1932" t="s">
        <v>4283</v>
      </c>
      <c r="C1932" t="s">
        <v>540</v>
      </c>
      <c r="F1932">
        <v>1</v>
      </c>
      <c r="G1932" t="s">
        <v>16</v>
      </c>
      <c r="H1932">
        <v>0</v>
      </c>
      <c r="I1932" s="2" t="s">
        <v>4260</v>
      </c>
      <c r="J1932" s="2" t="s">
        <v>4256</v>
      </c>
      <c r="K1932">
        <v>20</v>
      </c>
      <c r="L1932">
        <v>20</v>
      </c>
      <c r="M1932">
        <v>20</v>
      </c>
    </row>
    <row r="1933" spans="1:13" x14ac:dyDescent="0.25">
      <c r="A1933" t="s">
        <v>4284</v>
      </c>
      <c r="B1933" t="s">
        <v>4283</v>
      </c>
      <c r="C1933" t="s">
        <v>540</v>
      </c>
      <c r="F1933">
        <v>2</v>
      </c>
      <c r="G1933" t="s">
        <v>16</v>
      </c>
      <c r="H1933">
        <v>0</v>
      </c>
      <c r="I1933" s="2" t="s">
        <v>4267</v>
      </c>
      <c r="J1933" s="2" t="str">
        <f>"02/7080-R2A"</f>
        <v>02/7080-R2A</v>
      </c>
      <c r="K1933">
        <v>20</v>
      </c>
      <c r="L1933">
        <v>20</v>
      </c>
      <c r="M1933">
        <v>20</v>
      </c>
    </row>
    <row r="1934" spans="1:13" x14ac:dyDescent="0.25">
      <c r="A1934" t="s">
        <v>4285</v>
      </c>
      <c r="B1934" t="s">
        <v>4283</v>
      </c>
      <c r="C1934" t="s">
        <v>540</v>
      </c>
      <c r="F1934">
        <v>0</v>
      </c>
      <c r="G1934" t="s">
        <v>16</v>
      </c>
      <c r="H1934">
        <v>0</v>
      </c>
      <c r="I1934" s="2" t="s">
        <v>545</v>
      </c>
      <c r="J1934" s="2" t="s">
        <v>4256</v>
      </c>
      <c r="K1934">
        <v>20</v>
      </c>
      <c r="L1934">
        <v>20</v>
      </c>
      <c r="M1934">
        <v>20</v>
      </c>
    </row>
    <row r="1935" spans="1:13" x14ac:dyDescent="0.25">
      <c r="A1935" t="s">
        <v>4286</v>
      </c>
      <c r="B1935" t="s">
        <v>4287</v>
      </c>
      <c r="C1935" t="s">
        <v>540</v>
      </c>
      <c r="F1935">
        <v>1</v>
      </c>
      <c r="G1935" t="s">
        <v>16</v>
      </c>
      <c r="H1935">
        <v>0</v>
      </c>
      <c r="I1935" s="2" t="s">
        <v>4288</v>
      </c>
      <c r="J1935" s="2" t="str">
        <f>"0703710"</f>
        <v>0703710</v>
      </c>
      <c r="K1935">
        <v>20</v>
      </c>
      <c r="L1935">
        <v>20</v>
      </c>
      <c r="M1935">
        <v>20</v>
      </c>
    </row>
    <row r="1936" spans="1:13" x14ac:dyDescent="0.25">
      <c r="A1936" t="s">
        <v>4289</v>
      </c>
      <c r="B1936" t="s">
        <v>4290</v>
      </c>
      <c r="C1936" t="s">
        <v>540</v>
      </c>
      <c r="F1936">
        <v>1</v>
      </c>
      <c r="G1936" t="s">
        <v>16</v>
      </c>
      <c r="H1936">
        <v>0</v>
      </c>
      <c r="I1936" s="2" t="s">
        <v>643</v>
      </c>
      <c r="J1936" s="2">
        <v>111073</v>
      </c>
      <c r="K1936">
        <v>20</v>
      </c>
      <c r="L1936">
        <v>20</v>
      </c>
      <c r="M1936">
        <v>20</v>
      </c>
    </row>
    <row r="1937" spans="1:13" x14ac:dyDescent="0.25">
      <c r="A1937" t="s">
        <v>4291</v>
      </c>
      <c r="B1937" t="s">
        <v>4290</v>
      </c>
      <c r="C1937" t="s">
        <v>540</v>
      </c>
      <c r="F1937">
        <v>1</v>
      </c>
      <c r="G1937" t="s">
        <v>16</v>
      </c>
      <c r="H1937">
        <v>0</v>
      </c>
      <c r="I1937" s="2" t="s">
        <v>2345</v>
      </c>
      <c r="J1937" s="2" t="s">
        <v>4292</v>
      </c>
      <c r="K1937">
        <v>20</v>
      </c>
      <c r="L1937">
        <v>20</v>
      </c>
      <c r="M1937">
        <v>20</v>
      </c>
    </row>
    <row r="1938" spans="1:13" x14ac:dyDescent="0.25">
      <c r="A1938" t="s">
        <v>4293</v>
      </c>
      <c r="B1938" t="s">
        <v>4294</v>
      </c>
      <c r="C1938" t="s">
        <v>540</v>
      </c>
      <c r="F1938">
        <v>1</v>
      </c>
      <c r="G1938" t="s">
        <v>16</v>
      </c>
      <c r="H1938">
        <v>0</v>
      </c>
      <c r="I1938" s="2" t="s">
        <v>500</v>
      </c>
      <c r="J1938" s="2" t="s">
        <v>4295</v>
      </c>
      <c r="K1938">
        <v>20</v>
      </c>
      <c r="L1938">
        <v>20</v>
      </c>
      <c r="M1938">
        <v>20</v>
      </c>
    </row>
    <row r="1939" spans="1:13" x14ac:dyDescent="0.25">
      <c r="A1939" t="s">
        <v>4296</v>
      </c>
      <c r="B1939" t="s">
        <v>4294</v>
      </c>
      <c r="C1939" t="s">
        <v>540</v>
      </c>
      <c r="F1939">
        <v>1</v>
      </c>
      <c r="G1939" t="s">
        <v>16</v>
      </c>
      <c r="H1939">
        <v>0</v>
      </c>
      <c r="I1939" s="2" t="s">
        <v>643</v>
      </c>
      <c r="J1939" s="2">
        <v>111074</v>
      </c>
      <c r="K1939">
        <v>20</v>
      </c>
      <c r="L1939">
        <v>20</v>
      </c>
      <c r="M1939">
        <v>20</v>
      </c>
    </row>
    <row r="1940" spans="1:13" x14ac:dyDescent="0.25">
      <c r="A1940" t="s">
        <v>4297</v>
      </c>
      <c r="B1940" t="s">
        <v>4294</v>
      </c>
      <c r="C1940" t="s">
        <v>540</v>
      </c>
      <c r="F1940">
        <v>1</v>
      </c>
      <c r="G1940" t="s">
        <v>16</v>
      </c>
      <c r="H1940">
        <v>0</v>
      </c>
      <c r="I1940" s="2" t="s">
        <v>2345</v>
      </c>
      <c r="J1940" s="2" t="s">
        <v>4298</v>
      </c>
      <c r="K1940">
        <v>20</v>
      </c>
      <c r="L1940">
        <v>20</v>
      </c>
      <c r="M1940">
        <v>20</v>
      </c>
    </row>
    <row r="1941" spans="1:13" x14ac:dyDescent="0.25">
      <c r="A1941" t="s">
        <v>4299</v>
      </c>
      <c r="B1941" t="s">
        <v>4300</v>
      </c>
      <c r="C1941" t="s">
        <v>540</v>
      </c>
      <c r="F1941">
        <v>1</v>
      </c>
      <c r="G1941" t="s">
        <v>16</v>
      </c>
      <c r="H1941">
        <v>0</v>
      </c>
      <c r="I1941" s="2" t="s">
        <v>579</v>
      </c>
      <c r="J1941" s="2" t="s">
        <v>4301</v>
      </c>
      <c r="K1941">
        <v>20</v>
      </c>
      <c r="L1941">
        <v>20</v>
      </c>
      <c r="M1941">
        <v>20</v>
      </c>
    </row>
    <row r="1942" spans="1:13" x14ac:dyDescent="0.25">
      <c r="A1942" t="s">
        <v>4302</v>
      </c>
      <c r="B1942" t="s">
        <v>4303</v>
      </c>
      <c r="C1942" t="s">
        <v>540</v>
      </c>
      <c r="F1942">
        <v>1</v>
      </c>
      <c r="G1942" t="s">
        <v>16</v>
      </c>
      <c r="H1942">
        <v>0</v>
      </c>
      <c r="I1942" s="2" t="s">
        <v>2345</v>
      </c>
      <c r="J1942" s="2" t="s">
        <v>4304</v>
      </c>
      <c r="K1942">
        <v>20</v>
      </c>
      <c r="L1942">
        <v>20</v>
      </c>
      <c r="M1942">
        <v>20</v>
      </c>
    </row>
    <row r="1943" spans="1:13" x14ac:dyDescent="0.25">
      <c r="A1943" t="s">
        <v>4305</v>
      </c>
      <c r="B1943" t="s">
        <v>4306</v>
      </c>
      <c r="C1943" t="s">
        <v>540</v>
      </c>
      <c r="F1943">
        <v>1</v>
      </c>
      <c r="G1943" t="s">
        <v>16</v>
      </c>
      <c r="H1943">
        <v>0</v>
      </c>
      <c r="I1943" s="2" t="s">
        <v>2345</v>
      </c>
      <c r="J1943" s="2" t="s">
        <v>4307</v>
      </c>
      <c r="K1943">
        <v>20</v>
      </c>
      <c r="L1943">
        <v>20</v>
      </c>
      <c r="M1943">
        <v>20</v>
      </c>
    </row>
    <row r="1944" spans="1:13" x14ac:dyDescent="0.25">
      <c r="A1944" t="s">
        <v>4308</v>
      </c>
      <c r="B1944" t="s">
        <v>4309</v>
      </c>
      <c r="C1944" t="s">
        <v>540</v>
      </c>
      <c r="F1944">
        <v>1</v>
      </c>
      <c r="G1944" t="s">
        <v>16</v>
      </c>
      <c r="H1944">
        <v>0</v>
      </c>
      <c r="I1944" s="2" t="s">
        <v>500</v>
      </c>
      <c r="J1944" s="2" t="s">
        <v>4310</v>
      </c>
      <c r="K1944">
        <v>20</v>
      </c>
      <c r="L1944">
        <v>20</v>
      </c>
      <c r="M1944">
        <v>20</v>
      </c>
    </row>
    <row r="1945" spans="1:13" x14ac:dyDescent="0.25">
      <c r="A1945" t="s">
        <v>4311</v>
      </c>
      <c r="B1945" t="s">
        <v>4312</v>
      </c>
      <c r="C1945" t="s">
        <v>540</v>
      </c>
      <c r="F1945">
        <v>1</v>
      </c>
      <c r="G1945" t="s">
        <v>16</v>
      </c>
      <c r="H1945">
        <v>0</v>
      </c>
      <c r="I1945" s="2" t="s">
        <v>2542</v>
      </c>
      <c r="J1945" s="2">
        <v>1400465</v>
      </c>
      <c r="K1945">
        <v>20</v>
      </c>
      <c r="L1945">
        <v>20</v>
      </c>
      <c r="M1945">
        <v>20</v>
      </c>
    </row>
    <row r="1946" spans="1:13" x14ac:dyDescent="0.25">
      <c r="A1946" t="s">
        <v>4313</v>
      </c>
      <c r="B1946" t="s">
        <v>4314</v>
      </c>
      <c r="C1946" t="s">
        <v>540</v>
      </c>
      <c r="F1946">
        <v>0</v>
      </c>
      <c r="G1946" t="s">
        <v>16</v>
      </c>
      <c r="H1946">
        <v>0</v>
      </c>
      <c r="I1946" s="2" t="s">
        <v>643</v>
      </c>
      <c r="J1946" s="2">
        <v>111049</v>
      </c>
      <c r="K1946">
        <v>20</v>
      </c>
      <c r="L1946">
        <v>20</v>
      </c>
      <c r="M1946">
        <v>20</v>
      </c>
    </row>
    <row r="1947" spans="1:13" x14ac:dyDescent="0.25">
      <c r="A1947" t="s">
        <v>4315</v>
      </c>
      <c r="B1947" t="s">
        <v>4316</v>
      </c>
      <c r="C1947" t="s">
        <v>540</v>
      </c>
      <c r="F1947">
        <v>0</v>
      </c>
      <c r="G1947" t="s">
        <v>16</v>
      </c>
      <c r="H1947">
        <v>0</v>
      </c>
      <c r="I1947" s="2" t="s">
        <v>643</v>
      </c>
      <c r="J1947" s="2">
        <v>111050</v>
      </c>
      <c r="K1947">
        <v>20</v>
      </c>
      <c r="L1947">
        <v>20</v>
      </c>
      <c r="M1947">
        <v>20</v>
      </c>
    </row>
    <row r="1948" spans="1:13" x14ac:dyDescent="0.25">
      <c r="A1948" t="s">
        <v>4317</v>
      </c>
      <c r="B1948" t="s">
        <v>4318</v>
      </c>
      <c r="C1948" t="s">
        <v>540</v>
      </c>
      <c r="F1948">
        <v>3</v>
      </c>
      <c r="G1948" t="s">
        <v>16</v>
      </c>
      <c r="H1948">
        <v>0</v>
      </c>
      <c r="I1948" s="2" t="s">
        <v>734</v>
      </c>
      <c r="J1948" s="2">
        <v>111051</v>
      </c>
      <c r="K1948">
        <v>20</v>
      </c>
      <c r="L1948">
        <v>20</v>
      </c>
      <c r="M1948">
        <v>20</v>
      </c>
    </row>
    <row r="1949" spans="1:13" x14ac:dyDescent="0.25">
      <c r="A1949" t="s">
        <v>4319</v>
      </c>
      <c r="B1949" t="s">
        <v>4320</v>
      </c>
      <c r="C1949" t="s">
        <v>540</v>
      </c>
      <c r="F1949">
        <v>3</v>
      </c>
      <c r="G1949" t="s">
        <v>16</v>
      </c>
      <c r="H1949">
        <v>0</v>
      </c>
      <c r="I1949" s="2" t="s">
        <v>734</v>
      </c>
      <c r="J1949" s="2">
        <v>111052</v>
      </c>
      <c r="K1949">
        <v>20</v>
      </c>
      <c r="L1949">
        <v>20</v>
      </c>
      <c r="M1949">
        <v>20</v>
      </c>
    </row>
    <row r="1950" spans="1:13" x14ac:dyDescent="0.25">
      <c r="A1950" t="s">
        <v>4321</v>
      </c>
      <c r="B1950" t="s">
        <v>4322</v>
      </c>
      <c r="C1950" t="s">
        <v>540</v>
      </c>
      <c r="F1950">
        <v>1</v>
      </c>
      <c r="G1950" t="s">
        <v>16</v>
      </c>
      <c r="H1950">
        <v>0</v>
      </c>
      <c r="I1950" s="2" t="s">
        <v>4218</v>
      </c>
      <c r="J1950" s="2" t="s">
        <v>4323</v>
      </c>
      <c r="K1950">
        <v>20</v>
      </c>
      <c r="L1950">
        <v>20</v>
      </c>
      <c r="M1950">
        <v>20</v>
      </c>
    </row>
    <row r="1951" spans="1:13" x14ac:dyDescent="0.25">
      <c r="A1951" t="s">
        <v>4324</v>
      </c>
      <c r="B1951" t="s">
        <v>4326</v>
      </c>
      <c r="C1951" t="s">
        <v>540</v>
      </c>
      <c r="F1951">
        <v>5</v>
      </c>
      <c r="G1951" t="s">
        <v>16</v>
      </c>
      <c r="H1951">
        <v>0</v>
      </c>
      <c r="I1951" s="2" t="s">
        <v>288</v>
      </c>
      <c r="J1951" s="2" t="s">
        <v>4325</v>
      </c>
      <c r="K1951">
        <v>20</v>
      </c>
      <c r="L1951">
        <v>20</v>
      </c>
      <c r="M1951">
        <v>20</v>
      </c>
    </row>
    <row r="1952" spans="1:13" x14ac:dyDescent="0.25">
      <c r="A1952" t="s">
        <v>4327</v>
      </c>
      <c r="B1952" t="s">
        <v>4326</v>
      </c>
      <c r="C1952" t="s">
        <v>540</v>
      </c>
      <c r="F1952">
        <v>1</v>
      </c>
      <c r="G1952" t="s">
        <v>16</v>
      </c>
      <c r="H1952">
        <v>0</v>
      </c>
      <c r="I1952" s="2" t="s">
        <v>2098</v>
      </c>
      <c r="J1952" s="2" t="s">
        <v>4328</v>
      </c>
      <c r="K1952">
        <v>20</v>
      </c>
      <c r="L1952">
        <v>20</v>
      </c>
      <c r="M1952">
        <v>20</v>
      </c>
    </row>
    <row r="1953" spans="1:13" x14ac:dyDescent="0.25">
      <c r="A1953" t="s">
        <v>4329</v>
      </c>
      <c r="B1953" t="s">
        <v>4326</v>
      </c>
      <c r="C1953" t="s">
        <v>540</v>
      </c>
      <c r="F1953">
        <v>1</v>
      </c>
      <c r="G1953" t="s">
        <v>16</v>
      </c>
      <c r="H1953">
        <v>0</v>
      </c>
      <c r="I1953" s="2" t="s">
        <v>64</v>
      </c>
      <c r="J1953" s="2">
        <v>21031377</v>
      </c>
      <c r="K1953">
        <v>20</v>
      </c>
      <c r="L1953">
        <v>20</v>
      </c>
      <c r="M1953">
        <v>20</v>
      </c>
    </row>
    <row r="1954" spans="1:13" x14ac:dyDescent="0.25">
      <c r="A1954" t="s">
        <v>4330</v>
      </c>
      <c r="B1954" t="s">
        <v>4326</v>
      </c>
      <c r="C1954" t="s">
        <v>540</v>
      </c>
      <c r="G1954" t="s">
        <v>16</v>
      </c>
      <c r="H1954">
        <v>0</v>
      </c>
      <c r="I1954" s="2" t="s">
        <v>500</v>
      </c>
      <c r="J1954" s="2" t="s">
        <v>4331</v>
      </c>
      <c r="K1954">
        <v>20</v>
      </c>
      <c r="L1954">
        <v>20</v>
      </c>
      <c r="M1954">
        <v>20</v>
      </c>
    </row>
    <row r="1955" spans="1:13" x14ac:dyDescent="0.25">
      <c r="A1955" t="s">
        <v>4332</v>
      </c>
      <c r="B1955" t="s">
        <v>4326</v>
      </c>
      <c r="C1955" t="s">
        <v>540</v>
      </c>
      <c r="G1955" t="s">
        <v>16</v>
      </c>
      <c r="H1955">
        <v>0</v>
      </c>
      <c r="I1955" s="2" t="s">
        <v>737</v>
      </c>
      <c r="J1955" s="2" t="s">
        <v>4333</v>
      </c>
      <c r="K1955">
        <v>20</v>
      </c>
      <c r="L1955">
        <v>20</v>
      </c>
      <c r="M1955">
        <v>20</v>
      </c>
    </row>
    <row r="1956" spans="1:13" x14ac:dyDescent="0.25">
      <c r="A1956" t="s">
        <v>4334</v>
      </c>
      <c r="B1956" t="s">
        <v>4335</v>
      </c>
      <c r="C1956" t="s">
        <v>540</v>
      </c>
      <c r="F1956">
        <v>1</v>
      </c>
      <c r="G1956" t="s">
        <v>16</v>
      </c>
      <c r="H1956">
        <v>0</v>
      </c>
      <c r="I1956" s="2" t="s">
        <v>643</v>
      </c>
      <c r="J1956" s="2">
        <v>111272</v>
      </c>
      <c r="K1956">
        <v>20</v>
      </c>
      <c r="L1956">
        <v>20</v>
      </c>
      <c r="M1956">
        <v>20</v>
      </c>
    </row>
    <row r="1957" spans="1:13" x14ac:dyDescent="0.25">
      <c r="A1957" t="s">
        <v>4336</v>
      </c>
      <c r="B1957" t="s">
        <v>4337</v>
      </c>
      <c r="C1957" t="s">
        <v>540</v>
      </c>
      <c r="F1957">
        <v>1</v>
      </c>
      <c r="G1957" t="s">
        <v>16</v>
      </c>
      <c r="H1957">
        <v>0</v>
      </c>
      <c r="I1957" s="2" t="s">
        <v>643</v>
      </c>
      <c r="J1957" s="2">
        <v>111273</v>
      </c>
      <c r="K1957">
        <v>20</v>
      </c>
      <c r="L1957">
        <v>20</v>
      </c>
      <c r="M1957">
        <v>20</v>
      </c>
    </row>
    <row r="1958" spans="1:13" x14ac:dyDescent="0.25">
      <c r="A1958" t="s">
        <v>4338</v>
      </c>
      <c r="B1958" t="s">
        <v>4339</v>
      </c>
      <c r="C1958" t="s">
        <v>540</v>
      </c>
      <c r="G1958" t="s">
        <v>16</v>
      </c>
      <c r="H1958">
        <v>0</v>
      </c>
      <c r="I1958" s="2" t="s">
        <v>4340</v>
      </c>
      <c r="J1958" s="2" t="str">
        <f>"0714716"</f>
        <v>0714716</v>
      </c>
      <c r="K1958">
        <v>20</v>
      </c>
      <c r="L1958">
        <v>20</v>
      </c>
      <c r="M1958">
        <v>20</v>
      </c>
    </row>
    <row r="1959" spans="1:13" x14ac:dyDescent="0.25">
      <c r="A1959" t="s">
        <v>4341</v>
      </c>
      <c r="B1959" t="s">
        <v>4339</v>
      </c>
      <c r="C1959" t="s">
        <v>540</v>
      </c>
      <c r="F1959">
        <v>2</v>
      </c>
      <c r="G1959" t="s">
        <v>16</v>
      </c>
      <c r="H1959">
        <v>0</v>
      </c>
      <c r="I1959" s="2" t="s">
        <v>643</v>
      </c>
      <c r="J1959" s="2">
        <v>111274</v>
      </c>
      <c r="K1959">
        <v>20</v>
      </c>
      <c r="L1959">
        <v>20</v>
      </c>
      <c r="M1959">
        <v>20</v>
      </c>
    </row>
    <row r="1960" spans="1:13" x14ac:dyDescent="0.25">
      <c r="A1960" t="s">
        <v>4342</v>
      </c>
      <c r="B1960" t="s">
        <v>4343</v>
      </c>
      <c r="C1960" t="s">
        <v>540</v>
      </c>
      <c r="G1960" t="s">
        <v>16</v>
      </c>
      <c r="H1960">
        <v>0</v>
      </c>
      <c r="I1960" s="2" t="s">
        <v>4340</v>
      </c>
      <c r="J1960" s="2" t="str">
        <f>"0714717"</f>
        <v>0714717</v>
      </c>
      <c r="K1960">
        <v>20</v>
      </c>
      <c r="L1960">
        <v>20</v>
      </c>
      <c r="M1960">
        <v>20</v>
      </c>
    </row>
    <row r="1961" spans="1:13" x14ac:dyDescent="0.25">
      <c r="A1961" t="s">
        <v>4344</v>
      </c>
      <c r="B1961" t="s">
        <v>4343</v>
      </c>
      <c r="C1961" t="s">
        <v>540</v>
      </c>
      <c r="F1961">
        <v>2</v>
      </c>
      <c r="G1961" t="s">
        <v>16</v>
      </c>
      <c r="H1961">
        <v>0</v>
      </c>
      <c r="I1961" s="2" t="s">
        <v>643</v>
      </c>
      <c r="J1961" s="2">
        <v>111275</v>
      </c>
      <c r="K1961">
        <v>20</v>
      </c>
      <c r="L1961">
        <v>20</v>
      </c>
      <c r="M1961">
        <v>20</v>
      </c>
    </row>
    <row r="1962" spans="1:13" x14ac:dyDescent="0.25">
      <c r="A1962" t="s">
        <v>4345</v>
      </c>
      <c r="B1962" t="s">
        <v>4346</v>
      </c>
      <c r="C1962" t="s">
        <v>540</v>
      </c>
      <c r="F1962">
        <v>1</v>
      </c>
      <c r="G1962" t="s">
        <v>16</v>
      </c>
      <c r="H1962">
        <v>0</v>
      </c>
      <c r="I1962" s="2" t="s">
        <v>643</v>
      </c>
      <c r="J1962" s="2">
        <v>111276</v>
      </c>
      <c r="K1962">
        <v>20</v>
      </c>
      <c r="L1962">
        <v>20</v>
      </c>
      <c r="M1962">
        <v>20</v>
      </c>
    </row>
    <row r="1963" spans="1:13" x14ac:dyDescent="0.25">
      <c r="A1963" t="s">
        <v>4347</v>
      </c>
      <c r="B1963" t="s">
        <v>4348</v>
      </c>
      <c r="C1963" t="s">
        <v>540</v>
      </c>
      <c r="F1963">
        <v>1</v>
      </c>
      <c r="G1963" t="s">
        <v>16</v>
      </c>
      <c r="H1963">
        <v>0</v>
      </c>
      <c r="I1963" s="2" t="s">
        <v>643</v>
      </c>
      <c r="J1963" s="2">
        <v>111083</v>
      </c>
      <c r="K1963">
        <v>20</v>
      </c>
      <c r="L1963">
        <v>20</v>
      </c>
      <c r="M1963">
        <v>20</v>
      </c>
    </row>
    <row r="1964" spans="1:13" x14ac:dyDescent="0.25">
      <c r="A1964" t="s">
        <v>4349</v>
      </c>
      <c r="B1964" t="s">
        <v>4350</v>
      </c>
      <c r="C1964" t="s">
        <v>540</v>
      </c>
      <c r="F1964">
        <v>1</v>
      </c>
      <c r="G1964" t="s">
        <v>16</v>
      </c>
      <c r="H1964">
        <v>0</v>
      </c>
      <c r="I1964" s="2" t="s">
        <v>500</v>
      </c>
      <c r="J1964" s="2" t="s">
        <v>4351</v>
      </c>
      <c r="K1964">
        <v>20</v>
      </c>
      <c r="L1964">
        <v>20</v>
      </c>
      <c r="M1964">
        <v>20</v>
      </c>
    </row>
    <row r="1965" spans="1:13" x14ac:dyDescent="0.25">
      <c r="A1965" t="s">
        <v>4352</v>
      </c>
      <c r="B1965" t="s">
        <v>4353</v>
      </c>
      <c r="C1965" t="s">
        <v>540</v>
      </c>
      <c r="F1965">
        <v>2</v>
      </c>
      <c r="G1965" t="s">
        <v>16</v>
      </c>
      <c r="H1965">
        <v>0</v>
      </c>
      <c r="I1965" s="2" t="s">
        <v>500</v>
      </c>
      <c r="J1965" s="2" t="s">
        <v>4354</v>
      </c>
      <c r="K1965">
        <v>20</v>
      </c>
      <c r="L1965">
        <v>20</v>
      </c>
      <c r="M1965">
        <v>20</v>
      </c>
    </row>
    <row r="1966" spans="1:13" x14ac:dyDescent="0.25">
      <c r="A1966" t="s">
        <v>4355</v>
      </c>
      <c r="B1966" t="s">
        <v>4356</v>
      </c>
      <c r="C1966" t="s">
        <v>540</v>
      </c>
      <c r="F1966">
        <v>15</v>
      </c>
      <c r="G1966" t="s">
        <v>16</v>
      </c>
      <c r="H1966">
        <v>0</v>
      </c>
      <c r="I1966" s="2" t="s">
        <v>142</v>
      </c>
      <c r="J1966" s="2" t="s">
        <v>4357</v>
      </c>
      <c r="K1966">
        <v>20</v>
      </c>
      <c r="L1966">
        <v>20</v>
      </c>
      <c r="M1966">
        <v>20</v>
      </c>
    </row>
    <row r="1967" spans="1:13" x14ac:dyDescent="0.25">
      <c r="A1967" t="s">
        <v>4358</v>
      </c>
      <c r="B1967" t="s">
        <v>4356</v>
      </c>
      <c r="C1967" t="s">
        <v>540</v>
      </c>
      <c r="F1967">
        <v>50</v>
      </c>
      <c r="G1967" t="s">
        <v>16</v>
      </c>
      <c r="H1967">
        <v>0</v>
      </c>
      <c r="I1967" s="2" t="s">
        <v>737</v>
      </c>
      <c r="J1967" s="2" t="s">
        <v>4359</v>
      </c>
      <c r="K1967">
        <v>20</v>
      </c>
      <c r="L1967">
        <v>20</v>
      </c>
      <c r="M1967">
        <v>20</v>
      </c>
    </row>
    <row r="1968" spans="1:13" x14ac:dyDescent="0.25">
      <c r="A1968">
        <v>1400854</v>
      </c>
      <c r="B1968" t="s">
        <v>4360</v>
      </c>
      <c r="C1968" t="s">
        <v>540</v>
      </c>
      <c r="F1968">
        <v>0</v>
      </c>
      <c r="G1968" t="s">
        <v>16</v>
      </c>
      <c r="H1968">
        <v>0</v>
      </c>
      <c r="I1968" s="2" t="s">
        <v>497</v>
      </c>
      <c r="J1968" s="2">
        <v>1400854</v>
      </c>
      <c r="K1968">
        <v>20</v>
      </c>
      <c r="L1968">
        <v>20</v>
      </c>
      <c r="M1968">
        <v>20</v>
      </c>
    </row>
    <row r="1969" spans="1:13" x14ac:dyDescent="0.25">
      <c r="A1969" t="s">
        <v>4361</v>
      </c>
      <c r="B1969" t="s">
        <v>4362</v>
      </c>
      <c r="C1969" t="s">
        <v>540</v>
      </c>
      <c r="F1969">
        <v>1</v>
      </c>
      <c r="G1969" t="s">
        <v>16</v>
      </c>
      <c r="H1969">
        <v>0</v>
      </c>
      <c r="I1969" s="2" t="s">
        <v>734</v>
      </c>
      <c r="J1969" s="2">
        <v>111335</v>
      </c>
      <c r="K1969">
        <v>20</v>
      </c>
      <c r="L1969">
        <v>20</v>
      </c>
      <c r="M1969">
        <v>20</v>
      </c>
    </row>
    <row r="1970" spans="1:13" x14ac:dyDescent="0.25">
      <c r="A1970" t="s">
        <v>4363</v>
      </c>
      <c r="B1970" t="s">
        <v>4364</v>
      </c>
      <c r="C1970" t="s">
        <v>540</v>
      </c>
      <c r="F1970">
        <v>1</v>
      </c>
      <c r="G1970" t="s">
        <v>16</v>
      </c>
      <c r="H1970">
        <v>0</v>
      </c>
      <c r="I1970" s="2" t="s">
        <v>734</v>
      </c>
      <c r="J1970" s="2">
        <v>111336</v>
      </c>
      <c r="K1970">
        <v>20</v>
      </c>
      <c r="L1970">
        <v>20</v>
      </c>
      <c r="M1970">
        <v>20</v>
      </c>
    </row>
    <row r="1971" spans="1:13" x14ac:dyDescent="0.25">
      <c r="A1971">
        <v>1400869</v>
      </c>
      <c r="B1971" t="s">
        <v>4365</v>
      </c>
      <c r="C1971" t="s">
        <v>540</v>
      </c>
      <c r="F1971">
        <v>0</v>
      </c>
      <c r="G1971" t="s">
        <v>16</v>
      </c>
      <c r="H1971">
        <v>0</v>
      </c>
      <c r="I1971" s="2" t="s">
        <v>497</v>
      </c>
      <c r="J1971" s="2">
        <v>95508031</v>
      </c>
      <c r="K1971">
        <v>20</v>
      </c>
      <c r="L1971">
        <v>20</v>
      </c>
      <c r="M1971">
        <v>20</v>
      </c>
    </row>
    <row r="1972" spans="1:13" x14ac:dyDescent="0.25">
      <c r="A1972" t="s">
        <v>4366</v>
      </c>
      <c r="B1972" t="s">
        <v>4365</v>
      </c>
      <c r="C1972" t="s">
        <v>540</v>
      </c>
      <c r="G1972" t="s">
        <v>16</v>
      </c>
      <c r="H1972">
        <v>0</v>
      </c>
      <c r="I1972" s="2" t="s">
        <v>2331</v>
      </c>
      <c r="J1972" s="2" t="s">
        <v>4367</v>
      </c>
      <c r="K1972">
        <v>20</v>
      </c>
      <c r="L1972">
        <v>20</v>
      </c>
      <c r="M1972">
        <v>20</v>
      </c>
    </row>
    <row r="1973" spans="1:13" x14ac:dyDescent="0.25">
      <c r="A1973" t="s">
        <v>4368</v>
      </c>
      <c r="B1973" t="s">
        <v>4365</v>
      </c>
      <c r="C1973" t="s">
        <v>540</v>
      </c>
      <c r="F1973">
        <v>1</v>
      </c>
      <c r="G1973" t="s">
        <v>16</v>
      </c>
      <c r="H1973">
        <v>0</v>
      </c>
      <c r="I1973" s="2" t="s">
        <v>4260</v>
      </c>
      <c r="J1973" s="2" t="s">
        <v>4369</v>
      </c>
      <c r="K1973">
        <v>20</v>
      </c>
      <c r="L1973">
        <v>20</v>
      </c>
      <c r="M1973">
        <v>20</v>
      </c>
    </row>
    <row r="1974" spans="1:13" x14ac:dyDescent="0.25">
      <c r="A1974" t="s">
        <v>4370</v>
      </c>
      <c r="B1974" t="s">
        <v>4371</v>
      </c>
      <c r="C1974" t="s">
        <v>540</v>
      </c>
      <c r="F1974">
        <v>1</v>
      </c>
      <c r="G1974" t="s">
        <v>16</v>
      </c>
      <c r="H1974">
        <v>0</v>
      </c>
      <c r="I1974" s="2" t="s">
        <v>734</v>
      </c>
      <c r="J1974" s="2">
        <v>111334</v>
      </c>
      <c r="K1974">
        <v>20</v>
      </c>
      <c r="L1974">
        <v>20</v>
      </c>
      <c r="M1974">
        <v>20</v>
      </c>
    </row>
    <row r="1975" spans="1:13" x14ac:dyDescent="0.25">
      <c r="A1975" t="s">
        <v>4372</v>
      </c>
      <c r="B1975" t="s">
        <v>4373</v>
      </c>
      <c r="C1975" t="s">
        <v>540</v>
      </c>
      <c r="G1975" t="s">
        <v>16</v>
      </c>
      <c r="H1975">
        <v>0</v>
      </c>
      <c r="I1975" s="2" t="s">
        <v>643</v>
      </c>
      <c r="J1975" s="2">
        <v>111338</v>
      </c>
      <c r="K1975">
        <v>20</v>
      </c>
      <c r="L1975">
        <v>20</v>
      </c>
      <c r="M1975">
        <v>20</v>
      </c>
    </row>
    <row r="1976" spans="1:13" x14ac:dyDescent="0.25">
      <c r="A1976" t="s">
        <v>4374</v>
      </c>
      <c r="B1976" t="s">
        <v>4375</v>
      </c>
      <c r="C1976" t="s">
        <v>540</v>
      </c>
      <c r="F1976">
        <v>1</v>
      </c>
      <c r="G1976" t="s">
        <v>16</v>
      </c>
      <c r="H1976">
        <v>0</v>
      </c>
      <c r="I1976" s="2" t="s">
        <v>734</v>
      </c>
      <c r="J1976" s="2">
        <v>111110</v>
      </c>
      <c r="K1976">
        <v>20</v>
      </c>
      <c r="L1976">
        <v>20</v>
      </c>
      <c r="M1976">
        <v>20</v>
      </c>
    </row>
    <row r="1977" spans="1:13" x14ac:dyDescent="0.25">
      <c r="A1977" t="s">
        <v>4376</v>
      </c>
      <c r="B1977" t="s">
        <v>4377</v>
      </c>
      <c r="C1977" t="s">
        <v>540</v>
      </c>
      <c r="F1977">
        <v>1</v>
      </c>
      <c r="G1977" t="s">
        <v>16</v>
      </c>
      <c r="H1977">
        <v>0</v>
      </c>
      <c r="I1977" s="2" t="s">
        <v>1200</v>
      </c>
      <c r="J1977" s="2" t="s">
        <v>4378</v>
      </c>
      <c r="K1977">
        <v>20</v>
      </c>
      <c r="L1977">
        <v>20</v>
      </c>
      <c r="M1977">
        <v>20</v>
      </c>
    </row>
    <row r="1978" spans="1:13" x14ac:dyDescent="0.25">
      <c r="A1978" t="s">
        <v>4379</v>
      </c>
      <c r="B1978" t="s">
        <v>4380</v>
      </c>
      <c r="C1978" t="s">
        <v>540</v>
      </c>
      <c r="F1978">
        <v>1</v>
      </c>
      <c r="G1978" t="s">
        <v>16</v>
      </c>
      <c r="H1978">
        <v>0</v>
      </c>
      <c r="I1978" s="2" t="s">
        <v>643</v>
      </c>
      <c r="J1978" s="2">
        <v>111120</v>
      </c>
      <c r="K1978">
        <v>20</v>
      </c>
      <c r="L1978">
        <v>20</v>
      </c>
      <c r="M1978">
        <v>20</v>
      </c>
    </row>
    <row r="1979" spans="1:13" x14ac:dyDescent="0.25">
      <c r="A1979" t="s">
        <v>4381</v>
      </c>
      <c r="B1979" t="s">
        <v>4382</v>
      </c>
      <c r="C1979" t="s">
        <v>540</v>
      </c>
      <c r="F1979">
        <v>3</v>
      </c>
      <c r="G1979" t="s">
        <v>16</v>
      </c>
      <c r="H1979">
        <v>0</v>
      </c>
      <c r="I1979" s="2" t="s">
        <v>643</v>
      </c>
      <c r="J1979" s="2">
        <v>111121</v>
      </c>
      <c r="K1979">
        <v>20</v>
      </c>
      <c r="L1979">
        <v>20</v>
      </c>
      <c r="M1979">
        <v>20</v>
      </c>
    </row>
    <row r="1980" spans="1:13" x14ac:dyDescent="0.25">
      <c r="A1980" t="s">
        <v>4383</v>
      </c>
      <c r="B1980" t="s">
        <v>4384</v>
      </c>
      <c r="C1980" t="s">
        <v>540</v>
      </c>
      <c r="G1980" t="s">
        <v>16</v>
      </c>
      <c r="H1980">
        <v>0</v>
      </c>
      <c r="I1980" s="2" t="s">
        <v>734</v>
      </c>
      <c r="J1980" s="2">
        <v>111108</v>
      </c>
      <c r="K1980">
        <v>20</v>
      </c>
      <c r="L1980">
        <v>20</v>
      </c>
      <c r="M1980">
        <v>20</v>
      </c>
    </row>
    <row r="1981" spans="1:13" x14ac:dyDescent="0.25">
      <c r="A1981" t="s">
        <v>4385</v>
      </c>
      <c r="B1981" t="s">
        <v>4386</v>
      </c>
      <c r="C1981" t="s">
        <v>540</v>
      </c>
      <c r="G1981" t="s">
        <v>16</v>
      </c>
      <c r="H1981">
        <v>0</v>
      </c>
      <c r="I1981" s="2" t="s">
        <v>643</v>
      </c>
      <c r="J1981" s="2">
        <v>111109</v>
      </c>
      <c r="K1981">
        <v>20</v>
      </c>
      <c r="L1981">
        <v>20</v>
      </c>
      <c r="M1981">
        <v>20</v>
      </c>
    </row>
    <row r="1982" spans="1:13" x14ac:dyDescent="0.25">
      <c r="A1982" t="s">
        <v>4387</v>
      </c>
      <c r="B1982" t="s">
        <v>4388</v>
      </c>
      <c r="C1982" t="s">
        <v>540</v>
      </c>
      <c r="F1982">
        <v>2</v>
      </c>
      <c r="G1982" t="s">
        <v>16</v>
      </c>
      <c r="H1982">
        <v>0</v>
      </c>
      <c r="I1982" s="2" t="s">
        <v>643</v>
      </c>
      <c r="J1982" s="2">
        <v>111113</v>
      </c>
      <c r="K1982">
        <v>20</v>
      </c>
      <c r="L1982">
        <v>20</v>
      </c>
      <c r="M1982">
        <v>20</v>
      </c>
    </row>
    <row r="1983" spans="1:13" x14ac:dyDescent="0.25">
      <c r="A1983" t="s">
        <v>4389</v>
      </c>
      <c r="B1983" t="s">
        <v>4390</v>
      </c>
      <c r="C1983" t="s">
        <v>540</v>
      </c>
      <c r="F1983">
        <v>2</v>
      </c>
      <c r="G1983" t="s">
        <v>16</v>
      </c>
      <c r="H1983">
        <v>0</v>
      </c>
      <c r="I1983" s="2" t="s">
        <v>734</v>
      </c>
      <c r="J1983" s="2">
        <v>111114</v>
      </c>
      <c r="K1983">
        <v>20</v>
      </c>
      <c r="L1983">
        <v>20</v>
      </c>
      <c r="M1983">
        <v>20</v>
      </c>
    </row>
    <row r="1984" spans="1:13" x14ac:dyDescent="0.25">
      <c r="A1984" t="s">
        <v>4391</v>
      </c>
      <c r="B1984" t="s">
        <v>4390</v>
      </c>
      <c r="C1984" t="s">
        <v>540</v>
      </c>
      <c r="G1984" t="s">
        <v>16</v>
      </c>
      <c r="H1984">
        <v>0</v>
      </c>
      <c r="I1984" s="2" t="s">
        <v>1107</v>
      </c>
      <c r="J1984" s="2" t="s">
        <v>4392</v>
      </c>
      <c r="K1984">
        <v>20</v>
      </c>
      <c r="L1984">
        <v>20</v>
      </c>
      <c r="M1984">
        <v>20</v>
      </c>
    </row>
    <row r="1985" spans="1:13" x14ac:dyDescent="0.25">
      <c r="A1985" t="s">
        <v>4393</v>
      </c>
      <c r="B1985" t="s">
        <v>4394</v>
      </c>
      <c r="C1985" t="s">
        <v>540</v>
      </c>
      <c r="F1985">
        <v>2</v>
      </c>
      <c r="G1985" t="s">
        <v>16</v>
      </c>
      <c r="H1985">
        <v>0</v>
      </c>
      <c r="I1985" s="2" t="s">
        <v>643</v>
      </c>
      <c r="J1985" s="2">
        <v>111115</v>
      </c>
      <c r="K1985">
        <v>20</v>
      </c>
      <c r="L1985">
        <v>20</v>
      </c>
      <c r="M1985">
        <v>20</v>
      </c>
    </row>
    <row r="1986" spans="1:13" x14ac:dyDescent="0.25">
      <c r="A1986" t="s">
        <v>4395</v>
      </c>
      <c r="B1986" t="s">
        <v>4396</v>
      </c>
      <c r="C1986" t="s">
        <v>540</v>
      </c>
      <c r="F1986">
        <v>2</v>
      </c>
      <c r="G1986" t="s">
        <v>16</v>
      </c>
      <c r="H1986">
        <v>0</v>
      </c>
      <c r="I1986" s="2" t="s">
        <v>4218</v>
      </c>
      <c r="J1986" s="2" t="s">
        <v>4397</v>
      </c>
      <c r="K1986">
        <v>20</v>
      </c>
      <c r="L1986">
        <v>20</v>
      </c>
      <c r="M1986">
        <v>20</v>
      </c>
    </row>
    <row r="1987" spans="1:13" x14ac:dyDescent="0.25">
      <c r="A1987" t="s">
        <v>4398</v>
      </c>
      <c r="B1987" t="s">
        <v>4396</v>
      </c>
      <c r="C1987" t="s">
        <v>540</v>
      </c>
      <c r="F1987">
        <v>1</v>
      </c>
      <c r="G1987" t="s">
        <v>16</v>
      </c>
      <c r="H1987">
        <v>0</v>
      </c>
      <c r="I1987" s="2" t="s">
        <v>2345</v>
      </c>
      <c r="J1987" s="2" t="s">
        <v>4399</v>
      </c>
      <c r="K1987">
        <v>20</v>
      </c>
      <c r="L1987">
        <v>20</v>
      </c>
      <c r="M1987">
        <v>20</v>
      </c>
    </row>
    <row r="1988" spans="1:13" x14ac:dyDescent="0.25">
      <c r="A1988" t="s">
        <v>4400</v>
      </c>
      <c r="B1988" t="s">
        <v>4401</v>
      </c>
      <c r="C1988" t="s">
        <v>540</v>
      </c>
      <c r="F1988">
        <v>0</v>
      </c>
      <c r="G1988" t="s">
        <v>16</v>
      </c>
      <c r="H1988">
        <v>0</v>
      </c>
      <c r="I1988" s="2" t="s">
        <v>500</v>
      </c>
      <c r="J1988" s="2" t="s">
        <v>4402</v>
      </c>
      <c r="K1988">
        <v>20</v>
      </c>
      <c r="L1988">
        <v>20</v>
      </c>
      <c r="M1988">
        <v>20</v>
      </c>
    </row>
    <row r="1989" spans="1:13" x14ac:dyDescent="0.25">
      <c r="A1989" t="s">
        <v>4403</v>
      </c>
      <c r="B1989" t="s">
        <v>4404</v>
      </c>
      <c r="C1989" t="s">
        <v>540</v>
      </c>
      <c r="F1989">
        <v>2</v>
      </c>
      <c r="G1989" t="s">
        <v>16</v>
      </c>
      <c r="H1989">
        <v>0</v>
      </c>
      <c r="I1989" s="2" t="s">
        <v>643</v>
      </c>
      <c r="J1989" s="2">
        <v>111122</v>
      </c>
      <c r="K1989">
        <v>20</v>
      </c>
      <c r="L1989">
        <v>20</v>
      </c>
      <c r="M1989">
        <v>20</v>
      </c>
    </row>
    <row r="1990" spans="1:13" x14ac:dyDescent="0.25">
      <c r="A1990" t="s">
        <v>4405</v>
      </c>
      <c r="B1990" t="s">
        <v>4406</v>
      </c>
      <c r="C1990" t="s">
        <v>540</v>
      </c>
      <c r="F1990">
        <v>1</v>
      </c>
      <c r="G1990" t="s">
        <v>16</v>
      </c>
      <c r="H1990">
        <v>0</v>
      </c>
      <c r="I1990" s="2" t="s">
        <v>734</v>
      </c>
      <c r="J1990" s="2">
        <v>111141</v>
      </c>
      <c r="K1990">
        <v>20</v>
      </c>
      <c r="L1990">
        <v>20</v>
      </c>
      <c r="M1990">
        <v>20</v>
      </c>
    </row>
    <row r="1991" spans="1:13" x14ac:dyDescent="0.25">
      <c r="A1991" t="s">
        <v>4407</v>
      </c>
      <c r="B1991" t="s">
        <v>4406</v>
      </c>
      <c r="C1991" t="s">
        <v>540</v>
      </c>
      <c r="F1991">
        <v>1</v>
      </c>
      <c r="G1991" t="s">
        <v>16</v>
      </c>
      <c r="H1991">
        <v>0</v>
      </c>
      <c r="I1991" s="2" t="s">
        <v>2345</v>
      </c>
      <c r="J1991" s="2" t="s">
        <v>4408</v>
      </c>
      <c r="K1991">
        <v>20</v>
      </c>
      <c r="L1991">
        <v>20</v>
      </c>
      <c r="M1991">
        <v>20</v>
      </c>
    </row>
    <row r="1992" spans="1:13" x14ac:dyDescent="0.25">
      <c r="A1992" t="s">
        <v>4409</v>
      </c>
      <c r="B1992" t="s">
        <v>4410</v>
      </c>
      <c r="C1992" t="s">
        <v>540</v>
      </c>
      <c r="G1992" t="s">
        <v>16</v>
      </c>
      <c r="H1992">
        <v>0</v>
      </c>
      <c r="I1992" s="2" t="s">
        <v>545</v>
      </c>
      <c r="J1992" s="2" t="s">
        <v>4411</v>
      </c>
      <c r="K1992">
        <v>20</v>
      </c>
      <c r="L1992">
        <v>20</v>
      </c>
      <c r="M1992">
        <v>20</v>
      </c>
    </row>
    <row r="1993" spans="1:13" x14ac:dyDescent="0.25">
      <c r="A1993" t="s">
        <v>4412</v>
      </c>
      <c r="B1993" t="s">
        <v>4413</v>
      </c>
      <c r="C1993" t="s">
        <v>540</v>
      </c>
      <c r="G1993" t="s">
        <v>16</v>
      </c>
      <c r="H1993">
        <v>0</v>
      </c>
      <c r="I1993" s="2" t="s">
        <v>2331</v>
      </c>
      <c r="J1993" s="2" t="s">
        <v>4414</v>
      </c>
      <c r="K1993">
        <v>20</v>
      </c>
      <c r="L1993">
        <v>20</v>
      </c>
      <c r="M1993">
        <v>20</v>
      </c>
    </row>
    <row r="1994" spans="1:13" x14ac:dyDescent="0.25">
      <c r="A1994" t="s">
        <v>4415</v>
      </c>
      <c r="B1994" t="s">
        <v>4416</v>
      </c>
      <c r="C1994" t="s">
        <v>540</v>
      </c>
      <c r="G1994" t="s">
        <v>16</v>
      </c>
      <c r="H1994">
        <v>0</v>
      </c>
      <c r="I1994" s="2" t="s">
        <v>4417</v>
      </c>
      <c r="J1994" s="2" t="s">
        <v>4418</v>
      </c>
      <c r="K1994">
        <v>20</v>
      </c>
      <c r="L1994">
        <v>20</v>
      </c>
      <c r="M1994">
        <v>20</v>
      </c>
    </row>
    <row r="1995" spans="1:13" x14ac:dyDescent="0.25">
      <c r="A1995" t="s">
        <v>4419</v>
      </c>
      <c r="B1995" t="s">
        <v>4420</v>
      </c>
      <c r="C1995" t="s">
        <v>540</v>
      </c>
      <c r="G1995" t="s">
        <v>16</v>
      </c>
      <c r="H1995">
        <v>0</v>
      </c>
      <c r="I1995" s="2" t="s">
        <v>4421</v>
      </c>
      <c r="K1995">
        <v>20</v>
      </c>
      <c r="L1995">
        <v>20</v>
      </c>
      <c r="M1995">
        <v>20</v>
      </c>
    </row>
    <row r="1996" spans="1:13" x14ac:dyDescent="0.25">
      <c r="A1996" t="s">
        <v>4422</v>
      </c>
      <c r="B1996" t="s">
        <v>4424</v>
      </c>
      <c r="C1996" t="s">
        <v>540</v>
      </c>
      <c r="G1996" t="s">
        <v>16</v>
      </c>
      <c r="H1996">
        <v>0</v>
      </c>
      <c r="I1996" s="2" t="s">
        <v>4264</v>
      </c>
      <c r="J1996" s="2" t="s">
        <v>4423</v>
      </c>
      <c r="K1996">
        <v>20</v>
      </c>
      <c r="L1996">
        <v>20</v>
      </c>
      <c r="M1996">
        <v>20</v>
      </c>
    </row>
    <row r="1997" spans="1:13" x14ac:dyDescent="0.25">
      <c r="A1997" t="s">
        <v>4425</v>
      </c>
      <c r="B1997" t="s">
        <v>4426</v>
      </c>
      <c r="C1997" t="s">
        <v>540</v>
      </c>
      <c r="F1997">
        <v>1</v>
      </c>
      <c r="G1997" t="s">
        <v>16</v>
      </c>
      <c r="H1997">
        <v>0</v>
      </c>
      <c r="I1997" s="2" t="s">
        <v>4288</v>
      </c>
      <c r="J1997" s="2">
        <v>703121</v>
      </c>
      <c r="K1997">
        <v>20</v>
      </c>
      <c r="L1997">
        <v>20</v>
      </c>
      <c r="M1997">
        <v>20</v>
      </c>
    </row>
    <row r="1998" spans="1:13" x14ac:dyDescent="0.25">
      <c r="A1998" t="s">
        <v>4427</v>
      </c>
      <c r="B1998" t="s">
        <v>4426</v>
      </c>
      <c r="C1998" t="s">
        <v>540</v>
      </c>
      <c r="F1998">
        <v>1</v>
      </c>
      <c r="G1998" t="s">
        <v>16</v>
      </c>
      <c r="H1998">
        <v>0</v>
      </c>
      <c r="I1998" s="2" t="s">
        <v>4218</v>
      </c>
      <c r="J1998" s="2" t="s">
        <v>4428</v>
      </c>
      <c r="K1998">
        <v>20</v>
      </c>
      <c r="L1998">
        <v>20</v>
      </c>
      <c r="M1998">
        <v>20</v>
      </c>
    </row>
    <row r="1999" spans="1:13" x14ac:dyDescent="0.25">
      <c r="A1999">
        <v>1404285</v>
      </c>
      <c r="B1999" t="s">
        <v>4429</v>
      </c>
      <c r="C1999" t="s">
        <v>540</v>
      </c>
      <c r="G1999" t="s">
        <v>16</v>
      </c>
      <c r="H1999">
        <v>0</v>
      </c>
      <c r="I1999" s="2" t="s">
        <v>497</v>
      </c>
      <c r="J1999" s="2">
        <v>20972952</v>
      </c>
      <c r="K1999">
        <v>20</v>
      </c>
      <c r="L1999">
        <v>20</v>
      </c>
      <c r="M1999">
        <v>20</v>
      </c>
    </row>
    <row r="2000" spans="1:13" x14ac:dyDescent="0.25">
      <c r="A2000" t="s">
        <v>4430</v>
      </c>
      <c r="B2000" t="s">
        <v>4431</v>
      </c>
      <c r="C2000" t="s">
        <v>540</v>
      </c>
      <c r="F2000">
        <v>0</v>
      </c>
      <c r="G2000" t="s">
        <v>16</v>
      </c>
      <c r="H2000">
        <v>0</v>
      </c>
      <c r="I2000" s="2" t="s">
        <v>2345</v>
      </c>
      <c r="J2000" s="2" t="s">
        <v>4432</v>
      </c>
      <c r="K2000">
        <v>20</v>
      </c>
      <c r="L2000">
        <v>20</v>
      </c>
      <c r="M2000">
        <v>20</v>
      </c>
    </row>
    <row r="2001" spans="1:13" x14ac:dyDescent="0.25">
      <c r="A2001" t="s">
        <v>4433</v>
      </c>
      <c r="B2001" t="s">
        <v>4434</v>
      </c>
      <c r="C2001" t="s">
        <v>540</v>
      </c>
      <c r="F2001">
        <v>1</v>
      </c>
      <c r="G2001" t="s">
        <v>16</v>
      </c>
      <c r="H2001">
        <v>0</v>
      </c>
      <c r="I2001" s="2" t="s">
        <v>4260</v>
      </c>
      <c r="K2001">
        <v>20</v>
      </c>
      <c r="L2001">
        <v>20</v>
      </c>
      <c r="M2001">
        <v>20</v>
      </c>
    </row>
    <row r="2002" spans="1:13" x14ac:dyDescent="0.25">
      <c r="A2002">
        <v>1404864</v>
      </c>
      <c r="B2002" t="s">
        <v>4435</v>
      </c>
      <c r="C2002" t="s">
        <v>540</v>
      </c>
      <c r="F2002">
        <v>0</v>
      </c>
      <c r="G2002" t="s">
        <v>16</v>
      </c>
      <c r="H2002">
        <v>0</v>
      </c>
      <c r="I2002" s="2" t="s">
        <v>497</v>
      </c>
      <c r="J2002" s="2">
        <v>24460359</v>
      </c>
      <c r="K2002">
        <v>20</v>
      </c>
      <c r="L2002">
        <v>20</v>
      </c>
      <c r="M2002">
        <v>20</v>
      </c>
    </row>
    <row r="2003" spans="1:13" x14ac:dyDescent="0.25">
      <c r="A2003" t="s">
        <v>4436</v>
      </c>
      <c r="B2003" t="s">
        <v>4437</v>
      </c>
      <c r="C2003" t="s">
        <v>540</v>
      </c>
      <c r="G2003" t="s">
        <v>16</v>
      </c>
      <c r="H2003">
        <v>0</v>
      </c>
      <c r="I2003" s="2" t="s">
        <v>2251</v>
      </c>
      <c r="J2003" s="2">
        <v>1405038</v>
      </c>
      <c r="K2003">
        <v>20</v>
      </c>
      <c r="L2003">
        <v>20</v>
      </c>
      <c r="M2003">
        <v>20</v>
      </c>
    </row>
    <row r="2004" spans="1:13" x14ac:dyDescent="0.25">
      <c r="A2004" t="s">
        <v>4438</v>
      </c>
      <c r="B2004" t="s">
        <v>4437</v>
      </c>
      <c r="C2004" t="s">
        <v>540</v>
      </c>
      <c r="G2004" t="s">
        <v>16</v>
      </c>
      <c r="H2004">
        <v>0</v>
      </c>
      <c r="I2004" s="2" t="s">
        <v>1200</v>
      </c>
      <c r="J2004" s="2">
        <v>32538007</v>
      </c>
      <c r="K2004">
        <v>20</v>
      </c>
      <c r="L2004">
        <v>20</v>
      </c>
      <c r="M2004">
        <v>20</v>
      </c>
    </row>
    <row r="2005" spans="1:13" x14ac:dyDescent="0.25">
      <c r="A2005" t="s">
        <v>4439</v>
      </c>
      <c r="B2005" t="s">
        <v>4440</v>
      </c>
      <c r="C2005" t="s">
        <v>540</v>
      </c>
      <c r="F2005">
        <v>1</v>
      </c>
      <c r="G2005" t="s">
        <v>16</v>
      </c>
      <c r="H2005">
        <v>0</v>
      </c>
      <c r="I2005" s="2" t="s">
        <v>734</v>
      </c>
      <c r="J2005" s="2">
        <v>111277</v>
      </c>
      <c r="K2005">
        <v>20</v>
      </c>
      <c r="L2005">
        <v>20</v>
      </c>
      <c r="M2005">
        <v>20</v>
      </c>
    </row>
    <row r="2006" spans="1:13" x14ac:dyDescent="0.25">
      <c r="A2006" t="s">
        <v>4441</v>
      </c>
      <c r="B2006" t="s">
        <v>4442</v>
      </c>
      <c r="C2006" t="s">
        <v>540</v>
      </c>
      <c r="G2006" t="s">
        <v>16</v>
      </c>
      <c r="H2006">
        <v>0</v>
      </c>
      <c r="I2006" s="2" t="s">
        <v>500</v>
      </c>
      <c r="J2006" s="2" t="s">
        <v>4443</v>
      </c>
      <c r="K2006">
        <v>20</v>
      </c>
      <c r="L2006">
        <v>20</v>
      </c>
      <c r="M2006">
        <v>20</v>
      </c>
    </row>
    <row r="2007" spans="1:13" x14ac:dyDescent="0.25">
      <c r="A2007" t="s">
        <v>4444</v>
      </c>
      <c r="B2007" t="s">
        <v>4442</v>
      </c>
      <c r="C2007" t="s">
        <v>540</v>
      </c>
      <c r="F2007">
        <v>1</v>
      </c>
      <c r="G2007" t="s">
        <v>16</v>
      </c>
      <c r="H2007">
        <v>0</v>
      </c>
      <c r="K2007">
        <v>20</v>
      </c>
      <c r="L2007">
        <v>20</v>
      </c>
      <c r="M2007">
        <v>20</v>
      </c>
    </row>
    <row r="2008" spans="1:13" x14ac:dyDescent="0.25">
      <c r="A2008" t="s">
        <v>4445</v>
      </c>
      <c r="B2008" t="s">
        <v>4446</v>
      </c>
      <c r="C2008" t="s">
        <v>540</v>
      </c>
      <c r="F2008">
        <v>1</v>
      </c>
      <c r="G2008" t="s">
        <v>16</v>
      </c>
      <c r="H2008">
        <v>0</v>
      </c>
      <c r="K2008">
        <v>20</v>
      </c>
      <c r="L2008">
        <v>20</v>
      </c>
      <c r="M2008">
        <v>20</v>
      </c>
    </row>
    <row r="2009" spans="1:13" x14ac:dyDescent="0.25">
      <c r="A2009" t="s">
        <v>4447</v>
      </c>
      <c r="B2009" t="s">
        <v>4448</v>
      </c>
      <c r="C2009" t="s">
        <v>540</v>
      </c>
      <c r="F2009">
        <v>1</v>
      </c>
      <c r="G2009" t="s">
        <v>16</v>
      </c>
      <c r="H2009">
        <v>0</v>
      </c>
      <c r="I2009" s="2" t="s">
        <v>734</v>
      </c>
      <c r="J2009" s="2">
        <v>111103</v>
      </c>
      <c r="K2009">
        <v>20</v>
      </c>
      <c r="L2009">
        <v>20</v>
      </c>
      <c r="M2009">
        <v>20</v>
      </c>
    </row>
    <row r="2010" spans="1:13" x14ac:dyDescent="0.25">
      <c r="A2010" t="s">
        <v>4449</v>
      </c>
      <c r="B2010" t="s">
        <v>4450</v>
      </c>
      <c r="C2010" t="s">
        <v>540</v>
      </c>
      <c r="F2010">
        <v>1</v>
      </c>
      <c r="G2010" t="s">
        <v>16</v>
      </c>
      <c r="H2010">
        <v>0</v>
      </c>
      <c r="I2010" s="2" t="s">
        <v>500</v>
      </c>
      <c r="J2010" s="2" t="s">
        <v>4451</v>
      </c>
      <c r="K2010">
        <v>20</v>
      </c>
      <c r="L2010">
        <v>20</v>
      </c>
      <c r="M2010">
        <v>20</v>
      </c>
    </row>
    <row r="2011" spans="1:13" x14ac:dyDescent="0.25">
      <c r="A2011" t="s">
        <v>4452</v>
      </c>
      <c r="B2011" t="s">
        <v>4453</v>
      </c>
      <c r="C2011" t="s">
        <v>540</v>
      </c>
      <c r="G2011" t="s">
        <v>16</v>
      </c>
      <c r="H2011">
        <v>0</v>
      </c>
      <c r="I2011" s="2" t="s">
        <v>643</v>
      </c>
      <c r="J2011" s="2">
        <v>111106</v>
      </c>
      <c r="K2011">
        <v>20</v>
      </c>
      <c r="L2011">
        <v>20</v>
      </c>
      <c r="M2011">
        <v>20</v>
      </c>
    </row>
    <row r="2012" spans="1:13" x14ac:dyDescent="0.25">
      <c r="A2012" t="s">
        <v>4454</v>
      </c>
      <c r="B2012" t="s">
        <v>4455</v>
      </c>
      <c r="C2012" t="s">
        <v>540</v>
      </c>
      <c r="G2012" t="s">
        <v>16</v>
      </c>
      <c r="H2012">
        <v>0</v>
      </c>
      <c r="I2012" s="2" t="s">
        <v>500</v>
      </c>
      <c r="J2012" s="2" t="s">
        <v>4456</v>
      </c>
      <c r="K2012">
        <v>20</v>
      </c>
      <c r="L2012">
        <v>20</v>
      </c>
      <c r="M2012">
        <v>20</v>
      </c>
    </row>
    <row r="2013" spans="1:13" x14ac:dyDescent="0.25">
      <c r="A2013">
        <v>1405172</v>
      </c>
      <c r="B2013" t="s">
        <v>4457</v>
      </c>
      <c r="C2013" t="s">
        <v>540</v>
      </c>
      <c r="G2013" t="s">
        <v>16</v>
      </c>
      <c r="H2013">
        <v>0</v>
      </c>
      <c r="I2013" s="2" t="s">
        <v>497</v>
      </c>
      <c r="J2013" s="2">
        <v>22869466</v>
      </c>
      <c r="K2013">
        <v>20</v>
      </c>
      <c r="L2013">
        <v>20</v>
      </c>
      <c r="M2013">
        <v>20</v>
      </c>
    </row>
    <row r="2014" spans="1:13" x14ac:dyDescent="0.25">
      <c r="A2014" t="s">
        <v>4458</v>
      </c>
      <c r="B2014" t="s">
        <v>4459</v>
      </c>
      <c r="C2014" t="s">
        <v>540</v>
      </c>
      <c r="G2014" t="s">
        <v>16</v>
      </c>
      <c r="H2014">
        <v>0</v>
      </c>
      <c r="I2014" s="2" t="s">
        <v>2251</v>
      </c>
      <c r="K2014">
        <v>20</v>
      </c>
      <c r="L2014">
        <v>20</v>
      </c>
      <c r="M2014">
        <v>20</v>
      </c>
    </row>
    <row r="2015" spans="1:13" x14ac:dyDescent="0.25">
      <c r="A2015" t="s">
        <v>4460</v>
      </c>
      <c r="B2015" t="s">
        <v>4461</v>
      </c>
      <c r="C2015" t="s">
        <v>540</v>
      </c>
      <c r="F2015">
        <v>1</v>
      </c>
      <c r="G2015" t="s">
        <v>16</v>
      </c>
      <c r="H2015">
        <v>0</v>
      </c>
      <c r="I2015" s="2" t="s">
        <v>1175</v>
      </c>
      <c r="J2015" s="2" t="s">
        <v>4462</v>
      </c>
      <c r="K2015">
        <v>20</v>
      </c>
      <c r="L2015">
        <v>20</v>
      </c>
      <c r="M2015">
        <v>20</v>
      </c>
    </row>
    <row r="2016" spans="1:13" x14ac:dyDescent="0.25">
      <c r="A2016" t="s">
        <v>4463</v>
      </c>
      <c r="B2016" t="s">
        <v>4464</v>
      </c>
      <c r="C2016" t="s">
        <v>540</v>
      </c>
      <c r="G2016" t="s">
        <v>16</v>
      </c>
      <c r="H2016">
        <v>0</v>
      </c>
      <c r="K2016">
        <v>20</v>
      </c>
      <c r="L2016">
        <v>20</v>
      </c>
      <c r="M2016">
        <v>20</v>
      </c>
    </row>
    <row r="2017" spans="1:13" x14ac:dyDescent="0.25">
      <c r="A2017" t="s">
        <v>4465</v>
      </c>
      <c r="B2017" t="s">
        <v>4466</v>
      </c>
      <c r="C2017" t="s">
        <v>540</v>
      </c>
      <c r="G2017" t="s">
        <v>16</v>
      </c>
      <c r="H2017">
        <v>0</v>
      </c>
      <c r="I2017" s="2" t="s">
        <v>500</v>
      </c>
      <c r="J2017" s="2" t="s">
        <v>4467</v>
      </c>
      <c r="K2017">
        <v>20</v>
      </c>
      <c r="L2017">
        <v>20</v>
      </c>
      <c r="M2017">
        <v>20</v>
      </c>
    </row>
    <row r="2018" spans="1:13" x14ac:dyDescent="0.25">
      <c r="A2018" t="s">
        <v>4468</v>
      </c>
      <c r="B2018" t="s">
        <v>4466</v>
      </c>
      <c r="C2018" t="s">
        <v>540</v>
      </c>
      <c r="F2018">
        <v>1</v>
      </c>
      <c r="G2018" t="s">
        <v>16</v>
      </c>
      <c r="H2018">
        <v>0</v>
      </c>
      <c r="K2018">
        <v>20</v>
      </c>
      <c r="L2018">
        <v>20</v>
      </c>
      <c r="M2018">
        <v>20</v>
      </c>
    </row>
    <row r="2019" spans="1:13" x14ac:dyDescent="0.25">
      <c r="A2019" t="s">
        <v>4469</v>
      </c>
      <c r="B2019" t="s">
        <v>4470</v>
      </c>
      <c r="C2019" t="s">
        <v>540</v>
      </c>
      <c r="F2019">
        <v>1</v>
      </c>
      <c r="G2019" t="s">
        <v>16</v>
      </c>
      <c r="H2019">
        <v>0</v>
      </c>
      <c r="I2019" s="2" t="s">
        <v>4471</v>
      </c>
      <c r="J2019" s="2">
        <v>1405236</v>
      </c>
      <c r="K2019">
        <v>20</v>
      </c>
      <c r="L2019">
        <v>20</v>
      </c>
      <c r="M2019">
        <v>20</v>
      </c>
    </row>
    <row r="2020" spans="1:13" x14ac:dyDescent="0.25">
      <c r="A2020" t="s">
        <v>4472</v>
      </c>
      <c r="B2020" t="s">
        <v>4473</v>
      </c>
      <c r="C2020" t="s">
        <v>540</v>
      </c>
      <c r="G2020" t="s">
        <v>16</v>
      </c>
      <c r="H2020">
        <v>0</v>
      </c>
      <c r="I2020" s="2" t="s">
        <v>64</v>
      </c>
      <c r="J2020" s="2">
        <v>21031115</v>
      </c>
      <c r="K2020">
        <v>20</v>
      </c>
      <c r="L2020">
        <v>20</v>
      </c>
      <c r="M2020">
        <v>20</v>
      </c>
    </row>
    <row r="2021" spans="1:13" x14ac:dyDescent="0.25">
      <c r="A2021" t="s">
        <v>4474</v>
      </c>
      <c r="B2021" t="s">
        <v>4475</v>
      </c>
      <c r="C2021" t="s">
        <v>540</v>
      </c>
      <c r="F2021">
        <v>0</v>
      </c>
      <c r="G2021" t="s">
        <v>16</v>
      </c>
      <c r="H2021">
        <v>0</v>
      </c>
      <c r="I2021" s="2" t="s">
        <v>2251</v>
      </c>
      <c r="K2021">
        <v>20</v>
      </c>
      <c r="L2021">
        <v>20</v>
      </c>
      <c r="M2021">
        <v>20</v>
      </c>
    </row>
    <row r="2022" spans="1:13" x14ac:dyDescent="0.25">
      <c r="A2022" t="s">
        <v>4476</v>
      </c>
      <c r="B2022" t="s">
        <v>4477</v>
      </c>
      <c r="C2022" t="s">
        <v>540</v>
      </c>
      <c r="G2022" t="s">
        <v>16</v>
      </c>
      <c r="H2022">
        <v>0</v>
      </c>
      <c r="I2022" s="2" t="s">
        <v>500</v>
      </c>
      <c r="J2022" s="2" t="s">
        <v>4478</v>
      </c>
      <c r="K2022">
        <v>20</v>
      </c>
      <c r="L2022">
        <v>20</v>
      </c>
      <c r="M2022">
        <v>20</v>
      </c>
    </row>
    <row r="2023" spans="1:13" x14ac:dyDescent="0.25">
      <c r="A2023" t="s">
        <v>4479</v>
      </c>
      <c r="B2023" t="s">
        <v>4480</v>
      </c>
      <c r="C2023" t="s">
        <v>540</v>
      </c>
      <c r="F2023">
        <v>2</v>
      </c>
      <c r="G2023" t="s">
        <v>16</v>
      </c>
      <c r="H2023">
        <v>0</v>
      </c>
      <c r="I2023" s="2" t="s">
        <v>737</v>
      </c>
      <c r="J2023" s="2" t="s">
        <v>4481</v>
      </c>
      <c r="K2023">
        <v>20</v>
      </c>
      <c r="L2023">
        <v>20</v>
      </c>
      <c r="M2023">
        <v>20</v>
      </c>
    </row>
    <row r="2024" spans="1:13" x14ac:dyDescent="0.25">
      <c r="A2024" t="s">
        <v>4482</v>
      </c>
      <c r="B2024" t="s">
        <v>4483</v>
      </c>
      <c r="C2024" t="s">
        <v>540</v>
      </c>
      <c r="F2024">
        <v>2</v>
      </c>
      <c r="G2024" t="s">
        <v>16</v>
      </c>
      <c r="H2024">
        <v>0</v>
      </c>
      <c r="I2024" s="2" t="s">
        <v>500</v>
      </c>
      <c r="J2024" s="2" t="s">
        <v>4484</v>
      </c>
      <c r="K2024">
        <v>20</v>
      </c>
      <c r="L2024">
        <v>20</v>
      </c>
      <c r="M2024">
        <v>20</v>
      </c>
    </row>
    <row r="2025" spans="1:13" x14ac:dyDescent="0.25">
      <c r="A2025" t="s">
        <v>4485</v>
      </c>
      <c r="B2025" t="s">
        <v>4486</v>
      </c>
      <c r="C2025" t="s">
        <v>540</v>
      </c>
      <c r="F2025">
        <v>1</v>
      </c>
      <c r="G2025" t="s">
        <v>16</v>
      </c>
      <c r="H2025">
        <v>0</v>
      </c>
      <c r="I2025" s="2" t="s">
        <v>500</v>
      </c>
      <c r="J2025" s="2" t="s">
        <v>4487</v>
      </c>
      <c r="K2025">
        <v>20</v>
      </c>
      <c r="L2025">
        <v>20</v>
      </c>
      <c r="M2025">
        <v>20</v>
      </c>
    </row>
    <row r="2026" spans="1:13" x14ac:dyDescent="0.25">
      <c r="A2026" t="s">
        <v>4488</v>
      </c>
      <c r="B2026" t="s">
        <v>4489</v>
      </c>
      <c r="C2026" t="s">
        <v>540</v>
      </c>
      <c r="F2026">
        <v>2</v>
      </c>
      <c r="G2026" t="s">
        <v>16</v>
      </c>
      <c r="H2026">
        <v>0</v>
      </c>
      <c r="I2026" s="2" t="s">
        <v>500</v>
      </c>
      <c r="J2026" s="2" t="s">
        <v>4490</v>
      </c>
      <c r="K2026">
        <v>20</v>
      </c>
      <c r="L2026">
        <v>20</v>
      </c>
      <c r="M2026">
        <v>20</v>
      </c>
    </row>
    <row r="2027" spans="1:13" x14ac:dyDescent="0.25">
      <c r="A2027" t="s">
        <v>4491</v>
      </c>
      <c r="B2027" t="s">
        <v>4492</v>
      </c>
      <c r="C2027" t="s">
        <v>540</v>
      </c>
      <c r="F2027">
        <v>1</v>
      </c>
      <c r="G2027" t="s">
        <v>16</v>
      </c>
      <c r="H2027">
        <v>0</v>
      </c>
      <c r="I2027" s="2" t="s">
        <v>500</v>
      </c>
      <c r="J2027" s="2" t="s">
        <v>4493</v>
      </c>
      <c r="K2027">
        <v>20</v>
      </c>
      <c r="L2027">
        <v>20</v>
      </c>
      <c r="M2027">
        <v>20</v>
      </c>
    </row>
    <row r="2028" spans="1:13" x14ac:dyDescent="0.25">
      <c r="A2028" t="s">
        <v>4494</v>
      </c>
      <c r="B2028" t="s">
        <v>4495</v>
      </c>
      <c r="C2028" t="s">
        <v>540</v>
      </c>
      <c r="F2028">
        <v>2</v>
      </c>
      <c r="G2028" t="s">
        <v>16</v>
      </c>
      <c r="H2028">
        <v>0</v>
      </c>
      <c r="I2028" s="2" t="s">
        <v>996</v>
      </c>
      <c r="J2028" s="2" t="s">
        <v>4496</v>
      </c>
      <c r="K2028">
        <v>20</v>
      </c>
      <c r="L2028">
        <v>20</v>
      </c>
      <c r="M2028">
        <v>20</v>
      </c>
    </row>
    <row r="2029" spans="1:13" x14ac:dyDescent="0.25">
      <c r="A2029">
        <v>1406190</v>
      </c>
      <c r="B2029" t="s">
        <v>4497</v>
      </c>
      <c r="C2029" t="s">
        <v>540</v>
      </c>
      <c r="G2029" t="s">
        <v>16</v>
      </c>
      <c r="H2029">
        <v>0</v>
      </c>
      <c r="I2029" s="2" t="s">
        <v>497</v>
      </c>
      <c r="J2029" s="2">
        <v>13120853</v>
      </c>
      <c r="K2029">
        <v>20</v>
      </c>
      <c r="L2029">
        <v>20</v>
      </c>
      <c r="M2029">
        <v>20</v>
      </c>
    </row>
    <row r="2030" spans="1:13" x14ac:dyDescent="0.25">
      <c r="A2030" t="s">
        <v>4498</v>
      </c>
      <c r="B2030" t="s">
        <v>4497</v>
      </c>
      <c r="C2030" t="s">
        <v>540</v>
      </c>
      <c r="F2030">
        <v>1</v>
      </c>
      <c r="G2030" t="s">
        <v>16</v>
      </c>
      <c r="H2030">
        <v>0</v>
      </c>
      <c r="I2030" s="2" t="s">
        <v>500</v>
      </c>
      <c r="J2030" s="2" t="s">
        <v>4499</v>
      </c>
      <c r="K2030">
        <v>20</v>
      </c>
      <c r="L2030">
        <v>20</v>
      </c>
      <c r="M2030">
        <v>20</v>
      </c>
    </row>
    <row r="2031" spans="1:13" x14ac:dyDescent="0.25">
      <c r="A2031" t="s">
        <v>4500</v>
      </c>
      <c r="B2031" t="s">
        <v>4497</v>
      </c>
      <c r="C2031" t="s">
        <v>540</v>
      </c>
      <c r="F2031">
        <v>2</v>
      </c>
      <c r="G2031" t="s">
        <v>16</v>
      </c>
      <c r="H2031">
        <v>0</v>
      </c>
      <c r="I2031" s="2" t="s">
        <v>504</v>
      </c>
      <c r="J2031" s="2" t="s">
        <v>4501</v>
      </c>
      <c r="K2031">
        <v>20</v>
      </c>
      <c r="L2031">
        <v>20</v>
      </c>
      <c r="M2031">
        <v>20</v>
      </c>
    </row>
    <row r="2032" spans="1:13" x14ac:dyDescent="0.25">
      <c r="A2032" t="s">
        <v>4502</v>
      </c>
      <c r="B2032" t="s">
        <v>4503</v>
      </c>
      <c r="C2032" t="s">
        <v>540</v>
      </c>
      <c r="G2032" t="s">
        <v>16</v>
      </c>
      <c r="H2032">
        <v>0</v>
      </c>
      <c r="I2032" s="2" t="s">
        <v>500</v>
      </c>
      <c r="J2032" s="2" t="s">
        <v>4504</v>
      </c>
      <c r="K2032">
        <v>20</v>
      </c>
      <c r="L2032">
        <v>20</v>
      </c>
      <c r="M2032">
        <v>20</v>
      </c>
    </row>
    <row r="2033" spans="1:13" x14ac:dyDescent="0.25">
      <c r="A2033" t="s">
        <v>4505</v>
      </c>
      <c r="B2033" t="s">
        <v>4503</v>
      </c>
      <c r="C2033" t="s">
        <v>540</v>
      </c>
      <c r="F2033">
        <v>-1</v>
      </c>
      <c r="G2033" t="s">
        <v>16</v>
      </c>
      <c r="H2033">
        <v>0</v>
      </c>
      <c r="I2033" s="2" t="s">
        <v>1200</v>
      </c>
      <c r="J2033" s="2" t="s">
        <v>4506</v>
      </c>
      <c r="K2033">
        <v>20</v>
      </c>
      <c r="L2033">
        <v>20</v>
      </c>
      <c r="M2033">
        <v>20</v>
      </c>
    </row>
    <row r="2034" spans="1:13" x14ac:dyDescent="0.25">
      <c r="A2034" t="s">
        <v>4507</v>
      </c>
      <c r="B2034" t="s">
        <v>4509</v>
      </c>
      <c r="C2034" t="s">
        <v>540</v>
      </c>
      <c r="G2034" t="s">
        <v>16</v>
      </c>
      <c r="H2034">
        <v>0</v>
      </c>
      <c r="I2034" s="2" t="s">
        <v>1200</v>
      </c>
      <c r="J2034" s="2" t="s">
        <v>4508</v>
      </c>
      <c r="K2034">
        <v>20</v>
      </c>
      <c r="L2034">
        <v>20</v>
      </c>
      <c r="M2034">
        <v>20</v>
      </c>
    </row>
    <row r="2035" spans="1:13" x14ac:dyDescent="0.25">
      <c r="A2035" t="s">
        <v>4510</v>
      </c>
      <c r="B2035" t="s">
        <v>4509</v>
      </c>
      <c r="C2035" t="s">
        <v>540</v>
      </c>
      <c r="F2035">
        <v>-1</v>
      </c>
      <c r="G2035" t="s">
        <v>16</v>
      </c>
      <c r="H2035">
        <v>0</v>
      </c>
      <c r="I2035" s="2" t="s">
        <v>2345</v>
      </c>
      <c r="J2035" s="2" t="s">
        <v>4511</v>
      </c>
      <c r="K2035">
        <v>20</v>
      </c>
      <c r="L2035">
        <v>20</v>
      </c>
      <c r="M2035">
        <v>20</v>
      </c>
    </row>
    <row r="2036" spans="1:13" x14ac:dyDescent="0.25">
      <c r="A2036" t="s">
        <v>4512</v>
      </c>
      <c r="B2036" t="s">
        <v>4513</v>
      </c>
      <c r="C2036" t="s">
        <v>540</v>
      </c>
      <c r="F2036">
        <v>2</v>
      </c>
      <c r="G2036" t="s">
        <v>16</v>
      </c>
      <c r="H2036">
        <v>0</v>
      </c>
      <c r="I2036" s="2" t="s">
        <v>64</v>
      </c>
      <c r="J2036" s="2">
        <v>21032511</v>
      </c>
      <c r="K2036">
        <v>20</v>
      </c>
      <c r="L2036">
        <v>20</v>
      </c>
      <c r="M2036">
        <v>20</v>
      </c>
    </row>
    <row r="2037" spans="1:13" x14ac:dyDescent="0.25">
      <c r="A2037" t="s">
        <v>4514</v>
      </c>
      <c r="B2037" t="s">
        <v>4513</v>
      </c>
      <c r="C2037" t="s">
        <v>540</v>
      </c>
      <c r="F2037">
        <v>2</v>
      </c>
      <c r="G2037" t="s">
        <v>16</v>
      </c>
      <c r="H2037">
        <v>0</v>
      </c>
      <c r="I2037" s="2" t="s">
        <v>1175</v>
      </c>
      <c r="J2037" s="2" t="s">
        <v>4515</v>
      </c>
      <c r="K2037">
        <v>20</v>
      </c>
      <c r="L2037">
        <v>20</v>
      </c>
      <c r="M2037">
        <v>20</v>
      </c>
    </row>
    <row r="2038" spans="1:13" x14ac:dyDescent="0.25">
      <c r="A2038" t="s">
        <v>4516</v>
      </c>
      <c r="B2038" t="s">
        <v>4517</v>
      </c>
      <c r="C2038" t="s">
        <v>540</v>
      </c>
      <c r="F2038">
        <v>2</v>
      </c>
      <c r="G2038" t="s">
        <v>16</v>
      </c>
      <c r="H2038">
        <v>0</v>
      </c>
      <c r="I2038" s="2" t="s">
        <v>64</v>
      </c>
      <c r="J2038" s="2">
        <v>21032510</v>
      </c>
      <c r="K2038">
        <v>20</v>
      </c>
      <c r="L2038">
        <v>20</v>
      </c>
      <c r="M2038">
        <v>20</v>
      </c>
    </row>
    <row r="2039" spans="1:13" x14ac:dyDescent="0.25">
      <c r="A2039" t="s">
        <v>4518</v>
      </c>
      <c r="B2039" t="s">
        <v>4517</v>
      </c>
      <c r="C2039" t="s">
        <v>540</v>
      </c>
      <c r="F2039">
        <v>2</v>
      </c>
      <c r="G2039" t="s">
        <v>16</v>
      </c>
      <c r="H2039">
        <v>0</v>
      </c>
      <c r="I2039" s="2" t="s">
        <v>500</v>
      </c>
      <c r="J2039" s="2" t="s">
        <v>4519</v>
      </c>
      <c r="K2039">
        <v>20</v>
      </c>
      <c r="L2039">
        <v>20</v>
      </c>
      <c r="M2039">
        <v>20</v>
      </c>
    </row>
    <row r="2040" spans="1:13" x14ac:dyDescent="0.25">
      <c r="A2040" t="s">
        <v>4520</v>
      </c>
      <c r="B2040" t="s">
        <v>4521</v>
      </c>
      <c r="C2040" t="s">
        <v>540</v>
      </c>
      <c r="G2040" t="s">
        <v>16</v>
      </c>
      <c r="H2040">
        <v>0</v>
      </c>
      <c r="I2040" s="2" t="s">
        <v>500</v>
      </c>
      <c r="J2040" s="2" t="s">
        <v>4522</v>
      </c>
      <c r="K2040">
        <v>20</v>
      </c>
      <c r="L2040">
        <v>20</v>
      </c>
      <c r="M2040">
        <v>20</v>
      </c>
    </row>
    <row r="2041" spans="1:13" x14ac:dyDescent="0.25">
      <c r="A2041" t="s">
        <v>4523</v>
      </c>
      <c r="B2041" t="s">
        <v>4524</v>
      </c>
      <c r="C2041" t="s">
        <v>540</v>
      </c>
      <c r="F2041">
        <v>1</v>
      </c>
      <c r="G2041" t="s">
        <v>16</v>
      </c>
      <c r="H2041">
        <v>0</v>
      </c>
      <c r="I2041" s="2" t="s">
        <v>1175</v>
      </c>
      <c r="J2041" s="2" t="s">
        <v>4525</v>
      </c>
      <c r="K2041">
        <v>20</v>
      </c>
      <c r="L2041">
        <v>20</v>
      </c>
      <c r="M2041">
        <v>20</v>
      </c>
    </row>
    <row r="2042" spans="1:13" x14ac:dyDescent="0.25">
      <c r="A2042" t="s">
        <v>4526</v>
      </c>
      <c r="B2042" t="s">
        <v>4527</v>
      </c>
      <c r="C2042" t="s">
        <v>540</v>
      </c>
      <c r="F2042">
        <v>2</v>
      </c>
      <c r="G2042" t="s">
        <v>16</v>
      </c>
      <c r="H2042">
        <v>0</v>
      </c>
      <c r="I2042" s="2" t="s">
        <v>504</v>
      </c>
      <c r="J2042" s="2" t="s">
        <v>4528</v>
      </c>
      <c r="K2042">
        <v>20</v>
      </c>
      <c r="L2042">
        <v>20</v>
      </c>
      <c r="M2042">
        <v>20</v>
      </c>
    </row>
    <row r="2043" spans="1:13" x14ac:dyDescent="0.25">
      <c r="A2043" t="s">
        <v>4529</v>
      </c>
      <c r="B2043" t="s">
        <v>4530</v>
      </c>
      <c r="C2043" t="s">
        <v>540</v>
      </c>
      <c r="F2043">
        <v>1</v>
      </c>
      <c r="G2043" t="s">
        <v>16</v>
      </c>
      <c r="H2043">
        <v>0</v>
      </c>
      <c r="K2043">
        <v>20</v>
      </c>
      <c r="L2043">
        <v>20</v>
      </c>
      <c r="M2043">
        <v>20</v>
      </c>
    </row>
    <row r="2044" spans="1:13" x14ac:dyDescent="0.25">
      <c r="A2044" t="s">
        <v>4531</v>
      </c>
      <c r="B2044" t="s">
        <v>4524</v>
      </c>
      <c r="C2044" t="s">
        <v>540</v>
      </c>
      <c r="F2044">
        <v>1</v>
      </c>
      <c r="G2044" t="s">
        <v>16</v>
      </c>
      <c r="H2044">
        <v>0</v>
      </c>
      <c r="I2044" s="2" t="s">
        <v>500</v>
      </c>
      <c r="J2044" s="2" t="s">
        <v>4532</v>
      </c>
      <c r="K2044">
        <v>20</v>
      </c>
      <c r="L2044">
        <v>20</v>
      </c>
      <c r="M2044">
        <v>20</v>
      </c>
    </row>
    <row r="2045" spans="1:13" x14ac:dyDescent="0.25">
      <c r="A2045" t="s">
        <v>4533</v>
      </c>
      <c r="B2045" t="s">
        <v>4524</v>
      </c>
      <c r="C2045" t="s">
        <v>540</v>
      </c>
      <c r="F2045">
        <v>2</v>
      </c>
      <c r="G2045" t="s">
        <v>16</v>
      </c>
      <c r="H2045">
        <v>0</v>
      </c>
      <c r="I2045" s="2" t="s">
        <v>504</v>
      </c>
      <c r="J2045" s="2" t="s">
        <v>4534</v>
      </c>
      <c r="K2045">
        <v>20</v>
      </c>
      <c r="L2045">
        <v>20</v>
      </c>
      <c r="M2045">
        <v>20</v>
      </c>
    </row>
    <row r="2046" spans="1:13" x14ac:dyDescent="0.25">
      <c r="A2046" t="s">
        <v>4535</v>
      </c>
      <c r="B2046" t="s">
        <v>4536</v>
      </c>
      <c r="C2046" t="s">
        <v>540</v>
      </c>
      <c r="G2046" t="s">
        <v>16</v>
      </c>
      <c r="H2046">
        <v>0</v>
      </c>
      <c r="I2046" s="2" t="s">
        <v>500</v>
      </c>
      <c r="J2046" s="2" t="s">
        <v>4537</v>
      </c>
      <c r="K2046">
        <v>20</v>
      </c>
      <c r="L2046">
        <v>20</v>
      </c>
      <c r="M2046">
        <v>20</v>
      </c>
    </row>
    <row r="2047" spans="1:13" x14ac:dyDescent="0.25">
      <c r="A2047" t="s">
        <v>4538</v>
      </c>
      <c r="B2047" t="s">
        <v>4536</v>
      </c>
      <c r="C2047" t="s">
        <v>20</v>
      </c>
      <c r="G2047" t="s">
        <v>16</v>
      </c>
      <c r="H2047">
        <v>0</v>
      </c>
      <c r="I2047" s="2" t="s">
        <v>504</v>
      </c>
      <c r="J2047" s="2" t="s">
        <v>4538</v>
      </c>
      <c r="K2047">
        <v>20</v>
      </c>
      <c r="L2047">
        <v>20</v>
      </c>
      <c r="M2047">
        <v>20</v>
      </c>
    </row>
    <row r="2048" spans="1:13" x14ac:dyDescent="0.25">
      <c r="A2048" t="s">
        <v>4539</v>
      </c>
      <c r="B2048" t="s">
        <v>4540</v>
      </c>
      <c r="C2048" t="s">
        <v>540</v>
      </c>
      <c r="G2048" t="s">
        <v>16</v>
      </c>
      <c r="H2048">
        <v>0</v>
      </c>
      <c r="I2048" s="2" t="s">
        <v>500</v>
      </c>
      <c r="J2048" s="2" t="s">
        <v>4541</v>
      </c>
      <c r="K2048">
        <v>20</v>
      </c>
      <c r="L2048">
        <v>20</v>
      </c>
      <c r="M2048">
        <v>20</v>
      </c>
    </row>
    <row r="2049" spans="1:13" x14ac:dyDescent="0.25">
      <c r="A2049" t="s">
        <v>4542</v>
      </c>
      <c r="B2049" t="s">
        <v>4540</v>
      </c>
      <c r="C2049" t="s">
        <v>540</v>
      </c>
      <c r="G2049" t="s">
        <v>16</v>
      </c>
      <c r="H2049">
        <v>0</v>
      </c>
      <c r="I2049" s="2" t="s">
        <v>504</v>
      </c>
      <c r="J2049" s="2" t="s">
        <v>4542</v>
      </c>
      <c r="K2049">
        <v>20</v>
      </c>
      <c r="L2049">
        <v>20</v>
      </c>
      <c r="M2049">
        <v>20</v>
      </c>
    </row>
    <row r="2050" spans="1:13" x14ac:dyDescent="0.25">
      <c r="A2050" t="s">
        <v>4543</v>
      </c>
      <c r="B2050" t="s">
        <v>4544</v>
      </c>
      <c r="C2050" t="s">
        <v>540</v>
      </c>
      <c r="G2050" t="s">
        <v>16</v>
      </c>
      <c r="H2050">
        <v>0</v>
      </c>
      <c r="I2050" s="2" t="s">
        <v>500</v>
      </c>
      <c r="J2050" s="2" t="s">
        <v>4545</v>
      </c>
      <c r="K2050">
        <v>20</v>
      </c>
      <c r="L2050">
        <v>20</v>
      </c>
      <c r="M2050">
        <v>20</v>
      </c>
    </row>
    <row r="2051" spans="1:13" x14ac:dyDescent="0.25">
      <c r="A2051" t="s">
        <v>4546</v>
      </c>
      <c r="B2051" t="s">
        <v>4547</v>
      </c>
      <c r="C2051" t="s">
        <v>540</v>
      </c>
      <c r="F2051">
        <v>1</v>
      </c>
      <c r="G2051" t="s">
        <v>16</v>
      </c>
      <c r="H2051">
        <v>0</v>
      </c>
      <c r="I2051" s="2" t="s">
        <v>500</v>
      </c>
      <c r="J2051" s="2" t="s">
        <v>4548</v>
      </c>
      <c r="K2051">
        <v>20</v>
      </c>
      <c r="L2051">
        <v>20</v>
      </c>
      <c r="M2051">
        <v>20</v>
      </c>
    </row>
    <row r="2052" spans="1:13" x14ac:dyDescent="0.25">
      <c r="A2052">
        <v>1406522</v>
      </c>
      <c r="B2052" t="s">
        <v>4549</v>
      </c>
      <c r="C2052" t="s">
        <v>540</v>
      </c>
      <c r="F2052">
        <v>1</v>
      </c>
      <c r="G2052" t="s">
        <v>16</v>
      </c>
      <c r="H2052">
        <v>0</v>
      </c>
      <c r="I2052" s="2" t="s">
        <v>497</v>
      </c>
      <c r="J2052" s="2">
        <v>90559500</v>
      </c>
      <c r="K2052">
        <v>20</v>
      </c>
      <c r="L2052">
        <v>20</v>
      </c>
      <c r="M2052">
        <v>20</v>
      </c>
    </row>
    <row r="2053" spans="1:13" x14ac:dyDescent="0.25">
      <c r="A2053">
        <v>1406523</v>
      </c>
      <c r="B2053" t="s">
        <v>4550</v>
      </c>
      <c r="C2053" t="s">
        <v>540</v>
      </c>
      <c r="F2053">
        <v>1</v>
      </c>
      <c r="G2053" t="s">
        <v>16</v>
      </c>
      <c r="H2053">
        <v>0</v>
      </c>
      <c r="I2053" s="2" t="s">
        <v>1444</v>
      </c>
      <c r="J2053" s="2">
        <v>90559499</v>
      </c>
      <c r="K2053">
        <v>20</v>
      </c>
      <c r="L2053">
        <v>20</v>
      </c>
      <c r="M2053">
        <v>20</v>
      </c>
    </row>
    <row r="2054" spans="1:13" x14ac:dyDescent="0.25">
      <c r="A2054" t="s">
        <v>4551</v>
      </c>
      <c r="B2054" t="s">
        <v>4550</v>
      </c>
      <c r="C2054" t="s">
        <v>540</v>
      </c>
      <c r="G2054" t="s">
        <v>16</v>
      </c>
      <c r="H2054">
        <v>0</v>
      </c>
      <c r="I2054" s="2" t="s">
        <v>643</v>
      </c>
      <c r="J2054" s="2">
        <v>111055</v>
      </c>
      <c r="K2054">
        <v>20</v>
      </c>
      <c r="L2054">
        <v>20</v>
      </c>
      <c r="M2054">
        <v>20</v>
      </c>
    </row>
    <row r="2055" spans="1:13" x14ac:dyDescent="0.25">
      <c r="A2055" t="s">
        <v>4552</v>
      </c>
      <c r="B2055" t="s">
        <v>4553</v>
      </c>
      <c r="C2055" t="s">
        <v>540</v>
      </c>
      <c r="F2055">
        <v>1</v>
      </c>
      <c r="G2055" t="s">
        <v>16</v>
      </c>
      <c r="H2055">
        <v>0</v>
      </c>
      <c r="I2055" s="2" t="s">
        <v>64</v>
      </c>
      <c r="J2055" s="2">
        <v>21030935</v>
      </c>
      <c r="K2055">
        <v>20</v>
      </c>
      <c r="L2055">
        <v>20</v>
      </c>
      <c r="M2055">
        <v>20</v>
      </c>
    </row>
    <row r="2056" spans="1:13" x14ac:dyDescent="0.25">
      <c r="A2056" t="s">
        <v>4554</v>
      </c>
      <c r="B2056" t="s">
        <v>4553</v>
      </c>
      <c r="C2056" t="s">
        <v>540</v>
      </c>
      <c r="G2056" t="s">
        <v>16</v>
      </c>
      <c r="H2056">
        <v>0</v>
      </c>
      <c r="I2056" s="2" t="s">
        <v>504</v>
      </c>
      <c r="J2056" s="2" t="s">
        <v>4554</v>
      </c>
      <c r="K2056">
        <v>20</v>
      </c>
      <c r="L2056">
        <v>20</v>
      </c>
      <c r="M2056">
        <v>20</v>
      </c>
    </row>
    <row r="2057" spans="1:13" x14ac:dyDescent="0.25">
      <c r="A2057" t="s">
        <v>4555</v>
      </c>
      <c r="B2057" t="s">
        <v>4556</v>
      </c>
      <c r="C2057" t="s">
        <v>540</v>
      </c>
      <c r="F2057">
        <v>2</v>
      </c>
      <c r="G2057" t="s">
        <v>16</v>
      </c>
      <c r="H2057">
        <v>0</v>
      </c>
      <c r="I2057" s="2" t="s">
        <v>64</v>
      </c>
      <c r="J2057" s="2">
        <v>21030934</v>
      </c>
      <c r="K2057">
        <v>20</v>
      </c>
      <c r="L2057">
        <v>20</v>
      </c>
      <c r="M2057">
        <v>20</v>
      </c>
    </row>
    <row r="2058" spans="1:13" x14ac:dyDescent="0.25">
      <c r="A2058" t="s">
        <v>4557</v>
      </c>
      <c r="B2058" t="s">
        <v>4556</v>
      </c>
      <c r="C2058" t="s">
        <v>540</v>
      </c>
      <c r="G2058" t="s">
        <v>16</v>
      </c>
      <c r="H2058">
        <v>0</v>
      </c>
      <c r="I2058" s="2" t="s">
        <v>504</v>
      </c>
      <c r="J2058" s="2">
        <v>13140761</v>
      </c>
      <c r="K2058">
        <v>20</v>
      </c>
      <c r="L2058">
        <v>20</v>
      </c>
      <c r="M2058">
        <v>20</v>
      </c>
    </row>
    <row r="2059" spans="1:13" x14ac:dyDescent="0.25">
      <c r="A2059" t="s">
        <v>4558</v>
      </c>
      <c r="B2059" t="s">
        <v>4559</v>
      </c>
      <c r="C2059" t="s">
        <v>540</v>
      </c>
      <c r="F2059">
        <v>2</v>
      </c>
      <c r="G2059" t="s">
        <v>16</v>
      </c>
      <c r="H2059">
        <v>0</v>
      </c>
      <c r="I2059" s="2" t="s">
        <v>1175</v>
      </c>
      <c r="J2059" s="2" t="s">
        <v>4560</v>
      </c>
      <c r="K2059">
        <v>20</v>
      </c>
      <c r="L2059">
        <v>20</v>
      </c>
      <c r="M2059">
        <v>20</v>
      </c>
    </row>
    <row r="2060" spans="1:13" x14ac:dyDescent="0.25">
      <c r="A2060" t="s">
        <v>4561</v>
      </c>
      <c r="B2060" t="s">
        <v>4562</v>
      </c>
      <c r="C2060" t="s">
        <v>540</v>
      </c>
      <c r="F2060">
        <v>3</v>
      </c>
      <c r="G2060" t="s">
        <v>16</v>
      </c>
      <c r="H2060">
        <v>0</v>
      </c>
      <c r="I2060" s="2" t="s">
        <v>2341</v>
      </c>
      <c r="J2060" s="2">
        <v>8723</v>
      </c>
      <c r="K2060">
        <v>20</v>
      </c>
      <c r="L2060">
        <v>20</v>
      </c>
      <c r="M2060">
        <v>20</v>
      </c>
    </row>
    <row r="2061" spans="1:13" x14ac:dyDescent="0.25">
      <c r="A2061" t="s">
        <v>4563</v>
      </c>
      <c r="B2061" t="s">
        <v>4559</v>
      </c>
      <c r="C2061" t="s">
        <v>540</v>
      </c>
      <c r="F2061">
        <v>1</v>
      </c>
      <c r="G2061" t="s">
        <v>16</v>
      </c>
      <c r="H2061">
        <v>0</v>
      </c>
      <c r="K2061">
        <v>20</v>
      </c>
      <c r="L2061">
        <v>20</v>
      </c>
      <c r="M2061">
        <v>20</v>
      </c>
    </row>
    <row r="2062" spans="1:13" x14ac:dyDescent="0.25">
      <c r="A2062" t="s">
        <v>4564</v>
      </c>
      <c r="B2062" t="s">
        <v>4565</v>
      </c>
      <c r="C2062" t="s">
        <v>540</v>
      </c>
      <c r="F2062">
        <v>2</v>
      </c>
      <c r="G2062" t="s">
        <v>16</v>
      </c>
      <c r="H2062">
        <v>0</v>
      </c>
      <c r="I2062" s="2" t="s">
        <v>500</v>
      </c>
      <c r="J2062" s="2" t="s">
        <v>4566</v>
      </c>
      <c r="K2062">
        <v>20</v>
      </c>
      <c r="L2062">
        <v>20</v>
      </c>
      <c r="M2062">
        <v>20</v>
      </c>
    </row>
    <row r="2063" spans="1:13" x14ac:dyDescent="0.25">
      <c r="A2063" t="s">
        <v>4567</v>
      </c>
      <c r="B2063" t="s">
        <v>4568</v>
      </c>
      <c r="C2063" t="s">
        <v>540</v>
      </c>
      <c r="F2063">
        <v>4</v>
      </c>
      <c r="G2063" t="s">
        <v>16</v>
      </c>
      <c r="H2063">
        <v>0</v>
      </c>
      <c r="I2063" s="2" t="s">
        <v>2341</v>
      </c>
      <c r="J2063" s="2">
        <v>8722</v>
      </c>
      <c r="K2063">
        <v>20</v>
      </c>
      <c r="L2063">
        <v>20</v>
      </c>
      <c r="M2063">
        <v>20</v>
      </c>
    </row>
    <row r="2064" spans="1:13" x14ac:dyDescent="0.25">
      <c r="A2064" t="s">
        <v>4569</v>
      </c>
      <c r="B2064" t="s">
        <v>4565</v>
      </c>
      <c r="C2064" t="s">
        <v>540</v>
      </c>
      <c r="F2064">
        <v>1</v>
      </c>
      <c r="G2064" t="s">
        <v>16</v>
      </c>
      <c r="H2064">
        <v>0</v>
      </c>
      <c r="K2064">
        <v>20</v>
      </c>
      <c r="L2064">
        <v>20</v>
      </c>
      <c r="M2064">
        <v>20</v>
      </c>
    </row>
    <row r="2065" spans="1:13" x14ac:dyDescent="0.25">
      <c r="A2065" t="s">
        <v>4570</v>
      </c>
      <c r="B2065" t="s">
        <v>4571</v>
      </c>
      <c r="C2065" t="s">
        <v>540</v>
      </c>
      <c r="F2065">
        <v>1</v>
      </c>
      <c r="G2065" t="s">
        <v>16</v>
      </c>
      <c r="H2065">
        <v>0</v>
      </c>
      <c r="I2065" s="2" t="s">
        <v>64</v>
      </c>
      <c r="J2065" s="2">
        <v>21030613</v>
      </c>
      <c r="K2065">
        <v>20</v>
      </c>
      <c r="L2065">
        <v>20</v>
      </c>
      <c r="M2065">
        <v>20</v>
      </c>
    </row>
    <row r="2066" spans="1:13" x14ac:dyDescent="0.25">
      <c r="A2066" t="s">
        <v>4572</v>
      </c>
      <c r="B2066" t="s">
        <v>4571</v>
      </c>
      <c r="C2066" t="s">
        <v>540</v>
      </c>
      <c r="F2066">
        <v>1</v>
      </c>
      <c r="G2066" t="s">
        <v>16</v>
      </c>
      <c r="H2066">
        <v>0</v>
      </c>
      <c r="I2066" s="2" t="s">
        <v>500</v>
      </c>
      <c r="J2066" s="2" t="s">
        <v>4573</v>
      </c>
      <c r="K2066">
        <v>20</v>
      </c>
      <c r="L2066">
        <v>20</v>
      </c>
      <c r="M2066">
        <v>20</v>
      </c>
    </row>
    <row r="2067" spans="1:13" x14ac:dyDescent="0.25">
      <c r="A2067" t="s">
        <v>4574</v>
      </c>
      <c r="B2067" t="s">
        <v>4575</v>
      </c>
      <c r="C2067" t="s">
        <v>540</v>
      </c>
      <c r="F2067">
        <v>20</v>
      </c>
      <c r="G2067" t="s">
        <v>16</v>
      </c>
      <c r="H2067">
        <v>0</v>
      </c>
      <c r="I2067" s="2" t="s">
        <v>2542</v>
      </c>
      <c r="J2067" s="2">
        <v>1406925</v>
      </c>
      <c r="K2067">
        <v>20</v>
      </c>
      <c r="L2067">
        <v>20</v>
      </c>
      <c r="M2067">
        <v>20</v>
      </c>
    </row>
    <row r="2068" spans="1:13" x14ac:dyDescent="0.25">
      <c r="A2068" t="s">
        <v>4576</v>
      </c>
      <c r="B2068" t="s">
        <v>4577</v>
      </c>
      <c r="C2068" t="s">
        <v>540</v>
      </c>
      <c r="G2068" t="s">
        <v>16</v>
      </c>
      <c r="H2068">
        <v>0</v>
      </c>
      <c r="I2068" s="2" t="s">
        <v>643</v>
      </c>
      <c r="J2068" s="2">
        <v>111279</v>
      </c>
      <c r="K2068">
        <v>20</v>
      </c>
      <c r="L2068">
        <v>20</v>
      </c>
      <c r="M2068">
        <v>20</v>
      </c>
    </row>
    <row r="2069" spans="1:13" x14ac:dyDescent="0.25">
      <c r="A2069" t="s">
        <v>4578</v>
      </c>
      <c r="B2069" t="s">
        <v>4579</v>
      </c>
      <c r="C2069" t="s">
        <v>540</v>
      </c>
      <c r="G2069" t="s">
        <v>16</v>
      </c>
      <c r="H2069">
        <v>0</v>
      </c>
      <c r="I2069" s="2" t="s">
        <v>643</v>
      </c>
      <c r="J2069" s="2">
        <v>111280</v>
      </c>
      <c r="K2069">
        <v>20</v>
      </c>
      <c r="L2069">
        <v>20</v>
      </c>
      <c r="M2069">
        <v>20</v>
      </c>
    </row>
    <row r="2070" spans="1:13" x14ac:dyDescent="0.25">
      <c r="A2070" t="s">
        <v>4580</v>
      </c>
      <c r="B2070" t="s">
        <v>4581</v>
      </c>
      <c r="C2070" t="s">
        <v>20</v>
      </c>
      <c r="F2070">
        <v>0</v>
      </c>
      <c r="G2070" t="s">
        <v>16</v>
      </c>
      <c r="H2070">
        <v>0</v>
      </c>
      <c r="I2070" s="2" t="s">
        <v>55</v>
      </c>
      <c r="J2070" s="2" t="s">
        <v>4580</v>
      </c>
      <c r="K2070">
        <v>20</v>
      </c>
      <c r="L2070">
        <v>20</v>
      </c>
      <c r="M2070">
        <v>20</v>
      </c>
    </row>
    <row r="2071" spans="1:13" x14ac:dyDescent="0.25">
      <c r="A2071" t="s">
        <v>4582</v>
      </c>
      <c r="B2071" t="s">
        <v>4583</v>
      </c>
      <c r="C2071" t="s">
        <v>20</v>
      </c>
      <c r="F2071">
        <v>0</v>
      </c>
      <c r="G2071" t="s">
        <v>16</v>
      </c>
      <c r="H2071">
        <v>0</v>
      </c>
      <c r="I2071" s="2" t="s">
        <v>51</v>
      </c>
      <c r="J2071" s="2" t="s">
        <v>4582</v>
      </c>
      <c r="K2071">
        <v>20</v>
      </c>
      <c r="L2071">
        <v>20</v>
      </c>
      <c r="M2071">
        <v>20</v>
      </c>
    </row>
    <row r="2072" spans="1:13" x14ac:dyDescent="0.25">
      <c r="A2072" t="s">
        <v>4584</v>
      </c>
      <c r="B2072" t="s">
        <v>4585</v>
      </c>
      <c r="C2072" t="s">
        <v>540</v>
      </c>
      <c r="G2072" t="s">
        <v>16</v>
      </c>
      <c r="H2072">
        <v>0</v>
      </c>
      <c r="I2072" s="2" t="s">
        <v>165</v>
      </c>
      <c r="J2072" s="2">
        <v>206049</v>
      </c>
      <c r="K2072">
        <v>20</v>
      </c>
      <c r="L2072">
        <v>20</v>
      </c>
      <c r="M2072">
        <v>20</v>
      </c>
    </row>
    <row r="2073" spans="1:13" x14ac:dyDescent="0.25">
      <c r="A2073" t="s">
        <v>4586</v>
      </c>
      <c r="B2073" t="s">
        <v>4585</v>
      </c>
      <c r="C2073" t="s">
        <v>540</v>
      </c>
      <c r="G2073" t="s">
        <v>16</v>
      </c>
      <c r="H2073">
        <v>0</v>
      </c>
      <c r="K2073">
        <v>20</v>
      </c>
      <c r="L2073">
        <v>20</v>
      </c>
      <c r="M2073">
        <v>20</v>
      </c>
    </row>
    <row r="2074" spans="1:13" x14ac:dyDescent="0.25">
      <c r="A2074" t="s">
        <v>4587</v>
      </c>
      <c r="B2074" t="s">
        <v>4588</v>
      </c>
      <c r="C2074" t="s">
        <v>540</v>
      </c>
      <c r="D2074" t="s">
        <v>4589</v>
      </c>
      <c r="F2074">
        <v>2</v>
      </c>
      <c r="G2074" t="s">
        <v>16</v>
      </c>
      <c r="H2074">
        <v>0</v>
      </c>
      <c r="I2074" s="2" t="s">
        <v>4590</v>
      </c>
      <c r="J2074" s="2" t="s">
        <v>4591</v>
      </c>
      <c r="K2074">
        <v>20</v>
      </c>
      <c r="L2074">
        <v>20</v>
      </c>
      <c r="M2074">
        <v>20</v>
      </c>
    </row>
    <row r="2075" spans="1:13" x14ac:dyDescent="0.25">
      <c r="A2075" t="s">
        <v>4592</v>
      </c>
      <c r="B2075" t="s">
        <v>4588</v>
      </c>
      <c r="C2075" t="s">
        <v>540</v>
      </c>
      <c r="D2075" t="s">
        <v>4589</v>
      </c>
      <c r="F2075">
        <v>1</v>
      </c>
      <c r="G2075" t="s">
        <v>16</v>
      </c>
      <c r="H2075">
        <v>0</v>
      </c>
      <c r="I2075" s="2" t="s">
        <v>4593</v>
      </c>
      <c r="J2075" s="2" t="s">
        <v>4594</v>
      </c>
      <c r="K2075">
        <v>20</v>
      </c>
      <c r="L2075">
        <v>20</v>
      </c>
      <c r="M2075">
        <v>20</v>
      </c>
    </row>
    <row r="2076" spans="1:13" x14ac:dyDescent="0.25">
      <c r="A2076" t="s">
        <v>4595</v>
      </c>
      <c r="B2076" t="s">
        <v>4596</v>
      </c>
      <c r="C2076" t="s">
        <v>540</v>
      </c>
      <c r="D2076" t="s">
        <v>4589</v>
      </c>
      <c r="F2076">
        <v>1</v>
      </c>
      <c r="G2076" t="s">
        <v>16</v>
      </c>
      <c r="H2076">
        <v>0</v>
      </c>
      <c r="I2076" s="2" t="s">
        <v>108</v>
      </c>
      <c r="J2076" s="3">
        <v>3511607904</v>
      </c>
      <c r="K2076">
        <v>20</v>
      </c>
      <c r="L2076">
        <v>20</v>
      </c>
      <c r="M2076">
        <v>20</v>
      </c>
    </row>
    <row r="2077" spans="1:13" x14ac:dyDescent="0.25">
      <c r="A2077" t="s">
        <v>4597</v>
      </c>
      <c r="B2077" t="s">
        <v>4598</v>
      </c>
      <c r="C2077" t="s">
        <v>540</v>
      </c>
      <c r="D2077" t="s">
        <v>4589</v>
      </c>
      <c r="F2077">
        <v>0</v>
      </c>
      <c r="G2077" t="s">
        <v>16</v>
      </c>
      <c r="H2077">
        <v>0</v>
      </c>
      <c r="I2077" s="2" t="s">
        <v>4590</v>
      </c>
      <c r="J2077" s="2" t="s">
        <v>4599</v>
      </c>
      <c r="K2077">
        <v>20</v>
      </c>
      <c r="L2077">
        <v>20</v>
      </c>
      <c r="M2077">
        <v>20</v>
      </c>
    </row>
    <row r="2078" spans="1:13" x14ac:dyDescent="0.25">
      <c r="A2078" t="s">
        <v>4600</v>
      </c>
      <c r="B2078" t="s">
        <v>4598</v>
      </c>
      <c r="C2078" t="s">
        <v>540</v>
      </c>
      <c r="D2078" t="s">
        <v>4589</v>
      </c>
      <c r="F2078">
        <v>1</v>
      </c>
      <c r="G2078" t="s">
        <v>16</v>
      </c>
      <c r="H2078">
        <v>0</v>
      </c>
      <c r="I2078" s="2" t="s">
        <v>4593</v>
      </c>
      <c r="J2078" s="2" t="s">
        <v>4601</v>
      </c>
      <c r="K2078">
        <v>20</v>
      </c>
      <c r="L2078">
        <v>20</v>
      </c>
      <c r="M2078">
        <v>20</v>
      </c>
    </row>
    <row r="2079" spans="1:13" x14ac:dyDescent="0.25">
      <c r="A2079" t="s">
        <v>4602</v>
      </c>
      <c r="B2079" t="s">
        <v>4603</v>
      </c>
      <c r="C2079" t="s">
        <v>540</v>
      </c>
      <c r="D2079" t="s">
        <v>4589</v>
      </c>
      <c r="F2079">
        <v>1</v>
      </c>
      <c r="G2079" t="s">
        <v>16</v>
      </c>
      <c r="H2079">
        <v>0</v>
      </c>
      <c r="I2079" s="2" t="s">
        <v>108</v>
      </c>
      <c r="J2079" s="3">
        <v>3511607903</v>
      </c>
      <c r="K2079">
        <v>20</v>
      </c>
      <c r="L2079">
        <v>20</v>
      </c>
      <c r="M2079">
        <v>20</v>
      </c>
    </row>
    <row r="2080" spans="1:13" x14ac:dyDescent="0.25">
      <c r="A2080" t="s">
        <v>4604</v>
      </c>
      <c r="B2080" t="s">
        <v>4605</v>
      </c>
      <c r="C2080" t="s">
        <v>540</v>
      </c>
      <c r="D2080" t="s">
        <v>4589</v>
      </c>
      <c r="F2080">
        <v>1</v>
      </c>
      <c r="G2080" t="s">
        <v>16</v>
      </c>
      <c r="H2080">
        <v>0</v>
      </c>
      <c r="I2080" s="2" t="s">
        <v>4590</v>
      </c>
      <c r="J2080" s="2" t="s">
        <v>4606</v>
      </c>
      <c r="K2080">
        <v>20</v>
      </c>
      <c r="L2080">
        <v>20</v>
      </c>
      <c r="M2080">
        <v>20</v>
      </c>
    </row>
    <row r="2081" spans="1:13" x14ac:dyDescent="0.25">
      <c r="A2081" t="s">
        <v>4607</v>
      </c>
      <c r="B2081" t="s">
        <v>4605</v>
      </c>
      <c r="C2081" t="s">
        <v>540</v>
      </c>
      <c r="D2081" t="s">
        <v>4589</v>
      </c>
      <c r="F2081">
        <v>2</v>
      </c>
      <c r="G2081" t="s">
        <v>16</v>
      </c>
      <c r="H2081">
        <v>0</v>
      </c>
      <c r="I2081" s="2" t="s">
        <v>4593</v>
      </c>
      <c r="J2081" s="2" t="s">
        <v>4608</v>
      </c>
      <c r="K2081">
        <v>20</v>
      </c>
      <c r="L2081">
        <v>20</v>
      </c>
      <c r="M2081">
        <v>20</v>
      </c>
    </row>
    <row r="2082" spans="1:13" x14ac:dyDescent="0.25">
      <c r="A2082" t="s">
        <v>4609</v>
      </c>
      <c r="B2082" t="s">
        <v>4610</v>
      </c>
      <c r="C2082" t="s">
        <v>540</v>
      </c>
      <c r="D2082" t="s">
        <v>4589</v>
      </c>
      <c r="F2082">
        <v>1</v>
      </c>
      <c r="G2082" t="s">
        <v>16</v>
      </c>
      <c r="H2082">
        <v>0</v>
      </c>
      <c r="I2082" s="2" t="s">
        <v>4590</v>
      </c>
      <c r="J2082" s="2" t="s">
        <v>4611</v>
      </c>
      <c r="K2082">
        <v>20</v>
      </c>
      <c r="L2082">
        <v>20</v>
      </c>
      <c r="M2082">
        <v>20</v>
      </c>
    </row>
    <row r="2083" spans="1:13" x14ac:dyDescent="0.25">
      <c r="A2083" t="s">
        <v>4612</v>
      </c>
      <c r="B2083" t="s">
        <v>4613</v>
      </c>
      <c r="C2083" t="s">
        <v>540</v>
      </c>
      <c r="D2083" t="s">
        <v>4589</v>
      </c>
      <c r="F2083">
        <v>1</v>
      </c>
      <c r="G2083" t="s">
        <v>16</v>
      </c>
      <c r="H2083">
        <v>0</v>
      </c>
      <c r="I2083" s="2" t="s">
        <v>4593</v>
      </c>
      <c r="J2083" s="2" t="s">
        <v>4614</v>
      </c>
      <c r="K2083">
        <v>20</v>
      </c>
      <c r="L2083">
        <v>20</v>
      </c>
      <c r="M2083">
        <v>20</v>
      </c>
    </row>
    <row r="2084" spans="1:13" x14ac:dyDescent="0.25">
      <c r="A2084" t="s">
        <v>4615</v>
      </c>
      <c r="B2084" t="s">
        <v>4616</v>
      </c>
      <c r="C2084" t="s">
        <v>540</v>
      </c>
      <c r="D2084" t="s">
        <v>4589</v>
      </c>
      <c r="F2084">
        <v>1</v>
      </c>
      <c r="G2084" t="s">
        <v>16</v>
      </c>
      <c r="H2084">
        <v>0</v>
      </c>
      <c r="I2084" s="2" t="s">
        <v>4617</v>
      </c>
      <c r="J2084" s="2" t="s">
        <v>4618</v>
      </c>
      <c r="K2084">
        <v>20</v>
      </c>
      <c r="L2084">
        <v>20</v>
      </c>
      <c r="M2084">
        <v>20</v>
      </c>
    </row>
    <row r="2085" spans="1:13" x14ac:dyDescent="0.25">
      <c r="A2085" t="s">
        <v>4619</v>
      </c>
      <c r="B2085" t="s">
        <v>4620</v>
      </c>
      <c r="C2085" t="s">
        <v>540</v>
      </c>
      <c r="D2085" t="s">
        <v>4589</v>
      </c>
      <c r="F2085">
        <v>1</v>
      </c>
      <c r="G2085" t="s">
        <v>16</v>
      </c>
      <c r="H2085">
        <v>0</v>
      </c>
      <c r="I2085" s="2" t="s">
        <v>4621</v>
      </c>
      <c r="J2085" s="2" t="s">
        <v>4622</v>
      </c>
      <c r="K2085">
        <v>20</v>
      </c>
      <c r="L2085">
        <v>20</v>
      </c>
      <c r="M2085">
        <v>20</v>
      </c>
    </row>
    <row r="2086" spans="1:13" x14ac:dyDescent="0.25">
      <c r="A2086" t="s">
        <v>4623</v>
      </c>
      <c r="B2086" t="s">
        <v>4624</v>
      </c>
      <c r="C2086" t="s">
        <v>540</v>
      </c>
      <c r="D2086" t="s">
        <v>4589</v>
      </c>
      <c r="F2086">
        <v>0</v>
      </c>
      <c r="G2086" t="s">
        <v>16</v>
      </c>
      <c r="H2086">
        <v>0</v>
      </c>
      <c r="I2086" s="2" t="s">
        <v>4625</v>
      </c>
      <c r="J2086" s="2" t="s">
        <v>4626</v>
      </c>
      <c r="K2086">
        <v>20</v>
      </c>
      <c r="L2086">
        <v>20</v>
      </c>
      <c r="M2086">
        <v>20</v>
      </c>
    </row>
    <row r="2087" spans="1:13" x14ac:dyDescent="0.25">
      <c r="A2087" t="s">
        <v>4627</v>
      </c>
      <c r="B2087" t="s">
        <v>4628</v>
      </c>
      <c r="C2087" t="s">
        <v>540</v>
      </c>
      <c r="D2087" t="s">
        <v>4589</v>
      </c>
      <c r="F2087">
        <v>0</v>
      </c>
      <c r="G2087" t="s">
        <v>16</v>
      </c>
      <c r="H2087">
        <v>0</v>
      </c>
      <c r="I2087" s="2" t="s">
        <v>4590</v>
      </c>
      <c r="J2087" s="2" t="s">
        <v>4629</v>
      </c>
      <c r="K2087">
        <v>20</v>
      </c>
      <c r="L2087">
        <v>20</v>
      </c>
      <c r="M2087">
        <v>20</v>
      </c>
    </row>
    <row r="2088" spans="1:13" x14ac:dyDescent="0.25">
      <c r="A2088" t="s">
        <v>4630</v>
      </c>
      <c r="B2088" t="s">
        <v>4631</v>
      </c>
      <c r="C2088" t="s">
        <v>540</v>
      </c>
      <c r="D2088" t="s">
        <v>4589</v>
      </c>
      <c r="F2088">
        <v>1</v>
      </c>
      <c r="G2088" t="s">
        <v>16</v>
      </c>
      <c r="H2088">
        <v>0</v>
      </c>
      <c r="I2088" s="2" t="s">
        <v>4590</v>
      </c>
      <c r="J2088" s="2" t="s">
        <v>4632</v>
      </c>
      <c r="K2088">
        <v>20</v>
      </c>
      <c r="L2088">
        <v>20</v>
      </c>
      <c r="M2088">
        <v>20</v>
      </c>
    </row>
    <row r="2089" spans="1:13" x14ac:dyDescent="0.25">
      <c r="A2089" t="s">
        <v>4633</v>
      </c>
      <c r="B2089" t="s">
        <v>4634</v>
      </c>
      <c r="C2089" t="s">
        <v>540</v>
      </c>
      <c r="D2089" t="s">
        <v>4589</v>
      </c>
      <c r="F2089">
        <v>1</v>
      </c>
      <c r="G2089" t="s">
        <v>16</v>
      </c>
      <c r="H2089">
        <v>0</v>
      </c>
      <c r="I2089" s="2" t="s">
        <v>504</v>
      </c>
      <c r="J2089" s="2" t="s">
        <v>4635</v>
      </c>
      <c r="K2089">
        <v>20</v>
      </c>
      <c r="L2089">
        <v>20</v>
      </c>
      <c r="M2089">
        <v>20</v>
      </c>
    </row>
    <row r="2090" spans="1:13" x14ac:dyDescent="0.25">
      <c r="A2090" t="s">
        <v>4636</v>
      </c>
      <c r="B2090" t="s">
        <v>4637</v>
      </c>
      <c r="C2090" t="s">
        <v>540</v>
      </c>
      <c r="D2090" t="s">
        <v>4589</v>
      </c>
      <c r="F2090">
        <v>1</v>
      </c>
      <c r="G2090" t="s">
        <v>16</v>
      </c>
      <c r="H2090">
        <v>0</v>
      </c>
      <c r="I2090" s="2" t="s">
        <v>64</v>
      </c>
      <c r="J2090" s="2" t="str">
        <f>"09080094"</f>
        <v>09080094</v>
      </c>
      <c r="K2090">
        <v>20</v>
      </c>
      <c r="L2090">
        <v>20</v>
      </c>
      <c r="M2090">
        <v>20</v>
      </c>
    </row>
    <row r="2091" spans="1:13" x14ac:dyDescent="0.25">
      <c r="A2091" t="s">
        <v>4638</v>
      </c>
      <c r="B2091" t="s">
        <v>4639</v>
      </c>
      <c r="C2091" t="s">
        <v>540</v>
      </c>
      <c r="F2091">
        <v>4</v>
      </c>
      <c r="G2091" t="s">
        <v>16</v>
      </c>
      <c r="H2091">
        <v>0</v>
      </c>
      <c r="I2091" s="2" t="s">
        <v>591</v>
      </c>
      <c r="J2091" s="2">
        <v>220606</v>
      </c>
      <c r="K2091">
        <v>20</v>
      </c>
      <c r="L2091">
        <v>20</v>
      </c>
      <c r="M2091">
        <v>20</v>
      </c>
    </row>
    <row r="2092" spans="1:13" x14ac:dyDescent="0.25">
      <c r="A2092" t="s">
        <v>4640</v>
      </c>
      <c r="B2092" t="s">
        <v>4641</v>
      </c>
      <c r="C2092" t="s">
        <v>540</v>
      </c>
      <c r="F2092">
        <v>1</v>
      </c>
      <c r="G2092" t="s">
        <v>16</v>
      </c>
      <c r="H2092">
        <v>0</v>
      </c>
      <c r="I2092" s="2" t="s">
        <v>511</v>
      </c>
      <c r="J2092" s="2">
        <v>220607</v>
      </c>
      <c r="K2092">
        <v>20</v>
      </c>
      <c r="L2092">
        <v>20</v>
      </c>
      <c r="M2092">
        <v>20</v>
      </c>
    </row>
    <row r="2093" spans="1:13" x14ac:dyDescent="0.25">
      <c r="A2093" t="s">
        <v>4642</v>
      </c>
      <c r="B2093" t="s">
        <v>4643</v>
      </c>
      <c r="C2093" t="s">
        <v>540</v>
      </c>
      <c r="D2093" t="s">
        <v>4589</v>
      </c>
      <c r="F2093">
        <v>1</v>
      </c>
      <c r="G2093" t="s">
        <v>16</v>
      </c>
      <c r="H2093">
        <v>0</v>
      </c>
      <c r="I2093" s="2" t="s">
        <v>4625</v>
      </c>
      <c r="J2093" s="2" t="s">
        <v>4644</v>
      </c>
      <c r="K2093">
        <v>20</v>
      </c>
      <c r="L2093">
        <v>20</v>
      </c>
      <c r="M2093">
        <v>20</v>
      </c>
    </row>
    <row r="2094" spans="1:13" x14ac:dyDescent="0.25">
      <c r="A2094" t="s">
        <v>4645</v>
      </c>
      <c r="B2094" t="s">
        <v>4646</v>
      </c>
      <c r="C2094" t="s">
        <v>540</v>
      </c>
      <c r="G2094" t="s">
        <v>16</v>
      </c>
      <c r="H2094">
        <v>0</v>
      </c>
      <c r="I2094" s="2" t="s">
        <v>4590</v>
      </c>
      <c r="J2094" s="2" t="s">
        <v>4647</v>
      </c>
      <c r="K2094">
        <v>20</v>
      </c>
      <c r="L2094">
        <v>20</v>
      </c>
      <c r="M2094">
        <v>20</v>
      </c>
    </row>
    <row r="2095" spans="1:13" x14ac:dyDescent="0.25">
      <c r="A2095" t="s">
        <v>4648</v>
      </c>
      <c r="B2095" t="s">
        <v>4646</v>
      </c>
      <c r="C2095" t="s">
        <v>540</v>
      </c>
      <c r="D2095" t="s">
        <v>4589</v>
      </c>
      <c r="F2095">
        <v>1</v>
      </c>
      <c r="G2095" t="s">
        <v>16</v>
      </c>
      <c r="H2095">
        <v>0</v>
      </c>
      <c r="I2095" s="2" t="s">
        <v>4649</v>
      </c>
      <c r="J2095" s="2" t="s">
        <v>4650</v>
      </c>
      <c r="K2095">
        <v>20</v>
      </c>
      <c r="L2095">
        <v>20</v>
      </c>
      <c r="M2095">
        <v>20</v>
      </c>
    </row>
    <row r="2096" spans="1:13" x14ac:dyDescent="0.25">
      <c r="A2096" t="s">
        <v>4651</v>
      </c>
      <c r="B2096" t="s">
        <v>4652</v>
      </c>
      <c r="C2096" t="s">
        <v>540</v>
      </c>
      <c r="D2096" t="s">
        <v>4589</v>
      </c>
      <c r="F2096">
        <v>1</v>
      </c>
      <c r="G2096" t="s">
        <v>16</v>
      </c>
      <c r="H2096">
        <v>0</v>
      </c>
      <c r="I2096" s="2" t="s">
        <v>4590</v>
      </c>
      <c r="J2096" s="2" t="s">
        <v>4653</v>
      </c>
      <c r="K2096">
        <v>20</v>
      </c>
      <c r="L2096">
        <v>20</v>
      </c>
      <c r="M2096">
        <v>20</v>
      </c>
    </row>
    <row r="2097" spans="1:13" x14ac:dyDescent="0.25">
      <c r="A2097" t="s">
        <v>4654</v>
      </c>
      <c r="B2097" t="s">
        <v>4655</v>
      </c>
      <c r="C2097" t="s">
        <v>540</v>
      </c>
      <c r="D2097" t="s">
        <v>4589</v>
      </c>
      <c r="F2097">
        <v>1</v>
      </c>
      <c r="G2097" t="s">
        <v>16</v>
      </c>
      <c r="H2097">
        <v>0</v>
      </c>
      <c r="I2097" s="2" t="s">
        <v>108</v>
      </c>
      <c r="J2097" s="3">
        <v>3781607002</v>
      </c>
      <c r="K2097">
        <v>20</v>
      </c>
      <c r="L2097">
        <v>20</v>
      </c>
      <c r="M2097">
        <v>20</v>
      </c>
    </row>
    <row r="2098" spans="1:13" x14ac:dyDescent="0.25">
      <c r="A2098" t="s">
        <v>4656</v>
      </c>
      <c r="B2098" t="s">
        <v>4657</v>
      </c>
      <c r="C2098" t="s">
        <v>540</v>
      </c>
      <c r="D2098" t="s">
        <v>4589</v>
      </c>
      <c r="F2098">
        <v>1</v>
      </c>
      <c r="G2098" t="s">
        <v>16</v>
      </c>
      <c r="H2098">
        <v>0</v>
      </c>
      <c r="I2098" s="2" t="s">
        <v>108</v>
      </c>
      <c r="J2098" s="3">
        <v>3781607001</v>
      </c>
      <c r="K2098">
        <v>20</v>
      </c>
      <c r="L2098">
        <v>20</v>
      </c>
      <c r="M2098">
        <v>20</v>
      </c>
    </row>
    <row r="2099" spans="1:13" x14ac:dyDescent="0.25">
      <c r="A2099" t="s">
        <v>4658</v>
      </c>
      <c r="B2099" t="s">
        <v>4659</v>
      </c>
      <c r="C2099" t="s">
        <v>540</v>
      </c>
      <c r="D2099" t="s">
        <v>4589</v>
      </c>
      <c r="F2099">
        <v>1</v>
      </c>
      <c r="G2099" t="s">
        <v>16</v>
      </c>
      <c r="H2099">
        <v>0</v>
      </c>
      <c r="I2099" s="2" t="s">
        <v>4593</v>
      </c>
      <c r="J2099" s="2" t="s">
        <v>4660</v>
      </c>
      <c r="K2099">
        <v>20</v>
      </c>
      <c r="L2099">
        <v>20</v>
      </c>
      <c r="M2099">
        <v>20</v>
      </c>
    </row>
    <row r="2100" spans="1:13" x14ac:dyDescent="0.25">
      <c r="A2100" t="s">
        <v>4661</v>
      </c>
      <c r="B2100" t="s">
        <v>4662</v>
      </c>
      <c r="C2100" t="s">
        <v>241</v>
      </c>
      <c r="D2100" t="s">
        <v>242</v>
      </c>
      <c r="G2100" t="s">
        <v>16</v>
      </c>
      <c r="H2100">
        <v>0</v>
      </c>
      <c r="I2100" s="2" t="s">
        <v>2233</v>
      </c>
      <c r="J2100" s="2">
        <v>17367</v>
      </c>
      <c r="K2100">
        <v>20</v>
      </c>
      <c r="L2100">
        <v>20</v>
      </c>
      <c r="M2100">
        <v>20</v>
      </c>
    </row>
    <row r="2101" spans="1:13" x14ac:dyDescent="0.25">
      <c r="A2101" t="s">
        <v>4663</v>
      </c>
      <c r="B2101" t="s">
        <v>4662</v>
      </c>
      <c r="C2101" t="s">
        <v>241</v>
      </c>
      <c r="D2101" t="s">
        <v>242</v>
      </c>
      <c r="F2101">
        <v>1</v>
      </c>
      <c r="G2101" t="s">
        <v>16</v>
      </c>
      <c r="H2101">
        <v>0</v>
      </c>
      <c r="I2101" s="2" t="s">
        <v>64</v>
      </c>
      <c r="J2101" s="2">
        <v>10030050</v>
      </c>
      <c r="K2101">
        <v>20</v>
      </c>
      <c r="L2101">
        <v>20</v>
      </c>
      <c r="M2101">
        <v>20</v>
      </c>
    </row>
    <row r="2102" spans="1:13" x14ac:dyDescent="0.25">
      <c r="A2102" t="s">
        <v>4664</v>
      </c>
      <c r="B2102" t="s">
        <v>4662</v>
      </c>
      <c r="C2102" t="s">
        <v>241</v>
      </c>
      <c r="D2102" t="s">
        <v>242</v>
      </c>
      <c r="F2102">
        <v>1</v>
      </c>
      <c r="G2102" t="s">
        <v>16</v>
      </c>
      <c r="H2102">
        <v>0</v>
      </c>
      <c r="I2102" s="2" t="s">
        <v>271</v>
      </c>
      <c r="J2102" s="2">
        <v>3359</v>
      </c>
      <c r="K2102">
        <v>20</v>
      </c>
      <c r="L2102">
        <v>20</v>
      </c>
      <c r="M2102">
        <v>20</v>
      </c>
    </row>
    <row r="2103" spans="1:13" x14ac:dyDescent="0.25">
      <c r="A2103" t="s">
        <v>4665</v>
      </c>
      <c r="B2103" t="s">
        <v>4666</v>
      </c>
      <c r="C2103" t="s">
        <v>241</v>
      </c>
      <c r="D2103" t="s">
        <v>242</v>
      </c>
      <c r="G2103" t="s">
        <v>16</v>
      </c>
      <c r="H2103">
        <v>0</v>
      </c>
      <c r="I2103" s="2" t="s">
        <v>243</v>
      </c>
      <c r="J2103" s="2">
        <v>17285</v>
      </c>
      <c r="K2103">
        <v>20</v>
      </c>
      <c r="L2103">
        <v>20</v>
      </c>
      <c r="M2103">
        <v>20</v>
      </c>
    </row>
    <row r="2104" spans="1:13" x14ac:dyDescent="0.25">
      <c r="A2104" t="s">
        <v>4667</v>
      </c>
      <c r="B2104" t="s">
        <v>4668</v>
      </c>
      <c r="C2104" t="s">
        <v>241</v>
      </c>
      <c r="D2104" t="s">
        <v>242</v>
      </c>
      <c r="F2104">
        <v>1</v>
      </c>
      <c r="G2104" t="s">
        <v>16</v>
      </c>
      <c r="H2104">
        <v>0</v>
      </c>
      <c r="I2104" s="2" t="s">
        <v>2932</v>
      </c>
      <c r="J2104" s="2" t="s">
        <v>4669</v>
      </c>
      <c r="K2104">
        <v>20</v>
      </c>
      <c r="L2104">
        <v>20</v>
      </c>
      <c r="M2104">
        <v>20</v>
      </c>
    </row>
    <row r="2105" spans="1:13" x14ac:dyDescent="0.25">
      <c r="A2105" t="s">
        <v>4670</v>
      </c>
      <c r="B2105" t="s">
        <v>4672</v>
      </c>
      <c r="C2105" t="s">
        <v>241</v>
      </c>
      <c r="D2105" t="s">
        <v>262</v>
      </c>
      <c r="F2105">
        <v>1</v>
      </c>
      <c r="G2105" t="s">
        <v>16</v>
      </c>
      <c r="H2105">
        <v>0</v>
      </c>
      <c r="I2105" s="2" t="s">
        <v>69</v>
      </c>
      <c r="J2105" s="2" t="s">
        <v>4671</v>
      </c>
      <c r="K2105">
        <v>20</v>
      </c>
      <c r="L2105">
        <v>20</v>
      </c>
      <c r="M2105">
        <v>20</v>
      </c>
    </row>
    <row r="2106" spans="1:13" x14ac:dyDescent="0.25">
      <c r="A2106" t="s">
        <v>4673</v>
      </c>
      <c r="B2106" t="s">
        <v>4674</v>
      </c>
      <c r="C2106" t="s">
        <v>20</v>
      </c>
      <c r="D2106" t="s">
        <v>26</v>
      </c>
      <c r="F2106">
        <v>5</v>
      </c>
      <c r="G2106" t="s">
        <v>16</v>
      </c>
      <c r="H2106">
        <v>0</v>
      </c>
      <c r="I2106" s="2" t="s">
        <v>277</v>
      </c>
      <c r="J2106" s="2">
        <v>52533</v>
      </c>
      <c r="K2106">
        <v>20</v>
      </c>
      <c r="L2106">
        <v>20</v>
      </c>
      <c r="M2106">
        <v>20</v>
      </c>
    </row>
    <row r="2107" spans="1:13" x14ac:dyDescent="0.25">
      <c r="A2107" t="s">
        <v>4675</v>
      </c>
      <c r="B2107" t="s">
        <v>4676</v>
      </c>
      <c r="C2107" t="s">
        <v>241</v>
      </c>
      <c r="D2107" t="s">
        <v>262</v>
      </c>
      <c r="F2107">
        <v>1</v>
      </c>
      <c r="G2107" t="s">
        <v>16</v>
      </c>
      <c r="H2107">
        <v>0</v>
      </c>
      <c r="I2107" s="2" t="s">
        <v>51</v>
      </c>
      <c r="J2107" s="2" t="s">
        <v>4675</v>
      </c>
      <c r="K2107">
        <v>20</v>
      </c>
      <c r="L2107">
        <v>20</v>
      </c>
      <c r="M2107">
        <v>20</v>
      </c>
    </row>
    <row r="2108" spans="1:13" x14ac:dyDescent="0.25">
      <c r="A2108" t="s">
        <v>4677</v>
      </c>
      <c r="B2108" t="s">
        <v>4676</v>
      </c>
      <c r="C2108" t="s">
        <v>241</v>
      </c>
      <c r="D2108" t="s">
        <v>262</v>
      </c>
      <c r="F2108">
        <v>2</v>
      </c>
      <c r="G2108" t="s">
        <v>16</v>
      </c>
      <c r="H2108">
        <v>0</v>
      </c>
      <c r="I2108" s="2" t="s">
        <v>2896</v>
      </c>
      <c r="J2108" s="2">
        <v>131316</v>
      </c>
      <c r="K2108">
        <v>20</v>
      </c>
      <c r="L2108">
        <v>20</v>
      </c>
      <c r="M2108">
        <v>20</v>
      </c>
    </row>
    <row r="2109" spans="1:13" x14ac:dyDescent="0.25">
      <c r="A2109" t="s">
        <v>4678</v>
      </c>
      <c r="B2109" t="s">
        <v>4676</v>
      </c>
      <c r="C2109" t="s">
        <v>241</v>
      </c>
      <c r="D2109" t="s">
        <v>262</v>
      </c>
      <c r="F2109">
        <v>1</v>
      </c>
      <c r="G2109" t="s">
        <v>16</v>
      </c>
      <c r="H2109">
        <v>0</v>
      </c>
      <c r="I2109" s="2" t="s">
        <v>737</v>
      </c>
      <c r="J2109" s="2" t="s">
        <v>4679</v>
      </c>
      <c r="K2109">
        <v>20</v>
      </c>
      <c r="L2109">
        <v>20</v>
      </c>
      <c r="M2109">
        <v>20</v>
      </c>
    </row>
    <row r="2110" spans="1:13" x14ac:dyDescent="0.25">
      <c r="A2110" t="s">
        <v>4680</v>
      </c>
      <c r="B2110" t="s">
        <v>4682</v>
      </c>
      <c r="C2110" t="s">
        <v>20</v>
      </c>
      <c r="F2110">
        <v>2</v>
      </c>
      <c r="G2110" t="s">
        <v>16</v>
      </c>
      <c r="H2110">
        <v>0</v>
      </c>
      <c r="I2110" s="2" t="s">
        <v>2881</v>
      </c>
      <c r="J2110" s="2" t="s">
        <v>4681</v>
      </c>
      <c r="K2110">
        <v>20</v>
      </c>
      <c r="L2110">
        <v>20</v>
      </c>
      <c r="M2110">
        <v>20</v>
      </c>
    </row>
    <row r="2111" spans="1:13" x14ac:dyDescent="0.25">
      <c r="A2111" t="s">
        <v>4683</v>
      </c>
      <c r="B2111" t="s">
        <v>4684</v>
      </c>
      <c r="C2111" t="s">
        <v>241</v>
      </c>
      <c r="D2111" t="s">
        <v>242</v>
      </c>
      <c r="F2111">
        <v>1</v>
      </c>
      <c r="G2111" t="s">
        <v>16</v>
      </c>
      <c r="H2111">
        <v>0</v>
      </c>
      <c r="I2111" s="2" t="s">
        <v>221</v>
      </c>
      <c r="J2111" s="2">
        <v>17591</v>
      </c>
      <c r="K2111">
        <v>20</v>
      </c>
      <c r="L2111">
        <v>20</v>
      </c>
      <c r="M2111">
        <v>20</v>
      </c>
    </row>
    <row r="2112" spans="1:13" x14ac:dyDescent="0.25">
      <c r="A2112" t="s">
        <v>4685</v>
      </c>
      <c r="B2112" t="s">
        <v>4686</v>
      </c>
      <c r="C2112" t="s">
        <v>20</v>
      </c>
      <c r="F2112">
        <v>1</v>
      </c>
      <c r="G2112" t="s">
        <v>16</v>
      </c>
      <c r="H2112">
        <v>0</v>
      </c>
      <c r="I2112" s="2" t="s">
        <v>51</v>
      </c>
      <c r="J2112" s="2" t="s">
        <v>4685</v>
      </c>
      <c r="K2112">
        <v>20</v>
      </c>
      <c r="L2112">
        <v>20</v>
      </c>
      <c r="M2112">
        <v>20</v>
      </c>
    </row>
    <row r="2113" spans="1:13" x14ac:dyDescent="0.25">
      <c r="A2113" t="s">
        <v>4687</v>
      </c>
      <c r="B2113" t="s">
        <v>4688</v>
      </c>
      <c r="C2113" t="s">
        <v>1426</v>
      </c>
      <c r="F2113">
        <v>1</v>
      </c>
      <c r="G2113" t="s">
        <v>22</v>
      </c>
      <c r="H2113">
        <v>0</v>
      </c>
      <c r="I2113" s="2" t="s">
        <v>500</v>
      </c>
      <c r="J2113" s="2" t="s">
        <v>4689</v>
      </c>
      <c r="K2113">
        <v>20</v>
      </c>
      <c r="L2113">
        <v>20</v>
      </c>
      <c r="M2113">
        <v>20</v>
      </c>
    </row>
    <row r="2114" spans="1:13" x14ac:dyDescent="0.25">
      <c r="A2114" t="s">
        <v>4690</v>
      </c>
      <c r="B2114" t="s">
        <v>4691</v>
      </c>
      <c r="G2114" t="s">
        <v>16</v>
      </c>
      <c r="H2114">
        <v>0</v>
      </c>
      <c r="I2114" s="2" t="s">
        <v>500</v>
      </c>
      <c r="J2114" s="2" t="s">
        <v>4692</v>
      </c>
      <c r="K2114">
        <v>20</v>
      </c>
      <c r="L2114">
        <v>20</v>
      </c>
      <c r="M2114">
        <v>20</v>
      </c>
    </row>
    <row r="2115" spans="1:13" x14ac:dyDescent="0.25">
      <c r="A2115" t="s">
        <v>4693</v>
      </c>
      <c r="B2115" t="s">
        <v>4694</v>
      </c>
      <c r="C2115" t="s">
        <v>1426</v>
      </c>
      <c r="F2115">
        <v>1</v>
      </c>
      <c r="G2115" t="s">
        <v>16</v>
      </c>
      <c r="H2115">
        <v>0</v>
      </c>
      <c r="I2115" s="2" t="s">
        <v>500</v>
      </c>
      <c r="J2115" s="2" t="s">
        <v>4695</v>
      </c>
      <c r="K2115">
        <v>20</v>
      </c>
      <c r="L2115">
        <v>20</v>
      </c>
      <c r="M2115">
        <v>20</v>
      </c>
    </row>
    <row r="2116" spans="1:13" x14ac:dyDescent="0.25">
      <c r="A2116" t="s">
        <v>4696</v>
      </c>
      <c r="B2116" t="s">
        <v>4697</v>
      </c>
      <c r="C2116" t="s">
        <v>1426</v>
      </c>
      <c r="F2116">
        <v>4</v>
      </c>
      <c r="G2116" t="s">
        <v>16</v>
      </c>
      <c r="H2116">
        <v>0</v>
      </c>
      <c r="I2116" s="2" t="s">
        <v>1107</v>
      </c>
      <c r="J2116" s="2" t="s">
        <v>4698</v>
      </c>
      <c r="K2116">
        <v>20</v>
      </c>
      <c r="L2116">
        <v>20</v>
      </c>
      <c r="M2116">
        <v>20</v>
      </c>
    </row>
    <row r="2117" spans="1:13" x14ac:dyDescent="0.25">
      <c r="A2117" t="s">
        <v>4699</v>
      </c>
      <c r="B2117" t="s">
        <v>4700</v>
      </c>
      <c r="C2117" t="s">
        <v>1426</v>
      </c>
      <c r="F2117">
        <v>13</v>
      </c>
      <c r="G2117" t="s">
        <v>16</v>
      </c>
      <c r="H2117">
        <v>0</v>
      </c>
      <c r="I2117" s="2" t="s">
        <v>737</v>
      </c>
      <c r="J2117" s="2" t="s">
        <v>4701</v>
      </c>
      <c r="K2117">
        <v>20</v>
      </c>
      <c r="L2117">
        <v>20</v>
      </c>
      <c r="M2117">
        <v>20</v>
      </c>
    </row>
    <row r="2118" spans="1:13" x14ac:dyDescent="0.25">
      <c r="A2118" t="s">
        <v>4702</v>
      </c>
      <c r="B2118" t="s">
        <v>4703</v>
      </c>
      <c r="C2118" t="s">
        <v>20</v>
      </c>
      <c r="F2118">
        <v>0</v>
      </c>
      <c r="G2118" t="s">
        <v>16</v>
      </c>
      <c r="H2118">
        <v>0</v>
      </c>
      <c r="I2118" s="2" t="s">
        <v>156</v>
      </c>
      <c r="J2118" s="2">
        <v>10575</v>
      </c>
      <c r="K2118">
        <v>20</v>
      </c>
      <c r="L2118">
        <v>20</v>
      </c>
      <c r="M2118">
        <v>20</v>
      </c>
    </row>
    <row r="2119" spans="1:13" x14ac:dyDescent="0.25">
      <c r="A2119" t="s">
        <v>4704</v>
      </c>
      <c r="B2119" t="s">
        <v>4705</v>
      </c>
      <c r="C2119" t="s">
        <v>241</v>
      </c>
      <c r="D2119" t="s">
        <v>262</v>
      </c>
      <c r="F2119">
        <v>1</v>
      </c>
      <c r="G2119" t="s">
        <v>16</v>
      </c>
      <c r="H2119">
        <v>0</v>
      </c>
      <c r="I2119" s="2" t="s">
        <v>64</v>
      </c>
      <c r="J2119" s="2">
        <v>10031997</v>
      </c>
      <c r="K2119">
        <v>20</v>
      </c>
      <c r="L2119">
        <v>20</v>
      </c>
      <c r="M2119">
        <v>20</v>
      </c>
    </row>
    <row r="2120" spans="1:13" x14ac:dyDescent="0.25">
      <c r="A2120" t="s">
        <v>4706</v>
      </c>
      <c r="B2120" t="s">
        <v>4707</v>
      </c>
      <c r="C2120" t="s">
        <v>14</v>
      </c>
      <c r="D2120" t="s">
        <v>191</v>
      </c>
      <c r="F2120">
        <v>3</v>
      </c>
      <c r="G2120" t="s">
        <v>16</v>
      </c>
      <c r="H2120">
        <v>0</v>
      </c>
      <c r="I2120" s="2" t="s">
        <v>4708</v>
      </c>
      <c r="J2120" s="2" t="s">
        <v>4709</v>
      </c>
      <c r="K2120">
        <v>20</v>
      </c>
      <c r="L2120">
        <v>20</v>
      </c>
      <c r="M2120">
        <v>20</v>
      </c>
    </row>
    <row r="2121" spans="1:13" x14ac:dyDescent="0.25">
      <c r="A2121" t="s">
        <v>4710</v>
      </c>
      <c r="B2121" t="s">
        <v>4707</v>
      </c>
      <c r="C2121" t="s">
        <v>14</v>
      </c>
      <c r="D2121" t="s">
        <v>191</v>
      </c>
      <c r="F2121">
        <v>1</v>
      </c>
      <c r="G2121" t="s">
        <v>16</v>
      </c>
      <c r="H2121">
        <v>0</v>
      </c>
      <c r="I2121" s="2" t="s">
        <v>4711</v>
      </c>
      <c r="J2121" s="2" t="s">
        <v>4712</v>
      </c>
      <c r="K2121">
        <v>20</v>
      </c>
      <c r="L2121">
        <v>20</v>
      </c>
      <c r="M2121">
        <v>20</v>
      </c>
    </row>
    <row r="2122" spans="1:13" x14ac:dyDescent="0.25">
      <c r="A2122" t="s">
        <v>4713</v>
      </c>
      <c r="B2122" t="s">
        <v>4714</v>
      </c>
      <c r="C2122" t="s">
        <v>14</v>
      </c>
      <c r="D2122" t="s">
        <v>191</v>
      </c>
      <c r="F2122">
        <v>2</v>
      </c>
      <c r="G2122" t="s">
        <v>16</v>
      </c>
      <c r="H2122">
        <v>0</v>
      </c>
      <c r="I2122" s="2" t="s">
        <v>4708</v>
      </c>
      <c r="J2122" s="2" t="s">
        <v>4715</v>
      </c>
      <c r="K2122">
        <v>20</v>
      </c>
      <c r="L2122">
        <v>20</v>
      </c>
      <c r="M2122">
        <v>20</v>
      </c>
    </row>
    <row r="2123" spans="1:13" x14ac:dyDescent="0.25">
      <c r="A2123" t="s">
        <v>4716</v>
      </c>
      <c r="B2123" t="s">
        <v>4717</v>
      </c>
      <c r="C2123" t="s">
        <v>14</v>
      </c>
      <c r="D2123" t="s">
        <v>191</v>
      </c>
      <c r="G2123" t="s">
        <v>16</v>
      </c>
      <c r="H2123">
        <v>0</v>
      </c>
      <c r="I2123" s="2" t="s">
        <v>4718</v>
      </c>
      <c r="K2123">
        <v>20</v>
      </c>
      <c r="L2123">
        <v>20</v>
      </c>
      <c r="M2123">
        <v>20</v>
      </c>
    </row>
    <row r="2124" spans="1:13" x14ac:dyDescent="0.25">
      <c r="A2124" t="s">
        <v>4719</v>
      </c>
      <c r="B2124" t="s">
        <v>4721</v>
      </c>
      <c r="C2124" t="s">
        <v>14</v>
      </c>
      <c r="D2124" t="s">
        <v>191</v>
      </c>
      <c r="G2124" t="s">
        <v>16</v>
      </c>
      <c r="H2124">
        <v>0</v>
      </c>
      <c r="I2124" s="2" t="s">
        <v>17</v>
      </c>
      <c r="J2124" s="2" t="s">
        <v>4720</v>
      </c>
      <c r="K2124">
        <v>20</v>
      </c>
      <c r="L2124">
        <v>20</v>
      </c>
      <c r="M2124">
        <v>20</v>
      </c>
    </row>
    <row r="2125" spans="1:13" x14ac:dyDescent="0.25">
      <c r="A2125" t="s">
        <v>4722</v>
      </c>
      <c r="B2125" t="s">
        <v>4723</v>
      </c>
      <c r="C2125" t="s">
        <v>14</v>
      </c>
      <c r="D2125" t="s">
        <v>191</v>
      </c>
      <c r="F2125">
        <v>1</v>
      </c>
      <c r="G2125" t="s">
        <v>16</v>
      </c>
      <c r="H2125">
        <v>0</v>
      </c>
      <c r="I2125" s="2" t="s">
        <v>192</v>
      </c>
      <c r="J2125" s="2" t="s">
        <v>4724</v>
      </c>
      <c r="K2125">
        <v>20</v>
      </c>
      <c r="L2125">
        <v>20</v>
      </c>
      <c r="M2125">
        <v>20</v>
      </c>
    </row>
    <row r="2126" spans="1:13" x14ac:dyDescent="0.25">
      <c r="A2126" t="s">
        <v>4725</v>
      </c>
      <c r="B2126" t="s">
        <v>4723</v>
      </c>
      <c r="C2126" t="s">
        <v>14</v>
      </c>
      <c r="D2126" t="s">
        <v>191</v>
      </c>
      <c r="F2126">
        <v>1</v>
      </c>
      <c r="G2126" t="s">
        <v>16</v>
      </c>
      <c r="H2126">
        <v>0</v>
      </c>
      <c r="I2126" s="2" t="s">
        <v>1741</v>
      </c>
      <c r="J2126" s="2" t="s">
        <v>4726</v>
      </c>
      <c r="K2126">
        <v>20</v>
      </c>
      <c r="L2126">
        <v>20</v>
      </c>
      <c r="M2126">
        <v>20</v>
      </c>
    </row>
    <row r="2127" spans="1:13" x14ac:dyDescent="0.25">
      <c r="A2127" t="s">
        <v>4727</v>
      </c>
      <c r="B2127" t="s">
        <v>4728</v>
      </c>
      <c r="C2127" t="s">
        <v>14</v>
      </c>
      <c r="D2127" t="s">
        <v>191</v>
      </c>
      <c r="F2127">
        <v>1</v>
      </c>
      <c r="G2127" t="s">
        <v>16</v>
      </c>
      <c r="H2127">
        <v>0</v>
      </c>
      <c r="I2127" s="2" t="s">
        <v>4718</v>
      </c>
      <c r="J2127" s="2" t="s">
        <v>4729</v>
      </c>
      <c r="K2127">
        <v>20</v>
      </c>
      <c r="L2127">
        <v>20</v>
      </c>
      <c r="M2127">
        <v>20</v>
      </c>
    </row>
    <row r="2128" spans="1:13" x14ac:dyDescent="0.25">
      <c r="A2128" t="s">
        <v>4730</v>
      </c>
      <c r="B2128" t="s">
        <v>4731</v>
      </c>
      <c r="C2128" t="s">
        <v>14</v>
      </c>
      <c r="D2128" t="s">
        <v>191</v>
      </c>
      <c r="G2128" t="s">
        <v>16</v>
      </c>
      <c r="H2128">
        <v>0</v>
      </c>
      <c r="I2128" s="2" t="s">
        <v>4732</v>
      </c>
      <c r="J2128" s="2" t="s">
        <v>4733</v>
      </c>
      <c r="K2128">
        <v>20</v>
      </c>
      <c r="L2128">
        <v>20</v>
      </c>
      <c r="M2128">
        <v>20</v>
      </c>
    </row>
    <row r="2129" spans="1:13" x14ac:dyDescent="0.25">
      <c r="A2129" t="s">
        <v>4734</v>
      </c>
      <c r="B2129" t="s">
        <v>4735</v>
      </c>
      <c r="C2129" t="s">
        <v>14</v>
      </c>
      <c r="D2129" t="s">
        <v>191</v>
      </c>
      <c r="F2129">
        <v>1</v>
      </c>
      <c r="G2129" t="s">
        <v>16</v>
      </c>
      <c r="H2129">
        <v>0</v>
      </c>
      <c r="I2129" s="2" t="s">
        <v>4736</v>
      </c>
      <c r="J2129" s="2" t="s">
        <v>4737</v>
      </c>
      <c r="K2129">
        <v>20</v>
      </c>
      <c r="L2129">
        <v>20</v>
      </c>
      <c r="M2129">
        <v>20</v>
      </c>
    </row>
    <row r="2130" spans="1:13" x14ac:dyDescent="0.25">
      <c r="A2130" t="s">
        <v>4738</v>
      </c>
      <c r="B2130" t="s">
        <v>4739</v>
      </c>
      <c r="C2130" t="s">
        <v>14</v>
      </c>
      <c r="D2130" t="s">
        <v>191</v>
      </c>
      <c r="F2130">
        <v>0</v>
      </c>
      <c r="G2130" t="s">
        <v>16</v>
      </c>
      <c r="H2130">
        <v>0</v>
      </c>
      <c r="I2130" s="2" t="s">
        <v>87</v>
      </c>
      <c r="J2130" s="2" t="s">
        <v>4740</v>
      </c>
      <c r="K2130">
        <v>20</v>
      </c>
      <c r="L2130">
        <v>20</v>
      </c>
      <c r="M2130">
        <v>20</v>
      </c>
    </row>
    <row r="2131" spans="1:13" x14ac:dyDescent="0.25">
      <c r="A2131" t="s">
        <v>4741</v>
      </c>
      <c r="B2131" t="s">
        <v>4742</v>
      </c>
      <c r="C2131" t="s">
        <v>14</v>
      </c>
      <c r="D2131" t="s">
        <v>191</v>
      </c>
      <c r="F2131">
        <v>2</v>
      </c>
      <c r="G2131" t="s">
        <v>16</v>
      </c>
      <c r="H2131">
        <v>0</v>
      </c>
      <c r="I2131" s="2" t="s">
        <v>4711</v>
      </c>
      <c r="J2131" s="2" t="s">
        <v>4743</v>
      </c>
      <c r="K2131">
        <v>20</v>
      </c>
      <c r="L2131">
        <v>20</v>
      </c>
      <c r="M2131">
        <v>20</v>
      </c>
    </row>
    <row r="2132" spans="1:13" x14ac:dyDescent="0.25">
      <c r="A2132" t="s">
        <v>4744</v>
      </c>
      <c r="B2132" t="s">
        <v>4742</v>
      </c>
      <c r="C2132" t="s">
        <v>14</v>
      </c>
      <c r="D2132" t="s">
        <v>191</v>
      </c>
      <c r="F2132">
        <v>6</v>
      </c>
      <c r="G2132" t="s">
        <v>16</v>
      </c>
      <c r="H2132">
        <v>0</v>
      </c>
      <c r="I2132" s="2" t="s">
        <v>4736</v>
      </c>
      <c r="J2132" s="2" t="s">
        <v>4745</v>
      </c>
      <c r="K2132">
        <v>20</v>
      </c>
      <c r="L2132">
        <v>20</v>
      </c>
      <c r="M2132">
        <v>20</v>
      </c>
    </row>
    <row r="2133" spans="1:13" x14ac:dyDescent="0.25">
      <c r="A2133" t="s">
        <v>4746</v>
      </c>
      <c r="B2133" t="s">
        <v>4747</v>
      </c>
      <c r="C2133" t="s">
        <v>14</v>
      </c>
      <c r="D2133" t="s">
        <v>191</v>
      </c>
      <c r="F2133">
        <v>1</v>
      </c>
      <c r="G2133" t="s">
        <v>16</v>
      </c>
      <c r="H2133">
        <v>0</v>
      </c>
      <c r="I2133" s="2" t="s">
        <v>4748</v>
      </c>
      <c r="J2133" s="2" t="s">
        <v>4749</v>
      </c>
      <c r="K2133">
        <v>20</v>
      </c>
      <c r="L2133">
        <v>20</v>
      </c>
      <c r="M2133">
        <v>20</v>
      </c>
    </row>
    <row r="2134" spans="1:13" x14ac:dyDescent="0.25">
      <c r="A2134" t="s">
        <v>4750</v>
      </c>
      <c r="B2134" t="s">
        <v>4747</v>
      </c>
      <c r="C2134" t="s">
        <v>14</v>
      </c>
      <c r="D2134" t="s">
        <v>191</v>
      </c>
      <c r="G2134" t="s">
        <v>16</v>
      </c>
      <c r="H2134">
        <v>0</v>
      </c>
      <c r="K2134">
        <v>20</v>
      </c>
      <c r="L2134">
        <v>20</v>
      </c>
      <c r="M2134">
        <v>20</v>
      </c>
    </row>
    <row r="2135" spans="1:13" x14ac:dyDescent="0.25">
      <c r="A2135" t="s">
        <v>4751</v>
      </c>
      <c r="B2135" t="s">
        <v>4752</v>
      </c>
      <c r="C2135" t="s">
        <v>14</v>
      </c>
      <c r="D2135" t="s">
        <v>191</v>
      </c>
      <c r="F2135">
        <v>1</v>
      </c>
      <c r="G2135" t="s">
        <v>16</v>
      </c>
      <c r="H2135">
        <v>0</v>
      </c>
      <c r="I2135" s="2" t="s">
        <v>4753</v>
      </c>
      <c r="J2135" s="2" t="s">
        <v>4754</v>
      </c>
      <c r="K2135">
        <v>20</v>
      </c>
      <c r="L2135">
        <v>20</v>
      </c>
      <c r="M2135">
        <v>20</v>
      </c>
    </row>
    <row r="2136" spans="1:13" x14ac:dyDescent="0.25">
      <c r="A2136" t="s">
        <v>4755</v>
      </c>
      <c r="B2136" t="s">
        <v>4756</v>
      </c>
      <c r="C2136" t="s">
        <v>14</v>
      </c>
      <c r="D2136" t="s">
        <v>191</v>
      </c>
      <c r="F2136">
        <v>1</v>
      </c>
      <c r="G2136" t="s">
        <v>16</v>
      </c>
      <c r="H2136">
        <v>0</v>
      </c>
      <c r="I2136" s="2" t="s">
        <v>4757</v>
      </c>
      <c r="J2136" s="2" t="s">
        <v>4758</v>
      </c>
      <c r="K2136">
        <v>20</v>
      </c>
      <c r="L2136">
        <v>20</v>
      </c>
      <c r="M2136">
        <v>20</v>
      </c>
    </row>
    <row r="2137" spans="1:13" x14ac:dyDescent="0.25">
      <c r="A2137" t="s">
        <v>4759</v>
      </c>
      <c r="B2137" t="s">
        <v>4760</v>
      </c>
      <c r="C2137" t="s">
        <v>14</v>
      </c>
      <c r="D2137" t="s">
        <v>191</v>
      </c>
      <c r="G2137" t="s">
        <v>16</v>
      </c>
      <c r="H2137">
        <v>0</v>
      </c>
      <c r="I2137" s="2" t="s">
        <v>662</v>
      </c>
      <c r="J2137" s="2" t="s">
        <v>4761</v>
      </c>
      <c r="K2137">
        <v>20</v>
      </c>
      <c r="L2137">
        <v>20</v>
      </c>
      <c r="M2137">
        <v>20</v>
      </c>
    </row>
    <row r="2138" spans="1:13" x14ac:dyDescent="0.25">
      <c r="A2138" t="s">
        <v>4762</v>
      </c>
      <c r="B2138" t="s">
        <v>4763</v>
      </c>
      <c r="C2138" t="s">
        <v>14</v>
      </c>
      <c r="D2138" t="s">
        <v>191</v>
      </c>
      <c r="G2138" t="s">
        <v>16</v>
      </c>
      <c r="H2138">
        <v>0</v>
      </c>
      <c r="I2138" s="2" t="s">
        <v>64</v>
      </c>
      <c r="J2138" s="2" t="str">
        <f>"06010090"</f>
        <v>06010090</v>
      </c>
      <c r="K2138">
        <v>20</v>
      </c>
      <c r="L2138">
        <v>20</v>
      </c>
      <c r="M2138">
        <v>20</v>
      </c>
    </row>
    <row r="2139" spans="1:13" x14ac:dyDescent="0.25">
      <c r="A2139" t="s">
        <v>4764</v>
      </c>
      <c r="B2139" t="s">
        <v>4765</v>
      </c>
      <c r="C2139" t="s">
        <v>14</v>
      </c>
      <c r="D2139" t="s">
        <v>191</v>
      </c>
      <c r="F2139">
        <v>2</v>
      </c>
      <c r="G2139" t="s">
        <v>16</v>
      </c>
      <c r="H2139">
        <v>0</v>
      </c>
      <c r="I2139" s="2" t="s">
        <v>64</v>
      </c>
      <c r="J2139" s="2" t="str">
        <f>"06010014"</f>
        <v>06010014</v>
      </c>
      <c r="K2139">
        <v>20</v>
      </c>
      <c r="L2139">
        <v>20</v>
      </c>
      <c r="M2139">
        <v>20</v>
      </c>
    </row>
    <row r="2140" spans="1:13" x14ac:dyDescent="0.25">
      <c r="A2140" t="s">
        <v>4766</v>
      </c>
      <c r="B2140" t="s">
        <v>4765</v>
      </c>
      <c r="C2140" t="s">
        <v>14</v>
      </c>
      <c r="D2140" t="s">
        <v>191</v>
      </c>
      <c r="F2140">
        <v>0</v>
      </c>
      <c r="G2140" t="s">
        <v>16</v>
      </c>
      <c r="H2140">
        <v>0</v>
      </c>
      <c r="I2140" s="2" t="s">
        <v>17</v>
      </c>
      <c r="J2140" s="2" t="s">
        <v>4767</v>
      </c>
      <c r="K2140">
        <v>20</v>
      </c>
      <c r="L2140">
        <v>20</v>
      </c>
      <c r="M2140">
        <v>20</v>
      </c>
    </row>
    <row r="2141" spans="1:13" x14ac:dyDescent="0.25">
      <c r="A2141" t="s">
        <v>4768</v>
      </c>
      <c r="B2141" t="s">
        <v>4769</v>
      </c>
      <c r="C2141" t="s">
        <v>14</v>
      </c>
      <c r="D2141" t="s">
        <v>191</v>
      </c>
      <c r="F2141">
        <v>1</v>
      </c>
      <c r="G2141" t="s">
        <v>16</v>
      </c>
      <c r="H2141">
        <v>0</v>
      </c>
      <c r="I2141" s="2" t="s">
        <v>51</v>
      </c>
      <c r="J2141" s="2" t="s">
        <v>4770</v>
      </c>
      <c r="K2141">
        <v>20</v>
      </c>
      <c r="L2141">
        <v>20</v>
      </c>
      <c r="M2141">
        <v>20</v>
      </c>
    </row>
    <row r="2142" spans="1:13" x14ac:dyDescent="0.25">
      <c r="A2142" t="s">
        <v>4771</v>
      </c>
      <c r="B2142" t="s">
        <v>4769</v>
      </c>
      <c r="C2142" t="s">
        <v>14</v>
      </c>
      <c r="D2142" t="s">
        <v>191</v>
      </c>
      <c r="F2142">
        <v>1</v>
      </c>
      <c r="G2142" t="s">
        <v>16</v>
      </c>
      <c r="H2142">
        <v>0</v>
      </c>
      <c r="I2142" s="2" t="s">
        <v>662</v>
      </c>
      <c r="J2142" s="2" t="s">
        <v>4772</v>
      </c>
      <c r="K2142">
        <v>20</v>
      </c>
      <c r="L2142">
        <v>20</v>
      </c>
      <c r="M2142">
        <v>20</v>
      </c>
    </row>
    <row r="2143" spans="1:13" x14ac:dyDescent="0.25">
      <c r="A2143" t="s">
        <v>4773</v>
      </c>
      <c r="B2143" t="s">
        <v>4769</v>
      </c>
      <c r="C2143" t="s">
        <v>14</v>
      </c>
      <c r="D2143" t="s">
        <v>191</v>
      </c>
      <c r="F2143">
        <v>1</v>
      </c>
      <c r="G2143" t="s">
        <v>16</v>
      </c>
      <c r="H2143">
        <v>0</v>
      </c>
      <c r="I2143" s="2" t="s">
        <v>64</v>
      </c>
      <c r="J2143" s="2" t="str">
        <f>"06010192"</f>
        <v>06010192</v>
      </c>
      <c r="K2143">
        <v>20</v>
      </c>
      <c r="L2143">
        <v>20</v>
      </c>
      <c r="M2143">
        <v>20</v>
      </c>
    </row>
    <row r="2144" spans="1:13" x14ac:dyDescent="0.25">
      <c r="A2144" t="s">
        <v>4774</v>
      </c>
      <c r="B2144" t="s">
        <v>4775</v>
      </c>
      <c r="C2144" t="s">
        <v>14</v>
      </c>
      <c r="D2144" t="s">
        <v>191</v>
      </c>
      <c r="F2144">
        <v>1</v>
      </c>
      <c r="G2144" t="s">
        <v>16</v>
      </c>
      <c r="H2144">
        <v>0</v>
      </c>
      <c r="I2144" s="2" t="s">
        <v>51</v>
      </c>
      <c r="J2144" s="2" t="s">
        <v>4776</v>
      </c>
      <c r="K2144">
        <v>20</v>
      </c>
      <c r="L2144">
        <v>20</v>
      </c>
      <c r="M2144">
        <v>20</v>
      </c>
    </row>
    <row r="2145" spans="1:13" x14ac:dyDescent="0.25">
      <c r="A2145" t="s">
        <v>4777</v>
      </c>
      <c r="B2145" t="s">
        <v>4775</v>
      </c>
      <c r="C2145" t="s">
        <v>14</v>
      </c>
      <c r="D2145" t="s">
        <v>191</v>
      </c>
      <c r="G2145" t="s">
        <v>16</v>
      </c>
      <c r="H2145">
        <v>0</v>
      </c>
      <c r="I2145" s="2" t="s">
        <v>4778</v>
      </c>
      <c r="J2145" s="2" t="s">
        <v>4779</v>
      </c>
      <c r="K2145">
        <v>20</v>
      </c>
      <c r="L2145">
        <v>20</v>
      </c>
      <c r="M2145">
        <v>20</v>
      </c>
    </row>
    <row r="2146" spans="1:13" x14ac:dyDescent="0.25">
      <c r="A2146" t="s">
        <v>4780</v>
      </c>
      <c r="B2146" t="s">
        <v>4775</v>
      </c>
      <c r="C2146" t="s">
        <v>14</v>
      </c>
      <c r="D2146" t="s">
        <v>191</v>
      </c>
      <c r="F2146">
        <v>16</v>
      </c>
      <c r="G2146" t="s">
        <v>16</v>
      </c>
      <c r="H2146">
        <v>0</v>
      </c>
      <c r="I2146" s="2" t="s">
        <v>1741</v>
      </c>
      <c r="J2146" s="2" t="s">
        <v>4781</v>
      </c>
      <c r="K2146">
        <v>20</v>
      </c>
      <c r="L2146">
        <v>20</v>
      </c>
      <c r="M2146">
        <v>20</v>
      </c>
    </row>
    <row r="2147" spans="1:13" x14ac:dyDescent="0.25">
      <c r="A2147" t="s">
        <v>4782</v>
      </c>
      <c r="B2147" t="s">
        <v>4775</v>
      </c>
      <c r="C2147" t="s">
        <v>14</v>
      </c>
      <c r="D2147" t="s">
        <v>191</v>
      </c>
      <c r="F2147">
        <v>10</v>
      </c>
      <c r="G2147" t="s">
        <v>16</v>
      </c>
      <c r="H2147">
        <v>0</v>
      </c>
      <c r="I2147" s="2" t="s">
        <v>4783</v>
      </c>
      <c r="J2147" s="2" t="s">
        <v>4776</v>
      </c>
      <c r="K2147">
        <v>20</v>
      </c>
      <c r="L2147">
        <v>20</v>
      </c>
      <c r="M2147">
        <v>20</v>
      </c>
    </row>
    <row r="2148" spans="1:13" x14ac:dyDescent="0.25">
      <c r="A2148" t="s">
        <v>4784</v>
      </c>
      <c r="B2148" t="s">
        <v>4775</v>
      </c>
      <c r="C2148" t="s">
        <v>14</v>
      </c>
      <c r="D2148" t="s">
        <v>191</v>
      </c>
      <c r="G2148" t="s">
        <v>16</v>
      </c>
      <c r="H2148">
        <v>0</v>
      </c>
      <c r="I2148" s="2" t="s">
        <v>4748</v>
      </c>
      <c r="J2148" s="2" t="s">
        <v>4785</v>
      </c>
      <c r="K2148">
        <v>20</v>
      </c>
      <c r="L2148">
        <v>20</v>
      </c>
      <c r="M2148">
        <v>20</v>
      </c>
    </row>
    <row r="2149" spans="1:13" x14ac:dyDescent="0.25">
      <c r="A2149" t="s">
        <v>4786</v>
      </c>
      <c r="B2149" t="s">
        <v>4775</v>
      </c>
      <c r="C2149" t="s">
        <v>14</v>
      </c>
      <c r="D2149" t="s">
        <v>191</v>
      </c>
      <c r="F2149">
        <v>-1</v>
      </c>
      <c r="G2149" t="s">
        <v>16</v>
      </c>
      <c r="H2149">
        <v>0</v>
      </c>
      <c r="I2149" s="2" t="s">
        <v>4736</v>
      </c>
      <c r="J2149" s="2" t="s">
        <v>4787</v>
      </c>
      <c r="K2149">
        <v>20</v>
      </c>
      <c r="L2149">
        <v>20</v>
      </c>
      <c r="M2149">
        <v>20</v>
      </c>
    </row>
    <row r="2150" spans="1:13" x14ac:dyDescent="0.25">
      <c r="A2150" t="s">
        <v>4788</v>
      </c>
      <c r="B2150" t="s">
        <v>4789</v>
      </c>
      <c r="C2150" t="s">
        <v>14</v>
      </c>
      <c r="D2150" t="s">
        <v>191</v>
      </c>
      <c r="F2150">
        <v>3</v>
      </c>
      <c r="G2150" t="s">
        <v>16</v>
      </c>
      <c r="H2150">
        <v>0</v>
      </c>
      <c r="I2150" s="2" t="s">
        <v>1741</v>
      </c>
      <c r="J2150" s="2" t="s">
        <v>4790</v>
      </c>
      <c r="K2150">
        <v>20</v>
      </c>
      <c r="L2150">
        <v>20</v>
      </c>
      <c r="M2150">
        <v>20</v>
      </c>
    </row>
    <row r="2151" spans="1:13" x14ac:dyDescent="0.25">
      <c r="A2151" t="s">
        <v>4791</v>
      </c>
      <c r="B2151" t="s">
        <v>4789</v>
      </c>
      <c r="C2151" t="s">
        <v>14</v>
      </c>
      <c r="D2151" t="s">
        <v>191</v>
      </c>
      <c r="G2151" t="s">
        <v>16</v>
      </c>
      <c r="H2151">
        <v>0</v>
      </c>
      <c r="I2151" s="2" t="s">
        <v>64</v>
      </c>
      <c r="J2151" s="2" t="str">
        <f>"06010092"</f>
        <v>06010092</v>
      </c>
      <c r="K2151">
        <v>20</v>
      </c>
      <c r="L2151">
        <v>20</v>
      </c>
      <c r="M2151">
        <v>20</v>
      </c>
    </row>
    <row r="2152" spans="1:13" x14ac:dyDescent="0.25">
      <c r="A2152" t="s">
        <v>4792</v>
      </c>
      <c r="B2152" t="s">
        <v>4794</v>
      </c>
      <c r="C2152" t="s">
        <v>14</v>
      </c>
      <c r="D2152" t="s">
        <v>191</v>
      </c>
      <c r="F2152">
        <v>3</v>
      </c>
      <c r="G2152" t="s">
        <v>16</v>
      </c>
      <c r="H2152">
        <v>0</v>
      </c>
      <c r="I2152" s="2" t="s">
        <v>4748</v>
      </c>
      <c r="J2152" s="2" t="s">
        <v>4793</v>
      </c>
      <c r="K2152">
        <v>20</v>
      </c>
      <c r="L2152">
        <v>20</v>
      </c>
      <c r="M2152">
        <v>20</v>
      </c>
    </row>
    <row r="2153" spans="1:13" x14ac:dyDescent="0.25">
      <c r="A2153" t="s">
        <v>4795</v>
      </c>
      <c r="B2153" t="s">
        <v>4796</v>
      </c>
      <c r="C2153" t="s">
        <v>14</v>
      </c>
      <c r="D2153" t="s">
        <v>191</v>
      </c>
      <c r="G2153" t="s">
        <v>16</v>
      </c>
      <c r="H2153">
        <v>0</v>
      </c>
      <c r="I2153" s="2" t="s">
        <v>4797</v>
      </c>
      <c r="J2153" s="2" t="s">
        <v>4798</v>
      </c>
      <c r="K2153">
        <v>20</v>
      </c>
      <c r="L2153">
        <v>20</v>
      </c>
      <c r="M2153">
        <v>20</v>
      </c>
    </row>
    <row r="2154" spans="1:13" x14ac:dyDescent="0.25">
      <c r="A2154" t="s">
        <v>4799</v>
      </c>
      <c r="B2154" t="s">
        <v>4796</v>
      </c>
      <c r="C2154" t="s">
        <v>14</v>
      </c>
      <c r="D2154" t="s">
        <v>191</v>
      </c>
      <c r="F2154">
        <v>3</v>
      </c>
      <c r="G2154" t="s">
        <v>16</v>
      </c>
      <c r="H2154">
        <v>0</v>
      </c>
      <c r="I2154" s="2" t="s">
        <v>522</v>
      </c>
      <c r="J2154" s="2" t="s">
        <v>4800</v>
      </c>
      <c r="K2154">
        <v>20</v>
      </c>
      <c r="L2154">
        <v>20</v>
      </c>
      <c r="M2154">
        <v>20</v>
      </c>
    </row>
    <row r="2155" spans="1:13" x14ac:dyDescent="0.25">
      <c r="A2155" t="s">
        <v>4801</v>
      </c>
      <c r="B2155" t="s">
        <v>4796</v>
      </c>
      <c r="C2155" t="s">
        <v>14</v>
      </c>
      <c r="D2155" t="s">
        <v>191</v>
      </c>
      <c r="G2155" t="s">
        <v>16</v>
      </c>
      <c r="H2155">
        <v>0</v>
      </c>
      <c r="I2155" s="2" t="s">
        <v>4748</v>
      </c>
      <c r="J2155" s="2" t="s">
        <v>4802</v>
      </c>
      <c r="K2155">
        <v>20</v>
      </c>
      <c r="L2155">
        <v>20</v>
      </c>
      <c r="M2155">
        <v>20</v>
      </c>
    </row>
    <row r="2156" spans="1:13" x14ac:dyDescent="0.25">
      <c r="A2156" t="s">
        <v>4803</v>
      </c>
      <c r="B2156" t="s">
        <v>4804</v>
      </c>
      <c r="C2156" t="s">
        <v>14</v>
      </c>
      <c r="D2156" t="s">
        <v>191</v>
      </c>
      <c r="F2156">
        <v>1</v>
      </c>
      <c r="G2156" t="s">
        <v>16</v>
      </c>
      <c r="H2156">
        <v>0</v>
      </c>
      <c r="I2156" s="2" t="s">
        <v>4711</v>
      </c>
      <c r="J2156" s="2" t="s">
        <v>4805</v>
      </c>
      <c r="K2156">
        <v>20</v>
      </c>
      <c r="L2156">
        <v>20</v>
      </c>
      <c r="M2156">
        <v>20</v>
      </c>
    </row>
    <row r="2157" spans="1:13" x14ac:dyDescent="0.25">
      <c r="A2157" t="s">
        <v>4806</v>
      </c>
      <c r="B2157" t="s">
        <v>4804</v>
      </c>
      <c r="C2157" t="s">
        <v>14</v>
      </c>
      <c r="D2157" t="s">
        <v>191</v>
      </c>
      <c r="G2157" t="s">
        <v>16</v>
      </c>
      <c r="H2157">
        <v>0</v>
      </c>
      <c r="I2157" s="2" t="s">
        <v>4807</v>
      </c>
      <c r="J2157" s="2" t="s">
        <v>4808</v>
      </c>
      <c r="K2157">
        <v>20</v>
      </c>
      <c r="L2157">
        <v>20</v>
      </c>
      <c r="M2157">
        <v>20</v>
      </c>
    </row>
    <row r="2158" spans="1:13" x14ac:dyDescent="0.25">
      <c r="A2158" t="s">
        <v>4809</v>
      </c>
      <c r="B2158" t="s">
        <v>4804</v>
      </c>
      <c r="C2158" t="s">
        <v>14</v>
      </c>
      <c r="D2158" t="s">
        <v>191</v>
      </c>
      <c r="F2158">
        <v>1</v>
      </c>
      <c r="G2158" t="s">
        <v>16</v>
      </c>
      <c r="H2158">
        <v>0</v>
      </c>
      <c r="I2158" s="2" t="s">
        <v>4810</v>
      </c>
      <c r="J2158" s="2" t="s">
        <v>4811</v>
      </c>
      <c r="K2158">
        <v>20</v>
      </c>
      <c r="L2158">
        <v>20</v>
      </c>
      <c r="M2158">
        <v>20</v>
      </c>
    </row>
    <row r="2159" spans="1:13" x14ac:dyDescent="0.25">
      <c r="A2159" t="s">
        <v>4812</v>
      </c>
      <c r="B2159" t="s">
        <v>4813</v>
      </c>
      <c r="C2159" t="s">
        <v>14</v>
      </c>
      <c r="D2159" t="s">
        <v>191</v>
      </c>
      <c r="F2159">
        <v>12</v>
      </c>
      <c r="G2159" t="s">
        <v>16</v>
      </c>
      <c r="H2159">
        <v>0</v>
      </c>
      <c r="I2159" s="2" t="s">
        <v>51</v>
      </c>
      <c r="J2159" s="2" t="s">
        <v>4814</v>
      </c>
      <c r="K2159">
        <v>20</v>
      </c>
      <c r="L2159">
        <v>20</v>
      </c>
      <c r="M2159">
        <v>20</v>
      </c>
    </row>
    <row r="2160" spans="1:13" x14ac:dyDescent="0.25">
      <c r="A2160" t="s">
        <v>4815</v>
      </c>
      <c r="B2160" t="s">
        <v>4813</v>
      </c>
      <c r="C2160" t="s">
        <v>14</v>
      </c>
      <c r="D2160" t="s">
        <v>191</v>
      </c>
      <c r="F2160">
        <v>10</v>
      </c>
      <c r="G2160" t="s">
        <v>16</v>
      </c>
      <c r="H2160">
        <v>0</v>
      </c>
      <c r="I2160" s="2" t="s">
        <v>1741</v>
      </c>
      <c r="J2160" s="2" t="s">
        <v>4816</v>
      </c>
      <c r="K2160">
        <v>20</v>
      </c>
      <c r="L2160">
        <v>20</v>
      </c>
      <c r="M2160">
        <v>20</v>
      </c>
    </row>
    <row r="2161" spans="1:13" x14ac:dyDescent="0.25">
      <c r="A2161" t="s">
        <v>4817</v>
      </c>
      <c r="B2161" t="s">
        <v>4813</v>
      </c>
      <c r="C2161" t="s">
        <v>14</v>
      </c>
      <c r="D2161" t="s">
        <v>191</v>
      </c>
      <c r="G2161" t="s">
        <v>16</v>
      </c>
      <c r="H2161">
        <v>0</v>
      </c>
      <c r="I2161" s="2" t="s">
        <v>4783</v>
      </c>
      <c r="J2161" s="2" t="s">
        <v>4814</v>
      </c>
      <c r="K2161">
        <v>20</v>
      </c>
      <c r="L2161">
        <v>20</v>
      </c>
      <c r="M2161">
        <v>20</v>
      </c>
    </row>
    <row r="2162" spans="1:13" x14ac:dyDescent="0.25">
      <c r="A2162" t="s">
        <v>4818</v>
      </c>
      <c r="B2162" t="s">
        <v>4813</v>
      </c>
      <c r="C2162" t="s">
        <v>14</v>
      </c>
      <c r="D2162" t="s">
        <v>191</v>
      </c>
      <c r="G2162" t="s">
        <v>16</v>
      </c>
      <c r="H2162">
        <v>0</v>
      </c>
      <c r="I2162" s="2" t="s">
        <v>4807</v>
      </c>
      <c r="J2162" s="2" t="s">
        <v>4819</v>
      </c>
      <c r="K2162">
        <v>20</v>
      </c>
      <c r="L2162">
        <v>20</v>
      </c>
      <c r="M2162">
        <v>20</v>
      </c>
    </row>
    <row r="2163" spans="1:13" x14ac:dyDescent="0.25">
      <c r="A2163" t="s">
        <v>4820</v>
      </c>
      <c r="B2163" t="s">
        <v>4813</v>
      </c>
      <c r="C2163" t="s">
        <v>14</v>
      </c>
      <c r="D2163" t="s">
        <v>191</v>
      </c>
      <c r="F2163">
        <v>-4</v>
      </c>
      <c r="G2163" t="s">
        <v>16</v>
      </c>
      <c r="H2163">
        <v>0</v>
      </c>
      <c r="I2163" s="2" t="s">
        <v>4736</v>
      </c>
      <c r="J2163" s="2" t="s">
        <v>4821</v>
      </c>
      <c r="K2163">
        <v>20</v>
      </c>
      <c r="L2163">
        <v>20</v>
      </c>
      <c r="M2163">
        <v>20</v>
      </c>
    </row>
    <row r="2164" spans="1:13" x14ac:dyDescent="0.25">
      <c r="A2164" t="s">
        <v>4822</v>
      </c>
      <c r="B2164" t="s">
        <v>4823</v>
      </c>
      <c r="C2164" t="s">
        <v>14</v>
      </c>
      <c r="D2164" t="s">
        <v>191</v>
      </c>
      <c r="G2164" t="s">
        <v>16</v>
      </c>
      <c r="H2164">
        <v>0</v>
      </c>
      <c r="I2164" s="2" t="s">
        <v>51</v>
      </c>
      <c r="J2164" s="2" t="s">
        <v>4824</v>
      </c>
      <c r="K2164">
        <v>20</v>
      </c>
      <c r="L2164">
        <v>20</v>
      </c>
      <c r="M2164">
        <v>20</v>
      </c>
    </row>
    <row r="2165" spans="1:13" x14ac:dyDescent="0.25">
      <c r="A2165" t="s">
        <v>4825</v>
      </c>
      <c r="B2165" t="s">
        <v>4826</v>
      </c>
      <c r="C2165" t="s">
        <v>14</v>
      </c>
      <c r="D2165" t="s">
        <v>191</v>
      </c>
      <c r="G2165" t="s">
        <v>16</v>
      </c>
      <c r="H2165">
        <v>0</v>
      </c>
      <c r="I2165" s="2" t="s">
        <v>51</v>
      </c>
      <c r="J2165" s="2" t="s">
        <v>4827</v>
      </c>
      <c r="K2165">
        <v>20</v>
      </c>
      <c r="L2165">
        <v>20</v>
      </c>
      <c r="M2165">
        <v>20</v>
      </c>
    </row>
    <row r="2166" spans="1:13" x14ac:dyDescent="0.25">
      <c r="A2166" t="s">
        <v>4828</v>
      </c>
      <c r="B2166" t="s">
        <v>4826</v>
      </c>
      <c r="C2166" t="s">
        <v>14</v>
      </c>
      <c r="D2166" t="s">
        <v>191</v>
      </c>
      <c r="G2166" t="s">
        <v>16</v>
      </c>
      <c r="H2166">
        <v>0</v>
      </c>
      <c r="I2166" s="2" t="s">
        <v>4829</v>
      </c>
      <c r="J2166" s="2" t="s">
        <v>4830</v>
      </c>
      <c r="K2166">
        <v>20</v>
      </c>
      <c r="L2166">
        <v>20</v>
      </c>
      <c r="M2166">
        <v>20</v>
      </c>
    </row>
    <row r="2167" spans="1:13" x14ac:dyDescent="0.25">
      <c r="A2167" t="s">
        <v>4831</v>
      </c>
      <c r="B2167" t="s">
        <v>4826</v>
      </c>
      <c r="C2167" t="s">
        <v>14</v>
      </c>
      <c r="D2167" t="s">
        <v>191</v>
      </c>
      <c r="G2167" t="s">
        <v>16</v>
      </c>
      <c r="H2167">
        <v>0</v>
      </c>
      <c r="I2167" s="2" t="s">
        <v>192</v>
      </c>
      <c r="J2167" s="2" t="s">
        <v>4832</v>
      </c>
      <c r="K2167">
        <v>20</v>
      </c>
      <c r="L2167">
        <v>20</v>
      </c>
      <c r="M2167">
        <v>20</v>
      </c>
    </row>
    <row r="2168" spans="1:13" x14ac:dyDescent="0.25">
      <c r="A2168" t="s">
        <v>4833</v>
      </c>
      <c r="B2168" t="s">
        <v>4834</v>
      </c>
      <c r="C2168" t="s">
        <v>14</v>
      </c>
      <c r="D2168" t="s">
        <v>191</v>
      </c>
      <c r="F2168">
        <v>5</v>
      </c>
      <c r="G2168" t="s">
        <v>16</v>
      </c>
      <c r="H2168">
        <v>0</v>
      </c>
      <c r="I2168" s="2" t="s">
        <v>4783</v>
      </c>
      <c r="J2168" s="2" t="s">
        <v>4827</v>
      </c>
      <c r="K2168">
        <v>20</v>
      </c>
      <c r="L2168">
        <v>20</v>
      </c>
      <c r="M2168">
        <v>20</v>
      </c>
    </row>
    <row r="2169" spans="1:13" x14ac:dyDescent="0.25">
      <c r="A2169" t="s">
        <v>4835</v>
      </c>
      <c r="B2169" t="s">
        <v>4826</v>
      </c>
      <c r="C2169" t="s">
        <v>14</v>
      </c>
      <c r="D2169" t="s">
        <v>191</v>
      </c>
      <c r="F2169">
        <v>6</v>
      </c>
      <c r="G2169" t="s">
        <v>16</v>
      </c>
      <c r="H2169">
        <v>0</v>
      </c>
      <c r="I2169" s="2" t="s">
        <v>4748</v>
      </c>
      <c r="J2169" s="2" t="s">
        <v>4836</v>
      </c>
      <c r="K2169">
        <v>20</v>
      </c>
      <c r="L2169">
        <v>20</v>
      </c>
      <c r="M2169">
        <v>20</v>
      </c>
    </row>
    <row r="2170" spans="1:13" x14ac:dyDescent="0.25">
      <c r="A2170" t="s">
        <v>4837</v>
      </c>
      <c r="B2170" t="s">
        <v>4826</v>
      </c>
      <c r="C2170" t="s">
        <v>14</v>
      </c>
      <c r="D2170" t="s">
        <v>191</v>
      </c>
      <c r="F2170">
        <v>9</v>
      </c>
      <c r="G2170" t="s">
        <v>16</v>
      </c>
      <c r="H2170">
        <v>0</v>
      </c>
      <c r="I2170" s="2" t="s">
        <v>4711</v>
      </c>
      <c r="J2170" s="2" t="s">
        <v>4838</v>
      </c>
      <c r="K2170">
        <v>20</v>
      </c>
      <c r="L2170">
        <v>20</v>
      </c>
      <c r="M2170">
        <v>20</v>
      </c>
    </row>
    <row r="2171" spans="1:13" x14ac:dyDescent="0.25">
      <c r="A2171" t="s">
        <v>4839</v>
      </c>
      <c r="B2171" t="s">
        <v>4826</v>
      </c>
      <c r="C2171" t="s">
        <v>14</v>
      </c>
      <c r="D2171" t="s">
        <v>191</v>
      </c>
      <c r="F2171">
        <v>2</v>
      </c>
      <c r="G2171" t="s">
        <v>16</v>
      </c>
      <c r="H2171">
        <v>0</v>
      </c>
      <c r="I2171" s="2" t="s">
        <v>4753</v>
      </c>
      <c r="J2171" s="2" t="s">
        <v>4840</v>
      </c>
      <c r="K2171">
        <v>20</v>
      </c>
      <c r="L2171">
        <v>20</v>
      </c>
      <c r="M2171">
        <v>20</v>
      </c>
    </row>
    <row r="2172" spans="1:13" x14ac:dyDescent="0.25">
      <c r="A2172" t="s">
        <v>4841</v>
      </c>
      <c r="B2172" t="s">
        <v>4843</v>
      </c>
      <c r="C2172" t="s">
        <v>14</v>
      </c>
      <c r="D2172" t="s">
        <v>191</v>
      </c>
      <c r="F2172">
        <v>11</v>
      </c>
      <c r="G2172" t="s">
        <v>16</v>
      </c>
      <c r="H2172">
        <v>0</v>
      </c>
      <c r="I2172" s="2" t="s">
        <v>51</v>
      </c>
      <c r="J2172" s="2" t="s">
        <v>4842</v>
      </c>
      <c r="K2172">
        <v>20</v>
      </c>
      <c r="L2172">
        <v>20</v>
      </c>
      <c r="M2172">
        <v>20</v>
      </c>
    </row>
    <row r="2173" spans="1:13" x14ac:dyDescent="0.25">
      <c r="A2173" t="s">
        <v>4844</v>
      </c>
      <c r="B2173" t="s">
        <v>4843</v>
      </c>
      <c r="C2173" t="s">
        <v>14</v>
      </c>
      <c r="D2173" t="s">
        <v>191</v>
      </c>
      <c r="F2173">
        <v>4</v>
      </c>
      <c r="G2173" t="s">
        <v>16</v>
      </c>
      <c r="H2173">
        <v>0</v>
      </c>
      <c r="I2173" s="2" t="s">
        <v>87</v>
      </c>
      <c r="J2173" s="2" t="s">
        <v>4845</v>
      </c>
      <c r="K2173">
        <v>20</v>
      </c>
      <c r="L2173">
        <v>20</v>
      </c>
      <c r="M2173">
        <v>20</v>
      </c>
    </row>
    <row r="2174" spans="1:13" x14ac:dyDescent="0.25">
      <c r="A2174" t="s">
        <v>4846</v>
      </c>
      <c r="B2174" t="s">
        <v>4843</v>
      </c>
      <c r="C2174" t="s">
        <v>14</v>
      </c>
      <c r="D2174" t="s">
        <v>191</v>
      </c>
      <c r="F2174">
        <v>6</v>
      </c>
      <c r="G2174" t="s">
        <v>16</v>
      </c>
      <c r="H2174">
        <v>0</v>
      </c>
      <c r="I2174" s="2" t="s">
        <v>4711</v>
      </c>
      <c r="J2174" s="2" t="s">
        <v>4847</v>
      </c>
      <c r="K2174">
        <v>20</v>
      </c>
      <c r="L2174">
        <v>20</v>
      </c>
      <c r="M2174">
        <v>20</v>
      </c>
    </row>
    <row r="2175" spans="1:13" x14ac:dyDescent="0.25">
      <c r="A2175" t="s">
        <v>4848</v>
      </c>
      <c r="B2175" t="s">
        <v>4849</v>
      </c>
      <c r="C2175" t="s">
        <v>14</v>
      </c>
      <c r="D2175" t="s">
        <v>191</v>
      </c>
      <c r="G2175" t="s">
        <v>16</v>
      </c>
      <c r="H2175">
        <v>0</v>
      </c>
      <c r="I2175" s="2" t="s">
        <v>4708</v>
      </c>
      <c r="J2175" s="2" t="s">
        <v>4850</v>
      </c>
      <c r="K2175">
        <v>20</v>
      </c>
      <c r="L2175">
        <v>20</v>
      </c>
      <c r="M2175">
        <v>20</v>
      </c>
    </row>
    <row r="2176" spans="1:13" x14ac:dyDescent="0.25">
      <c r="A2176" t="s">
        <v>4851</v>
      </c>
      <c r="B2176" t="s">
        <v>4849</v>
      </c>
      <c r="C2176" t="s">
        <v>14</v>
      </c>
      <c r="D2176" t="s">
        <v>191</v>
      </c>
      <c r="F2176">
        <v>1</v>
      </c>
      <c r="G2176" t="s">
        <v>16</v>
      </c>
      <c r="H2176">
        <v>0</v>
      </c>
      <c r="I2176" s="2" t="s">
        <v>64</v>
      </c>
      <c r="J2176" s="2" t="str">
        <f>"06010100"</f>
        <v>06010100</v>
      </c>
      <c r="K2176">
        <v>20</v>
      </c>
      <c r="L2176">
        <v>20</v>
      </c>
      <c r="M2176">
        <v>20</v>
      </c>
    </row>
    <row r="2177" spans="1:13" x14ac:dyDescent="0.25">
      <c r="A2177" t="s">
        <v>4852</v>
      </c>
      <c r="B2177" t="s">
        <v>4849</v>
      </c>
      <c r="C2177" t="s">
        <v>14</v>
      </c>
      <c r="D2177" t="s">
        <v>191</v>
      </c>
      <c r="F2177">
        <v>3</v>
      </c>
      <c r="G2177" t="s">
        <v>16</v>
      </c>
      <c r="H2177">
        <v>0</v>
      </c>
      <c r="I2177" s="2" t="s">
        <v>17</v>
      </c>
      <c r="J2177" s="2" t="s">
        <v>4853</v>
      </c>
      <c r="K2177">
        <v>20</v>
      </c>
      <c r="L2177">
        <v>20</v>
      </c>
      <c r="M2177">
        <v>20</v>
      </c>
    </row>
    <row r="2178" spans="1:13" x14ac:dyDescent="0.25">
      <c r="A2178" t="s">
        <v>4854</v>
      </c>
      <c r="B2178" t="s">
        <v>4855</v>
      </c>
      <c r="C2178" t="s">
        <v>1736</v>
      </c>
      <c r="F2178">
        <v>2</v>
      </c>
      <c r="G2178" t="s">
        <v>16</v>
      </c>
      <c r="H2178">
        <v>0</v>
      </c>
      <c r="I2178" s="2" t="s">
        <v>712</v>
      </c>
      <c r="J2178" s="2">
        <v>65451082</v>
      </c>
      <c r="K2178">
        <v>20</v>
      </c>
      <c r="L2178">
        <v>20</v>
      </c>
      <c r="M2178">
        <v>20</v>
      </c>
    </row>
    <row r="2179" spans="1:13" x14ac:dyDescent="0.25">
      <c r="A2179" t="s">
        <v>4856</v>
      </c>
      <c r="B2179" t="s">
        <v>4857</v>
      </c>
      <c r="C2179" t="s">
        <v>1736</v>
      </c>
      <c r="G2179" t="s">
        <v>16</v>
      </c>
      <c r="H2179">
        <v>0</v>
      </c>
      <c r="I2179" s="2" t="s">
        <v>238</v>
      </c>
      <c r="J2179" s="2">
        <v>26259</v>
      </c>
      <c r="K2179">
        <v>20</v>
      </c>
      <c r="L2179">
        <v>20</v>
      </c>
      <c r="M2179">
        <v>20</v>
      </c>
    </row>
    <row r="2180" spans="1:13" x14ac:dyDescent="0.25">
      <c r="A2180" t="s">
        <v>4858</v>
      </c>
      <c r="B2180" t="s">
        <v>4857</v>
      </c>
      <c r="C2180" t="s">
        <v>1736</v>
      </c>
      <c r="F2180">
        <v>3</v>
      </c>
      <c r="G2180" t="s">
        <v>16</v>
      </c>
      <c r="H2180">
        <v>0</v>
      </c>
      <c r="I2180" s="2" t="s">
        <v>988</v>
      </c>
      <c r="J2180" s="2" t="s">
        <v>4859</v>
      </c>
      <c r="K2180">
        <v>20</v>
      </c>
      <c r="L2180">
        <v>20</v>
      </c>
      <c r="M2180">
        <v>20</v>
      </c>
    </row>
    <row r="2181" spans="1:13" x14ac:dyDescent="0.25">
      <c r="A2181" t="s">
        <v>4860</v>
      </c>
      <c r="B2181" t="s">
        <v>4861</v>
      </c>
      <c r="C2181" t="s">
        <v>1736</v>
      </c>
      <c r="F2181">
        <v>2</v>
      </c>
      <c r="G2181" t="s">
        <v>16</v>
      </c>
      <c r="H2181">
        <v>0</v>
      </c>
      <c r="I2181" s="2" t="s">
        <v>988</v>
      </c>
      <c r="J2181" s="2" t="s">
        <v>4862</v>
      </c>
      <c r="K2181">
        <v>20</v>
      </c>
      <c r="L2181">
        <v>20</v>
      </c>
      <c r="M2181">
        <v>20</v>
      </c>
    </row>
    <row r="2182" spans="1:13" x14ac:dyDescent="0.25">
      <c r="A2182" t="s">
        <v>4863</v>
      </c>
      <c r="B2182" t="s">
        <v>4864</v>
      </c>
      <c r="C2182" t="s">
        <v>1736</v>
      </c>
      <c r="F2182">
        <v>2</v>
      </c>
      <c r="G2182" t="s">
        <v>16</v>
      </c>
      <c r="H2182">
        <v>0</v>
      </c>
      <c r="I2182" s="2" t="s">
        <v>759</v>
      </c>
      <c r="J2182" s="2" t="s">
        <v>4865</v>
      </c>
      <c r="K2182">
        <v>20</v>
      </c>
      <c r="L2182">
        <v>20</v>
      </c>
      <c r="M2182">
        <v>20</v>
      </c>
    </row>
    <row r="2183" spans="1:13" x14ac:dyDescent="0.25">
      <c r="A2183" t="s">
        <v>4866</v>
      </c>
      <c r="B2183" t="s">
        <v>4864</v>
      </c>
      <c r="C2183" t="s">
        <v>540</v>
      </c>
      <c r="G2183" t="s">
        <v>16</v>
      </c>
      <c r="H2183">
        <v>0</v>
      </c>
      <c r="I2183" s="2" t="s">
        <v>4867</v>
      </c>
      <c r="J2183" s="2" t="s">
        <v>4868</v>
      </c>
      <c r="K2183">
        <v>20</v>
      </c>
      <c r="L2183">
        <v>20</v>
      </c>
      <c r="M2183">
        <v>20</v>
      </c>
    </row>
    <row r="2184" spans="1:13" x14ac:dyDescent="0.25">
      <c r="A2184" t="s">
        <v>4869</v>
      </c>
      <c r="B2184" t="s">
        <v>4864</v>
      </c>
      <c r="C2184" t="s">
        <v>540</v>
      </c>
      <c r="G2184" t="s">
        <v>16</v>
      </c>
      <c r="H2184">
        <v>0</v>
      </c>
      <c r="I2184" s="2" t="s">
        <v>2039</v>
      </c>
      <c r="J2184" s="2">
        <v>33248</v>
      </c>
      <c r="K2184">
        <v>20</v>
      </c>
      <c r="L2184">
        <v>20</v>
      </c>
      <c r="M2184">
        <v>20</v>
      </c>
    </row>
    <row r="2185" spans="1:13" x14ac:dyDescent="0.25">
      <c r="A2185" t="s">
        <v>4870</v>
      </c>
      <c r="B2185" t="s">
        <v>4871</v>
      </c>
      <c r="C2185" t="s">
        <v>1736</v>
      </c>
      <c r="F2185">
        <v>2</v>
      </c>
      <c r="G2185" t="s">
        <v>16</v>
      </c>
      <c r="H2185">
        <v>0</v>
      </c>
      <c r="I2185" s="2" t="s">
        <v>4867</v>
      </c>
      <c r="J2185" s="2" t="s">
        <v>4872</v>
      </c>
      <c r="K2185">
        <v>20</v>
      </c>
      <c r="L2185">
        <v>20</v>
      </c>
      <c r="M2185">
        <v>20</v>
      </c>
    </row>
    <row r="2186" spans="1:13" x14ac:dyDescent="0.25">
      <c r="A2186" t="s">
        <v>4873</v>
      </c>
      <c r="B2186" t="s">
        <v>4871</v>
      </c>
      <c r="C2186" t="s">
        <v>540</v>
      </c>
      <c r="G2186" t="s">
        <v>16</v>
      </c>
      <c r="H2186">
        <v>0</v>
      </c>
      <c r="I2186" s="2" t="s">
        <v>165</v>
      </c>
      <c r="J2186" s="2">
        <v>103158</v>
      </c>
      <c r="K2186">
        <v>20</v>
      </c>
      <c r="L2186">
        <v>20</v>
      </c>
      <c r="M2186">
        <v>20</v>
      </c>
    </row>
    <row r="2187" spans="1:13" x14ac:dyDescent="0.25">
      <c r="A2187" t="s">
        <v>4874</v>
      </c>
      <c r="B2187" t="s">
        <v>4871</v>
      </c>
      <c r="C2187" t="s">
        <v>540</v>
      </c>
      <c r="G2187" t="s">
        <v>16</v>
      </c>
      <c r="H2187">
        <v>0</v>
      </c>
      <c r="I2187" s="2" t="s">
        <v>2039</v>
      </c>
      <c r="J2187" s="2">
        <v>33246</v>
      </c>
      <c r="K2187">
        <v>20</v>
      </c>
      <c r="L2187">
        <v>20</v>
      </c>
      <c r="M2187">
        <v>20</v>
      </c>
    </row>
    <row r="2188" spans="1:13" x14ac:dyDescent="0.25">
      <c r="A2188" t="s">
        <v>4875</v>
      </c>
      <c r="B2188" t="s">
        <v>4876</v>
      </c>
      <c r="C2188" t="s">
        <v>1736</v>
      </c>
      <c r="F2188">
        <v>1</v>
      </c>
      <c r="G2188" t="s">
        <v>16</v>
      </c>
      <c r="H2188">
        <v>0</v>
      </c>
      <c r="I2188" s="2" t="s">
        <v>142</v>
      </c>
      <c r="J2188" s="2" t="s">
        <v>4877</v>
      </c>
      <c r="K2188">
        <v>20</v>
      </c>
      <c r="L2188">
        <v>20</v>
      </c>
      <c r="M2188">
        <v>20</v>
      </c>
    </row>
    <row r="2189" spans="1:13" x14ac:dyDescent="0.25">
      <c r="A2189" t="s">
        <v>4878</v>
      </c>
      <c r="B2189" t="s">
        <v>4876</v>
      </c>
      <c r="C2189" t="s">
        <v>1736</v>
      </c>
      <c r="G2189" t="s">
        <v>16</v>
      </c>
      <c r="H2189">
        <v>0</v>
      </c>
      <c r="I2189" s="2" t="s">
        <v>988</v>
      </c>
      <c r="J2189" s="2" t="s">
        <v>4879</v>
      </c>
      <c r="K2189">
        <v>20</v>
      </c>
      <c r="L2189">
        <v>20</v>
      </c>
      <c r="M2189">
        <v>20</v>
      </c>
    </row>
    <row r="2190" spans="1:13" x14ac:dyDescent="0.25">
      <c r="A2190" t="s">
        <v>4880</v>
      </c>
      <c r="B2190" t="s">
        <v>4876</v>
      </c>
      <c r="C2190" t="s">
        <v>540</v>
      </c>
      <c r="F2190">
        <v>1</v>
      </c>
      <c r="G2190" t="s">
        <v>16</v>
      </c>
      <c r="H2190">
        <v>0</v>
      </c>
      <c r="I2190" s="2" t="s">
        <v>165</v>
      </c>
      <c r="J2190" s="2">
        <v>103173</v>
      </c>
      <c r="K2190">
        <v>20</v>
      </c>
      <c r="L2190">
        <v>20</v>
      </c>
      <c r="M2190">
        <v>20</v>
      </c>
    </row>
    <row r="2191" spans="1:13" x14ac:dyDescent="0.25">
      <c r="A2191" t="s">
        <v>4881</v>
      </c>
      <c r="B2191" t="s">
        <v>4876</v>
      </c>
      <c r="C2191" t="s">
        <v>540</v>
      </c>
      <c r="G2191" t="s">
        <v>16</v>
      </c>
      <c r="H2191">
        <v>0</v>
      </c>
      <c r="I2191" s="2" t="s">
        <v>2039</v>
      </c>
      <c r="J2191" s="2">
        <v>33221</v>
      </c>
      <c r="K2191">
        <v>20</v>
      </c>
      <c r="L2191">
        <v>20</v>
      </c>
      <c r="M2191">
        <v>20</v>
      </c>
    </row>
    <row r="2192" spans="1:13" x14ac:dyDescent="0.25">
      <c r="A2192" t="s">
        <v>4882</v>
      </c>
      <c r="B2192" t="s">
        <v>4876</v>
      </c>
      <c r="C2192" t="s">
        <v>540</v>
      </c>
      <c r="G2192" t="s">
        <v>16</v>
      </c>
      <c r="H2192">
        <v>0</v>
      </c>
      <c r="K2192">
        <v>20</v>
      </c>
      <c r="L2192">
        <v>20</v>
      </c>
      <c r="M2192">
        <v>20</v>
      </c>
    </row>
    <row r="2193" spans="1:13" x14ac:dyDescent="0.25">
      <c r="A2193" t="s">
        <v>4883</v>
      </c>
      <c r="B2193" t="s">
        <v>4876</v>
      </c>
      <c r="C2193" t="s">
        <v>1736</v>
      </c>
      <c r="F2193">
        <v>2</v>
      </c>
      <c r="G2193" t="s">
        <v>16</v>
      </c>
      <c r="H2193">
        <v>0</v>
      </c>
      <c r="I2193" s="2" t="s">
        <v>4884</v>
      </c>
      <c r="J2193" s="2" t="s">
        <v>4885</v>
      </c>
      <c r="K2193">
        <v>20</v>
      </c>
      <c r="L2193">
        <v>20</v>
      </c>
      <c r="M2193">
        <v>20</v>
      </c>
    </row>
    <row r="2194" spans="1:13" x14ac:dyDescent="0.25">
      <c r="A2194" t="s">
        <v>4886</v>
      </c>
      <c r="B2194" t="s">
        <v>4888</v>
      </c>
      <c r="C2194" t="s">
        <v>540</v>
      </c>
      <c r="F2194">
        <v>10</v>
      </c>
      <c r="G2194" t="s">
        <v>16</v>
      </c>
      <c r="H2194">
        <v>0</v>
      </c>
      <c r="I2194" s="2" t="s">
        <v>765</v>
      </c>
      <c r="J2194" s="2" t="s">
        <v>4887</v>
      </c>
      <c r="K2194">
        <v>20</v>
      </c>
      <c r="L2194">
        <v>20</v>
      </c>
      <c r="M2194">
        <v>20</v>
      </c>
    </row>
    <row r="2195" spans="1:13" x14ac:dyDescent="0.25">
      <c r="A2195" t="s">
        <v>4889</v>
      </c>
      <c r="B2195" t="s">
        <v>4888</v>
      </c>
      <c r="C2195" t="s">
        <v>1736</v>
      </c>
      <c r="G2195" t="s">
        <v>16</v>
      </c>
      <c r="H2195">
        <v>0</v>
      </c>
      <c r="I2195" s="2" t="s">
        <v>500</v>
      </c>
      <c r="J2195" s="2" t="s">
        <v>4890</v>
      </c>
      <c r="K2195">
        <v>20</v>
      </c>
      <c r="L2195">
        <v>20</v>
      </c>
      <c r="M2195">
        <v>20</v>
      </c>
    </row>
    <row r="2196" spans="1:13" x14ac:dyDescent="0.25">
      <c r="A2196" t="s">
        <v>4891</v>
      </c>
      <c r="B2196" t="s">
        <v>4892</v>
      </c>
      <c r="C2196" t="s">
        <v>1736</v>
      </c>
      <c r="F2196">
        <v>1</v>
      </c>
      <c r="G2196" t="s">
        <v>16</v>
      </c>
      <c r="H2196">
        <v>0</v>
      </c>
      <c r="I2196" s="2" t="s">
        <v>511</v>
      </c>
      <c r="J2196" s="2">
        <v>220101</v>
      </c>
      <c r="K2196">
        <v>20</v>
      </c>
      <c r="L2196">
        <v>20</v>
      </c>
      <c r="M2196">
        <v>20</v>
      </c>
    </row>
    <row r="2197" spans="1:13" x14ac:dyDescent="0.25">
      <c r="A2197" t="s">
        <v>4893</v>
      </c>
      <c r="B2197" t="s">
        <v>4894</v>
      </c>
      <c r="C2197" t="s">
        <v>1736</v>
      </c>
      <c r="G2197" t="s">
        <v>16</v>
      </c>
      <c r="H2197">
        <v>0</v>
      </c>
      <c r="I2197" s="2" t="s">
        <v>4895</v>
      </c>
      <c r="J2197" s="2" t="str">
        <f>"0184B"</f>
        <v>0184B</v>
      </c>
      <c r="K2197">
        <v>20</v>
      </c>
      <c r="L2197">
        <v>20</v>
      </c>
      <c r="M2197">
        <v>20</v>
      </c>
    </row>
    <row r="2198" spans="1:13" x14ac:dyDescent="0.25">
      <c r="A2198" t="s">
        <v>4896</v>
      </c>
      <c r="B2198" t="s">
        <v>4897</v>
      </c>
      <c r="C2198" t="s">
        <v>1736</v>
      </c>
      <c r="G2198" t="s">
        <v>16</v>
      </c>
      <c r="H2198">
        <v>0</v>
      </c>
      <c r="I2198" s="2" t="s">
        <v>4895</v>
      </c>
      <c r="J2198" s="2" t="str">
        <f>"0185"</f>
        <v>0185</v>
      </c>
      <c r="K2198">
        <v>20</v>
      </c>
      <c r="L2198">
        <v>20</v>
      </c>
      <c r="M2198">
        <v>20</v>
      </c>
    </row>
    <row r="2199" spans="1:13" x14ac:dyDescent="0.25">
      <c r="A2199" t="s">
        <v>4898</v>
      </c>
      <c r="B2199" t="s">
        <v>4899</v>
      </c>
      <c r="C2199" t="s">
        <v>1736</v>
      </c>
      <c r="F2199">
        <v>9</v>
      </c>
      <c r="G2199" t="s">
        <v>16</v>
      </c>
      <c r="H2199">
        <v>0</v>
      </c>
      <c r="I2199" s="2" t="s">
        <v>165</v>
      </c>
      <c r="J2199" s="2">
        <v>202407</v>
      </c>
      <c r="K2199">
        <v>20</v>
      </c>
      <c r="L2199">
        <v>20</v>
      </c>
      <c r="M2199">
        <v>20</v>
      </c>
    </row>
    <row r="2200" spans="1:13" x14ac:dyDescent="0.25">
      <c r="A2200" t="s">
        <v>4900</v>
      </c>
      <c r="B2200" t="s">
        <v>4901</v>
      </c>
      <c r="C2200" t="s">
        <v>1736</v>
      </c>
      <c r="F2200">
        <v>4</v>
      </c>
      <c r="G2200" t="s">
        <v>16</v>
      </c>
      <c r="H2200">
        <v>0</v>
      </c>
      <c r="I2200" s="2" t="s">
        <v>993</v>
      </c>
      <c r="J2200" s="2">
        <v>202408</v>
      </c>
      <c r="K2200">
        <v>20</v>
      </c>
      <c r="L2200">
        <v>20</v>
      </c>
      <c r="M2200">
        <v>20</v>
      </c>
    </row>
    <row r="2201" spans="1:13" x14ac:dyDescent="0.25">
      <c r="A2201" t="s">
        <v>4902</v>
      </c>
      <c r="B2201" t="s">
        <v>4904</v>
      </c>
      <c r="C2201" t="s">
        <v>1736</v>
      </c>
      <c r="F2201">
        <v>4</v>
      </c>
      <c r="G2201" t="s">
        <v>16</v>
      </c>
      <c r="H2201">
        <v>0</v>
      </c>
      <c r="I2201" s="2" t="s">
        <v>1802</v>
      </c>
      <c r="J2201" s="2" t="s">
        <v>4903</v>
      </c>
      <c r="K2201">
        <v>20</v>
      </c>
      <c r="L2201">
        <v>20</v>
      </c>
      <c r="M2201">
        <v>20</v>
      </c>
    </row>
    <row r="2202" spans="1:13" x14ac:dyDescent="0.25">
      <c r="A2202" t="s">
        <v>4905</v>
      </c>
      <c r="B2202" t="s">
        <v>4904</v>
      </c>
      <c r="C2202" t="s">
        <v>1736</v>
      </c>
      <c r="F2202">
        <v>2</v>
      </c>
      <c r="G2202" t="s">
        <v>16</v>
      </c>
      <c r="H2202">
        <v>0</v>
      </c>
      <c r="I2202" s="2" t="s">
        <v>993</v>
      </c>
      <c r="J2202" s="2">
        <v>205762</v>
      </c>
      <c r="K2202">
        <v>20</v>
      </c>
      <c r="L2202">
        <v>20</v>
      </c>
      <c r="M2202">
        <v>20</v>
      </c>
    </row>
    <row r="2203" spans="1:13" x14ac:dyDescent="0.25">
      <c r="A2203" t="s">
        <v>4906</v>
      </c>
      <c r="B2203" t="s">
        <v>4908</v>
      </c>
      <c r="C2203" t="s">
        <v>1736</v>
      </c>
      <c r="F2203">
        <v>4</v>
      </c>
      <c r="G2203" t="s">
        <v>16</v>
      </c>
      <c r="H2203">
        <v>0</v>
      </c>
      <c r="I2203" s="2" t="s">
        <v>1802</v>
      </c>
      <c r="J2203" s="2" t="s">
        <v>4907</v>
      </c>
      <c r="K2203">
        <v>20</v>
      </c>
      <c r="L2203">
        <v>20</v>
      </c>
      <c r="M2203">
        <v>20</v>
      </c>
    </row>
    <row r="2204" spans="1:13" x14ac:dyDescent="0.25">
      <c r="A2204">
        <v>1451329</v>
      </c>
      <c r="B2204" t="s">
        <v>4909</v>
      </c>
      <c r="C2204" t="s">
        <v>1736</v>
      </c>
      <c r="F2204">
        <v>2</v>
      </c>
      <c r="G2204" t="s">
        <v>16</v>
      </c>
      <c r="H2204">
        <v>0</v>
      </c>
      <c r="I2204" s="2" t="s">
        <v>497</v>
      </c>
      <c r="J2204" s="2">
        <v>12782508</v>
      </c>
      <c r="K2204">
        <v>20</v>
      </c>
      <c r="L2204">
        <v>20</v>
      </c>
      <c r="M2204">
        <v>20</v>
      </c>
    </row>
    <row r="2205" spans="1:13" x14ac:dyDescent="0.25">
      <c r="A2205" t="s">
        <v>4910</v>
      </c>
      <c r="B2205" t="s">
        <v>4912</v>
      </c>
      <c r="C2205" t="s">
        <v>1736</v>
      </c>
      <c r="F2205">
        <v>4</v>
      </c>
      <c r="G2205" t="s">
        <v>16</v>
      </c>
      <c r="H2205">
        <v>0</v>
      </c>
      <c r="I2205" s="2" t="s">
        <v>1802</v>
      </c>
      <c r="J2205" s="2" t="s">
        <v>4911</v>
      </c>
      <c r="K2205">
        <v>20</v>
      </c>
      <c r="L2205">
        <v>20</v>
      </c>
      <c r="M2205">
        <v>20</v>
      </c>
    </row>
    <row r="2206" spans="1:13" x14ac:dyDescent="0.25">
      <c r="A2206" t="s">
        <v>4913</v>
      </c>
      <c r="B2206" t="s">
        <v>4912</v>
      </c>
      <c r="C2206" t="s">
        <v>1736</v>
      </c>
      <c r="F2206">
        <v>2</v>
      </c>
      <c r="G2206" t="s">
        <v>16</v>
      </c>
      <c r="H2206">
        <v>0</v>
      </c>
      <c r="I2206" s="2" t="s">
        <v>993</v>
      </c>
      <c r="J2206" s="2">
        <v>205763</v>
      </c>
      <c r="K2206">
        <v>20</v>
      </c>
      <c r="L2206">
        <v>20</v>
      </c>
      <c r="M2206">
        <v>20</v>
      </c>
    </row>
    <row r="2207" spans="1:13" x14ac:dyDescent="0.25">
      <c r="A2207" t="s">
        <v>4914</v>
      </c>
      <c r="B2207" t="s">
        <v>4915</v>
      </c>
      <c r="C2207" t="s">
        <v>540</v>
      </c>
      <c r="G2207" t="s">
        <v>16</v>
      </c>
      <c r="H2207">
        <v>0</v>
      </c>
      <c r="I2207" s="2" t="s">
        <v>500</v>
      </c>
      <c r="J2207" s="2" t="s">
        <v>4916</v>
      </c>
      <c r="K2207">
        <v>20</v>
      </c>
      <c r="L2207">
        <v>20</v>
      </c>
      <c r="M2207">
        <v>20</v>
      </c>
    </row>
    <row r="2208" spans="1:13" x14ac:dyDescent="0.25">
      <c r="A2208" t="s">
        <v>4917</v>
      </c>
      <c r="B2208" t="s">
        <v>4918</v>
      </c>
      <c r="C2208" t="s">
        <v>540</v>
      </c>
      <c r="G2208" t="s">
        <v>16</v>
      </c>
      <c r="H2208">
        <v>0</v>
      </c>
      <c r="I2208" s="2" t="s">
        <v>500</v>
      </c>
      <c r="J2208" s="2" t="s">
        <v>4919</v>
      </c>
      <c r="K2208">
        <v>20</v>
      </c>
      <c r="L2208">
        <v>20</v>
      </c>
      <c r="M2208">
        <v>20</v>
      </c>
    </row>
    <row r="2209" spans="1:13" x14ac:dyDescent="0.25">
      <c r="A2209" t="s">
        <v>4920</v>
      </c>
      <c r="B2209" t="s">
        <v>4921</v>
      </c>
      <c r="C2209" t="s">
        <v>1736</v>
      </c>
      <c r="F2209">
        <v>1</v>
      </c>
      <c r="G2209" t="s">
        <v>16</v>
      </c>
      <c r="H2209">
        <v>0</v>
      </c>
      <c r="I2209" s="2" t="s">
        <v>511</v>
      </c>
      <c r="J2209" s="2">
        <v>220102</v>
      </c>
      <c r="K2209">
        <v>20</v>
      </c>
      <c r="L2209">
        <v>20</v>
      </c>
      <c r="M2209">
        <v>20</v>
      </c>
    </row>
    <row r="2210" spans="1:13" x14ac:dyDescent="0.25">
      <c r="A2210">
        <v>1456009</v>
      </c>
      <c r="B2210" t="s">
        <v>4922</v>
      </c>
      <c r="C2210" t="s">
        <v>151</v>
      </c>
      <c r="D2210" t="s">
        <v>1092</v>
      </c>
      <c r="F2210">
        <v>0</v>
      </c>
      <c r="G2210" t="s">
        <v>16</v>
      </c>
      <c r="H2210">
        <v>0</v>
      </c>
      <c r="I2210" s="2" t="s">
        <v>497</v>
      </c>
      <c r="J2210" s="2">
        <v>13370759</v>
      </c>
      <c r="K2210">
        <v>20</v>
      </c>
      <c r="L2210">
        <v>20</v>
      </c>
      <c r="M2210">
        <v>20</v>
      </c>
    </row>
    <row r="2211" spans="1:13" x14ac:dyDescent="0.25">
      <c r="A2211">
        <v>15226661</v>
      </c>
      <c r="B2211" t="s">
        <v>4923</v>
      </c>
      <c r="C2211" t="s">
        <v>20</v>
      </c>
      <c r="G2211" t="s">
        <v>16</v>
      </c>
      <c r="H2211">
        <v>0</v>
      </c>
      <c r="I2211" s="2" t="s">
        <v>497</v>
      </c>
      <c r="J2211" s="2">
        <v>15226661</v>
      </c>
      <c r="K2211">
        <v>20</v>
      </c>
      <c r="L2211">
        <v>20</v>
      </c>
      <c r="M2211">
        <v>20</v>
      </c>
    </row>
    <row r="2212" spans="1:13" x14ac:dyDescent="0.25">
      <c r="A2212" t="s">
        <v>4924</v>
      </c>
      <c r="B2212" t="s">
        <v>4925</v>
      </c>
      <c r="C2212" t="s">
        <v>1436</v>
      </c>
      <c r="D2212" t="s">
        <v>1437</v>
      </c>
      <c r="F2212">
        <v>0</v>
      </c>
      <c r="G2212" t="s">
        <v>16</v>
      </c>
      <c r="H2212">
        <v>0</v>
      </c>
      <c r="I2212" s="2" t="s">
        <v>906</v>
      </c>
      <c r="J2212" s="2" t="s">
        <v>4926</v>
      </c>
      <c r="K2212">
        <v>20</v>
      </c>
      <c r="L2212">
        <v>20</v>
      </c>
      <c r="M2212">
        <v>20</v>
      </c>
    </row>
    <row r="2213" spans="1:13" x14ac:dyDescent="0.25">
      <c r="A2213" t="s">
        <v>4927</v>
      </c>
      <c r="B2213" t="s">
        <v>4928</v>
      </c>
      <c r="C2213" t="s">
        <v>1436</v>
      </c>
      <c r="D2213" t="s">
        <v>1437</v>
      </c>
      <c r="F2213">
        <v>1</v>
      </c>
      <c r="G2213" t="s">
        <v>16</v>
      </c>
      <c r="H2213">
        <v>0</v>
      </c>
      <c r="I2213" s="2" t="s">
        <v>87</v>
      </c>
      <c r="J2213" s="2" t="s">
        <v>4929</v>
      </c>
      <c r="K2213">
        <v>20</v>
      </c>
      <c r="L2213">
        <v>20</v>
      </c>
      <c r="M2213">
        <v>20</v>
      </c>
    </row>
    <row r="2214" spans="1:13" x14ac:dyDescent="0.25">
      <c r="A2214" t="s">
        <v>4930</v>
      </c>
      <c r="B2214" t="s">
        <v>4931</v>
      </c>
      <c r="C2214" t="s">
        <v>1436</v>
      </c>
      <c r="D2214" t="s">
        <v>1437</v>
      </c>
      <c r="F2214">
        <v>1</v>
      </c>
      <c r="G2214" t="s">
        <v>16</v>
      </c>
      <c r="H2214">
        <v>0</v>
      </c>
      <c r="I2214" s="2" t="s">
        <v>285</v>
      </c>
      <c r="J2214" s="2">
        <v>61126</v>
      </c>
      <c r="K2214">
        <v>20</v>
      </c>
      <c r="L2214">
        <v>20</v>
      </c>
      <c r="M2214">
        <v>20</v>
      </c>
    </row>
    <row r="2215" spans="1:13" x14ac:dyDescent="0.25">
      <c r="A2215" t="s">
        <v>4932</v>
      </c>
      <c r="B2215" t="s">
        <v>4933</v>
      </c>
      <c r="C2215" t="s">
        <v>1436</v>
      </c>
      <c r="D2215" t="s">
        <v>1437</v>
      </c>
      <c r="F2215">
        <v>1</v>
      </c>
      <c r="G2215" t="s">
        <v>16</v>
      </c>
      <c r="H2215">
        <v>0</v>
      </c>
      <c r="I2215" s="2" t="s">
        <v>87</v>
      </c>
      <c r="J2215" s="2" t="s">
        <v>4934</v>
      </c>
      <c r="K2215">
        <v>20</v>
      </c>
      <c r="L2215">
        <v>20</v>
      </c>
      <c r="M2215">
        <v>20</v>
      </c>
    </row>
    <row r="2216" spans="1:13" x14ac:dyDescent="0.25">
      <c r="A2216" t="s">
        <v>4935</v>
      </c>
      <c r="B2216" t="s">
        <v>4936</v>
      </c>
      <c r="C2216" t="s">
        <v>1436</v>
      </c>
      <c r="D2216" t="s">
        <v>1437</v>
      </c>
      <c r="F2216">
        <v>1</v>
      </c>
      <c r="G2216" t="s">
        <v>16</v>
      </c>
      <c r="H2216">
        <v>0</v>
      </c>
      <c r="I2216" s="2" t="s">
        <v>685</v>
      </c>
      <c r="J2216" s="2" t="str">
        <f>"0986580365"</f>
        <v>0986580365</v>
      </c>
      <c r="K2216">
        <v>20</v>
      </c>
      <c r="L2216">
        <v>20</v>
      </c>
      <c r="M2216">
        <v>20</v>
      </c>
    </row>
    <row r="2217" spans="1:13" x14ac:dyDescent="0.25">
      <c r="A2217" t="s">
        <v>4937</v>
      </c>
      <c r="B2217" t="s">
        <v>4938</v>
      </c>
      <c r="C2217" t="s">
        <v>1436</v>
      </c>
      <c r="D2217" t="s">
        <v>1437</v>
      </c>
      <c r="G2217" t="s">
        <v>16</v>
      </c>
      <c r="H2217">
        <v>0</v>
      </c>
      <c r="I2217" s="2" t="s">
        <v>685</v>
      </c>
      <c r="J2217" s="2" t="str">
        <f>"0986580960"</f>
        <v>0986580960</v>
      </c>
      <c r="K2217">
        <v>20</v>
      </c>
      <c r="L2217">
        <v>20</v>
      </c>
      <c r="M2217">
        <v>20</v>
      </c>
    </row>
    <row r="2218" spans="1:13" x14ac:dyDescent="0.25">
      <c r="A2218" t="s">
        <v>4939</v>
      </c>
      <c r="B2218" t="s">
        <v>4940</v>
      </c>
      <c r="C2218" t="s">
        <v>1436</v>
      </c>
      <c r="D2218" t="s">
        <v>1437</v>
      </c>
      <c r="F2218">
        <v>0</v>
      </c>
      <c r="G2218" t="s">
        <v>16</v>
      </c>
      <c r="H2218">
        <v>0</v>
      </c>
      <c r="I2218" s="2" t="s">
        <v>4941</v>
      </c>
      <c r="J2218" s="2">
        <v>9609</v>
      </c>
      <c r="K2218">
        <v>20</v>
      </c>
      <c r="L2218">
        <v>20</v>
      </c>
      <c r="M2218">
        <v>20</v>
      </c>
    </row>
    <row r="2219" spans="1:13" x14ac:dyDescent="0.25">
      <c r="A2219" t="s">
        <v>4942</v>
      </c>
      <c r="B2219" t="s">
        <v>4943</v>
      </c>
      <c r="C2219" t="s">
        <v>1436</v>
      </c>
      <c r="D2219" t="s">
        <v>1437</v>
      </c>
      <c r="F2219">
        <v>0</v>
      </c>
      <c r="G2219" t="s">
        <v>16</v>
      </c>
      <c r="H2219">
        <v>0</v>
      </c>
      <c r="I2219" s="2" t="s">
        <v>64</v>
      </c>
      <c r="J2219" s="2" t="str">
        <f>"05050067"</f>
        <v>05050067</v>
      </c>
      <c r="K2219">
        <v>20</v>
      </c>
      <c r="L2219">
        <v>20</v>
      </c>
      <c r="M2219">
        <v>20</v>
      </c>
    </row>
    <row r="2220" spans="1:13" x14ac:dyDescent="0.25">
      <c r="A2220" t="s">
        <v>4944</v>
      </c>
      <c r="B2220" t="s">
        <v>4946</v>
      </c>
      <c r="C2220" t="s">
        <v>241</v>
      </c>
      <c r="D2220" t="s">
        <v>2216</v>
      </c>
      <c r="F2220">
        <v>1</v>
      </c>
      <c r="G2220" t="s">
        <v>16</v>
      </c>
      <c r="H2220">
        <v>0</v>
      </c>
      <c r="I2220" s="2" t="s">
        <v>784</v>
      </c>
      <c r="J2220" s="2" t="s">
        <v>4945</v>
      </c>
      <c r="K2220">
        <v>20</v>
      </c>
      <c r="L2220">
        <v>20</v>
      </c>
      <c r="M2220">
        <v>20</v>
      </c>
    </row>
    <row r="2221" spans="1:13" x14ac:dyDescent="0.25">
      <c r="A2221" t="s">
        <v>4947</v>
      </c>
      <c r="B2221" t="s">
        <v>4949</v>
      </c>
      <c r="C2221" t="s">
        <v>241</v>
      </c>
      <c r="D2221" t="s">
        <v>2216</v>
      </c>
      <c r="F2221">
        <v>1</v>
      </c>
      <c r="G2221" t="s">
        <v>16</v>
      </c>
      <c r="H2221">
        <v>0</v>
      </c>
      <c r="I2221" s="2" t="s">
        <v>784</v>
      </c>
      <c r="J2221" s="2" t="s">
        <v>4948</v>
      </c>
      <c r="K2221">
        <v>20</v>
      </c>
      <c r="L2221">
        <v>20</v>
      </c>
      <c r="M2221">
        <v>20</v>
      </c>
    </row>
    <row r="2222" spans="1:13" x14ac:dyDescent="0.25">
      <c r="A2222" t="s">
        <v>4950</v>
      </c>
      <c r="B2222" t="s">
        <v>4951</v>
      </c>
      <c r="C2222" t="s">
        <v>1436</v>
      </c>
      <c r="D2222" t="s">
        <v>1437</v>
      </c>
      <c r="F2222">
        <v>4</v>
      </c>
      <c r="G2222" t="s">
        <v>16</v>
      </c>
      <c r="H2222">
        <v>0</v>
      </c>
      <c r="I2222" s="2" t="s">
        <v>51</v>
      </c>
      <c r="J2222" s="2" t="s">
        <v>4950</v>
      </c>
      <c r="K2222">
        <v>20</v>
      </c>
      <c r="L2222">
        <v>20</v>
      </c>
      <c r="M2222">
        <v>20</v>
      </c>
    </row>
    <row r="2223" spans="1:13" x14ac:dyDescent="0.25">
      <c r="A2223" t="s">
        <v>4952</v>
      </c>
      <c r="B2223" t="s">
        <v>4953</v>
      </c>
      <c r="C2223" t="s">
        <v>1436</v>
      </c>
      <c r="F2223">
        <v>5</v>
      </c>
      <c r="G2223" t="s">
        <v>16</v>
      </c>
      <c r="H2223">
        <v>0</v>
      </c>
      <c r="I2223" s="2" t="s">
        <v>64</v>
      </c>
      <c r="J2223" s="2">
        <v>21030216</v>
      </c>
      <c r="K2223">
        <v>20</v>
      </c>
      <c r="L2223">
        <v>20</v>
      </c>
      <c r="M2223">
        <v>20</v>
      </c>
    </row>
    <row r="2224" spans="1:13" x14ac:dyDescent="0.25">
      <c r="A2224" t="s">
        <v>4954</v>
      </c>
      <c r="B2224" t="s">
        <v>4955</v>
      </c>
      <c r="C2224" t="s">
        <v>14</v>
      </c>
      <c r="D2224" t="s">
        <v>4956</v>
      </c>
      <c r="F2224">
        <v>1</v>
      </c>
      <c r="G2224" t="s">
        <v>16</v>
      </c>
      <c r="H2224">
        <v>0</v>
      </c>
      <c r="I2224" s="2" t="s">
        <v>319</v>
      </c>
      <c r="J2224" s="2" t="s">
        <v>4957</v>
      </c>
      <c r="K2224">
        <v>20</v>
      </c>
      <c r="L2224">
        <v>20</v>
      </c>
      <c r="M2224">
        <v>20</v>
      </c>
    </row>
    <row r="2225" spans="1:13" x14ac:dyDescent="0.25">
      <c r="A2225" t="s">
        <v>4958</v>
      </c>
      <c r="B2225" t="s">
        <v>4959</v>
      </c>
      <c r="C2225" t="s">
        <v>14</v>
      </c>
      <c r="D2225" t="s">
        <v>4956</v>
      </c>
      <c r="F2225">
        <v>2</v>
      </c>
      <c r="G2225" t="s">
        <v>16</v>
      </c>
      <c r="H2225">
        <v>0</v>
      </c>
      <c r="I2225" s="2" t="s">
        <v>4960</v>
      </c>
      <c r="J2225" s="2" t="s">
        <v>4961</v>
      </c>
      <c r="K2225">
        <v>20</v>
      </c>
      <c r="L2225">
        <v>20</v>
      </c>
      <c r="M2225">
        <v>20</v>
      </c>
    </row>
    <row r="2226" spans="1:13" x14ac:dyDescent="0.25">
      <c r="A2226" t="s">
        <v>4962</v>
      </c>
      <c r="B2226" t="s">
        <v>4959</v>
      </c>
      <c r="C2226" t="s">
        <v>14</v>
      </c>
      <c r="D2226" t="s">
        <v>4956</v>
      </c>
      <c r="F2226">
        <v>10</v>
      </c>
      <c r="G2226" t="s">
        <v>16</v>
      </c>
      <c r="H2226">
        <v>0</v>
      </c>
      <c r="I2226" s="2" t="s">
        <v>389</v>
      </c>
      <c r="J2226" s="2" t="s">
        <v>4963</v>
      </c>
      <c r="K2226">
        <v>20</v>
      </c>
      <c r="L2226">
        <v>20</v>
      </c>
      <c r="M2226">
        <v>20</v>
      </c>
    </row>
    <row r="2227" spans="1:13" x14ac:dyDescent="0.25">
      <c r="A2227" t="s">
        <v>4964</v>
      </c>
      <c r="B2227" t="s">
        <v>4966</v>
      </c>
      <c r="C2227" t="s">
        <v>241</v>
      </c>
      <c r="D2227" t="s">
        <v>1436</v>
      </c>
      <c r="F2227">
        <v>4</v>
      </c>
      <c r="G2227" t="s">
        <v>16</v>
      </c>
      <c r="H2227">
        <v>0</v>
      </c>
      <c r="I2227" s="2" t="s">
        <v>784</v>
      </c>
      <c r="J2227" s="2" t="s">
        <v>4965</v>
      </c>
      <c r="K2227">
        <v>20</v>
      </c>
      <c r="L2227">
        <v>20</v>
      </c>
      <c r="M2227">
        <v>20</v>
      </c>
    </row>
    <row r="2228" spans="1:13" x14ac:dyDescent="0.25">
      <c r="A2228" t="s">
        <v>4967</v>
      </c>
      <c r="B2228" t="s">
        <v>4969</v>
      </c>
      <c r="C2228" t="s">
        <v>241</v>
      </c>
      <c r="D2228" t="s">
        <v>2216</v>
      </c>
      <c r="F2228">
        <v>1</v>
      </c>
      <c r="G2228" t="s">
        <v>16</v>
      </c>
      <c r="H2228">
        <v>0</v>
      </c>
      <c r="I2228" s="2" t="s">
        <v>784</v>
      </c>
      <c r="J2228" s="2" t="s">
        <v>4968</v>
      </c>
      <c r="K2228">
        <v>20</v>
      </c>
      <c r="L2228">
        <v>20</v>
      </c>
      <c r="M2228">
        <v>20</v>
      </c>
    </row>
    <row r="2229" spans="1:13" x14ac:dyDescent="0.25">
      <c r="A2229" t="s">
        <v>4970</v>
      </c>
      <c r="B2229" t="s">
        <v>4972</v>
      </c>
      <c r="C2229" t="s">
        <v>241</v>
      </c>
      <c r="D2229" t="s">
        <v>1436</v>
      </c>
      <c r="F2229">
        <v>1</v>
      </c>
      <c r="G2229" t="s">
        <v>16</v>
      </c>
      <c r="H2229">
        <v>0</v>
      </c>
      <c r="I2229" s="2" t="s">
        <v>784</v>
      </c>
      <c r="J2229" s="2" t="s">
        <v>4971</v>
      </c>
      <c r="K2229">
        <v>20</v>
      </c>
      <c r="L2229">
        <v>20</v>
      </c>
      <c r="M2229">
        <v>20</v>
      </c>
    </row>
    <row r="2230" spans="1:13" x14ac:dyDescent="0.25">
      <c r="A2230" t="s">
        <v>4973</v>
      </c>
      <c r="B2230" t="s">
        <v>4975</v>
      </c>
      <c r="C2230" t="s">
        <v>241</v>
      </c>
      <c r="D2230" t="s">
        <v>1436</v>
      </c>
      <c r="F2230">
        <v>1</v>
      </c>
      <c r="G2230" t="s">
        <v>16</v>
      </c>
      <c r="H2230">
        <v>0</v>
      </c>
      <c r="I2230" s="2" t="s">
        <v>784</v>
      </c>
      <c r="J2230" s="2" t="s">
        <v>4974</v>
      </c>
      <c r="K2230">
        <v>20</v>
      </c>
      <c r="L2230">
        <v>20</v>
      </c>
      <c r="M2230">
        <v>20</v>
      </c>
    </row>
    <row r="2231" spans="1:13" x14ac:dyDescent="0.25">
      <c r="A2231" t="s">
        <v>4976</v>
      </c>
      <c r="B2231" t="s">
        <v>4978</v>
      </c>
      <c r="C2231" t="s">
        <v>241</v>
      </c>
      <c r="D2231" t="s">
        <v>1436</v>
      </c>
      <c r="F2231">
        <v>1</v>
      </c>
      <c r="G2231" t="s">
        <v>16</v>
      </c>
      <c r="H2231">
        <v>0</v>
      </c>
      <c r="I2231" s="2" t="s">
        <v>2389</v>
      </c>
      <c r="J2231" s="2" t="s">
        <v>4977</v>
      </c>
      <c r="K2231">
        <v>20</v>
      </c>
      <c r="L2231">
        <v>20</v>
      </c>
      <c r="M2231">
        <v>20</v>
      </c>
    </row>
    <row r="2232" spans="1:13" x14ac:dyDescent="0.25">
      <c r="A2232" t="s">
        <v>4979</v>
      </c>
      <c r="B2232" t="s">
        <v>4981</v>
      </c>
      <c r="C2232" t="s">
        <v>241</v>
      </c>
      <c r="D2232" t="s">
        <v>1436</v>
      </c>
      <c r="F2232">
        <v>6</v>
      </c>
      <c r="G2232" t="s">
        <v>16</v>
      </c>
      <c r="H2232">
        <v>0</v>
      </c>
      <c r="I2232" s="2" t="s">
        <v>784</v>
      </c>
      <c r="J2232" s="2" t="s">
        <v>4980</v>
      </c>
      <c r="K2232">
        <v>20</v>
      </c>
      <c r="L2232">
        <v>20</v>
      </c>
      <c r="M2232">
        <v>20</v>
      </c>
    </row>
    <row r="2233" spans="1:13" x14ac:dyDescent="0.25">
      <c r="A2233" t="s">
        <v>4982</v>
      </c>
      <c r="B2233" t="s">
        <v>4983</v>
      </c>
      <c r="C2233" t="s">
        <v>241</v>
      </c>
      <c r="D2233" t="s">
        <v>1436</v>
      </c>
      <c r="G2233" t="s">
        <v>16</v>
      </c>
      <c r="H2233">
        <v>0</v>
      </c>
      <c r="I2233" s="2" t="s">
        <v>243</v>
      </c>
      <c r="J2233" s="2">
        <v>17277</v>
      </c>
      <c r="K2233">
        <v>20</v>
      </c>
      <c r="L2233">
        <v>20</v>
      </c>
      <c r="M2233">
        <v>20</v>
      </c>
    </row>
    <row r="2234" spans="1:13" x14ac:dyDescent="0.25">
      <c r="A2234" t="s">
        <v>4984</v>
      </c>
      <c r="B2234" t="s">
        <v>4983</v>
      </c>
      <c r="C2234" t="s">
        <v>241</v>
      </c>
      <c r="D2234" t="s">
        <v>1436</v>
      </c>
      <c r="F2234">
        <v>1</v>
      </c>
      <c r="G2234" t="s">
        <v>16</v>
      </c>
      <c r="H2234">
        <v>0</v>
      </c>
      <c r="I2234" s="2" t="s">
        <v>784</v>
      </c>
      <c r="J2234" s="2" t="s">
        <v>4985</v>
      </c>
      <c r="K2234">
        <v>20</v>
      </c>
      <c r="L2234">
        <v>20</v>
      </c>
      <c r="M2234">
        <v>20</v>
      </c>
    </row>
    <row r="2235" spans="1:13" x14ac:dyDescent="0.25">
      <c r="A2235" t="s">
        <v>4986</v>
      </c>
      <c r="B2235" t="s">
        <v>4988</v>
      </c>
      <c r="C2235" t="s">
        <v>241</v>
      </c>
      <c r="D2235" t="s">
        <v>1436</v>
      </c>
      <c r="F2235">
        <v>1</v>
      </c>
      <c r="G2235" t="s">
        <v>16</v>
      </c>
      <c r="H2235">
        <v>0</v>
      </c>
      <c r="I2235" s="2" t="s">
        <v>784</v>
      </c>
      <c r="J2235" s="2" t="s">
        <v>4987</v>
      </c>
      <c r="K2235">
        <v>20</v>
      </c>
      <c r="L2235">
        <v>20</v>
      </c>
      <c r="M2235">
        <v>20</v>
      </c>
    </row>
    <row r="2236" spans="1:13" x14ac:dyDescent="0.25">
      <c r="A2236" t="s">
        <v>4989</v>
      </c>
      <c r="B2236" t="s">
        <v>4990</v>
      </c>
      <c r="C2236" t="s">
        <v>241</v>
      </c>
      <c r="D2236" t="s">
        <v>1436</v>
      </c>
      <c r="F2236">
        <v>1</v>
      </c>
      <c r="G2236" t="s">
        <v>16</v>
      </c>
      <c r="H2236">
        <v>0</v>
      </c>
      <c r="I2236" s="2" t="s">
        <v>243</v>
      </c>
      <c r="J2236" s="2">
        <v>17238</v>
      </c>
      <c r="K2236">
        <v>20</v>
      </c>
      <c r="L2236">
        <v>20</v>
      </c>
      <c r="M2236">
        <v>20</v>
      </c>
    </row>
    <row r="2237" spans="1:13" x14ac:dyDescent="0.25">
      <c r="A2237" t="s">
        <v>4991</v>
      </c>
      <c r="B2237" t="s">
        <v>4992</v>
      </c>
      <c r="C2237" t="s">
        <v>241</v>
      </c>
      <c r="D2237" t="s">
        <v>1436</v>
      </c>
      <c r="F2237">
        <v>1</v>
      </c>
      <c r="G2237" t="s">
        <v>16</v>
      </c>
      <c r="H2237">
        <v>0</v>
      </c>
      <c r="I2237" s="2" t="s">
        <v>737</v>
      </c>
      <c r="J2237" s="2" t="s">
        <v>4993</v>
      </c>
      <c r="K2237">
        <v>20</v>
      </c>
      <c r="L2237">
        <v>20</v>
      </c>
      <c r="M2237">
        <v>20</v>
      </c>
    </row>
    <row r="2238" spans="1:13" x14ac:dyDescent="0.25">
      <c r="A2238" t="s">
        <v>4994</v>
      </c>
      <c r="B2238" t="s">
        <v>4996</v>
      </c>
      <c r="C2238" t="s">
        <v>241</v>
      </c>
      <c r="D2238" t="s">
        <v>1436</v>
      </c>
      <c r="F2238">
        <v>1</v>
      </c>
      <c r="G2238" t="s">
        <v>16</v>
      </c>
      <c r="H2238">
        <v>0</v>
      </c>
      <c r="I2238" s="2" t="s">
        <v>2389</v>
      </c>
      <c r="J2238" s="2" t="s">
        <v>4995</v>
      </c>
      <c r="K2238">
        <v>20</v>
      </c>
      <c r="L2238">
        <v>20</v>
      </c>
      <c r="M2238">
        <v>20</v>
      </c>
    </row>
    <row r="2239" spans="1:13" x14ac:dyDescent="0.25">
      <c r="A2239" t="s">
        <v>4997</v>
      </c>
      <c r="B2239" t="s">
        <v>4999</v>
      </c>
      <c r="C2239" t="s">
        <v>241</v>
      </c>
      <c r="D2239" t="s">
        <v>1436</v>
      </c>
      <c r="F2239">
        <v>1</v>
      </c>
      <c r="G2239" t="s">
        <v>16</v>
      </c>
      <c r="H2239">
        <v>0</v>
      </c>
      <c r="I2239" s="2" t="s">
        <v>784</v>
      </c>
      <c r="J2239" s="2" t="s">
        <v>4998</v>
      </c>
      <c r="K2239">
        <v>20</v>
      </c>
      <c r="L2239">
        <v>20</v>
      </c>
      <c r="M2239">
        <v>20</v>
      </c>
    </row>
    <row r="2240" spans="1:13" x14ac:dyDescent="0.25">
      <c r="A2240" t="s">
        <v>5000</v>
      </c>
      <c r="B2240" t="s">
        <v>5001</v>
      </c>
      <c r="C2240" t="s">
        <v>241</v>
      </c>
      <c r="D2240" t="s">
        <v>1436</v>
      </c>
      <c r="F2240">
        <v>1</v>
      </c>
      <c r="G2240" t="s">
        <v>16</v>
      </c>
      <c r="H2240">
        <v>0</v>
      </c>
      <c r="I2240" s="2" t="s">
        <v>64</v>
      </c>
      <c r="J2240" s="2">
        <v>10030931</v>
      </c>
      <c r="K2240">
        <v>20</v>
      </c>
      <c r="L2240">
        <v>20</v>
      </c>
      <c r="M2240">
        <v>20</v>
      </c>
    </row>
    <row r="2241" spans="1:13" x14ac:dyDescent="0.25">
      <c r="A2241" t="s">
        <v>5002</v>
      </c>
      <c r="B2241" t="s">
        <v>5004</v>
      </c>
      <c r="C2241" t="s">
        <v>241</v>
      </c>
      <c r="D2241" t="s">
        <v>1436</v>
      </c>
      <c r="F2241">
        <v>4</v>
      </c>
      <c r="G2241" t="s">
        <v>16</v>
      </c>
      <c r="H2241">
        <v>0</v>
      </c>
      <c r="I2241" s="2" t="s">
        <v>2389</v>
      </c>
      <c r="J2241" s="2" t="s">
        <v>5003</v>
      </c>
      <c r="K2241">
        <v>20</v>
      </c>
      <c r="L2241">
        <v>20</v>
      </c>
      <c r="M2241">
        <v>20</v>
      </c>
    </row>
    <row r="2242" spans="1:13" x14ac:dyDescent="0.25">
      <c r="A2242" t="s">
        <v>5005</v>
      </c>
      <c r="B2242" t="s">
        <v>5001</v>
      </c>
      <c r="C2242" t="s">
        <v>241</v>
      </c>
      <c r="D2242" t="s">
        <v>1436</v>
      </c>
      <c r="F2242">
        <v>1</v>
      </c>
      <c r="G2242" t="s">
        <v>16</v>
      </c>
      <c r="H2242">
        <v>0</v>
      </c>
      <c r="I2242" s="2" t="s">
        <v>737</v>
      </c>
      <c r="J2242" s="2" t="s">
        <v>5006</v>
      </c>
      <c r="K2242">
        <v>20</v>
      </c>
      <c r="L2242">
        <v>20</v>
      </c>
      <c r="M2242">
        <v>20</v>
      </c>
    </row>
    <row r="2243" spans="1:13" x14ac:dyDescent="0.25">
      <c r="A2243" t="s">
        <v>5007</v>
      </c>
      <c r="B2243" t="s">
        <v>5008</v>
      </c>
      <c r="C2243" t="s">
        <v>241</v>
      </c>
      <c r="D2243" t="s">
        <v>1436</v>
      </c>
      <c r="F2243">
        <v>0</v>
      </c>
      <c r="G2243" t="s">
        <v>16</v>
      </c>
      <c r="H2243">
        <v>0</v>
      </c>
      <c r="I2243" s="2" t="s">
        <v>243</v>
      </c>
      <c r="J2243" s="2">
        <v>17198</v>
      </c>
      <c r="K2243">
        <v>20</v>
      </c>
      <c r="L2243">
        <v>20</v>
      </c>
      <c r="M2243">
        <v>20</v>
      </c>
    </row>
    <row r="2244" spans="1:13" x14ac:dyDescent="0.25">
      <c r="A2244" t="s">
        <v>5009</v>
      </c>
      <c r="B2244" t="s">
        <v>5008</v>
      </c>
      <c r="C2244" t="s">
        <v>241</v>
      </c>
      <c r="D2244" t="s">
        <v>1436</v>
      </c>
      <c r="F2244">
        <v>0</v>
      </c>
      <c r="G2244" t="s">
        <v>16</v>
      </c>
      <c r="H2244">
        <v>0</v>
      </c>
      <c r="I2244" s="2" t="s">
        <v>2389</v>
      </c>
      <c r="J2244" s="2" t="s">
        <v>5010</v>
      </c>
      <c r="K2244">
        <v>20</v>
      </c>
      <c r="L2244">
        <v>20</v>
      </c>
      <c r="M2244">
        <v>20</v>
      </c>
    </row>
    <row r="2245" spans="1:13" x14ac:dyDescent="0.25">
      <c r="A2245" t="s">
        <v>5011</v>
      </c>
      <c r="B2245" t="s">
        <v>5013</v>
      </c>
      <c r="C2245" t="s">
        <v>241</v>
      </c>
      <c r="D2245" t="s">
        <v>1436</v>
      </c>
      <c r="F2245">
        <v>1</v>
      </c>
      <c r="G2245" t="s">
        <v>16</v>
      </c>
      <c r="H2245">
        <v>0</v>
      </c>
      <c r="I2245" s="2" t="s">
        <v>2389</v>
      </c>
      <c r="J2245" s="2" t="s">
        <v>5012</v>
      </c>
      <c r="K2245">
        <v>20</v>
      </c>
      <c r="L2245">
        <v>20</v>
      </c>
      <c r="M2245">
        <v>20</v>
      </c>
    </row>
    <row r="2246" spans="1:13" x14ac:dyDescent="0.25">
      <c r="A2246" t="s">
        <v>5014</v>
      </c>
      <c r="B2246" t="s">
        <v>5016</v>
      </c>
      <c r="C2246" t="s">
        <v>241</v>
      </c>
      <c r="D2246" t="s">
        <v>1436</v>
      </c>
      <c r="F2246">
        <v>1</v>
      </c>
      <c r="G2246" t="s">
        <v>16</v>
      </c>
      <c r="H2246">
        <v>0</v>
      </c>
      <c r="I2246" s="2" t="s">
        <v>2389</v>
      </c>
      <c r="J2246" s="2" t="s">
        <v>5015</v>
      </c>
      <c r="K2246">
        <v>20</v>
      </c>
      <c r="L2246">
        <v>20</v>
      </c>
      <c r="M2246">
        <v>20</v>
      </c>
    </row>
    <row r="2247" spans="1:13" x14ac:dyDescent="0.25">
      <c r="A2247" t="s">
        <v>5017</v>
      </c>
      <c r="B2247" t="s">
        <v>5016</v>
      </c>
      <c r="C2247" t="s">
        <v>241</v>
      </c>
      <c r="D2247" t="s">
        <v>1436</v>
      </c>
      <c r="F2247">
        <v>1</v>
      </c>
      <c r="G2247" t="s">
        <v>16</v>
      </c>
      <c r="H2247">
        <v>0</v>
      </c>
      <c r="I2247" s="2" t="s">
        <v>737</v>
      </c>
      <c r="J2247" s="2" t="s">
        <v>5018</v>
      </c>
      <c r="K2247">
        <v>20</v>
      </c>
      <c r="L2247">
        <v>20</v>
      </c>
      <c r="M2247">
        <v>20</v>
      </c>
    </row>
    <row r="2248" spans="1:13" x14ac:dyDescent="0.25">
      <c r="A2248" t="s">
        <v>5019</v>
      </c>
      <c r="B2248" t="s">
        <v>5021</v>
      </c>
      <c r="C2248" t="s">
        <v>241</v>
      </c>
      <c r="D2248" t="s">
        <v>1436</v>
      </c>
      <c r="F2248">
        <v>2</v>
      </c>
      <c r="G2248" t="s">
        <v>16</v>
      </c>
      <c r="H2248">
        <v>0</v>
      </c>
      <c r="I2248" s="2" t="s">
        <v>2389</v>
      </c>
      <c r="J2248" s="2" t="s">
        <v>5020</v>
      </c>
      <c r="K2248">
        <v>20</v>
      </c>
      <c r="L2248">
        <v>20</v>
      </c>
      <c r="M2248">
        <v>20</v>
      </c>
    </row>
    <row r="2249" spans="1:13" x14ac:dyDescent="0.25">
      <c r="A2249" t="s">
        <v>5022</v>
      </c>
      <c r="B2249" t="s">
        <v>5023</v>
      </c>
      <c r="C2249" t="s">
        <v>241</v>
      </c>
      <c r="D2249" t="s">
        <v>1436</v>
      </c>
      <c r="F2249">
        <v>1</v>
      </c>
      <c r="G2249" t="s">
        <v>16</v>
      </c>
      <c r="H2249">
        <v>0</v>
      </c>
      <c r="I2249" s="2" t="s">
        <v>64</v>
      </c>
      <c r="J2249" s="2">
        <v>10034368</v>
      </c>
      <c r="K2249">
        <v>20</v>
      </c>
      <c r="L2249">
        <v>20</v>
      </c>
      <c r="M2249">
        <v>20</v>
      </c>
    </row>
    <row r="2250" spans="1:13" x14ac:dyDescent="0.25">
      <c r="A2250" t="s">
        <v>5024</v>
      </c>
      <c r="B2250" t="s">
        <v>5026</v>
      </c>
      <c r="C2250" t="s">
        <v>241</v>
      </c>
      <c r="D2250" t="s">
        <v>2216</v>
      </c>
      <c r="F2250">
        <v>2</v>
      </c>
      <c r="G2250" t="s">
        <v>16</v>
      </c>
      <c r="H2250">
        <v>0</v>
      </c>
      <c r="I2250" s="2" t="s">
        <v>784</v>
      </c>
      <c r="J2250" s="2" t="s">
        <v>5025</v>
      </c>
      <c r="K2250">
        <v>20</v>
      </c>
      <c r="L2250">
        <v>20</v>
      </c>
      <c r="M2250">
        <v>20</v>
      </c>
    </row>
    <row r="2251" spans="1:13" x14ac:dyDescent="0.25">
      <c r="A2251" t="s">
        <v>5027</v>
      </c>
      <c r="B2251" t="s">
        <v>5028</v>
      </c>
      <c r="C2251" t="s">
        <v>540</v>
      </c>
      <c r="F2251">
        <v>5</v>
      </c>
      <c r="G2251" t="s">
        <v>16</v>
      </c>
      <c r="H2251">
        <v>0</v>
      </c>
      <c r="I2251" s="2" t="s">
        <v>5029</v>
      </c>
      <c r="J2251" s="2">
        <v>1313</v>
      </c>
      <c r="K2251">
        <v>20</v>
      </c>
      <c r="L2251">
        <v>20</v>
      </c>
      <c r="M2251">
        <v>20</v>
      </c>
    </row>
    <row r="2252" spans="1:13" x14ac:dyDescent="0.25">
      <c r="A2252" t="s">
        <v>5030</v>
      </c>
      <c r="B2252" t="s">
        <v>5031</v>
      </c>
      <c r="C2252" t="s">
        <v>540</v>
      </c>
      <c r="F2252">
        <v>1</v>
      </c>
      <c r="G2252" t="s">
        <v>16</v>
      </c>
      <c r="H2252">
        <v>0</v>
      </c>
      <c r="I2252" s="2" t="s">
        <v>5029</v>
      </c>
      <c r="J2252" s="2">
        <v>1310</v>
      </c>
      <c r="K2252">
        <v>20</v>
      </c>
      <c r="L2252">
        <v>20</v>
      </c>
      <c r="M2252">
        <v>20</v>
      </c>
    </row>
    <row r="2253" spans="1:13" x14ac:dyDescent="0.25">
      <c r="A2253" t="s">
        <v>5032</v>
      </c>
      <c r="B2253" t="s">
        <v>5031</v>
      </c>
      <c r="C2253" t="s">
        <v>540</v>
      </c>
      <c r="F2253">
        <v>1</v>
      </c>
      <c r="G2253" t="s">
        <v>16</v>
      </c>
      <c r="H2253">
        <v>0</v>
      </c>
      <c r="I2253" s="2" t="s">
        <v>737</v>
      </c>
      <c r="J2253" s="2" t="s">
        <v>5033</v>
      </c>
      <c r="K2253">
        <v>20</v>
      </c>
      <c r="L2253">
        <v>20</v>
      </c>
      <c r="M2253">
        <v>20</v>
      </c>
    </row>
    <row r="2254" spans="1:13" x14ac:dyDescent="0.25">
      <c r="A2254" t="s">
        <v>5034</v>
      </c>
      <c r="B2254" t="s">
        <v>5036</v>
      </c>
      <c r="C2254" t="s">
        <v>496</v>
      </c>
      <c r="F2254">
        <v>4</v>
      </c>
      <c r="G2254" t="s">
        <v>16</v>
      </c>
      <c r="H2254">
        <v>0</v>
      </c>
      <c r="I2254" s="2" t="s">
        <v>288</v>
      </c>
      <c r="J2254" s="2" t="s">
        <v>5035</v>
      </c>
      <c r="K2254">
        <v>20</v>
      </c>
      <c r="L2254">
        <v>20</v>
      </c>
      <c r="M2254">
        <v>20</v>
      </c>
    </row>
    <row r="2255" spans="1:13" x14ac:dyDescent="0.25">
      <c r="A2255" t="s">
        <v>5037</v>
      </c>
      <c r="B2255" t="s">
        <v>5036</v>
      </c>
      <c r="C2255" t="s">
        <v>496</v>
      </c>
      <c r="G2255" t="s">
        <v>16</v>
      </c>
      <c r="H2255">
        <v>0</v>
      </c>
      <c r="I2255" s="2" t="s">
        <v>2517</v>
      </c>
      <c r="J2255" s="2" t="s">
        <v>5038</v>
      </c>
      <c r="K2255">
        <v>20</v>
      </c>
      <c r="L2255">
        <v>20</v>
      </c>
      <c r="M2255">
        <v>20</v>
      </c>
    </row>
    <row r="2256" spans="1:13" x14ac:dyDescent="0.25">
      <c r="A2256" t="s">
        <v>5039</v>
      </c>
      <c r="B2256" t="s">
        <v>5036</v>
      </c>
      <c r="C2256" t="s">
        <v>2493</v>
      </c>
      <c r="G2256" t="s">
        <v>16</v>
      </c>
      <c r="H2256">
        <v>0</v>
      </c>
      <c r="I2256" s="2" t="s">
        <v>5040</v>
      </c>
      <c r="J2256" s="2" t="s">
        <v>5041</v>
      </c>
      <c r="K2256">
        <v>20</v>
      </c>
      <c r="L2256">
        <v>20</v>
      </c>
      <c r="M2256">
        <v>20</v>
      </c>
    </row>
    <row r="2257" spans="1:13" x14ac:dyDescent="0.25">
      <c r="A2257" t="s">
        <v>5042</v>
      </c>
      <c r="B2257" t="s">
        <v>5036</v>
      </c>
      <c r="C2257" t="s">
        <v>496</v>
      </c>
      <c r="G2257" t="s">
        <v>16</v>
      </c>
      <c r="H2257">
        <v>0</v>
      </c>
      <c r="I2257" s="2" t="s">
        <v>64</v>
      </c>
      <c r="J2257" s="2">
        <v>13030161</v>
      </c>
      <c r="K2257">
        <v>20</v>
      </c>
      <c r="L2257">
        <v>20</v>
      </c>
      <c r="M2257">
        <v>20</v>
      </c>
    </row>
    <row r="2258" spans="1:13" x14ac:dyDescent="0.25">
      <c r="A2258" t="s">
        <v>5043</v>
      </c>
      <c r="B2258" t="s">
        <v>5036</v>
      </c>
      <c r="C2258" t="s">
        <v>496</v>
      </c>
      <c r="G2258" t="s">
        <v>16</v>
      </c>
      <c r="H2258">
        <v>0</v>
      </c>
      <c r="I2258" s="2" t="s">
        <v>5044</v>
      </c>
      <c r="J2258" s="2" t="s">
        <v>5045</v>
      </c>
      <c r="K2258">
        <v>20</v>
      </c>
      <c r="L2258">
        <v>20</v>
      </c>
      <c r="M2258">
        <v>20</v>
      </c>
    </row>
    <row r="2259" spans="1:13" x14ac:dyDescent="0.25">
      <c r="A2259" t="s">
        <v>5046</v>
      </c>
      <c r="B2259" t="s">
        <v>5047</v>
      </c>
      <c r="C2259" t="s">
        <v>496</v>
      </c>
      <c r="F2259">
        <v>9</v>
      </c>
      <c r="G2259" t="s">
        <v>16</v>
      </c>
      <c r="H2259">
        <v>0</v>
      </c>
      <c r="I2259" s="2" t="s">
        <v>2533</v>
      </c>
      <c r="J2259" s="2" t="s">
        <v>5048</v>
      </c>
      <c r="K2259">
        <v>20</v>
      </c>
      <c r="L2259">
        <v>20</v>
      </c>
      <c r="M2259">
        <v>20</v>
      </c>
    </row>
    <row r="2260" spans="1:13" x14ac:dyDescent="0.25">
      <c r="A2260" t="s">
        <v>5049</v>
      </c>
      <c r="B2260" t="s">
        <v>5047</v>
      </c>
      <c r="C2260" t="s">
        <v>496</v>
      </c>
      <c r="G2260" t="s">
        <v>16</v>
      </c>
      <c r="H2260">
        <v>0</v>
      </c>
      <c r="I2260" s="2" t="s">
        <v>941</v>
      </c>
      <c r="J2260" s="2" t="s">
        <v>5050</v>
      </c>
      <c r="K2260">
        <v>20</v>
      </c>
      <c r="L2260">
        <v>20</v>
      </c>
      <c r="M2260">
        <v>20</v>
      </c>
    </row>
    <row r="2261" spans="1:13" x14ac:dyDescent="0.25">
      <c r="A2261" t="s">
        <v>5051</v>
      </c>
      <c r="B2261" t="s">
        <v>5047</v>
      </c>
      <c r="C2261" t="s">
        <v>496</v>
      </c>
      <c r="F2261">
        <v>0</v>
      </c>
      <c r="G2261" t="s">
        <v>16</v>
      </c>
      <c r="H2261">
        <v>0</v>
      </c>
      <c r="I2261" s="2" t="s">
        <v>108</v>
      </c>
      <c r="J2261" s="3">
        <v>3581202001</v>
      </c>
      <c r="K2261">
        <v>20</v>
      </c>
      <c r="L2261">
        <v>20</v>
      </c>
      <c r="M2261">
        <v>20</v>
      </c>
    </row>
    <row r="2262" spans="1:13" x14ac:dyDescent="0.25">
      <c r="A2262" t="s">
        <v>5052</v>
      </c>
      <c r="B2262" t="s">
        <v>5047</v>
      </c>
      <c r="C2262" t="s">
        <v>496</v>
      </c>
      <c r="G2262" t="s">
        <v>16</v>
      </c>
      <c r="H2262">
        <v>0</v>
      </c>
      <c r="I2262" s="2" t="s">
        <v>5040</v>
      </c>
      <c r="J2262" s="2" t="s">
        <v>5053</v>
      </c>
      <c r="K2262">
        <v>20</v>
      </c>
      <c r="L2262">
        <v>20</v>
      </c>
      <c r="M2262">
        <v>20</v>
      </c>
    </row>
    <row r="2263" spans="1:13" x14ac:dyDescent="0.25">
      <c r="A2263" t="s">
        <v>5054</v>
      </c>
      <c r="B2263" t="s">
        <v>5047</v>
      </c>
      <c r="C2263" t="s">
        <v>496</v>
      </c>
      <c r="F2263">
        <v>0</v>
      </c>
      <c r="G2263" t="s">
        <v>16</v>
      </c>
      <c r="H2263">
        <v>0</v>
      </c>
      <c r="I2263" s="2" t="s">
        <v>4214</v>
      </c>
      <c r="J2263" s="2" t="s">
        <v>5055</v>
      </c>
      <c r="K2263">
        <v>20</v>
      </c>
      <c r="L2263">
        <v>20</v>
      </c>
      <c r="M2263">
        <v>20</v>
      </c>
    </row>
    <row r="2264" spans="1:13" x14ac:dyDescent="0.25">
      <c r="A2264" t="s">
        <v>5056</v>
      </c>
      <c r="B2264" t="s">
        <v>5047</v>
      </c>
      <c r="C2264" t="s">
        <v>496</v>
      </c>
      <c r="G2264" t="s">
        <v>16</v>
      </c>
      <c r="H2264">
        <v>0</v>
      </c>
      <c r="I2264" s="2" t="s">
        <v>5057</v>
      </c>
      <c r="J2264" s="2" t="s">
        <v>5058</v>
      </c>
      <c r="K2264">
        <v>20</v>
      </c>
      <c r="L2264">
        <v>20</v>
      </c>
      <c r="M2264">
        <v>20</v>
      </c>
    </row>
    <row r="2265" spans="1:13" x14ac:dyDescent="0.25">
      <c r="A2265" t="s">
        <v>5059</v>
      </c>
      <c r="B2265" t="s">
        <v>5047</v>
      </c>
      <c r="C2265" t="s">
        <v>2493</v>
      </c>
      <c r="F2265">
        <v>2</v>
      </c>
      <c r="G2265" t="s">
        <v>16</v>
      </c>
      <c r="H2265">
        <v>0</v>
      </c>
      <c r="I2265" s="2" t="s">
        <v>5044</v>
      </c>
      <c r="J2265" s="2" t="s">
        <v>5060</v>
      </c>
      <c r="K2265">
        <v>20</v>
      </c>
      <c r="L2265">
        <v>20</v>
      </c>
      <c r="M2265">
        <v>20</v>
      </c>
    </row>
    <row r="2266" spans="1:13" x14ac:dyDescent="0.25">
      <c r="A2266" t="s">
        <v>5061</v>
      </c>
      <c r="B2266" t="s">
        <v>5063</v>
      </c>
      <c r="C2266" t="s">
        <v>496</v>
      </c>
      <c r="D2266" t="s">
        <v>4101</v>
      </c>
      <c r="F2266">
        <v>2</v>
      </c>
      <c r="G2266" t="s">
        <v>16</v>
      </c>
      <c r="H2266">
        <v>0</v>
      </c>
      <c r="I2266" s="2" t="s">
        <v>5064</v>
      </c>
      <c r="J2266" s="2" t="s">
        <v>5062</v>
      </c>
      <c r="K2266">
        <v>20</v>
      </c>
      <c r="L2266">
        <v>20</v>
      </c>
      <c r="M2266">
        <v>20</v>
      </c>
    </row>
    <row r="2267" spans="1:13" x14ac:dyDescent="0.25">
      <c r="A2267" t="s">
        <v>5065</v>
      </c>
      <c r="B2267" t="s">
        <v>5067</v>
      </c>
      <c r="C2267" t="s">
        <v>496</v>
      </c>
      <c r="F2267">
        <v>2</v>
      </c>
      <c r="G2267" t="s">
        <v>16</v>
      </c>
      <c r="H2267">
        <v>0</v>
      </c>
      <c r="I2267" s="2" t="s">
        <v>288</v>
      </c>
      <c r="J2267" s="2" t="s">
        <v>5066</v>
      </c>
      <c r="K2267">
        <v>20</v>
      </c>
      <c r="L2267">
        <v>20</v>
      </c>
      <c r="M2267">
        <v>20</v>
      </c>
    </row>
    <row r="2268" spans="1:13" x14ac:dyDescent="0.25">
      <c r="A2268" t="s">
        <v>5068</v>
      </c>
      <c r="B2268" t="s">
        <v>5067</v>
      </c>
      <c r="C2268" t="s">
        <v>496</v>
      </c>
      <c r="F2268">
        <v>2</v>
      </c>
      <c r="G2268" t="s">
        <v>16</v>
      </c>
      <c r="H2268">
        <v>0</v>
      </c>
      <c r="I2268" s="2" t="s">
        <v>2517</v>
      </c>
      <c r="J2268" s="2" t="s">
        <v>5069</v>
      </c>
      <c r="K2268">
        <v>20</v>
      </c>
      <c r="L2268">
        <v>20</v>
      </c>
      <c r="M2268">
        <v>20</v>
      </c>
    </row>
    <row r="2269" spans="1:13" x14ac:dyDescent="0.25">
      <c r="A2269" t="s">
        <v>5070</v>
      </c>
      <c r="B2269" t="s">
        <v>5071</v>
      </c>
      <c r="C2269" t="s">
        <v>496</v>
      </c>
      <c r="D2269" t="s">
        <v>5072</v>
      </c>
      <c r="F2269">
        <v>2</v>
      </c>
      <c r="G2269" t="s">
        <v>16</v>
      </c>
      <c r="H2269">
        <v>0</v>
      </c>
      <c r="I2269" s="2" t="b">
        <v>1</v>
      </c>
      <c r="J2269" s="2" t="s">
        <v>5073</v>
      </c>
      <c r="K2269">
        <v>20</v>
      </c>
      <c r="L2269">
        <v>20</v>
      </c>
      <c r="M2269">
        <v>20</v>
      </c>
    </row>
    <row r="2270" spans="1:13" x14ac:dyDescent="0.25">
      <c r="A2270" t="s">
        <v>5074</v>
      </c>
      <c r="B2270" t="s">
        <v>5075</v>
      </c>
      <c r="C2270" t="s">
        <v>496</v>
      </c>
      <c r="D2270" t="s">
        <v>4083</v>
      </c>
      <c r="G2270" t="s">
        <v>16</v>
      </c>
      <c r="H2270">
        <v>0</v>
      </c>
      <c r="I2270" s="2" t="s">
        <v>3945</v>
      </c>
      <c r="J2270" s="2">
        <v>6141600009</v>
      </c>
      <c r="K2270">
        <v>20</v>
      </c>
      <c r="L2270">
        <v>20</v>
      </c>
      <c r="M2270">
        <v>20</v>
      </c>
    </row>
    <row r="2271" spans="1:13" x14ac:dyDescent="0.25">
      <c r="A2271" t="s">
        <v>5076</v>
      </c>
      <c r="B2271" t="s">
        <v>5075</v>
      </c>
      <c r="C2271" t="s">
        <v>496</v>
      </c>
      <c r="D2271" t="s">
        <v>5072</v>
      </c>
      <c r="G2271" t="s">
        <v>16</v>
      </c>
      <c r="H2271">
        <v>0</v>
      </c>
      <c r="I2271" s="2" t="s">
        <v>737</v>
      </c>
      <c r="J2271" s="2" t="s">
        <v>5077</v>
      </c>
      <c r="K2271">
        <v>20</v>
      </c>
      <c r="L2271">
        <v>20</v>
      </c>
      <c r="M2271">
        <v>20</v>
      </c>
    </row>
    <row r="2272" spans="1:13" x14ac:dyDescent="0.25">
      <c r="A2272" t="s">
        <v>5078</v>
      </c>
      <c r="B2272" t="s">
        <v>5079</v>
      </c>
      <c r="C2272" t="s">
        <v>2493</v>
      </c>
      <c r="D2272" t="s">
        <v>5072</v>
      </c>
      <c r="G2272" t="s">
        <v>16</v>
      </c>
      <c r="H2272">
        <v>0</v>
      </c>
      <c r="I2272" s="2" t="b">
        <v>1</v>
      </c>
      <c r="J2272" s="2" t="s">
        <v>5080</v>
      </c>
      <c r="K2272">
        <v>20</v>
      </c>
      <c r="L2272">
        <v>20</v>
      </c>
      <c r="M2272">
        <v>20</v>
      </c>
    </row>
    <row r="2273" spans="1:13" x14ac:dyDescent="0.25">
      <c r="A2273" t="s">
        <v>5081</v>
      </c>
      <c r="B2273" t="s">
        <v>5079</v>
      </c>
      <c r="C2273" t="s">
        <v>2493</v>
      </c>
      <c r="D2273" t="s">
        <v>5072</v>
      </c>
      <c r="G2273" t="s">
        <v>16</v>
      </c>
      <c r="H2273">
        <v>0</v>
      </c>
      <c r="I2273" s="2" t="s">
        <v>737</v>
      </c>
      <c r="J2273" s="2" t="s">
        <v>5082</v>
      </c>
      <c r="K2273">
        <v>20</v>
      </c>
      <c r="L2273">
        <v>20</v>
      </c>
      <c r="M2273">
        <v>20</v>
      </c>
    </row>
    <row r="2274" spans="1:13" x14ac:dyDescent="0.25">
      <c r="A2274" t="s">
        <v>5083</v>
      </c>
      <c r="B2274" t="s">
        <v>5084</v>
      </c>
      <c r="C2274" t="s">
        <v>496</v>
      </c>
      <c r="D2274" t="s">
        <v>4083</v>
      </c>
      <c r="G2274" t="s">
        <v>16</v>
      </c>
      <c r="H2274">
        <v>0</v>
      </c>
      <c r="I2274" s="2" t="s">
        <v>5085</v>
      </c>
      <c r="J2274" s="2" t="s">
        <v>5086</v>
      </c>
      <c r="K2274">
        <v>20</v>
      </c>
      <c r="L2274">
        <v>20</v>
      </c>
      <c r="M2274">
        <v>20</v>
      </c>
    </row>
    <row r="2275" spans="1:13" x14ac:dyDescent="0.25">
      <c r="A2275" t="s">
        <v>5087</v>
      </c>
      <c r="B2275" t="s">
        <v>5084</v>
      </c>
      <c r="C2275" t="s">
        <v>496</v>
      </c>
      <c r="D2275" t="s">
        <v>5072</v>
      </c>
      <c r="G2275" t="s">
        <v>16</v>
      </c>
      <c r="H2275">
        <v>0</v>
      </c>
      <c r="I2275" s="2" t="s">
        <v>737</v>
      </c>
      <c r="J2275" s="2" t="s">
        <v>5088</v>
      </c>
      <c r="K2275">
        <v>20</v>
      </c>
      <c r="L2275">
        <v>20</v>
      </c>
      <c r="M2275">
        <v>20</v>
      </c>
    </row>
    <row r="2276" spans="1:13" x14ac:dyDescent="0.25">
      <c r="A2276" t="s">
        <v>5089</v>
      </c>
      <c r="B2276" t="s">
        <v>5090</v>
      </c>
      <c r="C2276" t="s">
        <v>496</v>
      </c>
      <c r="D2276" t="s">
        <v>2360</v>
      </c>
      <c r="F2276">
        <v>1</v>
      </c>
      <c r="G2276" t="s">
        <v>16</v>
      </c>
      <c r="H2276">
        <v>0</v>
      </c>
      <c r="I2276" s="2" t="s">
        <v>2533</v>
      </c>
      <c r="J2276" s="2" t="s">
        <v>5091</v>
      </c>
      <c r="K2276">
        <v>20</v>
      </c>
      <c r="L2276">
        <v>20</v>
      </c>
      <c r="M2276">
        <v>20</v>
      </c>
    </row>
    <row r="2277" spans="1:13" x14ac:dyDescent="0.25">
      <c r="A2277" t="s">
        <v>5092</v>
      </c>
      <c r="B2277" t="s">
        <v>5093</v>
      </c>
      <c r="C2277" t="s">
        <v>496</v>
      </c>
      <c r="D2277" t="s">
        <v>4083</v>
      </c>
      <c r="F2277">
        <v>4</v>
      </c>
      <c r="G2277" t="s">
        <v>16</v>
      </c>
      <c r="H2277">
        <v>0</v>
      </c>
      <c r="I2277" s="2" t="s">
        <v>142</v>
      </c>
      <c r="J2277" s="2" t="s">
        <v>5094</v>
      </c>
      <c r="K2277">
        <v>20</v>
      </c>
      <c r="L2277">
        <v>20</v>
      </c>
      <c r="M2277">
        <v>20</v>
      </c>
    </row>
    <row r="2278" spans="1:13" x14ac:dyDescent="0.25">
      <c r="A2278" t="s">
        <v>5095</v>
      </c>
      <c r="B2278" t="s">
        <v>5093</v>
      </c>
      <c r="C2278" t="s">
        <v>496</v>
      </c>
      <c r="D2278" t="s">
        <v>4083</v>
      </c>
      <c r="G2278" t="s">
        <v>16</v>
      </c>
      <c r="H2278">
        <v>0</v>
      </c>
      <c r="I2278" s="2" t="s">
        <v>288</v>
      </c>
      <c r="J2278" s="2" t="s">
        <v>5096</v>
      </c>
      <c r="K2278">
        <v>20</v>
      </c>
      <c r="L2278">
        <v>20</v>
      </c>
      <c r="M2278">
        <v>20</v>
      </c>
    </row>
    <row r="2279" spans="1:13" x14ac:dyDescent="0.25">
      <c r="A2279" t="s">
        <v>5097</v>
      </c>
      <c r="B2279" t="s">
        <v>5093</v>
      </c>
      <c r="C2279" t="s">
        <v>496</v>
      </c>
      <c r="D2279" t="s">
        <v>5072</v>
      </c>
      <c r="F2279">
        <v>10</v>
      </c>
      <c r="G2279" t="s">
        <v>16</v>
      </c>
      <c r="H2279">
        <v>0</v>
      </c>
      <c r="I2279" s="2" t="s">
        <v>737</v>
      </c>
      <c r="J2279" s="2" t="s">
        <v>5098</v>
      </c>
      <c r="K2279">
        <v>20</v>
      </c>
      <c r="L2279">
        <v>20</v>
      </c>
      <c r="M2279">
        <v>20</v>
      </c>
    </row>
    <row r="2280" spans="1:13" x14ac:dyDescent="0.25">
      <c r="A2280" t="s">
        <v>5099</v>
      </c>
      <c r="B2280" t="s">
        <v>5100</v>
      </c>
      <c r="C2280" t="s">
        <v>496</v>
      </c>
      <c r="D2280" t="s">
        <v>4101</v>
      </c>
      <c r="F2280">
        <v>2</v>
      </c>
      <c r="G2280" t="s">
        <v>16</v>
      </c>
      <c r="H2280">
        <v>0</v>
      </c>
      <c r="I2280" s="2" t="s">
        <v>414</v>
      </c>
      <c r="J2280" s="2" t="s">
        <v>5101</v>
      </c>
      <c r="K2280">
        <v>20</v>
      </c>
      <c r="L2280">
        <v>20</v>
      </c>
      <c r="M2280">
        <v>20</v>
      </c>
    </row>
    <row r="2281" spans="1:13" x14ac:dyDescent="0.25">
      <c r="A2281" t="s">
        <v>5102</v>
      </c>
      <c r="B2281" t="s">
        <v>5103</v>
      </c>
      <c r="C2281" t="s">
        <v>496</v>
      </c>
      <c r="D2281" t="s">
        <v>4101</v>
      </c>
      <c r="F2281">
        <v>1</v>
      </c>
      <c r="G2281" t="s">
        <v>16</v>
      </c>
      <c r="H2281">
        <v>0</v>
      </c>
      <c r="I2281" s="2" t="s">
        <v>238</v>
      </c>
      <c r="J2281" s="2" t="str">
        <f>"03096"</f>
        <v>03096</v>
      </c>
      <c r="K2281">
        <v>20</v>
      </c>
      <c r="L2281">
        <v>20</v>
      </c>
      <c r="M2281">
        <v>20</v>
      </c>
    </row>
    <row r="2282" spans="1:13" x14ac:dyDescent="0.25">
      <c r="A2282" t="s">
        <v>5104</v>
      </c>
      <c r="B2282" t="s">
        <v>5105</v>
      </c>
      <c r="C2282" t="s">
        <v>496</v>
      </c>
      <c r="D2282" t="s">
        <v>4101</v>
      </c>
      <c r="G2282" t="s">
        <v>16</v>
      </c>
      <c r="H2282">
        <v>0</v>
      </c>
      <c r="I2282" s="2" t="s">
        <v>3697</v>
      </c>
      <c r="J2282" s="2" t="s">
        <v>5106</v>
      </c>
      <c r="K2282">
        <v>20</v>
      </c>
      <c r="L2282">
        <v>20</v>
      </c>
      <c r="M2282">
        <v>20</v>
      </c>
    </row>
    <row r="2283" spans="1:13" x14ac:dyDescent="0.25">
      <c r="A2283" t="s">
        <v>5107</v>
      </c>
      <c r="B2283" t="s">
        <v>5105</v>
      </c>
      <c r="C2283" t="s">
        <v>496</v>
      </c>
      <c r="D2283" t="s">
        <v>4101</v>
      </c>
      <c r="F2283">
        <v>3</v>
      </c>
      <c r="G2283" t="s">
        <v>16</v>
      </c>
      <c r="H2283">
        <v>0</v>
      </c>
      <c r="I2283" s="2" t="s">
        <v>3945</v>
      </c>
      <c r="J2283" s="2" t="s">
        <v>5108</v>
      </c>
      <c r="K2283">
        <v>20</v>
      </c>
      <c r="L2283">
        <v>20</v>
      </c>
      <c r="M2283">
        <v>20</v>
      </c>
    </row>
    <row r="2284" spans="1:13" x14ac:dyDescent="0.25">
      <c r="A2284" t="s">
        <v>5109</v>
      </c>
      <c r="B2284" t="s">
        <v>5103</v>
      </c>
      <c r="C2284" t="s">
        <v>496</v>
      </c>
      <c r="D2284" t="s">
        <v>4101</v>
      </c>
      <c r="G2284" t="s">
        <v>16</v>
      </c>
      <c r="H2284">
        <v>0</v>
      </c>
      <c r="I2284" s="2" t="s">
        <v>3808</v>
      </c>
      <c r="J2284" s="2" t="s">
        <v>5110</v>
      </c>
      <c r="K2284">
        <v>20</v>
      </c>
      <c r="L2284">
        <v>20</v>
      </c>
      <c r="M2284">
        <v>20</v>
      </c>
    </row>
    <row r="2285" spans="1:13" x14ac:dyDescent="0.25">
      <c r="A2285" t="s">
        <v>5111</v>
      </c>
      <c r="B2285" t="s">
        <v>5103</v>
      </c>
      <c r="C2285" t="s">
        <v>496</v>
      </c>
      <c r="D2285" t="s">
        <v>4101</v>
      </c>
      <c r="F2285">
        <v>2</v>
      </c>
      <c r="G2285" t="s">
        <v>16</v>
      </c>
      <c r="H2285">
        <v>0</v>
      </c>
      <c r="I2285" s="2" t="s">
        <v>408</v>
      </c>
      <c r="J2285" s="2" t="s">
        <v>5112</v>
      </c>
      <c r="K2285">
        <v>20</v>
      </c>
      <c r="L2285">
        <v>20</v>
      </c>
      <c r="M2285">
        <v>20</v>
      </c>
    </row>
    <row r="2286" spans="1:13" x14ac:dyDescent="0.25">
      <c r="A2286" t="s">
        <v>5113</v>
      </c>
      <c r="B2286" t="s">
        <v>5114</v>
      </c>
      <c r="C2286" t="s">
        <v>496</v>
      </c>
      <c r="D2286" t="s">
        <v>4101</v>
      </c>
      <c r="F2286">
        <v>4</v>
      </c>
      <c r="G2286" t="s">
        <v>16</v>
      </c>
      <c r="H2286">
        <v>0</v>
      </c>
      <c r="I2286" s="2" t="s">
        <v>238</v>
      </c>
      <c r="J2286" s="2" t="str">
        <f>"03674"</f>
        <v>03674</v>
      </c>
      <c r="K2286">
        <v>20</v>
      </c>
      <c r="L2286">
        <v>20</v>
      </c>
      <c r="M2286">
        <v>20</v>
      </c>
    </row>
    <row r="2287" spans="1:13" x14ac:dyDescent="0.25">
      <c r="A2287" t="s">
        <v>5115</v>
      </c>
      <c r="B2287" t="s">
        <v>5114</v>
      </c>
      <c r="C2287" t="s">
        <v>496</v>
      </c>
      <c r="D2287" t="s">
        <v>4101</v>
      </c>
      <c r="G2287" t="s">
        <v>16</v>
      </c>
      <c r="H2287">
        <v>0</v>
      </c>
      <c r="I2287" s="2" t="s">
        <v>3808</v>
      </c>
      <c r="J2287" s="2" t="s">
        <v>5116</v>
      </c>
      <c r="K2287">
        <v>20</v>
      </c>
      <c r="L2287">
        <v>20</v>
      </c>
      <c r="M2287">
        <v>20</v>
      </c>
    </row>
    <row r="2288" spans="1:13" x14ac:dyDescent="0.25">
      <c r="A2288" t="s">
        <v>5117</v>
      </c>
      <c r="B2288" t="s">
        <v>5114</v>
      </c>
      <c r="C2288" t="s">
        <v>496</v>
      </c>
      <c r="D2288" t="s">
        <v>4101</v>
      </c>
      <c r="G2288" t="s">
        <v>16</v>
      </c>
      <c r="H2288">
        <v>0</v>
      </c>
      <c r="I2288" s="2" t="s">
        <v>486</v>
      </c>
      <c r="J2288" s="2">
        <v>40850002</v>
      </c>
      <c r="K2288">
        <v>20</v>
      </c>
      <c r="L2288">
        <v>20</v>
      </c>
      <c r="M2288">
        <v>20</v>
      </c>
    </row>
    <row r="2289" spans="1:13" x14ac:dyDescent="0.25">
      <c r="A2289" t="s">
        <v>5118</v>
      </c>
      <c r="B2289" t="s">
        <v>5119</v>
      </c>
      <c r="C2289" t="s">
        <v>496</v>
      </c>
      <c r="D2289" t="s">
        <v>4101</v>
      </c>
      <c r="G2289" t="s">
        <v>16</v>
      </c>
      <c r="H2289">
        <v>0</v>
      </c>
      <c r="I2289" s="2" t="s">
        <v>5120</v>
      </c>
      <c r="J2289" s="2">
        <v>8622</v>
      </c>
      <c r="K2289">
        <v>20</v>
      </c>
      <c r="L2289">
        <v>20</v>
      </c>
      <c r="M2289">
        <v>20</v>
      </c>
    </row>
    <row r="2290" spans="1:13" x14ac:dyDescent="0.25">
      <c r="A2290" t="s">
        <v>5121</v>
      </c>
      <c r="B2290" t="s">
        <v>5122</v>
      </c>
      <c r="C2290" t="s">
        <v>496</v>
      </c>
      <c r="D2290" t="s">
        <v>4101</v>
      </c>
      <c r="F2290">
        <v>3</v>
      </c>
      <c r="G2290" t="s">
        <v>16</v>
      </c>
      <c r="H2290">
        <v>0</v>
      </c>
      <c r="I2290" s="2" t="s">
        <v>3945</v>
      </c>
      <c r="J2290" s="2">
        <v>6141600004</v>
      </c>
      <c r="K2290">
        <v>20</v>
      </c>
      <c r="L2290">
        <v>20</v>
      </c>
      <c r="M2290">
        <v>20</v>
      </c>
    </row>
    <row r="2291" spans="1:13" x14ac:dyDescent="0.25">
      <c r="A2291" t="s">
        <v>5123</v>
      </c>
      <c r="B2291" t="s">
        <v>5119</v>
      </c>
      <c r="C2291" t="s">
        <v>496</v>
      </c>
      <c r="D2291" t="s">
        <v>4101</v>
      </c>
      <c r="G2291" t="s">
        <v>16</v>
      </c>
      <c r="H2291">
        <v>0</v>
      </c>
      <c r="I2291" s="2" t="s">
        <v>3808</v>
      </c>
      <c r="J2291" s="2" t="s">
        <v>5124</v>
      </c>
      <c r="K2291">
        <v>20</v>
      </c>
      <c r="L2291">
        <v>20</v>
      </c>
      <c r="M2291">
        <v>20</v>
      </c>
    </row>
    <row r="2292" spans="1:13" x14ac:dyDescent="0.25">
      <c r="A2292" t="s">
        <v>5125</v>
      </c>
      <c r="B2292" t="s">
        <v>5126</v>
      </c>
      <c r="C2292" t="s">
        <v>496</v>
      </c>
      <c r="D2292" t="s">
        <v>4101</v>
      </c>
      <c r="F2292">
        <v>2</v>
      </c>
      <c r="G2292" t="s">
        <v>16</v>
      </c>
      <c r="H2292">
        <v>0</v>
      </c>
      <c r="I2292" s="2" t="s">
        <v>400</v>
      </c>
      <c r="J2292" s="2" t="s">
        <v>5127</v>
      </c>
      <c r="K2292">
        <v>20</v>
      </c>
      <c r="L2292">
        <v>20</v>
      </c>
      <c r="M2292">
        <v>20</v>
      </c>
    </row>
    <row r="2293" spans="1:13" x14ac:dyDescent="0.25">
      <c r="A2293" t="s">
        <v>5128</v>
      </c>
      <c r="B2293" t="s">
        <v>5129</v>
      </c>
      <c r="C2293" t="s">
        <v>496</v>
      </c>
      <c r="D2293" t="s">
        <v>4101</v>
      </c>
      <c r="F2293">
        <v>1</v>
      </c>
      <c r="G2293" t="s">
        <v>16</v>
      </c>
      <c r="H2293">
        <v>0</v>
      </c>
      <c r="I2293" s="2" t="s">
        <v>4105</v>
      </c>
      <c r="J2293" s="2">
        <v>713644190</v>
      </c>
      <c r="K2293">
        <v>20</v>
      </c>
      <c r="L2293">
        <v>20</v>
      </c>
      <c r="M2293">
        <v>20</v>
      </c>
    </row>
    <row r="2294" spans="1:13" x14ac:dyDescent="0.25">
      <c r="A2294" t="s">
        <v>5130</v>
      </c>
      <c r="B2294" t="s">
        <v>5131</v>
      </c>
      <c r="C2294" t="s">
        <v>496</v>
      </c>
      <c r="D2294" t="s">
        <v>5072</v>
      </c>
      <c r="G2294" t="s">
        <v>16</v>
      </c>
      <c r="H2294">
        <v>0</v>
      </c>
      <c r="I2294" s="2" t="s">
        <v>3808</v>
      </c>
      <c r="J2294" s="2" t="s">
        <v>5132</v>
      </c>
      <c r="K2294">
        <v>20</v>
      </c>
      <c r="L2294">
        <v>20</v>
      </c>
      <c r="M2294">
        <v>20</v>
      </c>
    </row>
    <row r="2295" spans="1:13" x14ac:dyDescent="0.25">
      <c r="A2295" t="s">
        <v>5133</v>
      </c>
      <c r="B2295" t="s">
        <v>5129</v>
      </c>
      <c r="C2295" t="s">
        <v>496</v>
      </c>
      <c r="D2295" t="s">
        <v>4083</v>
      </c>
      <c r="F2295">
        <v>1</v>
      </c>
      <c r="G2295" t="s">
        <v>16</v>
      </c>
      <c r="H2295">
        <v>0</v>
      </c>
      <c r="I2295" s="2" t="s">
        <v>854</v>
      </c>
      <c r="J2295" s="2">
        <v>502594</v>
      </c>
      <c r="K2295">
        <v>20</v>
      </c>
      <c r="L2295">
        <v>20</v>
      </c>
      <c r="M2295">
        <v>20</v>
      </c>
    </row>
    <row r="2296" spans="1:13" x14ac:dyDescent="0.25">
      <c r="A2296" t="s">
        <v>5134</v>
      </c>
      <c r="B2296" t="s">
        <v>5135</v>
      </c>
      <c r="C2296" t="s">
        <v>496</v>
      </c>
      <c r="F2296">
        <v>4</v>
      </c>
      <c r="G2296" t="s">
        <v>16</v>
      </c>
      <c r="H2296">
        <v>0</v>
      </c>
      <c r="I2296" s="2" t="s">
        <v>2533</v>
      </c>
      <c r="J2296" s="2" t="s">
        <v>5136</v>
      </c>
      <c r="K2296">
        <v>20</v>
      </c>
      <c r="L2296">
        <v>20</v>
      </c>
      <c r="M2296">
        <v>20</v>
      </c>
    </row>
    <row r="2297" spans="1:13" x14ac:dyDescent="0.25">
      <c r="A2297" t="s">
        <v>5137</v>
      </c>
      <c r="B2297" t="s">
        <v>5135</v>
      </c>
      <c r="C2297" t="s">
        <v>2493</v>
      </c>
      <c r="G2297" t="s">
        <v>16</v>
      </c>
      <c r="H2297">
        <v>0</v>
      </c>
      <c r="I2297" s="2" t="s">
        <v>5040</v>
      </c>
      <c r="J2297" s="2" t="s">
        <v>5138</v>
      </c>
      <c r="K2297">
        <v>20</v>
      </c>
      <c r="L2297">
        <v>20</v>
      </c>
      <c r="M2297">
        <v>20</v>
      </c>
    </row>
    <row r="2298" spans="1:13" x14ac:dyDescent="0.25">
      <c r="A2298" t="s">
        <v>5139</v>
      </c>
      <c r="B2298" t="s">
        <v>5141</v>
      </c>
      <c r="C2298" t="s">
        <v>496</v>
      </c>
      <c r="F2298">
        <v>6</v>
      </c>
      <c r="G2298" t="s">
        <v>16</v>
      </c>
      <c r="H2298">
        <v>0</v>
      </c>
      <c r="I2298" s="2" t="s">
        <v>288</v>
      </c>
      <c r="J2298" s="2" t="s">
        <v>5140</v>
      </c>
      <c r="K2298">
        <v>20</v>
      </c>
      <c r="L2298">
        <v>20</v>
      </c>
      <c r="M2298">
        <v>20</v>
      </c>
    </row>
    <row r="2299" spans="1:13" x14ac:dyDescent="0.25">
      <c r="A2299" t="s">
        <v>5142</v>
      </c>
      <c r="B2299" t="s">
        <v>5141</v>
      </c>
      <c r="C2299" t="s">
        <v>496</v>
      </c>
      <c r="F2299">
        <v>2</v>
      </c>
      <c r="G2299" t="s">
        <v>16</v>
      </c>
      <c r="H2299">
        <v>0</v>
      </c>
      <c r="I2299" s="2" t="s">
        <v>2517</v>
      </c>
      <c r="J2299" s="2" t="s">
        <v>5143</v>
      </c>
      <c r="K2299">
        <v>20</v>
      </c>
      <c r="L2299">
        <v>20</v>
      </c>
      <c r="M2299">
        <v>20</v>
      </c>
    </row>
    <row r="2300" spans="1:13" x14ac:dyDescent="0.25">
      <c r="A2300" t="s">
        <v>5144</v>
      </c>
      <c r="B2300" t="s">
        <v>5141</v>
      </c>
      <c r="C2300" t="s">
        <v>496</v>
      </c>
      <c r="F2300">
        <v>2</v>
      </c>
      <c r="G2300" t="s">
        <v>16</v>
      </c>
      <c r="H2300">
        <v>0</v>
      </c>
      <c r="I2300" s="2" t="s">
        <v>4214</v>
      </c>
      <c r="J2300" s="2" t="s">
        <v>5145</v>
      </c>
      <c r="K2300">
        <v>20</v>
      </c>
      <c r="L2300">
        <v>20</v>
      </c>
      <c r="M2300">
        <v>20</v>
      </c>
    </row>
    <row r="2301" spans="1:13" x14ac:dyDescent="0.25">
      <c r="A2301" t="s">
        <v>5146</v>
      </c>
      <c r="B2301" t="s">
        <v>5147</v>
      </c>
      <c r="C2301" t="s">
        <v>2493</v>
      </c>
      <c r="D2301" t="s">
        <v>4101</v>
      </c>
      <c r="G2301" t="s">
        <v>16</v>
      </c>
      <c r="H2301">
        <v>0</v>
      </c>
      <c r="I2301" s="2" t="s">
        <v>491</v>
      </c>
      <c r="J2301" s="2">
        <v>359002503160</v>
      </c>
      <c r="K2301">
        <v>20</v>
      </c>
      <c r="L2301">
        <v>20</v>
      </c>
      <c r="M2301">
        <v>20</v>
      </c>
    </row>
    <row r="2302" spans="1:13" x14ac:dyDescent="0.25">
      <c r="A2302" t="s">
        <v>5148</v>
      </c>
      <c r="B2302" t="s">
        <v>5150</v>
      </c>
      <c r="C2302" t="s">
        <v>496</v>
      </c>
      <c r="D2302" t="s">
        <v>4101</v>
      </c>
      <c r="F2302">
        <v>2</v>
      </c>
      <c r="G2302" t="s">
        <v>16</v>
      </c>
      <c r="H2302">
        <v>0</v>
      </c>
      <c r="I2302" s="2" t="s">
        <v>765</v>
      </c>
      <c r="J2302" s="2" t="s">
        <v>5149</v>
      </c>
      <c r="K2302">
        <v>20</v>
      </c>
      <c r="L2302">
        <v>20</v>
      </c>
      <c r="M2302">
        <v>20</v>
      </c>
    </row>
    <row r="2303" spans="1:13" x14ac:dyDescent="0.25">
      <c r="A2303" t="s">
        <v>5151</v>
      </c>
      <c r="B2303" t="s">
        <v>5150</v>
      </c>
      <c r="C2303" t="s">
        <v>496</v>
      </c>
      <c r="D2303" t="s">
        <v>4101</v>
      </c>
      <c r="G2303" t="s">
        <v>16</v>
      </c>
      <c r="H2303">
        <v>0</v>
      </c>
      <c r="I2303" s="2" t="s">
        <v>2639</v>
      </c>
      <c r="J2303" s="2" t="s">
        <v>5152</v>
      </c>
      <c r="K2303">
        <v>20</v>
      </c>
      <c r="L2303">
        <v>20</v>
      </c>
      <c r="M2303">
        <v>20</v>
      </c>
    </row>
    <row r="2304" spans="1:13" x14ac:dyDescent="0.25">
      <c r="A2304" t="s">
        <v>5153</v>
      </c>
      <c r="B2304" t="s">
        <v>5150</v>
      </c>
      <c r="C2304" t="s">
        <v>496</v>
      </c>
      <c r="D2304" t="s">
        <v>4101</v>
      </c>
      <c r="F2304">
        <v>2</v>
      </c>
      <c r="G2304" t="s">
        <v>16</v>
      </c>
      <c r="H2304">
        <v>0</v>
      </c>
      <c r="I2304" s="2" t="s">
        <v>5155</v>
      </c>
      <c r="J2304" s="2" t="s">
        <v>5154</v>
      </c>
      <c r="K2304">
        <v>20</v>
      </c>
      <c r="L2304">
        <v>20</v>
      </c>
      <c r="M2304">
        <v>20</v>
      </c>
    </row>
    <row r="2305" spans="1:13" x14ac:dyDescent="0.25">
      <c r="A2305" t="s">
        <v>5156</v>
      </c>
      <c r="B2305" t="s">
        <v>5150</v>
      </c>
      <c r="C2305" t="s">
        <v>496</v>
      </c>
      <c r="D2305" t="s">
        <v>4101</v>
      </c>
      <c r="G2305" t="s">
        <v>16</v>
      </c>
      <c r="H2305">
        <v>0</v>
      </c>
      <c r="I2305" s="2" t="s">
        <v>414</v>
      </c>
      <c r="J2305" s="2" t="s">
        <v>5157</v>
      </c>
      <c r="K2305">
        <v>20</v>
      </c>
      <c r="L2305">
        <v>20</v>
      </c>
      <c r="M2305">
        <v>20</v>
      </c>
    </row>
    <row r="2306" spans="1:13" x14ac:dyDescent="0.25">
      <c r="A2306" t="s">
        <v>5158</v>
      </c>
      <c r="B2306" t="s">
        <v>5150</v>
      </c>
      <c r="C2306" t="s">
        <v>496</v>
      </c>
      <c r="D2306" t="s">
        <v>4101</v>
      </c>
      <c r="G2306" t="s">
        <v>16</v>
      </c>
      <c r="H2306">
        <v>0</v>
      </c>
      <c r="I2306" s="2" t="s">
        <v>1674</v>
      </c>
      <c r="J2306" s="2" t="s">
        <v>5159</v>
      </c>
      <c r="K2306">
        <v>20</v>
      </c>
      <c r="L2306">
        <v>20</v>
      </c>
      <c r="M2306">
        <v>20</v>
      </c>
    </row>
    <row r="2307" spans="1:13" x14ac:dyDescent="0.25">
      <c r="A2307" t="s">
        <v>5160</v>
      </c>
      <c r="B2307" t="s">
        <v>5162</v>
      </c>
      <c r="C2307" t="s">
        <v>496</v>
      </c>
      <c r="D2307" t="s">
        <v>4101</v>
      </c>
      <c r="F2307">
        <v>3</v>
      </c>
      <c r="G2307" t="s">
        <v>16</v>
      </c>
      <c r="H2307">
        <v>0</v>
      </c>
      <c r="I2307" s="2" t="s">
        <v>765</v>
      </c>
      <c r="J2307" s="2" t="s">
        <v>5161</v>
      </c>
      <c r="K2307">
        <v>20</v>
      </c>
      <c r="L2307">
        <v>20</v>
      </c>
      <c r="M2307">
        <v>20</v>
      </c>
    </row>
    <row r="2308" spans="1:13" x14ac:dyDescent="0.25">
      <c r="A2308" t="s">
        <v>5163</v>
      </c>
      <c r="B2308" t="s">
        <v>5165</v>
      </c>
      <c r="C2308" t="s">
        <v>496</v>
      </c>
      <c r="F2308">
        <v>3</v>
      </c>
      <c r="G2308" t="s">
        <v>16</v>
      </c>
      <c r="H2308">
        <v>0</v>
      </c>
      <c r="I2308" s="2" t="s">
        <v>288</v>
      </c>
      <c r="J2308" s="2" t="s">
        <v>5164</v>
      </c>
      <c r="K2308">
        <v>20</v>
      </c>
      <c r="L2308">
        <v>20</v>
      </c>
      <c r="M2308">
        <v>20</v>
      </c>
    </row>
    <row r="2309" spans="1:13" x14ac:dyDescent="0.25">
      <c r="A2309" t="s">
        <v>5166</v>
      </c>
      <c r="B2309" t="s">
        <v>5165</v>
      </c>
      <c r="C2309" t="s">
        <v>496</v>
      </c>
      <c r="F2309">
        <v>14</v>
      </c>
      <c r="G2309" t="s">
        <v>16</v>
      </c>
      <c r="H2309">
        <v>0</v>
      </c>
      <c r="I2309" s="2" t="s">
        <v>2517</v>
      </c>
      <c r="J2309" s="2" t="s">
        <v>5167</v>
      </c>
      <c r="K2309">
        <v>20</v>
      </c>
      <c r="L2309">
        <v>20</v>
      </c>
      <c r="M2309">
        <v>20</v>
      </c>
    </row>
    <row r="2310" spans="1:13" x14ac:dyDescent="0.25">
      <c r="A2310" t="s">
        <v>5168</v>
      </c>
      <c r="B2310" t="s">
        <v>5165</v>
      </c>
      <c r="C2310" t="s">
        <v>496</v>
      </c>
      <c r="G2310" t="s">
        <v>16</v>
      </c>
      <c r="H2310">
        <v>0</v>
      </c>
      <c r="I2310" s="2" t="s">
        <v>941</v>
      </c>
      <c r="J2310" s="2" t="s">
        <v>5169</v>
      </c>
      <c r="K2310">
        <v>20</v>
      </c>
      <c r="L2310">
        <v>20</v>
      </c>
      <c r="M2310">
        <v>20</v>
      </c>
    </row>
    <row r="2311" spans="1:13" x14ac:dyDescent="0.25">
      <c r="A2311" t="s">
        <v>5170</v>
      </c>
      <c r="B2311" t="s">
        <v>5165</v>
      </c>
      <c r="C2311" t="s">
        <v>2493</v>
      </c>
      <c r="D2311" t="s">
        <v>2360</v>
      </c>
      <c r="G2311" t="s">
        <v>16</v>
      </c>
      <c r="H2311">
        <v>0</v>
      </c>
      <c r="I2311" s="2" t="s">
        <v>5040</v>
      </c>
      <c r="J2311" s="2" t="s">
        <v>5171</v>
      </c>
      <c r="K2311">
        <v>20</v>
      </c>
      <c r="L2311">
        <v>20</v>
      </c>
      <c r="M2311">
        <v>20</v>
      </c>
    </row>
    <row r="2312" spans="1:13" x14ac:dyDescent="0.25">
      <c r="A2312" t="s">
        <v>5172</v>
      </c>
      <c r="B2312" t="s">
        <v>5174</v>
      </c>
      <c r="C2312" t="s">
        <v>496</v>
      </c>
      <c r="F2312">
        <v>13</v>
      </c>
      <c r="G2312" t="s">
        <v>16</v>
      </c>
      <c r="H2312">
        <v>0</v>
      </c>
      <c r="I2312" s="2" t="s">
        <v>765</v>
      </c>
      <c r="J2312" s="2" t="s">
        <v>5173</v>
      </c>
      <c r="K2312">
        <v>20</v>
      </c>
      <c r="L2312">
        <v>20</v>
      </c>
      <c r="M2312">
        <v>20</v>
      </c>
    </row>
    <row r="2313" spans="1:13" x14ac:dyDescent="0.25">
      <c r="A2313" t="s">
        <v>5175</v>
      </c>
      <c r="B2313" t="s">
        <v>5174</v>
      </c>
      <c r="C2313" t="s">
        <v>496</v>
      </c>
      <c r="G2313" t="s">
        <v>16</v>
      </c>
      <c r="H2313">
        <v>0</v>
      </c>
      <c r="I2313" s="2" t="s">
        <v>2517</v>
      </c>
      <c r="J2313" s="2" t="s">
        <v>5176</v>
      </c>
      <c r="K2313">
        <v>20</v>
      </c>
      <c r="L2313">
        <v>20</v>
      </c>
      <c r="M2313">
        <v>20</v>
      </c>
    </row>
    <row r="2314" spans="1:13" x14ac:dyDescent="0.25">
      <c r="A2314" t="s">
        <v>5177</v>
      </c>
      <c r="B2314" t="s">
        <v>5174</v>
      </c>
      <c r="C2314" t="s">
        <v>496</v>
      </c>
      <c r="F2314">
        <v>2</v>
      </c>
      <c r="G2314" t="s">
        <v>16</v>
      </c>
      <c r="H2314">
        <v>0</v>
      </c>
      <c r="I2314" s="2" t="s">
        <v>5155</v>
      </c>
      <c r="J2314" s="2" t="s">
        <v>5178</v>
      </c>
      <c r="K2314">
        <v>20</v>
      </c>
      <c r="L2314">
        <v>20</v>
      </c>
      <c r="M2314">
        <v>20</v>
      </c>
    </row>
    <row r="2315" spans="1:13" x14ac:dyDescent="0.25">
      <c r="A2315" t="s">
        <v>5179</v>
      </c>
      <c r="B2315" t="s">
        <v>5174</v>
      </c>
      <c r="C2315" t="s">
        <v>496</v>
      </c>
      <c r="F2315">
        <v>0</v>
      </c>
      <c r="G2315" t="s">
        <v>16</v>
      </c>
      <c r="H2315">
        <v>0</v>
      </c>
      <c r="I2315" s="2" t="s">
        <v>5180</v>
      </c>
      <c r="J2315" s="2" t="s">
        <v>5181</v>
      </c>
      <c r="K2315">
        <v>20</v>
      </c>
      <c r="L2315">
        <v>20</v>
      </c>
      <c r="M2315">
        <v>20</v>
      </c>
    </row>
    <row r="2316" spans="1:13" x14ac:dyDescent="0.25">
      <c r="A2316" t="s">
        <v>5182</v>
      </c>
      <c r="B2316" t="s">
        <v>5174</v>
      </c>
      <c r="C2316" t="s">
        <v>496</v>
      </c>
      <c r="F2316">
        <v>2</v>
      </c>
      <c r="G2316" t="s">
        <v>16</v>
      </c>
      <c r="H2316">
        <v>0</v>
      </c>
      <c r="I2316" s="2" t="s">
        <v>4214</v>
      </c>
      <c r="J2316" s="2" t="s">
        <v>5183</v>
      </c>
      <c r="K2316">
        <v>20</v>
      </c>
      <c r="L2316">
        <v>20</v>
      </c>
      <c r="M2316">
        <v>20</v>
      </c>
    </row>
    <row r="2317" spans="1:13" x14ac:dyDescent="0.25">
      <c r="A2317" t="s">
        <v>5184</v>
      </c>
      <c r="B2317" t="s">
        <v>5174</v>
      </c>
      <c r="C2317" t="s">
        <v>496</v>
      </c>
      <c r="F2317">
        <v>0</v>
      </c>
      <c r="G2317" t="s">
        <v>16</v>
      </c>
      <c r="H2317">
        <v>0</v>
      </c>
      <c r="I2317" s="2" t="s">
        <v>5044</v>
      </c>
      <c r="J2317" s="2" t="s">
        <v>5185</v>
      </c>
      <c r="K2317">
        <v>20</v>
      </c>
      <c r="L2317">
        <v>20</v>
      </c>
      <c r="M2317">
        <v>20</v>
      </c>
    </row>
    <row r="2318" spans="1:13" x14ac:dyDescent="0.25">
      <c r="A2318" t="s">
        <v>5186</v>
      </c>
      <c r="B2318" t="s">
        <v>5187</v>
      </c>
      <c r="C2318" t="s">
        <v>496</v>
      </c>
      <c r="D2318" t="s">
        <v>4083</v>
      </c>
      <c r="F2318">
        <v>2</v>
      </c>
      <c r="G2318" t="s">
        <v>16</v>
      </c>
      <c r="H2318">
        <v>0</v>
      </c>
      <c r="I2318" s="2" t="s">
        <v>64</v>
      </c>
      <c r="J2318" s="2">
        <v>10020158</v>
      </c>
      <c r="K2318">
        <v>20</v>
      </c>
      <c r="L2318">
        <v>20</v>
      </c>
      <c r="M2318">
        <v>20</v>
      </c>
    </row>
    <row r="2319" spans="1:13" x14ac:dyDescent="0.25">
      <c r="A2319" t="s">
        <v>5188</v>
      </c>
      <c r="B2319" t="s">
        <v>5187</v>
      </c>
      <c r="C2319" t="s">
        <v>496</v>
      </c>
      <c r="D2319" t="s">
        <v>5072</v>
      </c>
      <c r="F2319">
        <v>1</v>
      </c>
      <c r="G2319" t="s">
        <v>16</v>
      </c>
      <c r="H2319">
        <v>0</v>
      </c>
      <c r="I2319" s="2" t="s">
        <v>737</v>
      </c>
      <c r="J2319" s="2" t="s">
        <v>5189</v>
      </c>
      <c r="K2319">
        <v>20</v>
      </c>
      <c r="L2319">
        <v>20</v>
      </c>
      <c r="M2319">
        <v>20</v>
      </c>
    </row>
    <row r="2320" spans="1:13" x14ac:dyDescent="0.25">
      <c r="A2320" t="s">
        <v>5190</v>
      </c>
      <c r="B2320" t="s">
        <v>5191</v>
      </c>
      <c r="C2320" t="s">
        <v>496</v>
      </c>
      <c r="F2320">
        <v>3</v>
      </c>
      <c r="G2320" t="s">
        <v>16</v>
      </c>
      <c r="H2320">
        <v>0</v>
      </c>
      <c r="I2320" s="2" t="s">
        <v>2517</v>
      </c>
      <c r="J2320" s="2" t="s">
        <v>5192</v>
      </c>
      <c r="K2320">
        <v>20</v>
      </c>
      <c r="L2320">
        <v>20</v>
      </c>
      <c r="M2320">
        <v>20</v>
      </c>
    </row>
    <row r="2321" spans="1:13" x14ac:dyDescent="0.25">
      <c r="A2321" t="s">
        <v>5193</v>
      </c>
      <c r="B2321" t="s">
        <v>5194</v>
      </c>
      <c r="C2321" t="s">
        <v>496</v>
      </c>
      <c r="F2321">
        <v>1</v>
      </c>
      <c r="G2321" t="s">
        <v>16</v>
      </c>
      <c r="H2321">
        <v>0</v>
      </c>
      <c r="I2321" s="2" t="s">
        <v>2533</v>
      </c>
      <c r="J2321" s="2" t="s">
        <v>5195</v>
      </c>
      <c r="K2321">
        <v>20</v>
      </c>
      <c r="L2321">
        <v>20</v>
      </c>
      <c r="M2321">
        <v>20</v>
      </c>
    </row>
    <row r="2322" spans="1:13" x14ac:dyDescent="0.25">
      <c r="A2322" t="s">
        <v>5196</v>
      </c>
      <c r="B2322" t="s">
        <v>5197</v>
      </c>
      <c r="C2322" t="s">
        <v>496</v>
      </c>
      <c r="F2322">
        <v>1</v>
      </c>
      <c r="G2322" t="s">
        <v>16</v>
      </c>
      <c r="H2322">
        <v>0</v>
      </c>
      <c r="I2322" s="2" t="s">
        <v>266</v>
      </c>
      <c r="J2322" s="2" t="s">
        <v>5198</v>
      </c>
      <c r="K2322">
        <v>20</v>
      </c>
      <c r="L2322">
        <v>20</v>
      </c>
      <c r="M2322">
        <v>20</v>
      </c>
    </row>
    <row r="2323" spans="1:13" x14ac:dyDescent="0.25">
      <c r="A2323" t="s">
        <v>5199</v>
      </c>
      <c r="B2323" t="s">
        <v>5200</v>
      </c>
      <c r="C2323" t="s">
        <v>496</v>
      </c>
      <c r="G2323" t="s">
        <v>16</v>
      </c>
      <c r="H2323">
        <v>0</v>
      </c>
      <c r="I2323" s="2" t="s">
        <v>2517</v>
      </c>
      <c r="J2323" s="2" t="s">
        <v>5201</v>
      </c>
      <c r="K2323">
        <v>20</v>
      </c>
      <c r="L2323">
        <v>20</v>
      </c>
      <c r="M2323">
        <v>20</v>
      </c>
    </row>
    <row r="2324" spans="1:13" x14ac:dyDescent="0.25">
      <c r="A2324" t="s">
        <v>5202</v>
      </c>
      <c r="B2324" t="s">
        <v>5200</v>
      </c>
      <c r="C2324" t="s">
        <v>496</v>
      </c>
      <c r="G2324" t="s">
        <v>16</v>
      </c>
      <c r="H2324">
        <v>0</v>
      </c>
      <c r="I2324" s="2" t="s">
        <v>4086</v>
      </c>
      <c r="J2324" s="2" t="str">
        <f>"00867"</f>
        <v>00867</v>
      </c>
      <c r="K2324">
        <v>20</v>
      </c>
      <c r="L2324">
        <v>20</v>
      </c>
      <c r="M2324">
        <v>20</v>
      </c>
    </row>
    <row r="2325" spans="1:13" x14ac:dyDescent="0.25">
      <c r="A2325" t="s">
        <v>5203</v>
      </c>
      <c r="B2325" t="s">
        <v>5204</v>
      </c>
      <c r="C2325" t="s">
        <v>496</v>
      </c>
      <c r="D2325" t="s">
        <v>4083</v>
      </c>
      <c r="F2325">
        <v>-1</v>
      </c>
      <c r="G2325" t="s">
        <v>16</v>
      </c>
      <c r="H2325">
        <v>0</v>
      </c>
      <c r="I2325" s="2" t="b">
        <v>1</v>
      </c>
      <c r="J2325" s="2" t="s">
        <v>5205</v>
      </c>
      <c r="K2325">
        <v>20</v>
      </c>
      <c r="L2325">
        <v>20</v>
      </c>
      <c r="M2325">
        <v>20</v>
      </c>
    </row>
    <row r="2326" spans="1:13" x14ac:dyDescent="0.25">
      <c r="A2326" t="s">
        <v>5206</v>
      </c>
      <c r="B2326" t="s">
        <v>5204</v>
      </c>
      <c r="C2326" t="s">
        <v>2493</v>
      </c>
      <c r="D2326" t="s">
        <v>5072</v>
      </c>
      <c r="G2326" t="s">
        <v>16</v>
      </c>
      <c r="H2326">
        <v>0</v>
      </c>
      <c r="I2326" s="2" t="s">
        <v>737</v>
      </c>
      <c r="J2326" s="2" t="s">
        <v>5207</v>
      </c>
      <c r="K2326">
        <v>20</v>
      </c>
      <c r="L2326">
        <v>20</v>
      </c>
      <c r="M2326">
        <v>20</v>
      </c>
    </row>
    <row r="2327" spans="1:13" x14ac:dyDescent="0.25">
      <c r="A2327" t="s">
        <v>5208</v>
      </c>
      <c r="B2327" t="s">
        <v>5209</v>
      </c>
      <c r="C2327" t="s">
        <v>496</v>
      </c>
      <c r="D2327" t="s">
        <v>4083</v>
      </c>
      <c r="F2327">
        <v>3</v>
      </c>
      <c r="G2327" t="s">
        <v>16</v>
      </c>
      <c r="H2327">
        <v>0</v>
      </c>
      <c r="I2327" s="2" t="s">
        <v>142</v>
      </c>
      <c r="J2327" s="2" t="s">
        <v>5210</v>
      </c>
      <c r="K2327">
        <v>20</v>
      </c>
      <c r="L2327">
        <v>20</v>
      </c>
      <c r="M2327">
        <v>20</v>
      </c>
    </row>
    <row r="2328" spans="1:13" x14ac:dyDescent="0.25">
      <c r="A2328" t="s">
        <v>5211</v>
      </c>
      <c r="B2328" t="s">
        <v>5209</v>
      </c>
      <c r="C2328" t="s">
        <v>496</v>
      </c>
      <c r="D2328" t="s">
        <v>4083</v>
      </c>
      <c r="F2328">
        <v>2</v>
      </c>
      <c r="G2328" t="s">
        <v>16</v>
      </c>
      <c r="H2328">
        <v>0</v>
      </c>
      <c r="I2328" s="2" t="s">
        <v>5085</v>
      </c>
      <c r="J2328" s="2" t="s">
        <v>5212</v>
      </c>
      <c r="K2328">
        <v>20</v>
      </c>
      <c r="L2328">
        <v>20</v>
      </c>
      <c r="M2328">
        <v>20</v>
      </c>
    </row>
    <row r="2329" spans="1:13" x14ac:dyDescent="0.25">
      <c r="A2329" t="s">
        <v>5213</v>
      </c>
      <c r="B2329" t="s">
        <v>5209</v>
      </c>
      <c r="C2329" t="s">
        <v>496</v>
      </c>
      <c r="D2329" t="s">
        <v>5072</v>
      </c>
      <c r="G2329" t="s">
        <v>16</v>
      </c>
      <c r="H2329">
        <v>0</v>
      </c>
      <c r="I2329" s="2" t="s">
        <v>737</v>
      </c>
      <c r="J2329" s="2" t="s">
        <v>5214</v>
      </c>
      <c r="K2329">
        <v>20</v>
      </c>
      <c r="L2329">
        <v>20</v>
      </c>
      <c r="M2329">
        <v>20</v>
      </c>
    </row>
    <row r="2330" spans="1:13" x14ac:dyDescent="0.25">
      <c r="A2330" t="s">
        <v>5215</v>
      </c>
      <c r="B2330" t="s">
        <v>5217</v>
      </c>
      <c r="C2330" t="s">
        <v>496</v>
      </c>
      <c r="D2330" t="s">
        <v>4083</v>
      </c>
      <c r="F2330">
        <v>1</v>
      </c>
      <c r="G2330" t="s">
        <v>16</v>
      </c>
      <c r="H2330">
        <v>0</v>
      </c>
      <c r="I2330" s="2" t="s">
        <v>288</v>
      </c>
      <c r="J2330" s="2" t="s">
        <v>5216</v>
      </c>
      <c r="K2330">
        <v>20</v>
      </c>
      <c r="L2330">
        <v>20</v>
      </c>
      <c r="M2330">
        <v>20</v>
      </c>
    </row>
    <row r="2331" spans="1:13" x14ac:dyDescent="0.25">
      <c r="A2331" t="s">
        <v>5218</v>
      </c>
      <c r="B2331" t="s">
        <v>5217</v>
      </c>
      <c r="C2331" t="s">
        <v>496</v>
      </c>
      <c r="D2331" t="s">
        <v>5072</v>
      </c>
      <c r="G2331" t="s">
        <v>16</v>
      </c>
      <c r="H2331">
        <v>0</v>
      </c>
      <c r="K2331">
        <v>20</v>
      </c>
      <c r="L2331">
        <v>20</v>
      </c>
      <c r="M2331">
        <v>20</v>
      </c>
    </row>
    <row r="2332" spans="1:13" x14ac:dyDescent="0.25">
      <c r="A2332" t="s">
        <v>5219</v>
      </c>
      <c r="B2332" t="s">
        <v>5220</v>
      </c>
      <c r="C2332" t="s">
        <v>1432</v>
      </c>
      <c r="F2332">
        <v>1</v>
      </c>
      <c r="G2332" t="s">
        <v>16</v>
      </c>
      <c r="H2332">
        <v>0</v>
      </c>
      <c r="I2332" s="2" t="s">
        <v>5221</v>
      </c>
      <c r="J2332" s="2">
        <v>620033400</v>
      </c>
      <c r="K2332">
        <v>20</v>
      </c>
      <c r="L2332">
        <v>20</v>
      </c>
      <c r="M2332">
        <v>20</v>
      </c>
    </row>
    <row r="2333" spans="1:13" x14ac:dyDescent="0.25">
      <c r="A2333" t="s">
        <v>5222</v>
      </c>
      <c r="B2333" t="s">
        <v>5223</v>
      </c>
      <c r="C2333" t="s">
        <v>1432</v>
      </c>
      <c r="G2333" t="s">
        <v>16</v>
      </c>
      <c r="H2333">
        <v>0</v>
      </c>
      <c r="I2333" s="2" t="s">
        <v>5224</v>
      </c>
      <c r="J2333" s="2" t="str">
        <f>"003190509"</f>
        <v>003190509</v>
      </c>
      <c r="K2333">
        <v>20</v>
      </c>
      <c r="L2333">
        <v>20</v>
      </c>
      <c r="M2333">
        <v>20</v>
      </c>
    </row>
    <row r="2334" spans="1:13" x14ac:dyDescent="0.25">
      <c r="A2334" t="s">
        <v>5225</v>
      </c>
      <c r="B2334" t="s">
        <v>5226</v>
      </c>
      <c r="C2334" t="s">
        <v>1432</v>
      </c>
      <c r="F2334">
        <v>0</v>
      </c>
      <c r="G2334" t="s">
        <v>16</v>
      </c>
      <c r="H2334">
        <v>0</v>
      </c>
      <c r="I2334" s="2" t="s">
        <v>5227</v>
      </c>
      <c r="J2334" s="2" t="str">
        <f>"007200800"</f>
        <v>007200800</v>
      </c>
      <c r="K2334">
        <v>20</v>
      </c>
      <c r="L2334">
        <v>20</v>
      </c>
      <c r="M2334">
        <v>20</v>
      </c>
    </row>
    <row r="2335" spans="1:13" x14ac:dyDescent="0.25">
      <c r="A2335" t="s">
        <v>5228</v>
      </c>
      <c r="B2335" t="s">
        <v>5220</v>
      </c>
      <c r="C2335" t="s">
        <v>1432</v>
      </c>
      <c r="F2335">
        <v>1</v>
      </c>
      <c r="G2335" t="s">
        <v>16</v>
      </c>
      <c r="H2335">
        <v>0</v>
      </c>
      <c r="I2335" s="2" t="s">
        <v>854</v>
      </c>
      <c r="J2335" s="2">
        <v>786002</v>
      </c>
      <c r="K2335">
        <v>20</v>
      </c>
      <c r="L2335">
        <v>20</v>
      </c>
      <c r="M2335">
        <v>20</v>
      </c>
    </row>
    <row r="2336" spans="1:13" x14ac:dyDescent="0.25">
      <c r="A2336" t="s">
        <v>5229</v>
      </c>
      <c r="B2336" t="s">
        <v>5230</v>
      </c>
      <c r="C2336" t="s">
        <v>496</v>
      </c>
      <c r="D2336" t="s">
        <v>4083</v>
      </c>
      <c r="F2336">
        <v>4</v>
      </c>
      <c r="G2336" t="s">
        <v>16</v>
      </c>
      <c r="H2336">
        <v>0</v>
      </c>
      <c r="I2336" s="2" t="b">
        <v>1</v>
      </c>
      <c r="J2336" s="2" t="s">
        <v>5231</v>
      </c>
      <c r="K2336">
        <v>20</v>
      </c>
      <c r="L2336">
        <v>20</v>
      </c>
      <c r="M2336">
        <v>20</v>
      </c>
    </row>
    <row r="2337" spans="1:13" x14ac:dyDescent="0.25">
      <c r="A2337" t="s">
        <v>5232</v>
      </c>
      <c r="B2337" t="s">
        <v>5230</v>
      </c>
      <c r="C2337" t="s">
        <v>496</v>
      </c>
      <c r="D2337" t="s">
        <v>4083</v>
      </c>
      <c r="F2337">
        <v>2</v>
      </c>
      <c r="G2337" t="s">
        <v>16</v>
      </c>
      <c r="H2337">
        <v>0</v>
      </c>
      <c r="I2337" s="2" t="s">
        <v>737</v>
      </c>
      <c r="J2337" s="2" t="s">
        <v>5233</v>
      </c>
      <c r="K2337">
        <v>20</v>
      </c>
      <c r="L2337">
        <v>20</v>
      </c>
      <c r="M2337">
        <v>20</v>
      </c>
    </row>
    <row r="2338" spans="1:13" x14ac:dyDescent="0.25">
      <c r="A2338" t="s">
        <v>5234</v>
      </c>
      <c r="B2338" t="s">
        <v>5235</v>
      </c>
      <c r="C2338" t="s">
        <v>496</v>
      </c>
      <c r="F2338">
        <v>2</v>
      </c>
      <c r="G2338" t="s">
        <v>16</v>
      </c>
      <c r="H2338">
        <v>0</v>
      </c>
      <c r="I2338" s="2" t="s">
        <v>2517</v>
      </c>
      <c r="J2338" s="2" t="s">
        <v>5236</v>
      </c>
      <c r="K2338">
        <v>20</v>
      </c>
      <c r="L2338">
        <v>20</v>
      </c>
      <c r="M2338">
        <v>20</v>
      </c>
    </row>
    <row r="2339" spans="1:13" x14ac:dyDescent="0.25">
      <c r="A2339" t="s">
        <v>5237</v>
      </c>
      <c r="B2339" t="s">
        <v>5235</v>
      </c>
      <c r="C2339" t="s">
        <v>496</v>
      </c>
      <c r="F2339">
        <v>2</v>
      </c>
      <c r="G2339" t="s">
        <v>16</v>
      </c>
      <c r="H2339">
        <v>0</v>
      </c>
      <c r="I2339" s="2" t="s">
        <v>64</v>
      </c>
      <c r="J2339" s="2">
        <v>13020207</v>
      </c>
      <c r="K2339">
        <v>20</v>
      </c>
      <c r="L2339">
        <v>20</v>
      </c>
      <c r="M2339">
        <v>20</v>
      </c>
    </row>
    <row r="2340" spans="1:13" x14ac:dyDescent="0.25">
      <c r="A2340" t="s">
        <v>5238</v>
      </c>
      <c r="B2340" t="s">
        <v>5235</v>
      </c>
      <c r="C2340" t="s">
        <v>496</v>
      </c>
      <c r="F2340">
        <v>2</v>
      </c>
      <c r="G2340" t="s">
        <v>16</v>
      </c>
      <c r="H2340">
        <v>0</v>
      </c>
      <c r="I2340" s="2" t="s">
        <v>5180</v>
      </c>
      <c r="J2340" s="2" t="s">
        <v>5239</v>
      </c>
      <c r="K2340">
        <v>20</v>
      </c>
      <c r="L2340">
        <v>20</v>
      </c>
      <c r="M2340">
        <v>20</v>
      </c>
    </row>
    <row r="2341" spans="1:13" x14ac:dyDescent="0.25">
      <c r="A2341" t="s">
        <v>5240</v>
      </c>
      <c r="B2341" t="s">
        <v>5235</v>
      </c>
      <c r="C2341" t="s">
        <v>496</v>
      </c>
      <c r="G2341" t="s">
        <v>16</v>
      </c>
      <c r="H2341">
        <v>0</v>
      </c>
      <c r="I2341" s="2" t="s">
        <v>4214</v>
      </c>
      <c r="J2341" s="2" t="s">
        <v>5241</v>
      </c>
      <c r="K2341">
        <v>20</v>
      </c>
      <c r="L2341">
        <v>20</v>
      </c>
      <c r="M2341">
        <v>20</v>
      </c>
    </row>
    <row r="2342" spans="1:13" x14ac:dyDescent="0.25">
      <c r="A2342" t="s">
        <v>5242</v>
      </c>
      <c r="B2342" t="s">
        <v>5244</v>
      </c>
      <c r="C2342" t="s">
        <v>496</v>
      </c>
      <c r="D2342" t="s">
        <v>4101</v>
      </c>
      <c r="F2342">
        <v>4</v>
      </c>
      <c r="G2342" t="s">
        <v>16</v>
      </c>
      <c r="H2342">
        <v>0</v>
      </c>
      <c r="I2342" s="2" t="s">
        <v>765</v>
      </c>
      <c r="J2342" s="2" t="s">
        <v>5243</v>
      </c>
      <c r="K2342">
        <v>20</v>
      </c>
      <c r="L2342">
        <v>20</v>
      </c>
      <c r="M2342">
        <v>20</v>
      </c>
    </row>
    <row r="2343" spans="1:13" x14ac:dyDescent="0.25">
      <c r="A2343" t="s">
        <v>5245</v>
      </c>
      <c r="B2343" t="s">
        <v>5244</v>
      </c>
      <c r="C2343" t="s">
        <v>496</v>
      </c>
      <c r="D2343" t="s">
        <v>4101</v>
      </c>
      <c r="F2343">
        <v>1</v>
      </c>
      <c r="G2343" t="s">
        <v>16</v>
      </c>
      <c r="H2343">
        <v>0</v>
      </c>
      <c r="I2343" s="2" t="s">
        <v>162</v>
      </c>
      <c r="J2343" s="2">
        <v>72191</v>
      </c>
      <c r="K2343">
        <v>20</v>
      </c>
      <c r="L2343">
        <v>20</v>
      </c>
      <c r="M2343">
        <v>20</v>
      </c>
    </row>
    <row r="2344" spans="1:13" x14ac:dyDescent="0.25">
      <c r="A2344" t="s">
        <v>5246</v>
      </c>
      <c r="B2344" t="s">
        <v>5247</v>
      </c>
      <c r="C2344" t="s">
        <v>496</v>
      </c>
      <c r="D2344" t="s">
        <v>4101</v>
      </c>
      <c r="G2344" t="s">
        <v>16</v>
      </c>
      <c r="H2344">
        <v>0</v>
      </c>
      <c r="I2344" s="2" t="s">
        <v>288</v>
      </c>
      <c r="J2344" s="2">
        <v>981045116</v>
      </c>
      <c r="K2344">
        <v>20</v>
      </c>
      <c r="L2344">
        <v>20</v>
      </c>
      <c r="M2344">
        <v>20</v>
      </c>
    </row>
    <row r="2345" spans="1:13" x14ac:dyDescent="0.25">
      <c r="A2345" t="s">
        <v>5248</v>
      </c>
      <c r="B2345" t="s">
        <v>5247</v>
      </c>
      <c r="C2345" t="s">
        <v>496</v>
      </c>
      <c r="D2345" t="s">
        <v>4101</v>
      </c>
      <c r="F2345">
        <v>0</v>
      </c>
      <c r="G2345" t="s">
        <v>16</v>
      </c>
      <c r="H2345">
        <v>0</v>
      </c>
      <c r="I2345" s="2" t="s">
        <v>5249</v>
      </c>
      <c r="J2345" s="2" t="s">
        <v>5250</v>
      </c>
      <c r="K2345">
        <v>20</v>
      </c>
      <c r="L2345">
        <v>20</v>
      </c>
      <c r="M2345">
        <v>20</v>
      </c>
    </row>
    <row r="2346" spans="1:13" x14ac:dyDescent="0.25">
      <c r="A2346" t="s">
        <v>5251</v>
      </c>
      <c r="B2346" t="s">
        <v>5247</v>
      </c>
      <c r="C2346" t="s">
        <v>496</v>
      </c>
      <c r="D2346" t="s">
        <v>4101</v>
      </c>
      <c r="G2346" t="s">
        <v>16</v>
      </c>
      <c r="H2346">
        <v>0</v>
      </c>
      <c r="I2346" s="2" t="s">
        <v>1710</v>
      </c>
      <c r="J2346" s="2">
        <v>359002502420</v>
      </c>
      <c r="K2346">
        <v>20</v>
      </c>
      <c r="L2346">
        <v>20</v>
      </c>
      <c r="M2346">
        <v>20</v>
      </c>
    </row>
    <row r="2347" spans="1:13" x14ac:dyDescent="0.25">
      <c r="A2347" t="s">
        <v>5252</v>
      </c>
      <c r="B2347" t="s">
        <v>5247</v>
      </c>
      <c r="C2347" t="s">
        <v>496</v>
      </c>
      <c r="D2347" t="s">
        <v>4101</v>
      </c>
      <c r="F2347">
        <v>2</v>
      </c>
      <c r="G2347" t="s">
        <v>16</v>
      </c>
      <c r="H2347">
        <v>0</v>
      </c>
      <c r="I2347" s="2" t="s">
        <v>162</v>
      </c>
      <c r="J2347" s="2">
        <v>72109</v>
      </c>
      <c r="K2347">
        <v>20</v>
      </c>
      <c r="L2347">
        <v>20</v>
      </c>
      <c r="M2347">
        <v>20</v>
      </c>
    </row>
    <row r="2348" spans="1:13" x14ac:dyDescent="0.25">
      <c r="A2348" t="s">
        <v>5253</v>
      </c>
      <c r="B2348" t="s">
        <v>5247</v>
      </c>
      <c r="C2348" t="s">
        <v>496</v>
      </c>
      <c r="D2348" t="s">
        <v>4101</v>
      </c>
      <c r="F2348">
        <v>1</v>
      </c>
      <c r="G2348" t="s">
        <v>16</v>
      </c>
      <c r="H2348">
        <v>0</v>
      </c>
      <c r="I2348" s="2" t="s">
        <v>5155</v>
      </c>
      <c r="J2348" s="2" t="s">
        <v>5254</v>
      </c>
      <c r="K2348">
        <v>20</v>
      </c>
      <c r="L2348">
        <v>20</v>
      </c>
      <c r="M2348">
        <v>20</v>
      </c>
    </row>
    <row r="2349" spans="1:13" x14ac:dyDescent="0.25">
      <c r="A2349" t="s">
        <v>5255</v>
      </c>
      <c r="B2349" t="s">
        <v>5256</v>
      </c>
      <c r="C2349" t="s">
        <v>496</v>
      </c>
      <c r="F2349">
        <v>5</v>
      </c>
      <c r="G2349" t="s">
        <v>16</v>
      </c>
      <c r="H2349">
        <v>0</v>
      </c>
      <c r="I2349" s="2" t="s">
        <v>2533</v>
      </c>
      <c r="J2349" s="2" t="s">
        <v>5257</v>
      </c>
      <c r="K2349">
        <v>20</v>
      </c>
      <c r="L2349">
        <v>20</v>
      </c>
      <c r="M2349">
        <v>20</v>
      </c>
    </row>
    <row r="2350" spans="1:13" x14ac:dyDescent="0.25">
      <c r="A2350" t="s">
        <v>5258</v>
      </c>
      <c r="B2350" t="s">
        <v>5256</v>
      </c>
      <c r="C2350" t="s">
        <v>496</v>
      </c>
      <c r="G2350" t="s">
        <v>16</v>
      </c>
      <c r="H2350">
        <v>0</v>
      </c>
      <c r="I2350" s="2" t="s">
        <v>5040</v>
      </c>
      <c r="J2350" s="2" t="s">
        <v>5259</v>
      </c>
      <c r="K2350">
        <v>20</v>
      </c>
      <c r="L2350">
        <v>20</v>
      </c>
      <c r="M2350">
        <v>20</v>
      </c>
    </row>
    <row r="2351" spans="1:13" x14ac:dyDescent="0.25">
      <c r="A2351" t="s">
        <v>5260</v>
      </c>
      <c r="B2351" t="s">
        <v>5256</v>
      </c>
      <c r="C2351" t="s">
        <v>496</v>
      </c>
      <c r="F2351">
        <v>6</v>
      </c>
      <c r="G2351" t="s">
        <v>16</v>
      </c>
      <c r="H2351">
        <v>0</v>
      </c>
      <c r="I2351" s="2" t="s">
        <v>4214</v>
      </c>
      <c r="J2351" s="2" t="s">
        <v>5261</v>
      </c>
      <c r="K2351">
        <v>20</v>
      </c>
      <c r="L2351">
        <v>20</v>
      </c>
      <c r="M2351">
        <v>20</v>
      </c>
    </row>
    <row r="2352" spans="1:13" x14ac:dyDescent="0.25">
      <c r="A2352" t="s">
        <v>5262</v>
      </c>
      <c r="B2352" t="s">
        <v>5263</v>
      </c>
      <c r="C2352" t="s">
        <v>496</v>
      </c>
      <c r="F2352">
        <v>4</v>
      </c>
      <c r="G2352" t="s">
        <v>16</v>
      </c>
      <c r="H2352">
        <v>0</v>
      </c>
      <c r="I2352" s="2" t="s">
        <v>2517</v>
      </c>
      <c r="J2352" s="2" t="s">
        <v>5264</v>
      </c>
      <c r="K2352">
        <v>20</v>
      </c>
      <c r="L2352">
        <v>20</v>
      </c>
      <c r="M2352">
        <v>20</v>
      </c>
    </row>
    <row r="2353" spans="1:13" x14ac:dyDescent="0.25">
      <c r="A2353" t="s">
        <v>5265</v>
      </c>
      <c r="B2353" t="s">
        <v>5263</v>
      </c>
      <c r="C2353" t="s">
        <v>496</v>
      </c>
      <c r="G2353" t="s">
        <v>16</v>
      </c>
      <c r="H2353">
        <v>0</v>
      </c>
      <c r="I2353" s="2" t="s">
        <v>64</v>
      </c>
      <c r="J2353" s="2">
        <v>13020033</v>
      </c>
      <c r="K2353">
        <v>20</v>
      </c>
      <c r="L2353">
        <v>20</v>
      </c>
      <c r="M2353">
        <v>20</v>
      </c>
    </row>
    <row r="2354" spans="1:13" x14ac:dyDescent="0.25">
      <c r="A2354" t="s">
        <v>5266</v>
      </c>
      <c r="B2354" t="s">
        <v>5263</v>
      </c>
      <c r="C2354" t="s">
        <v>496</v>
      </c>
      <c r="D2354" t="s">
        <v>2360</v>
      </c>
      <c r="F2354">
        <v>2</v>
      </c>
      <c r="G2354" t="s">
        <v>16</v>
      </c>
      <c r="H2354">
        <v>0</v>
      </c>
      <c r="I2354" s="2" t="s">
        <v>5267</v>
      </c>
      <c r="J2354" s="2" t="s">
        <v>5268</v>
      </c>
      <c r="K2354">
        <v>20</v>
      </c>
      <c r="L2354">
        <v>20</v>
      </c>
      <c r="M2354">
        <v>20</v>
      </c>
    </row>
    <row r="2355" spans="1:13" x14ac:dyDescent="0.25">
      <c r="A2355" t="s">
        <v>5269</v>
      </c>
      <c r="B2355" t="s">
        <v>5271</v>
      </c>
      <c r="C2355" t="s">
        <v>496</v>
      </c>
      <c r="D2355" t="s">
        <v>4083</v>
      </c>
      <c r="G2355" t="s">
        <v>16</v>
      </c>
      <c r="H2355">
        <v>0</v>
      </c>
      <c r="I2355" s="2" t="s">
        <v>288</v>
      </c>
      <c r="J2355" s="2" t="s">
        <v>5270</v>
      </c>
      <c r="K2355">
        <v>20</v>
      </c>
      <c r="L2355">
        <v>20</v>
      </c>
      <c r="M2355">
        <v>20</v>
      </c>
    </row>
    <row r="2356" spans="1:13" x14ac:dyDescent="0.25">
      <c r="A2356" t="s">
        <v>5272</v>
      </c>
      <c r="B2356" t="s">
        <v>5273</v>
      </c>
      <c r="C2356" t="s">
        <v>496</v>
      </c>
      <c r="D2356" t="s">
        <v>4083</v>
      </c>
      <c r="F2356">
        <v>2</v>
      </c>
      <c r="G2356" t="s">
        <v>16</v>
      </c>
      <c r="H2356">
        <v>0</v>
      </c>
      <c r="K2356">
        <v>20</v>
      </c>
      <c r="L2356">
        <v>20</v>
      </c>
      <c r="M2356">
        <v>20</v>
      </c>
    </row>
    <row r="2357" spans="1:13" x14ac:dyDescent="0.25">
      <c r="A2357" t="s">
        <v>5274</v>
      </c>
      <c r="B2357" t="s">
        <v>5276</v>
      </c>
      <c r="C2357" t="s">
        <v>496</v>
      </c>
      <c r="D2357" t="s">
        <v>4083</v>
      </c>
      <c r="F2357">
        <v>1</v>
      </c>
      <c r="G2357" t="s">
        <v>16</v>
      </c>
      <c r="H2357">
        <v>0</v>
      </c>
      <c r="I2357" s="2" t="s">
        <v>288</v>
      </c>
      <c r="J2357" s="2" t="s">
        <v>5275</v>
      </c>
      <c r="K2357">
        <v>20</v>
      </c>
      <c r="L2357">
        <v>20</v>
      </c>
      <c r="M2357">
        <v>20</v>
      </c>
    </row>
    <row r="2358" spans="1:13" x14ac:dyDescent="0.25">
      <c r="A2358" t="s">
        <v>5277</v>
      </c>
      <c r="B2358" t="s">
        <v>5276</v>
      </c>
      <c r="C2358" t="s">
        <v>496</v>
      </c>
      <c r="D2358" t="s">
        <v>4083</v>
      </c>
      <c r="G2358" t="s">
        <v>16</v>
      </c>
      <c r="H2358">
        <v>0</v>
      </c>
      <c r="I2358" s="2" t="s">
        <v>5278</v>
      </c>
      <c r="J2358" s="2">
        <v>844028</v>
      </c>
      <c r="K2358">
        <v>20</v>
      </c>
      <c r="L2358">
        <v>20</v>
      </c>
      <c r="M2358">
        <v>20</v>
      </c>
    </row>
    <row r="2359" spans="1:13" x14ac:dyDescent="0.25">
      <c r="A2359" t="s">
        <v>5279</v>
      </c>
      <c r="B2359" t="s">
        <v>5276</v>
      </c>
      <c r="C2359" t="s">
        <v>496</v>
      </c>
      <c r="D2359" t="s">
        <v>5072</v>
      </c>
      <c r="G2359" t="s">
        <v>16</v>
      </c>
      <c r="H2359">
        <v>0</v>
      </c>
      <c r="I2359" s="2" t="s">
        <v>491</v>
      </c>
      <c r="J2359" s="2">
        <v>359002502370</v>
      </c>
      <c r="K2359">
        <v>20</v>
      </c>
      <c r="L2359">
        <v>20</v>
      </c>
      <c r="M2359">
        <v>20</v>
      </c>
    </row>
    <row r="2360" spans="1:13" x14ac:dyDescent="0.25">
      <c r="A2360" t="s">
        <v>5280</v>
      </c>
      <c r="B2360" t="s">
        <v>5281</v>
      </c>
      <c r="C2360" t="s">
        <v>496</v>
      </c>
      <c r="D2360" t="s">
        <v>4083</v>
      </c>
      <c r="G2360" t="s">
        <v>16</v>
      </c>
      <c r="H2360">
        <v>0</v>
      </c>
      <c r="I2360" s="2" t="s">
        <v>765</v>
      </c>
      <c r="J2360" s="2" t="s">
        <v>5282</v>
      </c>
      <c r="K2360">
        <v>20</v>
      </c>
      <c r="L2360">
        <v>20</v>
      </c>
      <c r="M2360">
        <v>20</v>
      </c>
    </row>
    <row r="2361" spans="1:13" x14ac:dyDescent="0.25">
      <c r="A2361" t="s">
        <v>5283</v>
      </c>
      <c r="B2361" t="s">
        <v>5281</v>
      </c>
      <c r="C2361" t="s">
        <v>496</v>
      </c>
      <c r="D2361" t="s">
        <v>5072</v>
      </c>
      <c r="F2361">
        <v>2</v>
      </c>
      <c r="G2361" t="s">
        <v>16</v>
      </c>
      <c r="H2361">
        <v>0</v>
      </c>
      <c r="I2361" s="2" t="s">
        <v>737</v>
      </c>
      <c r="J2361" s="2" t="s">
        <v>5284</v>
      </c>
      <c r="K2361">
        <v>20</v>
      </c>
      <c r="L2361">
        <v>20</v>
      </c>
      <c r="M2361">
        <v>20</v>
      </c>
    </row>
    <row r="2362" spans="1:13" x14ac:dyDescent="0.25">
      <c r="A2362" t="s">
        <v>5285</v>
      </c>
      <c r="B2362" t="s">
        <v>5287</v>
      </c>
      <c r="C2362" t="s">
        <v>496</v>
      </c>
      <c r="D2362" t="s">
        <v>4101</v>
      </c>
      <c r="F2362">
        <v>2</v>
      </c>
      <c r="G2362" t="s">
        <v>16</v>
      </c>
      <c r="H2362">
        <v>0</v>
      </c>
      <c r="I2362" s="2" t="s">
        <v>765</v>
      </c>
      <c r="J2362" s="2" t="s">
        <v>5286</v>
      </c>
      <c r="K2362">
        <v>20</v>
      </c>
      <c r="L2362">
        <v>20</v>
      </c>
      <c r="M2362">
        <v>20</v>
      </c>
    </row>
    <row r="2363" spans="1:13" x14ac:dyDescent="0.25">
      <c r="A2363" t="s">
        <v>5288</v>
      </c>
      <c r="B2363" t="s">
        <v>5289</v>
      </c>
      <c r="C2363" t="s">
        <v>496</v>
      </c>
      <c r="D2363" t="s">
        <v>4101</v>
      </c>
      <c r="G2363" t="s">
        <v>16</v>
      </c>
      <c r="H2363">
        <v>0</v>
      </c>
      <c r="I2363" s="2" t="s">
        <v>3808</v>
      </c>
      <c r="J2363" s="2" t="s">
        <v>5290</v>
      </c>
      <c r="K2363">
        <v>20</v>
      </c>
      <c r="L2363">
        <v>20</v>
      </c>
      <c r="M2363">
        <v>20</v>
      </c>
    </row>
    <row r="2364" spans="1:13" x14ac:dyDescent="0.25">
      <c r="A2364" t="s">
        <v>5291</v>
      </c>
      <c r="B2364" t="s">
        <v>5293</v>
      </c>
      <c r="C2364" t="s">
        <v>496</v>
      </c>
      <c r="D2364" t="s">
        <v>4101</v>
      </c>
      <c r="F2364">
        <v>1</v>
      </c>
      <c r="G2364" t="s">
        <v>16</v>
      </c>
      <c r="H2364">
        <v>0</v>
      </c>
      <c r="I2364" s="2" t="s">
        <v>3689</v>
      </c>
      <c r="J2364" s="2" t="s">
        <v>5292</v>
      </c>
      <c r="K2364">
        <v>20</v>
      </c>
      <c r="L2364">
        <v>20</v>
      </c>
      <c r="M2364">
        <v>20</v>
      </c>
    </row>
    <row r="2365" spans="1:13" x14ac:dyDescent="0.25">
      <c r="A2365" t="s">
        <v>5294</v>
      </c>
      <c r="B2365" t="s">
        <v>5293</v>
      </c>
      <c r="C2365" t="s">
        <v>496</v>
      </c>
      <c r="D2365" t="s">
        <v>4101</v>
      </c>
      <c r="F2365">
        <v>1</v>
      </c>
      <c r="G2365" t="s">
        <v>16</v>
      </c>
      <c r="H2365">
        <v>0</v>
      </c>
      <c r="I2365" s="2" t="s">
        <v>64</v>
      </c>
      <c r="J2365" s="2">
        <v>14020007</v>
      </c>
      <c r="K2365">
        <v>20</v>
      </c>
      <c r="L2365">
        <v>20</v>
      </c>
      <c r="M2365">
        <v>20</v>
      </c>
    </row>
    <row r="2366" spans="1:13" x14ac:dyDescent="0.25">
      <c r="A2366" t="s">
        <v>5295</v>
      </c>
      <c r="B2366" t="s">
        <v>5296</v>
      </c>
      <c r="C2366" t="s">
        <v>496</v>
      </c>
      <c r="D2366" t="s">
        <v>4101</v>
      </c>
      <c r="F2366">
        <v>2</v>
      </c>
      <c r="G2366" t="s">
        <v>16</v>
      </c>
      <c r="H2366">
        <v>0</v>
      </c>
      <c r="I2366" s="2" t="s">
        <v>5297</v>
      </c>
      <c r="J2366" s="2" t="s">
        <v>5298</v>
      </c>
      <c r="K2366">
        <v>20</v>
      </c>
      <c r="L2366">
        <v>20</v>
      </c>
      <c r="M2366">
        <v>20</v>
      </c>
    </row>
    <row r="2367" spans="1:13" x14ac:dyDescent="0.25">
      <c r="A2367" t="s">
        <v>5299</v>
      </c>
      <c r="B2367" t="s">
        <v>5300</v>
      </c>
      <c r="C2367" t="s">
        <v>496</v>
      </c>
      <c r="D2367" t="s">
        <v>4101</v>
      </c>
      <c r="G2367" t="s">
        <v>16</v>
      </c>
      <c r="H2367">
        <v>0</v>
      </c>
      <c r="I2367" s="2" t="s">
        <v>3808</v>
      </c>
      <c r="J2367" s="2" t="s">
        <v>5301</v>
      </c>
      <c r="K2367">
        <v>20</v>
      </c>
      <c r="L2367">
        <v>20</v>
      </c>
      <c r="M2367">
        <v>20</v>
      </c>
    </row>
    <row r="2368" spans="1:13" x14ac:dyDescent="0.25">
      <c r="A2368" t="s">
        <v>5302</v>
      </c>
      <c r="B2368" t="s">
        <v>5300</v>
      </c>
      <c r="C2368" t="s">
        <v>496</v>
      </c>
      <c r="D2368" t="s">
        <v>4101</v>
      </c>
      <c r="F2368">
        <v>1</v>
      </c>
      <c r="G2368" t="s">
        <v>16</v>
      </c>
      <c r="H2368">
        <v>0</v>
      </c>
      <c r="I2368" s="2" t="s">
        <v>400</v>
      </c>
      <c r="J2368" s="2" t="s">
        <v>5303</v>
      </c>
      <c r="K2368">
        <v>20</v>
      </c>
      <c r="L2368">
        <v>20</v>
      </c>
      <c r="M2368">
        <v>20</v>
      </c>
    </row>
    <row r="2369" spans="1:13" x14ac:dyDescent="0.25">
      <c r="A2369" t="s">
        <v>5304</v>
      </c>
      <c r="B2369" t="s">
        <v>5305</v>
      </c>
      <c r="C2369" t="s">
        <v>496</v>
      </c>
      <c r="D2369" t="s">
        <v>4083</v>
      </c>
      <c r="F2369">
        <v>1</v>
      </c>
      <c r="G2369" t="s">
        <v>16</v>
      </c>
      <c r="H2369">
        <v>0</v>
      </c>
      <c r="I2369" s="2" t="s">
        <v>162</v>
      </c>
      <c r="J2369" s="2">
        <v>70135</v>
      </c>
      <c r="K2369">
        <v>20</v>
      </c>
      <c r="L2369">
        <v>20</v>
      </c>
      <c r="M2369">
        <v>20</v>
      </c>
    </row>
    <row r="2370" spans="1:13" x14ac:dyDescent="0.25">
      <c r="A2370" t="s">
        <v>5306</v>
      </c>
      <c r="B2370" t="s">
        <v>5307</v>
      </c>
      <c r="C2370" t="s">
        <v>496</v>
      </c>
      <c r="D2370" t="s">
        <v>4083</v>
      </c>
      <c r="F2370">
        <v>2</v>
      </c>
      <c r="G2370" t="s">
        <v>16</v>
      </c>
      <c r="H2370">
        <v>0</v>
      </c>
      <c r="I2370" s="2" t="s">
        <v>759</v>
      </c>
      <c r="J2370" s="2" t="s">
        <v>5308</v>
      </c>
      <c r="K2370">
        <v>20</v>
      </c>
      <c r="L2370">
        <v>20</v>
      </c>
      <c r="M2370">
        <v>20</v>
      </c>
    </row>
    <row r="2371" spans="1:13" x14ac:dyDescent="0.25">
      <c r="A2371" t="s">
        <v>5309</v>
      </c>
      <c r="B2371" t="s">
        <v>5307</v>
      </c>
      <c r="C2371" t="s">
        <v>496</v>
      </c>
      <c r="D2371" t="s">
        <v>4083</v>
      </c>
      <c r="G2371" t="s">
        <v>16</v>
      </c>
      <c r="H2371">
        <v>0</v>
      </c>
      <c r="I2371" s="2" t="b">
        <v>1</v>
      </c>
      <c r="J2371" s="2" t="s">
        <v>5310</v>
      </c>
      <c r="K2371">
        <v>20</v>
      </c>
      <c r="L2371">
        <v>20</v>
      </c>
      <c r="M2371">
        <v>20</v>
      </c>
    </row>
    <row r="2372" spans="1:13" x14ac:dyDescent="0.25">
      <c r="A2372" t="s">
        <v>5311</v>
      </c>
      <c r="B2372" t="s">
        <v>5312</v>
      </c>
      <c r="C2372" t="s">
        <v>496</v>
      </c>
      <c r="D2372" t="s">
        <v>4083</v>
      </c>
      <c r="G2372" t="s">
        <v>16</v>
      </c>
      <c r="H2372">
        <v>0</v>
      </c>
      <c r="I2372" s="2" t="s">
        <v>288</v>
      </c>
      <c r="J2372" s="2" t="s">
        <v>5313</v>
      </c>
      <c r="K2372">
        <v>20</v>
      </c>
      <c r="L2372">
        <v>20</v>
      </c>
      <c r="M2372">
        <v>20</v>
      </c>
    </row>
    <row r="2373" spans="1:13" x14ac:dyDescent="0.25">
      <c r="A2373" t="s">
        <v>5314</v>
      </c>
      <c r="B2373" t="s">
        <v>5315</v>
      </c>
      <c r="C2373" t="s">
        <v>496</v>
      </c>
      <c r="D2373" t="s">
        <v>4083</v>
      </c>
      <c r="G2373" t="s">
        <v>16</v>
      </c>
      <c r="H2373">
        <v>0</v>
      </c>
      <c r="I2373" s="2" t="s">
        <v>288</v>
      </c>
      <c r="J2373" s="2" t="s">
        <v>5316</v>
      </c>
      <c r="K2373">
        <v>20</v>
      </c>
      <c r="L2373">
        <v>20</v>
      </c>
      <c r="M2373">
        <v>20</v>
      </c>
    </row>
    <row r="2374" spans="1:13" x14ac:dyDescent="0.25">
      <c r="A2374" t="s">
        <v>5317</v>
      </c>
      <c r="B2374" t="s">
        <v>5319</v>
      </c>
      <c r="C2374" t="s">
        <v>496</v>
      </c>
      <c r="D2374" t="s">
        <v>4083</v>
      </c>
      <c r="F2374">
        <v>2</v>
      </c>
      <c r="G2374" t="s">
        <v>16</v>
      </c>
      <c r="H2374">
        <v>0</v>
      </c>
      <c r="I2374" s="2" t="s">
        <v>288</v>
      </c>
      <c r="J2374" s="2" t="s">
        <v>5318</v>
      </c>
      <c r="K2374">
        <v>20</v>
      </c>
      <c r="L2374">
        <v>20</v>
      </c>
      <c r="M2374">
        <v>20</v>
      </c>
    </row>
    <row r="2375" spans="1:13" x14ac:dyDescent="0.25">
      <c r="A2375" t="s">
        <v>5320</v>
      </c>
      <c r="B2375" t="s">
        <v>5321</v>
      </c>
      <c r="C2375" t="s">
        <v>496</v>
      </c>
      <c r="D2375" t="s">
        <v>4083</v>
      </c>
      <c r="F2375">
        <v>2</v>
      </c>
      <c r="G2375" t="s">
        <v>16</v>
      </c>
      <c r="H2375">
        <v>0</v>
      </c>
      <c r="I2375" s="2" t="b">
        <v>1</v>
      </c>
      <c r="J2375" s="2" t="s">
        <v>5322</v>
      </c>
      <c r="K2375">
        <v>20</v>
      </c>
      <c r="L2375">
        <v>20</v>
      </c>
      <c r="M2375">
        <v>20</v>
      </c>
    </row>
    <row r="2376" spans="1:13" x14ac:dyDescent="0.25">
      <c r="A2376" t="s">
        <v>5323</v>
      </c>
      <c r="B2376" t="s">
        <v>5324</v>
      </c>
      <c r="C2376" t="s">
        <v>2493</v>
      </c>
      <c r="G2376" t="s">
        <v>16</v>
      </c>
      <c r="H2376">
        <v>0</v>
      </c>
      <c r="I2376" s="2" t="s">
        <v>2517</v>
      </c>
      <c r="J2376" s="2" t="s">
        <v>5325</v>
      </c>
      <c r="K2376">
        <v>20</v>
      </c>
      <c r="L2376">
        <v>20</v>
      </c>
      <c r="M2376">
        <v>20</v>
      </c>
    </row>
    <row r="2377" spans="1:13" x14ac:dyDescent="0.25">
      <c r="A2377" t="s">
        <v>5326</v>
      </c>
      <c r="B2377" t="s">
        <v>5328</v>
      </c>
      <c r="C2377" t="s">
        <v>496</v>
      </c>
      <c r="D2377" t="s">
        <v>4083</v>
      </c>
      <c r="G2377" t="s">
        <v>16</v>
      </c>
      <c r="H2377">
        <v>0</v>
      </c>
      <c r="I2377" s="2" t="s">
        <v>5329</v>
      </c>
      <c r="J2377" s="2" t="s">
        <v>5327</v>
      </c>
      <c r="K2377">
        <v>20</v>
      </c>
      <c r="L2377">
        <v>20</v>
      </c>
      <c r="M2377">
        <v>20</v>
      </c>
    </row>
    <row r="2378" spans="1:13" x14ac:dyDescent="0.25">
      <c r="A2378" t="s">
        <v>5330</v>
      </c>
      <c r="B2378" t="s">
        <v>5331</v>
      </c>
      <c r="C2378" t="s">
        <v>496</v>
      </c>
      <c r="D2378" t="s">
        <v>4083</v>
      </c>
      <c r="G2378" t="s">
        <v>16</v>
      </c>
      <c r="H2378">
        <v>0</v>
      </c>
      <c r="I2378" s="2" t="s">
        <v>288</v>
      </c>
      <c r="J2378" s="2" t="s">
        <v>5332</v>
      </c>
      <c r="K2378">
        <v>20</v>
      </c>
      <c r="L2378">
        <v>20</v>
      </c>
      <c r="M2378">
        <v>20</v>
      </c>
    </row>
    <row r="2379" spans="1:13" x14ac:dyDescent="0.25">
      <c r="A2379" t="s">
        <v>5333</v>
      </c>
      <c r="B2379" t="s">
        <v>5334</v>
      </c>
      <c r="C2379" t="s">
        <v>496</v>
      </c>
      <c r="G2379" t="s">
        <v>16</v>
      </c>
      <c r="H2379">
        <v>0</v>
      </c>
      <c r="I2379" s="2" t="b">
        <v>1</v>
      </c>
      <c r="J2379" s="2" t="s">
        <v>5335</v>
      </c>
      <c r="K2379">
        <v>20</v>
      </c>
      <c r="L2379">
        <v>20</v>
      </c>
      <c r="M2379">
        <v>20</v>
      </c>
    </row>
    <row r="2380" spans="1:13" x14ac:dyDescent="0.25">
      <c r="A2380" t="s">
        <v>5336</v>
      </c>
      <c r="B2380" t="s">
        <v>5337</v>
      </c>
      <c r="C2380" t="s">
        <v>496</v>
      </c>
      <c r="G2380" t="s">
        <v>16</v>
      </c>
      <c r="H2380">
        <v>0</v>
      </c>
      <c r="I2380" s="2" t="s">
        <v>737</v>
      </c>
      <c r="J2380" s="2" t="s">
        <v>5338</v>
      </c>
      <c r="K2380">
        <v>20</v>
      </c>
      <c r="L2380">
        <v>20</v>
      </c>
      <c r="M2380">
        <v>20</v>
      </c>
    </row>
    <row r="2381" spans="1:13" x14ac:dyDescent="0.25">
      <c r="A2381" t="s">
        <v>5339</v>
      </c>
      <c r="B2381" t="s">
        <v>5341</v>
      </c>
      <c r="C2381" t="s">
        <v>496</v>
      </c>
      <c r="F2381">
        <v>0</v>
      </c>
      <c r="G2381" t="s">
        <v>16</v>
      </c>
      <c r="H2381">
        <v>0</v>
      </c>
      <c r="I2381" s="2" t="s">
        <v>288</v>
      </c>
      <c r="J2381" s="2" t="s">
        <v>5340</v>
      </c>
      <c r="K2381">
        <v>20</v>
      </c>
      <c r="L2381">
        <v>20</v>
      </c>
      <c r="M2381">
        <v>20</v>
      </c>
    </row>
    <row r="2382" spans="1:13" x14ac:dyDescent="0.25">
      <c r="A2382" t="s">
        <v>5342</v>
      </c>
      <c r="B2382" t="s">
        <v>5341</v>
      </c>
      <c r="C2382" t="s">
        <v>496</v>
      </c>
      <c r="F2382">
        <v>2</v>
      </c>
      <c r="G2382" t="s">
        <v>16</v>
      </c>
      <c r="H2382">
        <v>0</v>
      </c>
      <c r="I2382" s="2" t="s">
        <v>4214</v>
      </c>
      <c r="J2382" s="2" t="s">
        <v>5343</v>
      </c>
      <c r="K2382">
        <v>20</v>
      </c>
      <c r="L2382">
        <v>20</v>
      </c>
      <c r="M2382">
        <v>20</v>
      </c>
    </row>
    <row r="2383" spans="1:13" x14ac:dyDescent="0.25">
      <c r="A2383" t="s">
        <v>5344</v>
      </c>
      <c r="B2383" t="s">
        <v>5345</v>
      </c>
      <c r="C2383" t="s">
        <v>496</v>
      </c>
      <c r="D2383" t="s">
        <v>2360</v>
      </c>
      <c r="F2383">
        <v>2</v>
      </c>
      <c r="G2383" t="s">
        <v>16</v>
      </c>
      <c r="H2383">
        <v>0</v>
      </c>
      <c r="I2383" s="2" t="s">
        <v>87</v>
      </c>
      <c r="J2383" s="2" t="s">
        <v>5346</v>
      </c>
      <c r="K2383">
        <v>20</v>
      </c>
      <c r="L2383">
        <v>20</v>
      </c>
      <c r="M2383">
        <v>20</v>
      </c>
    </row>
    <row r="2384" spans="1:13" x14ac:dyDescent="0.25">
      <c r="A2384" t="s">
        <v>5347</v>
      </c>
      <c r="B2384" t="s">
        <v>5345</v>
      </c>
      <c r="C2384" t="s">
        <v>496</v>
      </c>
      <c r="F2384">
        <v>8</v>
      </c>
      <c r="G2384" t="s">
        <v>16</v>
      </c>
      <c r="H2384">
        <v>0</v>
      </c>
      <c r="I2384" s="2" t="s">
        <v>2517</v>
      </c>
      <c r="J2384" s="2" t="s">
        <v>5348</v>
      </c>
      <c r="K2384">
        <v>20</v>
      </c>
      <c r="L2384">
        <v>20</v>
      </c>
      <c r="M2384">
        <v>20</v>
      </c>
    </row>
    <row r="2385" spans="1:13" x14ac:dyDescent="0.25">
      <c r="A2385" t="s">
        <v>5349</v>
      </c>
      <c r="B2385" t="s">
        <v>5345</v>
      </c>
      <c r="C2385" t="s">
        <v>496</v>
      </c>
      <c r="G2385" t="s">
        <v>16</v>
      </c>
      <c r="H2385">
        <v>0</v>
      </c>
      <c r="I2385" s="2" t="s">
        <v>5040</v>
      </c>
      <c r="J2385" s="2" t="s">
        <v>5350</v>
      </c>
      <c r="K2385">
        <v>20</v>
      </c>
      <c r="L2385">
        <v>20</v>
      </c>
      <c r="M2385">
        <v>20</v>
      </c>
    </row>
    <row r="2386" spans="1:13" x14ac:dyDescent="0.25">
      <c r="A2386" t="s">
        <v>5351</v>
      </c>
      <c r="B2386" t="s">
        <v>5345</v>
      </c>
      <c r="C2386" t="s">
        <v>496</v>
      </c>
      <c r="F2386">
        <v>0</v>
      </c>
      <c r="G2386" t="s">
        <v>16</v>
      </c>
      <c r="H2386">
        <v>0</v>
      </c>
      <c r="I2386" s="2" t="s">
        <v>64</v>
      </c>
      <c r="J2386" s="2">
        <v>13020014</v>
      </c>
      <c r="K2386">
        <v>20</v>
      </c>
      <c r="L2386">
        <v>20</v>
      </c>
      <c r="M2386">
        <v>20</v>
      </c>
    </row>
    <row r="2387" spans="1:13" x14ac:dyDescent="0.25">
      <c r="A2387" t="s">
        <v>5352</v>
      </c>
      <c r="B2387" t="s">
        <v>5345</v>
      </c>
      <c r="C2387" t="s">
        <v>496</v>
      </c>
      <c r="F2387">
        <v>1</v>
      </c>
      <c r="G2387" t="s">
        <v>16</v>
      </c>
      <c r="H2387">
        <v>0</v>
      </c>
      <c r="I2387" s="2" t="s">
        <v>266</v>
      </c>
      <c r="J2387" s="2" t="s">
        <v>5353</v>
      </c>
      <c r="K2387">
        <v>20</v>
      </c>
      <c r="L2387">
        <v>20</v>
      </c>
      <c r="M2387">
        <v>20</v>
      </c>
    </row>
    <row r="2388" spans="1:13" x14ac:dyDescent="0.25">
      <c r="A2388" t="s">
        <v>5354</v>
      </c>
      <c r="B2388" t="s">
        <v>5345</v>
      </c>
      <c r="C2388" t="s">
        <v>496</v>
      </c>
      <c r="G2388" t="s">
        <v>16</v>
      </c>
      <c r="H2388">
        <v>0</v>
      </c>
      <c r="I2388" s="2" t="s">
        <v>4214</v>
      </c>
      <c r="J2388" s="2" t="s">
        <v>5355</v>
      </c>
      <c r="K2388">
        <v>20</v>
      </c>
      <c r="L2388">
        <v>20</v>
      </c>
      <c r="M2388">
        <v>20</v>
      </c>
    </row>
    <row r="2389" spans="1:13" x14ac:dyDescent="0.25">
      <c r="A2389" t="s">
        <v>5356</v>
      </c>
      <c r="B2389" t="s">
        <v>5345</v>
      </c>
      <c r="C2389" t="s">
        <v>496</v>
      </c>
      <c r="F2389">
        <v>1</v>
      </c>
      <c r="G2389" t="s">
        <v>16</v>
      </c>
      <c r="H2389">
        <v>0</v>
      </c>
      <c r="I2389" s="2" t="s">
        <v>5044</v>
      </c>
      <c r="J2389" s="2" t="s">
        <v>5357</v>
      </c>
      <c r="K2389">
        <v>20</v>
      </c>
      <c r="L2389">
        <v>20</v>
      </c>
      <c r="M2389">
        <v>20</v>
      </c>
    </row>
    <row r="2390" spans="1:13" x14ac:dyDescent="0.25">
      <c r="A2390" t="s">
        <v>5358</v>
      </c>
      <c r="B2390" t="s">
        <v>5359</v>
      </c>
      <c r="C2390" t="s">
        <v>496</v>
      </c>
      <c r="D2390" t="s">
        <v>2360</v>
      </c>
      <c r="F2390">
        <v>2</v>
      </c>
      <c r="G2390" t="s">
        <v>16</v>
      </c>
      <c r="H2390">
        <v>0</v>
      </c>
      <c r="I2390" s="2" t="s">
        <v>87</v>
      </c>
      <c r="J2390" s="2" t="s">
        <v>5360</v>
      </c>
      <c r="K2390">
        <v>20</v>
      </c>
      <c r="L2390">
        <v>20</v>
      </c>
      <c r="M2390">
        <v>20</v>
      </c>
    </row>
    <row r="2391" spans="1:13" x14ac:dyDescent="0.25">
      <c r="A2391" t="s">
        <v>5361</v>
      </c>
      <c r="B2391" t="s">
        <v>5359</v>
      </c>
      <c r="C2391" t="s">
        <v>496</v>
      </c>
      <c r="F2391">
        <v>0</v>
      </c>
      <c r="G2391" t="s">
        <v>16</v>
      </c>
      <c r="H2391">
        <v>0</v>
      </c>
      <c r="I2391" s="2" t="s">
        <v>288</v>
      </c>
      <c r="J2391" s="2" t="s">
        <v>5362</v>
      </c>
      <c r="K2391">
        <v>20</v>
      </c>
      <c r="L2391">
        <v>20</v>
      </c>
      <c r="M2391">
        <v>20</v>
      </c>
    </row>
    <row r="2392" spans="1:13" x14ac:dyDescent="0.25">
      <c r="A2392" t="s">
        <v>5363</v>
      </c>
      <c r="B2392" t="s">
        <v>5359</v>
      </c>
      <c r="C2392" t="s">
        <v>496</v>
      </c>
      <c r="F2392">
        <v>4</v>
      </c>
      <c r="G2392" t="s">
        <v>16</v>
      </c>
      <c r="H2392">
        <v>0</v>
      </c>
      <c r="I2392" s="2" t="s">
        <v>2517</v>
      </c>
      <c r="J2392" s="2" t="s">
        <v>5364</v>
      </c>
      <c r="K2392">
        <v>20</v>
      </c>
      <c r="L2392">
        <v>20</v>
      </c>
      <c r="M2392">
        <v>20</v>
      </c>
    </row>
    <row r="2393" spans="1:13" x14ac:dyDescent="0.25">
      <c r="A2393" t="s">
        <v>5365</v>
      </c>
      <c r="B2393" t="s">
        <v>5359</v>
      </c>
      <c r="C2393" t="s">
        <v>2493</v>
      </c>
      <c r="G2393" t="s">
        <v>16</v>
      </c>
      <c r="H2393">
        <v>0</v>
      </c>
      <c r="I2393" s="2" t="s">
        <v>5040</v>
      </c>
      <c r="J2393" s="2" t="s">
        <v>5366</v>
      </c>
      <c r="K2393">
        <v>20</v>
      </c>
      <c r="L2393">
        <v>20</v>
      </c>
      <c r="M2393">
        <v>20</v>
      </c>
    </row>
    <row r="2394" spans="1:13" x14ac:dyDescent="0.25">
      <c r="A2394" t="s">
        <v>5367</v>
      </c>
      <c r="B2394" t="s">
        <v>5345</v>
      </c>
      <c r="C2394" t="s">
        <v>496</v>
      </c>
      <c r="F2394">
        <v>0</v>
      </c>
      <c r="G2394" t="s">
        <v>16</v>
      </c>
      <c r="H2394">
        <v>0</v>
      </c>
      <c r="I2394" s="2" t="s">
        <v>64</v>
      </c>
      <c r="J2394" s="2">
        <v>13020015</v>
      </c>
      <c r="K2394">
        <v>20</v>
      </c>
      <c r="L2394">
        <v>20</v>
      </c>
      <c r="M2394">
        <v>20</v>
      </c>
    </row>
    <row r="2395" spans="1:13" x14ac:dyDescent="0.25">
      <c r="A2395" t="s">
        <v>5368</v>
      </c>
      <c r="B2395" t="s">
        <v>5359</v>
      </c>
      <c r="C2395" t="s">
        <v>496</v>
      </c>
      <c r="G2395" t="s">
        <v>16</v>
      </c>
      <c r="H2395">
        <v>0</v>
      </c>
      <c r="I2395" s="2" t="s">
        <v>5267</v>
      </c>
      <c r="J2395" s="2" t="s">
        <v>5369</v>
      </c>
      <c r="K2395">
        <v>20</v>
      </c>
      <c r="L2395">
        <v>20</v>
      </c>
      <c r="M2395">
        <v>20</v>
      </c>
    </row>
    <row r="2396" spans="1:13" x14ac:dyDescent="0.25">
      <c r="A2396" t="s">
        <v>5370</v>
      </c>
      <c r="B2396" t="s">
        <v>5359</v>
      </c>
      <c r="C2396" t="s">
        <v>496</v>
      </c>
      <c r="D2396" t="s">
        <v>2360</v>
      </c>
      <c r="F2396">
        <v>1</v>
      </c>
      <c r="G2396" t="s">
        <v>16</v>
      </c>
      <c r="H2396">
        <v>0</v>
      </c>
      <c r="I2396" s="2" t="s">
        <v>5044</v>
      </c>
      <c r="J2396" s="2" t="s">
        <v>5371</v>
      </c>
      <c r="K2396">
        <v>20</v>
      </c>
      <c r="L2396">
        <v>20</v>
      </c>
      <c r="M2396">
        <v>20</v>
      </c>
    </row>
    <row r="2397" spans="1:13" x14ac:dyDescent="0.25">
      <c r="A2397" t="s">
        <v>5372</v>
      </c>
      <c r="B2397" t="s">
        <v>5374</v>
      </c>
      <c r="C2397" t="s">
        <v>496</v>
      </c>
      <c r="D2397" t="s">
        <v>4101</v>
      </c>
      <c r="G2397" t="s">
        <v>16</v>
      </c>
      <c r="H2397">
        <v>0</v>
      </c>
      <c r="I2397" s="2" t="s">
        <v>288</v>
      </c>
      <c r="J2397" s="2" t="s">
        <v>5373</v>
      </c>
      <c r="K2397">
        <v>20</v>
      </c>
      <c r="L2397">
        <v>20</v>
      </c>
      <c r="M2397">
        <v>20</v>
      </c>
    </row>
    <row r="2398" spans="1:13" x14ac:dyDescent="0.25">
      <c r="A2398" t="s">
        <v>5375</v>
      </c>
      <c r="B2398" t="s">
        <v>5377</v>
      </c>
      <c r="C2398" t="s">
        <v>496</v>
      </c>
      <c r="D2398" t="s">
        <v>4101</v>
      </c>
      <c r="G2398" t="s">
        <v>16</v>
      </c>
      <c r="H2398">
        <v>0</v>
      </c>
      <c r="I2398" s="2" t="s">
        <v>765</v>
      </c>
      <c r="J2398" s="2" t="s">
        <v>5376</v>
      </c>
      <c r="K2398">
        <v>20</v>
      </c>
      <c r="L2398">
        <v>20</v>
      </c>
      <c r="M2398">
        <v>20</v>
      </c>
    </row>
    <row r="2399" spans="1:13" x14ac:dyDescent="0.25">
      <c r="A2399" t="s">
        <v>5378</v>
      </c>
      <c r="B2399" t="s">
        <v>5379</v>
      </c>
      <c r="C2399" t="s">
        <v>496</v>
      </c>
      <c r="D2399" t="s">
        <v>4101</v>
      </c>
      <c r="F2399">
        <v>2</v>
      </c>
      <c r="G2399" t="s">
        <v>16</v>
      </c>
      <c r="H2399">
        <v>0</v>
      </c>
      <c r="I2399" s="2" t="s">
        <v>5064</v>
      </c>
      <c r="J2399" s="2">
        <v>960311</v>
      </c>
      <c r="K2399">
        <v>20</v>
      </c>
      <c r="L2399">
        <v>20</v>
      </c>
      <c r="M2399">
        <v>20</v>
      </c>
    </row>
    <row r="2400" spans="1:13" x14ac:dyDescent="0.25">
      <c r="A2400" t="s">
        <v>5380</v>
      </c>
      <c r="B2400" t="s">
        <v>5379</v>
      </c>
      <c r="C2400" t="s">
        <v>496</v>
      </c>
      <c r="D2400" t="s">
        <v>4101</v>
      </c>
      <c r="F2400">
        <v>1</v>
      </c>
      <c r="G2400" t="s">
        <v>16</v>
      </c>
      <c r="H2400">
        <v>0</v>
      </c>
      <c r="I2400" s="2" t="s">
        <v>64</v>
      </c>
      <c r="J2400" s="2">
        <v>14020026</v>
      </c>
      <c r="K2400">
        <v>20</v>
      </c>
      <c r="L2400">
        <v>20</v>
      </c>
      <c r="M2400">
        <v>20</v>
      </c>
    </row>
    <row r="2401" spans="1:13" x14ac:dyDescent="0.25">
      <c r="A2401" t="s">
        <v>5381</v>
      </c>
      <c r="B2401" t="s">
        <v>5379</v>
      </c>
      <c r="C2401" t="s">
        <v>496</v>
      </c>
      <c r="D2401" t="s">
        <v>4101</v>
      </c>
      <c r="F2401">
        <v>1</v>
      </c>
      <c r="G2401" t="s">
        <v>16</v>
      </c>
      <c r="H2401">
        <v>0</v>
      </c>
      <c r="I2401" s="2" t="s">
        <v>5297</v>
      </c>
      <c r="K2401">
        <v>20</v>
      </c>
      <c r="L2401">
        <v>20</v>
      </c>
      <c r="M2401">
        <v>20</v>
      </c>
    </row>
    <row r="2402" spans="1:13" x14ac:dyDescent="0.25">
      <c r="A2402" t="s">
        <v>5382</v>
      </c>
      <c r="B2402" t="s">
        <v>5383</v>
      </c>
      <c r="C2402" t="s">
        <v>496</v>
      </c>
      <c r="D2402" t="s">
        <v>4101</v>
      </c>
      <c r="F2402">
        <v>6</v>
      </c>
      <c r="G2402" t="s">
        <v>16</v>
      </c>
      <c r="H2402">
        <v>0</v>
      </c>
      <c r="I2402" s="2" t="s">
        <v>3808</v>
      </c>
      <c r="J2402" s="2" t="s">
        <v>5384</v>
      </c>
      <c r="K2402">
        <v>20</v>
      </c>
      <c r="L2402">
        <v>20</v>
      </c>
      <c r="M2402">
        <v>20</v>
      </c>
    </row>
    <row r="2403" spans="1:13" x14ac:dyDescent="0.25">
      <c r="A2403" t="s">
        <v>5385</v>
      </c>
      <c r="B2403" t="s">
        <v>5383</v>
      </c>
      <c r="C2403" t="s">
        <v>496</v>
      </c>
      <c r="D2403" t="s">
        <v>4101</v>
      </c>
      <c r="F2403">
        <v>1</v>
      </c>
      <c r="G2403" t="s">
        <v>16</v>
      </c>
      <c r="H2403">
        <v>0</v>
      </c>
      <c r="I2403" s="2" t="s">
        <v>2599</v>
      </c>
      <c r="J2403" s="2" t="s">
        <v>5386</v>
      </c>
      <c r="K2403">
        <v>20</v>
      </c>
      <c r="L2403">
        <v>20</v>
      </c>
      <c r="M2403">
        <v>20</v>
      </c>
    </row>
    <row r="2404" spans="1:13" x14ac:dyDescent="0.25">
      <c r="A2404" t="s">
        <v>5387</v>
      </c>
      <c r="B2404" t="s">
        <v>5388</v>
      </c>
      <c r="C2404" t="s">
        <v>496</v>
      </c>
      <c r="D2404" t="s">
        <v>5072</v>
      </c>
      <c r="G2404" t="s">
        <v>16</v>
      </c>
      <c r="H2404">
        <v>0</v>
      </c>
      <c r="I2404" s="2" t="s">
        <v>737</v>
      </c>
      <c r="J2404" s="2" t="s">
        <v>5389</v>
      </c>
      <c r="K2404">
        <v>20</v>
      </c>
      <c r="L2404">
        <v>20</v>
      </c>
      <c r="M2404">
        <v>20</v>
      </c>
    </row>
    <row r="2405" spans="1:13" x14ac:dyDescent="0.25">
      <c r="A2405" t="s">
        <v>5390</v>
      </c>
      <c r="B2405" t="s">
        <v>5391</v>
      </c>
      <c r="C2405" t="s">
        <v>496</v>
      </c>
      <c r="D2405" t="s">
        <v>4101</v>
      </c>
      <c r="F2405">
        <v>2</v>
      </c>
      <c r="G2405" t="s">
        <v>16</v>
      </c>
      <c r="H2405">
        <v>0</v>
      </c>
      <c r="I2405" s="2" t="s">
        <v>4105</v>
      </c>
      <c r="J2405" s="2" t="s">
        <v>5392</v>
      </c>
      <c r="K2405">
        <v>20</v>
      </c>
      <c r="L2405">
        <v>20</v>
      </c>
      <c r="M2405">
        <v>20</v>
      </c>
    </row>
    <row r="2406" spans="1:13" x14ac:dyDescent="0.25">
      <c r="A2406" t="s">
        <v>5393</v>
      </c>
      <c r="B2406" t="s">
        <v>5394</v>
      </c>
      <c r="C2406" t="s">
        <v>496</v>
      </c>
      <c r="D2406" t="s">
        <v>4101</v>
      </c>
      <c r="F2406">
        <v>1</v>
      </c>
      <c r="G2406" t="s">
        <v>16</v>
      </c>
      <c r="H2406">
        <v>0</v>
      </c>
      <c r="I2406" s="2" t="s">
        <v>162</v>
      </c>
      <c r="J2406" s="2">
        <v>72210</v>
      </c>
      <c r="K2406">
        <v>20</v>
      </c>
      <c r="L2406">
        <v>20</v>
      </c>
      <c r="M2406">
        <v>20</v>
      </c>
    </row>
    <row r="2407" spans="1:13" x14ac:dyDescent="0.25">
      <c r="A2407" t="s">
        <v>5395</v>
      </c>
      <c r="B2407" t="s">
        <v>5397</v>
      </c>
      <c r="C2407" t="s">
        <v>496</v>
      </c>
      <c r="D2407" t="s">
        <v>4101</v>
      </c>
      <c r="G2407" t="s">
        <v>16</v>
      </c>
      <c r="H2407">
        <v>0</v>
      </c>
      <c r="I2407" s="2" t="s">
        <v>288</v>
      </c>
      <c r="J2407" s="2" t="s">
        <v>5396</v>
      </c>
      <c r="K2407">
        <v>20</v>
      </c>
      <c r="L2407">
        <v>20</v>
      </c>
      <c r="M2407">
        <v>20</v>
      </c>
    </row>
    <row r="2408" spans="1:13" x14ac:dyDescent="0.25">
      <c r="A2408" t="s">
        <v>5398</v>
      </c>
      <c r="B2408" t="s">
        <v>5399</v>
      </c>
      <c r="C2408" t="s">
        <v>496</v>
      </c>
      <c r="D2408" t="s">
        <v>4101</v>
      </c>
      <c r="G2408" t="s">
        <v>16</v>
      </c>
      <c r="H2408">
        <v>0</v>
      </c>
      <c r="I2408" s="2" t="s">
        <v>5400</v>
      </c>
      <c r="J2408" s="2" t="s">
        <v>5401</v>
      </c>
      <c r="K2408">
        <v>20</v>
      </c>
      <c r="L2408">
        <v>20</v>
      </c>
      <c r="M2408">
        <v>20</v>
      </c>
    </row>
    <row r="2409" spans="1:13" x14ac:dyDescent="0.25">
      <c r="A2409" t="s">
        <v>5402</v>
      </c>
      <c r="B2409" t="s">
        <v>5399</v>
      </c>
      <c r="C2409" t="s">
        <v>496</v>
      </c>
      <c r="D2409" t="s">
        <v>4101</v>
      </c>
      <c r="F2409">
        <v>1</v>
      </c>
      <c r="G2409" t="s">
        <v>16</v>
      </c>
      <c r="H2409">
        <v>0</v>
      </c>
      <c r="I2409" s="2" t="s">
        <v>5403</v>
      </c>
      <c r="J2409" s="2" t="s">
        <v>5404</v>
      </c>
      <c r="K2409">
        <v>20</v>
      </c>
      <c r="L2409">
        <v>20</v>
      </c>
      <c r="M2409">
        <v>20</v>
      </c>
    </row>
    <row r="2410" spans="1:13" x14ac:dyDescent="0.25">
      <c r="A2410" t="s">
        <v>5405</v>
      </c>
      <c r="B2410" t="s">
        <v>5399</v>
      </c>
      <c r="C2410" t="s">
        <v>496</v>
      </c>
      <c r="D2410" t="s">
        <v>4101</v>
      </c>
      <c r="G2410" t="s">
        <v>16</v>
      </c>
      <c r="H2410">
        <v>0</v>
      </c>
      <c r="I2410" s="2" t="s">
        <v>3808</v>
      </c>
      <c r="J2410" s="2" t="s">
        <v>5406</v>
      </c>
      <c r="K2410">
        <v>20</v>
      </c>
      <c r="L2410">
        <v>20</v>
      </c>
      <c r="M2410">
        <v>20</v>
      </c>
    </row>
    <row r="2411" spans="1:13" x14ac:dyDescent="0.25">
      <c r="A2411" t="s">
        <v>5407</v>
      </c>
      <c r="B2411" t="s">
        <v>5408</v>
      </c>
      <c r="C2411" t="s">
        <v>362</v>
      </c>
      <c r="D2411" t="s">
        <v>4091</v>
      </c>
      <c r="G2411" t="s">
        <v>16</v>
      </c>
      <c r="H2411">
        <v>0</v>
      </c>
      <c r="I2411" s="2" t="s">
        <v>4093</v>
      </c>
      <c r="J2411" s="2" t="s">
        <v>5409</v>
      </c>
      <c r="K2411">
        <v>20</v>
      </c>
      <c r="L2411">
        <v>20</v>
      </c>
      <c r="M2411">
        <v>20</v>
      </c>
    </row>
    <row r="2412" spans="1:13" x14ac:dyDescent="0.25">
      <c r="A2412" t="s">
        <v>5410</v>
      </c>
      <c r="B2412" t="s">
        <v>5408</v>
      </c>
      <c r="C2412" t="s">
        <v>362</v>
      </c>
      <c r="D2412" t="s">
        <v>4091</v>
      </c>
      <c r="F2412">
        <v>2</v>
      </c>
      <c r="G2412" t="s">
        <v>16</v>
      </c>
      <c r="H2412">
        <v>0</v>
      </c>
      <c r="I2412" s="2" t="s">
        <v>288</v>
      </c>
      <c r="J2412" s="2" t="s">
        <v>5411</v>
      </c>
      <c r="K2412">
        <v>20</v>
      </c>
      <c r="L2412">
        <v>20</v>
      </c>
      <c r="M2412">
        <v>20</v>
      </c>
    </row>
    <row r="2413" spans="1:13" x14ac:dyDescent="0.25">
      <c r="A2413" t="s">
        <v>5412</v>
      </c>
      <c r="B2413" t="s">
        <v>5408</v>
      </c>
      <c r="C2413" t="s">
        <v>362</v>
      </c>
      <c r="D2413" t="s">
        <v>4091</v>
      </c>
      <c r="G2413" t="s">
        <v>16</v>
      </c>
      <c r="H2413">
        <v>0</v>
      </c>
      <c r="I2413" s="2" t="s">
        <v>2517</v>
      </c>
      <c r="J2413" s="2" t="s">
        <v>5413</v>
      </c>
      <c r="K2413">
        <v>20</v>
      </c>
      <c r="L2413">
        <v>20</v>
      </c>
      <c r="M2413">
        <v>20</v>
      </c>
    </row>
    <row r="2414" spans="1:13" x14ac:dyDescent="0.25">
      <c r="A2414" t="s">
        <v>5414</v>
      </c>
      <c r="B2414" t="s">
        <v>5408</v>
      </c>
      <c r="C2414" t="s">
        <v>362</v>
      </c>
      <c r="D2414" t="s">
        <v>4091</v>
      </c>
      <c r="F2414">
        <v>2</v>
      </c>
      <c r="G2414" t="s">
        <v>16</v>
      </c>
      <c r="H2414">
        <v>0</v>
      </c>
      <c r="I2414" s="2" t="s">
        <v>685</v>
      </c>
      <c r="J2414" s="2" t="str">
        <f>"0986424456"</f>
        <v>0986424456</v>
      </c>
      <c r="K2414">
        <v>20</v>
      </c>
      <c r="L2414">
        <v>20</v>
      </c>
      <c r="M2414">
        <v>20</v>
      </c>
    </row>
    <row r="2415" spans="1:13" x14ac:dyDescent="0.25">
      <c r="A2415" t="s">
        <v>5415</v>
      </c>
      <c r="B2415" t="s">
        <v>5408</v>
      </c>
      <c r="C2415" t="s">
        <v>362</v>
      </c>
      <c r="D2415" t="s">
        <v>4091</v>
      </c>
      <c r="F2415">
        <v>1</v>
      </c>
      <c r="G2415" t="s">
        <v>16</v>
      </c>
      <c r="H2415">
        <v>0</v>
      </c>
      <c r="I2415" s="2" t="s">
        <v>4193</v>
      </c>
      <c r="J2415" s="2" t="s">
        <v>5416</v>
      </c>
      <c r="K2415">
        <v>20</v>
      </c>
      <c r="L2415">
        <v>20</v>
      </c>
      <c r="M2415">
        <v>20</v>
      </c>
    </row>
    <row r="2416" spans="1:13" x14ac:dyDescent="0.25">
      <c r="A2416" t="s">
        <v>5417</v>
      </c>
      <c r="B2416" t="s">
        <v>5408</v>
      </c>
      <c r="C2416" t="s">
        <v>362</v>
      </c>
      <c r="D2416" t="s">
        <v>4091</v>
      </c>
      <c r="F2416">
        <v>2</v>
      </c>
      <c r="G2416" t="s">
        <v>16</v>
      </c>
      <c r="H2416">
        <v>0</v>
      </c>
      <c r="I2416" s="2" t="s">
        <v>707</v>
      </c>
      <c r="J2416" s="2" t="s">
        <v>5418</v>
      </c>
      <c r="K2416">
        <v>20</v>
      </c>
      <c r="L2416">
        <v>20</v>
      </c>
      <c r="M2416">
        <v>20</v>
      </c>
    </row>
    <row r="2417" spans="1:13" x14ac:dyDescent="0.25">
      <c r="A2417" t="s">
        <v>5419</v>
      </c>
      <c r="B2417" t="s">
        <v>5408</v>
      </c>
      <c r="C2417" t="s">
        <v>362</v>
      </c>
      <c r="D2417" t="s">
        <v>4091</v>
      </c>
      <c r="F2417">
        <v>1</v>
      </c>
      <c r="G2417" t="s">
        <v>16</v>
      </c>
      <c r="H2417">
        <v>0</v>
      </c>
      <c r="I2417" s="2" t="s">
        <v>400</v>
      </c>
      <c r="J2417" s="2" t="s">
        <v>5420</v>
      </c>
      <c r="K2417">
        <v>20</v>
      </c>
      <c r="L2417">
        <v>20</v>
      </c>
      <c r="M2417">
        <v>20</v>
      </c>
    </row>
    <row r="2418" spans="1:13" x14ac:dyDescent="0.25">
      <c r="A2418" t="s">
        <v>5421</v>
      </c>
      <c r="B2418" t="s">
        <v>5422</v>
      </c>
      <c r="C2418" t="s">
        <v>362</v>
      </c>
      <c r="D2418" t="s">
        <v>4091</v>
      </c>
      <c r="G2418" t="s">
        <v>16</v>
      </c>
      <c r="H2418">
        <v>0</v>
      </c>
      <c r="I2418" s="2" t="s">
        <v>2517</v>
      </c>
      <c r="J2418" s="2" t="s">
        <v>5423</v>
      </c>
      <c r="K2418">
        <v>20</v>
      </c>
      <c r="L2418">
        <v>20</v>
      </c>
      <c r="M2418">
        <v>20</v>
      </c>
    </row>
    <row r="2419" spans="1:13" x14ac:dyDescent="0.25">
      <c r="A2419" t="s">
        <v>5424</v>
      </c>
      <c r="B2419" t="s">
        <v>5425</v>
      </c>
      <c r="C2419" t="s">
        <v>362</v>
      </c>
      <c r="D2419" t="s">
        <v>4091</v>
      </c>
      <c r="F2419">
        <v>4</v>
      </c>
      <c r="G2419" t="s">
        <v>16</v>
      </c>
      <c r="H2419">
        <v>0</v>
      </c>
      <c r="I2419" s="2" t="s">
        <v>685</v>
      </c>
      <c r="J2419" s="2" t="str">
        <f>"0986424360"</f>
        <v>0986424360</v>
      </c>
      <c r="K2419">
        <v>20</v>
      </c>
      <c r="L2419">
        <v>20</v>
      </c>
      <c r="M2419">
        <v>20</v>
      </c>
    </row>
    <row r="2420" spans="1:13" x14ac:dyDescent="0.25">
      <c r="A2420" t="s">
        <v>5426</v>
      </c>
      <c r="B2420" t="s">
        <v>5422</v>
      </c>
      <c r="C2420" t="s">
        <v>362</v>
      </c>
      <c r="D2420" t="s">
        <v>4091</v>
      </c>
      <c r="G2420" t="s">
        <v>16</v>
      </c>
      <c r="H2420">
        <v>0</v>
      </c>
      <c r="I2420" s="2" t="s">
        <v>941</v>
      </c>
      <c r="J2420" s="2" t="s">
        <v>5427</v>
      </c>
      <c r="K2420">
        <v>20</v>
      </c>
      <c r="L2420">
        <v>20</v>
      </c>
      <c r="M2420">
        <v>20</v>
      </c>
    </row>
    <row r="2421" spans="1:13" x14ac:dyDescent="0.25">
      <c r="A2421" t="s">
        <v>5428</v>
      </c>
      <c r="B2421" t="s">
        <v>5425</v>
      </c>
      <c r="C2421" t="s">
        <v>362</v>
      </c>
      <c r="D2421" t="s">
        <v>4091</v>
      </c>
      <c r="F2421">
        <v>1</v>
      </c>
      <c r="G2421" t="s">
        <v>16</v>
      </c>
      <c r="H2421">
        <v>0</v>
      </c>
      <c r="I2421" s="2" t="s">
        <v>5057</v>
      </c>
      <c r="J2421" s="2" t="s">
        <v>5429</v>
      </c>
      <c r="K2421">
        <v>20</v>
      </c>
      <c r="L2421">
        <v>20</v>
      </c>
      <c r="M2421">
        <v>20</v>
      </c>
    </row>
    <row r="2422" spans="1:13" x14ac:dyDescent="0.25">
      <c r="A2422" t="s">
        <v>5430</v>
      </c>
      <c r="B2422" t="s">
        <v>5431</v>
      </c>
      <c r="C2422" t="s">
        <v>362</v>
      </c>
      <c r="D2422" t="s">
        <v>4091</v>
      </c>
      <c r="G2422" t="s">
        <v>16</v>
      </c>
      <c r="H2422">
        <v>0</v>
      </c>
      <c r="I2422" s="2" t="s">
        <v>4093</v>
      </c>
      <c r="J2422" s="2" t="s">
        <v>5432</v>
      </c>
      <c r="K2422">
        <v>20</v>
      </c>
      <c r="L2422">
        <v>20</v>
      </c>
      <c r="M2422">
        <v>20</v>
      </c>
    </row>
    <row r="2423" spans="1:13" x14ac:dyDescent="0.25">
      <c r="A2423" t="s">
        <v>5433</v>
      </c>
      <c r="B2423" t="s">
        <v>5431</v>
      </c>
      <c r="C2423" t="s">
        <v>362</v>
      </c>
      <c r="D2423" t="s">
        <v>4091</v>
      </c>
      <c r="F2423">
        <v>9</v>
      </c>
      <c r="G2423" t="s">
        <v>16</v>
      </c>
      <c r="H2423">
        <v>0</v>
      </c>
      <c r="I2423" s="2" t="s">
        <v>288</v>
      </c>
      <c r="J2423" s="2" t="s">
        <v>5434</v>
      </c>
      <c r="K2423">
        <v>20</v>
      </c>
      <c r="L2423">
        <v>20</v>
      </c>
      <c r="M2423">
        <v>20</v>
      </c>
    </row>
    <row r="2424" spans="1:13" x14ac:dyDescent="0.25">
      <c r="A2424" t="s">
        <v>5435</v>
      </c>
      <c r="B2424" t="s">
        <v>5431</v>
      </c>
      <c r="C2424" t="s">
        <v>362</v>
      </c>
      <c r="D2424" t="s">
        <v>4091</v>
      </c>
      <c r="G2424" t="s">
        <v>16</v>
      </c>
      <c r="H2424">
        <v>0</v>
      </c>
      <c r="I2424" s="2" t="s">
        <v>2533</v>
      </c>
      <c r="J2424" s="2" t="s">
        <v>5436</v>
      </c>
      <c r="K2424">
        <v>20</v>
      </c>
      <c r="L2424">
        <v>20</v>
      </c>
      <c r="M2424">
        <v>20</v>
      </c>
    </row>
    <row r="2425" spans="1:13" x14ac:dyDescent="0.25">
      <c r="A2425" t="s">
        <v>5437</v>
      </c>
      <c r="B2425" t="s">
        <v>5438</v>
      </c>
      <c r="C2425" t="s">
        <v>362</v>
      </c>
      <c r="D2425" t="s">
        <v>4091</v>
      </c>
      <c r="G2425" t="s">
        <v>16</v>
      </c>
      <c r="H2425">
        <v>0</v>
      </c>
      <c r="I2425" s="2" t="s">
        <v>2634</v>
      </c>
      <c r="J2425" s="2">
        <v>510446</v>
      </c>
      <c r="K2425">
        <v>20</v>
      </c>
      <c r="L2425">
        <v>20</v>
      </c>
      <c r="M2425">
        <v>20</v>
      </c>
    </row>
    <row r="2426" spans="1:13" x14ac:dyDescent="0.25">
      <c r="A2426" t="s">
        <v>5439</v>
      </c>
      <c r="B2426" t="s">
        <v>5431</v>
      </c>
      <c r="C2426" t="s">
        <v>362</v>
      </c>
      <c r="D2426" t="s">
        <v>4091</v>
      </c>
      <c r="G2426" t="s">
        <v>16</v>
      </c>
      <c r="H2426">
        <v>0</v>
      </c>
      <c r="I2426" s="2" t="s">
        <v>383</v>
      </c>
      <c r="J2426" s="2" t="str">
        <f>"0986424527"</f>
        <v>0986424527</v>
      </c>
      <c r="K2426">
        <v>20</v>
      </c>
      <c r="L2426">
        <v>20</v>
      </c>
      <c r="M2426">
        <v>20</v>
      </c>
    </row>
    <row r="2427" spans="1:13" x14ac:dyDescent="0.25">
      <c r="A2427" t="s">
        <v>5440</v>
      </c>
      <c r="B2427" t="s">
        <v>5431</v>
      </c>
      <c r="C2427" t="s">
        <v>362</v>
      </c>
      <c r="D2427" t="s">
        <v>4091</v>
      </c>
      <c r="F2427">
        <v>0</v>
      </c>
      <c r="G2427" t="s">
        <v>16</v>
      </c>
      <c r="H2427">
        <v>0</v>
      </c>
      <c r="I2427" s="2" t="s">
        <v>941</v>
      </c>
      <c r="J2427" s="2" t="s">
        <v>5441</v>
      </c>
      <c r="K2427">
        <v>20</v>
      </c>
      <c r="L2427">
        <v>20</v>
      </c>
      <c r="M2427">
        <v>20</v>
      </c>
    </row>
    <row r="2428" spans="1:13" x14ac:dyDescent="0.25">
      <c r="A2428" t="s">
        <v>5442</v>
      </c>
      <c r="B2428" t="s">
        <v>5431</v>
      </c>
      <c r="C2428" t="s">
        <v>362</v>
      </c>
      <c r="D2428" t="s">
        <v>4091</v>
      </c>
      <c r="G2428" t="s">
        <v>16</v>
      </c>
      <c r="H2428">
        <v>0</v>
      </c>
      <c r="I2428" s="2" t="s">
        <v>854</v>
      </c>
      <c r="J2428" s="2">
        <v>670456</v>
      </c>
      <c r="K2428">
        <v>20</v>
      </c>
      <c r="L2428">
        <v>20</v>
      </c>
      <c r="M2428">
        <v>20</v>
      </c>
    </row>
    <row r="2429" spans="1:13" x14ac:dyDescent="0.25">
      <c r="A2429" t="s">
        <v>5443</v>
      </c>
      <c r="B2429" t="s">
        <v>5445</v>
      </c>
      <c r="C2429" t="s">
        <v>362</v>
      </c>
      <c r="D2429" t="s">
        <v>4091</v>
      </c>
      <c r="F2429">
        <v>1</v>
      </c>
      <c r="G2429" t="s">
        <v>16</v>
      </c>
      <c r="H2429">
        <v>0</v>
      </c>
      <c r="I2429" s="2" t="s">
        <v>288</v>
      </c>
      <c r="J2429" s="2" t="s">
        <v>5444</v>
      </c>
      <c r="K2429">
        <v>20</v>
      </c>
      <c r="L2429">
        <v>20</v>
      </c>
      <c r="M2429">
        <v>20</v>
      </c>
    </row>
    <row r="2430" spans="1:13" x14ac:dyDescent="0.25">
      <c r="A2430" t="s">
        <v>5446</v>
      </c>
      <c r="B2430" t="s">
        <v>5445</v>
      </c>
      <c r="C2430" t="s">
        <v>362</v>
      </c>
      <c r="D2430" t="s">
        <v>4091</v>
      </c>
      <c r="F2430">
        <v>1</v>
      </c>
      <c r="G2430" t="s">
        <v>16</v>
      </c>
      <c r="H2430">
        <v>0</v>
      </c>
      <c r="I2430" s="2" t="s">
        <v>4193</v>
      </c>
      <c r="J2430" s="2" t="s">
        <v>5447</v>
      </c>
      <c r="K2430">
        <v>20</v>
      </c>
      <c r="L2430">
        <v>20</v>
      </c>
      <c r="M2430">
        <v>20</v>
      </c>
    </row>
    <row r="2431" spans="1:13" x14ac:dyDescent="0.25">
      <c r="A2431" t="s">
        <v>5448</v>
      </c>
      <c r="B2431" t="s">
        <v>5445</v>
      </c>
      <c r="C2431" t="s">
        <v>362</v>
      </c>
      <c r="D2431" t="s">
        <v>4091</v>
      </c>
      <c r="F2431">
        <v>1</v>
      </c>
      <c r="G2431" t="s">
        <v>16</v>
      </c>
      <c r="H2431">
        <v>0</v>
      </c>
      <c r="I2431" s="2" t="s">
        <v>941</v>
      </c>
      <c r="J2431" s="2" t="s">
        <v>5449</v>
      </c>
      <c r="K2431">
        <v>20</v>
      </c>
      <c r="L2431">
        <v>20</v>
      </c>
      <c r="M2431">
        <v>20</v>
      </c>
    </row>
    <row r="2432" spans="1:13" x14ac:dyDescent="0.25">
      <c r="A2432" t="s">
        <v>5450</v>
      </c>
      <c r="B2432" t="s">
        <v>5451</v>
      </c>
      <c r="C2432" t="s">
        <v>362</v>
      </c>
      <c r="D2432" t="s">
        <v>4091</v>
      </c>
      <c r="G2432" t="s">
        <v>16</v>
      </c>
      <c r="H2432">
        <v>0</v>
      </c>
      <c r="I2432" s="2" t="s">
        <v>4093</v>
      </c>
      <c r="J2432" s="2" t="s">
        <v>5452</v>
      </c>
      <c r="K2432">
        <v>20</v>
      </c>
      <c r="L2432">
        <v>20</v>
      </c>
      <c r="M2432">
        <v>20</v>
      </c>
    </row>
    <row r="2433" spans="1:13" x14ac:dyDescent="0.25">
      <c r="A2433" t="s">
        <v>5453</v>
      </c>
      <c r="B2433" t="s">
        <v>5454</v>
      </c>
      <c r="C2433" t="s">
        <v>362</v>
      </c>
      <c r="D2433" t="s">
        <v>4091</v>
      </c>
      <c r="G2433" t="s">
        <v>16</v>
      </c>
      <c r="H2433">
        <v>0</v>
      </c>
      <c r="I2433" s="2" t="s">
        <v>4093</v>
      </c>
      <c r="J2433" s="2" t="s">
        <v>5452</v>
      </c>
      <c r="K2433">
        <v>20</v>
      </c>
      <c r="L2433">
        <v>20</v>
      </c>
      <c r="M2433">
        <v>20</v>
      </c>
    </row>
    <row r="2434" spans="1:13" x14ac:dyDescent="0.25">
      <c r="A2434" t="s">
        <v>5455</v>
      </c>
      <c r="B2434" t="s">
        <v>5454</v>
      </c>
      <c r="C2434" t="s">
        <v>362</v>
      </c>
      <c r="D2434" t="s">
        <v>4091</v>
      </c>
      <c r="G2434" t="s">
        <v>16</v>
      </c>
      <c r="H2434">
        <v>0</v>
      </c>
      <c r="I2434" s="2" t="s">
        <v>288</v>
      </c>
      <c r="J2434" s="2" t="s">
        <v>5456</v>
      </c>
      <c r="K2434">
        <v>20</v>
      </c>
      <c r="L2434">
        <v>20</v>
      </c>
      <c r="M2434">
        <v>20</v>
      </c>
    </row>
    <row r="2435" spans="1:13" x14ac:dyDescent="0.25">
      <c r="A2435" t="s">
        <v>5457</v>
      </c>
      <c r="B2435" t="s">
        <v>5454</v>
      </c>
      <c r="C2435" t="s">
        <v>362</v>
      </c>
      <c r="D2435" t="s">
        <v>4091</v>
      </c>
      <c r="F2435">
        <v>1</v>
      </c>
      <c r="G2435" t="s">
        <v>16</v>
      </c>
      <c r="H2435">
        <v>0</v>
      </c>
      <c r="I2435" s="2" t="s">
        <v>4182</v>
      </c>
      <c r="J2435" s="2" t="s">
        <v>5458</v>
      </c>
      <c r="K2435">
        <v>20</v>
      </c>
      <c r="L2435">
        <v>20</v>
      </c>
      <c r="M2435">
        <v>20</v>
      </c>
    </row>
    <row r="2436" spans="1:13" x14ac:dyDescent="0.25">
      <c r="A2436" t="s">
        <v>5459</v>
      </c>
      <c r="B2436" t="s">
        <v>5454</v>
      </c>
      <c r="C2436" t="s">
        <v>362</v>
      </c>
      <c r="D2436" t="s">
        <v>4091</v>
      </c>
      <c r="F2436">
        <v>2</v>
      </c>
      <c r="G2436" t="s">
        <v>16</v>
      </c>
      <c r="H2436">
        <v>0</v>
      </c>
      <c r="I2436" s="2" t="s">
        <v>941</v>
      </c>
      <c r="J2436" s="2" t="s">
        <v>5460</v>
      </c>
      <c r="K2436">
        <v>20</v>
      </c>
      <c r="L2436">
        <v>20</v>
      </c>
      <c r="M2436">
        <v>20</v>
      </c>
    </row>
    <row r="2437" spans="1:13" x14ac:dyDescent="0.25">
      <c r="A2437" t="s">
        <v>5461</v>
      </c>
      <c r="B2437" t="s">
        <v>5454</v>
      </c>
      <c r="C2437" t="s">
        <v>362</v>
      </c>
      <c r="D2437" t="s">
        <v>4091</v>
      </c>
      <c r="G2437" t="s">
        <v>16</v>
      </c>
      <c r="H2437">
        <v>0</v>
      </c>
      <c r="I2437" s="2" t="s">
        <v>5462</v>
      </c>
      <c r="J2437" s="2" t="s">
        <v>5463</v>
      </c>
      <c r="K2437">
        <v>20</v>
      </c>
      <c r="L2437">
        <v>20</v>
      </c>
      <c r="M2437">
        <v>20</v>
      </c>
    </row>
    <row r="2438" spans="1:13" x14ac:dyDescent="0.25">
      <c r="A2438" t="s">
        <v>5464</v>
      </c>
      <c r="B2438" t="s">
        <v>5454</v>
      </c>
      <c r="C2438" t="s">
        <v>362</v>
      </c>
      <c r="D2438" t="s">
        <v>4091</v>
      </c>
      <c r="F2438">
        <v>1</v>
      </c>
      <c r="G2438" t="s">
        <v>16</v>
      </c>
      <c r="H2438">
        <v>0</v>
      </c>
      <c r="I2438" s="2" t="s">
        <v>5057</v>
      </c>
      <c r="J2438" s="2" t="s">
        <v>5465</v>
      </c>
      <c r="K2438">
        <v>20</v>
      </c>
      <c r="L2438">
        <v>20</v>
      </c>
      <c r="M2438">
        <v>20</v>
      </c>
    </row>
    <row r="2439" spans="1:13" x14ac:dyDescent="0.25">
      <c r="A2439" t="s">
        <v>5466</v>
      </c>
      <c r="B2439" t="s">
        <v>5467</v>
      </c>
      <c r="C2439" t="s">
        <v>362</v>
      </c>
      <c r="D2439" t="s">
        <v>4091</v>
      </c>
      <c r="F2439">
        <v>1</v>
      </c>
      <c r="G2439" t="s">
        <v>16</v>
      </c>
      <c r="H2439">
        <v>0</v>
      </c>
      <c r="I2439" s="2" t="s">
        <v>707</v>
      </c>
      <c r="J2439" s="2" t="s">
        <v>5468</v>
      </c>
      <c r="K2439">
        <v>20</v>
      </c>
      <c r="L2439">
        <v>20</v>
      </c>
      <c r="M2439">
        <v>20</v>
      </c>
    </row>
    <row r="2440" spans="1:13" x14ac:dyDescent="0.25">
      <c r="A2440" t="s">
        <v>5469</v>
      </c>
      <c r="B2440" t="s">
        <v>5467</v>
      </c>
      <c r="C2440" t="s">
        <v>362</v>
      </c>
      <c r="D2440" t="s">
        <v>4091</v>
      </c>
      <c r="F2440">
        <v>1</v>
      </c>
      <c r="G2440" t="s">
        <v>16</v>
      </c>
      <c r="H2440">
        <v>0</v>
      </c>
      <c r="I2440" s="2" t="s">
        <v>266</v>
      </c>
      <c r="J2440" s="2">
        <v>454113</v>
      </c>
      <c r="K2440">
        <v>20</v>
      </c>
      <c r="L2440">
        <v>20</v>
      </c>
      <c r="M2440">
        <v>20</v>
      </c>
    </row>
    <row r="2441" spans="1:13" x14ac:dyDescent="0.25">
      <c r="A2441" t="s">
        <v>5470</v>
      </c>
      <c r="B2441" t="s">
        <v>5472</v>
      </c>
      <c r="C2441" t="s">
        <v>362</v>
      </c>
      <c r="D2441" t="s">
        <v>4091</v>
      </c>
      <c r="F2441">
        <v>2</v>
      </c>
      <c r="G2441" t="s">
        <v>16</v>
      </c>
      <c r="H2441">
        <v>0</v>
      </c>
      <c r="I2441" s="2" t="s">
        <v>288</v>
      </c>
      <c r="J2441" s="2" t="s">
        <v>5471</v>
      </c>
      <c r="K2441">
        <v>20</v>
      </c>
      <c r="L2441">
        <v>20</v>
      </c>
      <c r="M2441">
        <v>20</v>
      </c>
    </row>
    <row r="2442" spans="1:13" x14ac:dyDescent="0.25">
      <c r="A2442" t="s">
        <v>5473</v>
      </c>
      <c r="B2442" t="s">
        <v>5472</v>
      </c>
      <c r="C2442" t="s">
        <v>362</v>
      </c>
      <c r="D2442" t="s">
        <v>4091</v>
      </c>
      <c r="F2442">
        <v>2</v>
      </c>
      <c r="G2442" t="s">
        <v>16</v>
      </c>
      <c r="H2442">
        <v>0</v>
      </c>
      <c r="I2442" s="2" t="s">
        <v>383</v>
      </c>
      <c r="J2442" s="2" t="str">
        <f>"0986495423"</f>
        <v>0986495423</v>
      </c>
      <c r="K2442">
        <v>20</v>
      </c>
      <c r="L2442">
        <v>20</v>
      </c>
      <c r="M2442">
        <v>20</v>
      </c>
    </row>
    <row r="2443" spans="1:13" x14ac:dyDescent="0.25">
      <c r="A2443" t="s">
        <v>5474</v>
      </c>
      <c r="B2443" t="s">
        <v>5472</v>
      </c>
      <c r="C2443" t="s">
        <v>362</v>
      </c>
      <c r="D2443" t="s">
        <v>4091</v>
      </c>
      <c r="G2443" t="s">
        <v>16</v>
      </c>
      <c r="H2443">
        <v>0</v>
      </c>
      <c r="I2443" s="2" t="s">
        <v>707</v>
      </c>
      <c r="J2443" s="2" t="s">
        <v>5475</v>
      </c>
      <c r="K2443">
        <v>20</v>
      </c>
      <c r="L2443">
        <v>20</v>
      </c>
      <c r="M2443">
        <v>20</v>
      </c>
    </row>
    <row r="2444" spans="1:13" x14ac:dyDescent="0.25">
      <c r="A2444" t="s">
        <v>5476</v>
      </c>
      <c r="B2444" t="s">
        <v>5477</v>
      </c>
      <c r="C2444" t="s">
        <v>362</v>
      </c>
      <c r="D2444" t="s">
        <v>4091</v>
      </c>
      <c r="G2444" t="s">
        <v>16</v>
      </c>
      <c r="H2444">
        <v>0</v>
      </c>
      <c r="I2444" s="2" t="s">
        <v>4093</v>
      </c>
      <c r="J2444" s="2" t="s">
        <v>5478</v>
      </c>
      <c r="K2444">
        <v>20</v>
      </c>
      <c r="L2444">
        <v>20</v>
      </c>
      <c r="M2444">
        <v>20</v>
      </c>
    </row>
    <row r="2445" spans="1:13" x14ac:dyDescent="0.25">
      <c r="A2445" t="s">
        <v>5479</v>
      </c>
      <c r="B2445" t="s">
        <v>5477</v>
      </c>
      <c r="C2445" t="s">
        <v>362</v>
      </c>
      <c r="D2445" t="s">
        <v>4091</v>
      </c>
      <c r="F2445">
        <v>2</v>
      </c>
      <c r="G2445" t="s">
        <v>16</v>
      </c>
      <c r="H2445">
        <v>0</v>
      </c>
      <c r="I2445" s="2" t="s">
        <v>288</v>
      </c>
      <c r="J2445" s="2" t="s">
        <v>5480</v>
      </c>
      <c r="K2445">
        <v>20</v>
      </c>
      <c r="L2445">
        <v>20</v>
      </c>
      <c r="M2445">
        <v>20</v>
      </c>
    </row>
    <row r="2446" spans="1:13" x14ac:dyDescent="0.25">
      <c r="A2446" t="s">
        <v>5481</v>
      </c>
      <c r="B2446" t="s">
        <v>5477</v>
      </c>
      <c r="C2446" t="s">
        <v>362</v>
      </c>
      <c r="D2446" t="s">
        <v>4091</v>
      </c>
      <c r="G2446" t="s">
        <v>16</v>
      </c>
      <c r="H2446">
        <v>0</v>
      </c>
      <c r="I2446" s="2" t="s">
        <v>941</v>
      </c>
      <c r="J2446" s="2" t="s">
        <v>5482</v>
      </c>
      <c r="K2446">
        <v>20</v>
      </c>
      <c r="L2446">
        <v>20</v>
      </c>
      <c r="M2446">
        <v>20</v>
      </c>
    </row>
    <row r="2447" spans="1:13" x14ac:dyDescent="0.25">
      <c r="A2447" t="s">
        <v>5483</v>
      </c>
      <c r="B2447" t="s">
        <v>5477</v>
      </c>
      <c r="C2447" t="s">
        <v>362</v>
      </c>
      <c r="D2447" t="s">
        <v>4091</v>
      </c>
      <c r="F2447">
        <v>0</v>
      </c>
      <c r="G2447" t="s">
        <v>16</v>
      </c>
      <c r="H2447">
        <v>0</v>
      </c>
      <c r="I2447" s="2" t="s">
        <v>389</v>
      </c>
      <c r="J2447" s="2">
        <v>1682320780</v>
      </c>
      <c r="K2447">
        <v>20</v>
      </c>
      <c r="L2447">
        <v>20</v>
      </c>
      <c r="M2447">
        <v>20</v>
      </c>
    </row>
    <row r="2448" spans="1:13" x14ac:dyDescent="0.25">
      <c r="A2448" t="s">
        <v>5484</v>
      </c>
      <c r="B2448" t="s">
        <v>5477</v>
      </c>
      <c r="C2448" t="s">
        <v>362</v>
      </c>
      <c r="D2448" t="s">
        <v>4091</v>
      </c>
      <c r="F2448">
        <v>1</v>
      </c>
      <c r="G2448" t="s">
        <v>16</v>
      </c>
      <c r="H2448">
        <v>0</v>
      </c>
      <c r="I2448" s="2" t="s">
        <v>2786</v>
      </c>
      <c r="J2448" s="2" t="str">
        <f>"05P1562"</f>
        <v>05P1562</v>
      </c>
      <c r="K2448">
        <v>20</v>
      </c>
      <c r="L2448">
        <v>20</v>
      </c>
      <c r="M2448">
        <v>20</v>
      </c>
    </row>
    <row r="2449" spans="1:13" x14ac:dyDescent="0.25">
      <c r="A2449" t="s">
        <v>5485</v>
      </c>
      <c r="B2449" t="s">
        <v>5477</v>
      </c>
      <c r="C2449" t="s">
        <v>362</v>
      </c>
      <c r="D2449" t="s">
        <v>4091</v>
      </c>
      <c r="G2449" t="s">
        <v>16</v>
      </c>
      <c r="H2449">
        <v>0</v>
      </c>
      <c r="I2449" s="2" t="s">
        <v>5486</v>
      </c>
      <c r="J2449" s="2" t="s">
        <v>5487</v>
      </c>
      <c r="K2449">
        <v>20</v>
      </c>
      <c r="L2449">
        <v>20</v>
      </c>
      <c r="M2449">
        <v>20</v>
      </c>
    </row>
    <row r="2450" spans="1:13" x14ac:dyDescent="0.25">
      <c r="A2450" t="s">
        <v>5488</v>
      </c>
      <c r="B2450" t="s">
        <v>5489</v>
      </c>
      <c r="C2450" t="s">
        <v>362</v>
      </c>
      <c r="D2450" t="s">
        <v>4091</v>
      </c>
      <c r="G2450" t="s">
        <v>16</v>
      </c>
      <c r="H2450">
        <v>0</v>
      </c>
      <c r="I2450" s="2" t="s">
        <v>4093</v>
      </c>
      <c r="J2450" s="2" t="s">
        <v>5490</v>
      </c>
      <c r="K2450">
        <v>20</v>
      </c>
      <c r="L2450">
        <v>20</v>
      </c>
      <c r="M2450">
        <v>20</v>
      </c>
    </row>
    <row r="2451" spans="1:13" x14ac:dyDescent="0.25">
      <c r="A2451" t="s">
        <v>5491</v>
      </c>
      <c r="B2451" t="s">
        <v>5489</v>
      </c>
      <c r="C2451" t="s">
        <v>362</v>
      </c>
      <c r="D2451" t="s">
        <v>4091</v>
      </c>
      <c r="G2451" t="s">
        <v>16</v>
      </c>
      <c r="H2451">
        <v>0</v>
      </c>
      <c r="I2451" s="2" t="s">
        <v>2517</v>
      </c>
      <c r="J2451" s="2" t="s">
        <v>5492</v>
      </c>
      <c r="K2451">
        <v>20</v>
      </c>
      <c r="L2451">
        <v>20</v>
      </c>
      <c r="M2451">
        <v>20</v>
      </c>
    </row>
    <row r="2452" spans="1:13" x14ac:dyDescent="0.25">
      <c r="A2452" t="s">
        <v>5493</v>
      </c>
      <c r="B2452" t="s">
        <v>5489</v>
      </c>
      <c r="C2452" t="s">
        <v>362</v>
      </c>
      <c r="D2452" t="s">
        <v>4091</v>
      </c>
      <c r="F2452">
        <v>1</v>
      </c>
      <c r="G2452" t="s">
        <v>16</v>
      </c>
      <c r="H2452">
        <v>0</v>
      </c>
      <c r="I2452" s="2" t="s">
        <v>941</v>
      </c>
      <c r="J2452" s="2" t="s">
        <v>5494</v>
      </c>
      <c r="K2452">
        <v>20</v>
      </c>
      <c r="L2452">
        <v>20</v>
      </c>
      <c r="M2452">
        <v>20</v>
      </c>
    </row>
    <row r="2453" spans="1:13" x14ac:dyDescent="0.25">
      <c r="A2453" t="s">
        <v>5495</v>
      </c>
      <c r="B2453" t="s">
        <v>5489</v>
      </c>
      <c r="C2453" t="s">
        <v>362</v>
      </c>
      <c r="D2453" t="s">
        <v>4091</v>
      </c>
      <c r="F2453">
        <v>1</v>
      </c>
      <c r="G2453" t="s">
        <v>16</v>
      </c>
      <c r="H2453">
        <v>0</v>
      </c>
      <c r="I2453" s="2" t="s">
        <v>5496</v>
      </c>
      <c r="J2453" s="2" t="s">
        <v>5497</v>
      </c>
      <c r="K2453">
        <v>20</v>
      </c>
      <c r="L2453">
        <v>20</v>
      </c>
      <c r="M2453">
        <v>20</v>
      </c>
    </row>
    <row r="2454" spans="1:13" x14ac:dyDescent="0.25">
      <c r="A2454" t="s">
        <v>5498</v>
      </c>
      <c r="B2454" t="s">
        <v>5499</v>
      </c>
      <c r="C2454" t="s">
        <v>362</v>
      </c>
      <c r="D2454" t="s">
        <v>363</v>
      </c>
      <c r="F2454">
        <v>1</v>
      </c>
      <c r="G2454" t="s">
        <v>16</v>
      </c>
      <c r="H2454">
        <v>0</v>
      </c>
      <c r="I2454" s="2" t="s">
        <v>5500</v>
      </c>
      <c r="J2454" s="2" t="s">
        <v>5501</v>
      </c>
      <c r="K2454">
        <v>20</v>
      </c>
      <c r="L2454">
        <v>20</v>
      </c>
      <c r="M2454">
        <v>20</v>
      </c>
    </row>
    <row r="2455" spans="1:13" x14ac:dyDescent="0.25">
      <c r="A2455" t="s">
        <v>5502</v>
      </c>
      <c r="B2455" t="s">
        <v>5503</v>
      </c>
      <c r="C2455" t="s">
        <v>362</v>
      </c>
      <c r="D2455" t="s">
        <v>4091</v>
      </c>
      <c r="G2455" t="s">
        <v>16</v>
      </c>
      <c r="H2455">
        <v>0</v>
      </c>
      <c r="I2455" s="2" t="s">
        <v>842</v>
      </c>
      <c r="J2455" s="2">
        <v>671578</v>
      </c>
      <c r="K2455">
        <v>20</v>
      </c>
      <c r="L2455">
        <v>20</v>
      </c>
      <c r="M2455">
        <v>20</v>
      </c>
    </row>
    <row r="2456" spans="1:13" x14ac:dyDescent="0.25">
      <c r="A2456" t="s">
        <v>5504</v>
      </c>
      <c r="B2456" t="s">
        <v>5505</v>
      </c>
      <c r="C2456" t="s">
        <v>20</v>
      </c>
      <c r="D2456" t="s">
        <v>26</v>
      </c>
      <c r="G2456" t="s">
        <v>16</v>
      </c>
      <c r="H2456">
        <v>0</v>
      </c>
      <c r="K2456">
        <v>20</v>
      </c>
      <c r="L2456">
        <v>20</v>
      </c>
      <c r="M2456">
        <v>20</v>
      </c>
    </row>
    <row r="2457" spans="1:13" x14ac:dyDescent="0.25">
      <c r="A2457" t="s">
        <v>5506</v>
      </c>
      <c r="B2457" t="s">
        <v>5507</v>
      </c>
      <c r="C2457" t="s">
        <v>362</v>
      </c>
      <c r="D2457" t="s">
        <v>4091</v>
      </c>
      <c r="G2457" t="s">
        <v>16</v>
      </c>
      <c r="H2457">
        <v>0</v>
      </c>
      <c r="I2457" s="2" t="s">
        <v>4093</v>
      </c>
      <c r="J2457" s="2" t="s">
        <v>5508</v>
      </c>
      <c r="K2457">
        <v>20</v>
      </c>
      <c r="L2457">
        <v>20</v>
      </c>
      <c r="M2457">
        <v>20</v>
      </c>
    </row>
    <row r="2458" spans="1:13" x14ac:dyDescent="0.25">
      <c r="A2458" t="s">
        <v>5509</v>
      </c>
      <c r="B2458" t="s">
        <v>5510</v>
      </c>
      <c r="C2458" t="s">
        <v>362</v>
      </c>
      <c r="D2458" t="s">
        <v>4091</v>
      </c>
      <c r="F2458">
        <v>2</v>
      </c>
      <c r="G2458" t="s">
        <v>16</v>
      </c>
      <c r="H2458">
        <v>0</v>
      </c>
      <c r="I2458" s="2" t="s">
        <v>4093</v>
      </c>
      <c r="J2458" s="2" t="s">
        <v>5511</v>
      </c>
      <c r="K2458">
        <v>20</v>
      </c>
      <c r="L2458">
        <v>20</v>
      </c>
      <c r="M2458">
        <v>20</v>
      </c>
    </row>
    <row r="2459" spans="1:13" x14ac:dyDescent="0.25">
      <c r="A2459" t="s">
        <v>5512</v>
      </c>
      <c r="B2459" t="s">
        <v>5507</v>
      </c>
      <c r="C2459" t="s">
        <v>362</v>
      </c>
      <c r="D2459" t="s">
        <v>4091</v>
      </c>
      <c r="F2459">
        <v>4</v>
      </c>
      <c r="G2459" t="s">
        <v>16</v>
      </c>
      <c r="H2459">
        <v>0</v>
      </c>
      <c r="I2459" s="2" t="s">
        <v>288</v>
      </c>
      <c r="J2459" s="2" t="s">
        <v>5513</v>
      </c>
      <c r="K2459">
        <v>20</v>
      </c>
      <c r="L2459">
        <v>20</v>
      </c>
      <c r="M2459">
        <v>20</v>
      </c>
    </row>
    <row r="2460" spans="1:13" x14ac:dyDescent="0.25">
      <c r="A2460" t="s">
        <v>5514</v>
      </c>
      <c r="B2460" t="s">
        <v>5510</v>
      </c>
      <c r="C2460" t="s">
        <v>362</v>
      </c>
      <c r="D2460" t="s">
        <v>4091</v>
      </c>
      <c r="G2460" t="s">
        <v>16</v>
      </c>
      <c r="H2460">
        <v>0</v>
      </c>
      <c r="I2460" s="2" t="s">
        <v>2517</v>
      </c>
      <c r="J2460" s="2" t="s">
        <v>5515</v>
      </c>
      <c r="K2460">
        <v>20</v>
      </c>
      <c r="L2460">
        <v>20</v>
      </c>
      <c r="M2460">
        <v>20</v>
      </c>
    </row>
    <row r="2461" spans="1:13" x14ac:dyDescent="0.25">
      <c r="A2461" t="s">
        <v>5516</v>
      </c>
      <c r="B2461" t="s">
        <v>5507</v>
      </c>
      <c r="C2461" t="s">
        <v>362</v>
      </c>
      <c r="D2461" t="s">
        <v>4091</v>
      </c>
      <c r="G2461" t="s">
        <v>16</v>
      </c>
      <c r="H2461">
        <v>0</v>
      </c>
      <c r="I2461" s="2" t="s">
        <v>685</v>
      </c>
      <c r="J2461" s="2" t="str">
        <f>"0986495237"</f>
        <v>0986495237</v>
      </c>
      <c r="K2461">
        <v>20</v>
      </c>
      <c r="L2461">
        <v>20</v>
      </c>
      <c r="M2461">
        <v>20</v>
      </c>
    </row>
    <row r="2462" spans="1:13" x14ac:dyDescent="0.25">
      <c r="A2462" t="s">
        <v>5517</v>
      </c>
      <c r="B2462" t="s">
        <v>5507</v>
      </c>
      <c r="C2462" t="s">
        <v>362</v>
      </c>
      <c r="D2462" t="s">
        <v>4091</v>
      </c>
      <c r="G2462" t="s">
        <v>16</v>
      </c>
      <c r="H2462">
        <v>0</v>
      </c>
      <c r="I2462" s="2" t="s">
        <v>707</v>
      </c>
      <c r="J2462" s="2" t="s">
        <v>5518</v>
      </c>
      <c r="K2462">
        <v>20</v>
      </c>
      <c r="L2462">
        <v>20</v>
      </c>
      <c r="M2462">
        <v>20</v>
      </c>
    </row>
    <row r="2463" spans="1:13" x14ac:dyDescent="0.25">
      <c r="A2463" t="s">
        <v>5519</v>
      </c>
      <c r="B2463" t="s">
        <v>5507</v>
      </c>
      <c r="C2463" t="s">
        <v>362</v>
      </c>
      <c r="D2463" t="s">
        <v>363</v>
      </c>
      <c r="F2463">
        <v>8</v>
      </c>
      <c r="G2463" t="s">
        <v>16</v>
      </c>
      <c r="H2463">
        <v>0</v>
      </c>
      <c r="I2463" s="2" t="s">
        <v>392</v>
      </c>
      <c r="J2463" s="2">
        <v>1682309480</v>
      </c>
      <c r="K2463">
        <v>20</v>
      </c>
      <c r="L2463">
        <v>20</v>
      </c>
      <c r="M2463">
        <v>20</v>
      </c>
    </row>
    <row r="2464" spans="1:13" x14ac:dyDescent="0.25">
      <c r="A2464" t="s">
        <v>5520</v>
      </c>
      <c r="B2464" t="s">
        <v>5510</v>
      </c>
      <c r="C2464" t="s">
        <v>362</v>
      </c>
      <c r="D2464" t="s">
        <v>4091</v>
      </c>
      <c r="F2464">
        <v>0</v>
      </c>
      <c r="G2464" t="s">
        <v>16</v>
      </c>
      <c r="H2464">
        <v>0</v>
      </c>
      <c r="I2464" s="2" t="s">
        <v>108</v>
      </c>
      <c r="J2464" s="3">
        <v>1701101001</v>
      </c>
      <c r="K2464">
        <v>20</v>
      </c>
      <c r="L2464">
        <v>20</v>
      </c>
      <c r="M2464">
        <v>20</v>
      </c>
    </row>
    <row r="2465" spans="1:13" x14ac:dyDescent="0.25">
      <c r="A2465" t="s">
        <v>5521</v>
      </c>
      <c r="B2465" t="s">
        <v>5507</v>
      </c>
      <c r="C2465" t="s">
        <v>362</v>
      </c>
      <c r="D2465" t="s">
        <v>4091</v>
      </c>
      <c r="F2465">
        <v>0</v>
      </c>
      <c r="G2465" t="s">
        <v>16</v>
      </c>
      <c r="H2465">
        <v>0</v>
      </c>
      <c r="I2465" s="2" t="s">
        <v>2786</v>
      </c>
      <c r="J2465" s="2" t="str">
        <f>"05P763"</f>
        <v>05P763</v>
      </c>
      <c r="K2465">
        <v>20</v>
      </c>
      <c r="L2465">
        <v>20</v>
      </c>
      <c r="M2465">
        <v>20</v>
      </c>
    </row>
    <row r="2466" spans="1:13" x14ac:dyDescent="0.25">
      <c r="A2466" t="s">
        <v>5522</v>
      </c>
      <c r="B2466" t="s">
        <v>5510</v>
      </c>
      <c r="C2466" t="s">
        <v>362</v>
      </c>
      <c r="D2466" t="s">
        <v>4091</v>
      </c>
      <c r="F2466">
        <v>0</v>
      </c>
      <c r="G2466" t="s">
        <v>16</v>
      </c>
      <c r="H2466">
        <v>0</v>
      </c>
      <c r="I2466" s="2" t="s">
        <v>3945</v>
      </c>
      <c r="J2466" s="2" t="str">
        <f>"0252398217/W"</f>
        <v>0252398217/W</v>
      </c>
      <c r="K2466">
        <v>20</v>
      </c>
      <c r="L2466">
        <v>20</v>
      </c>
      <c r="M2466">
        <v>20</v>
      </c>
    </row>
    <row r="2467" spans="1:13" x14ac:dyDescent="0.25">
      <c r="A2467" t="s">
        <v>5523</v>
      </c>
      <c r="B2467" t="s">
        <v>5507</v>
      </c>
      <c r="C2467" t="s">
        <v>362</v>
      </c>
      <c r="D2467" t="s">
        <v>4091</v>
      </c>
      <c r="F2467">
        <v>0</v>
      </c>
      <c r="G2467" t="s">
        <v>16</v>
      </c>
      <c r="H2467">
        <v>0</v>
      </c>
      <c r="I2467" s="2" t="s">
        <v>162</v>
      </c>
      <c r="J2467" s="2">
        <v>55100</v>
      </c>
      <c r="K2467">
        <v>20</v>
      </c>
      <c r="L2467">
        <v>20</v>
      </c>
      <c r="M2467">
        <v>20</v>
      </c>
    </row>
    <row r="2468" spans="1:13" x14ac:dyDescent="0.25">
      <c r="A2468" t="s">
        <v>5524</v>
      </c>
      <c r="B2468" t="s">
        <v>5526</v>
      </c>
      <c r="C2468" t="s">
        <v>362</v>
      </c>
      <c r="D2468" t="s">
        <v>4091</v>
      </c>
      <c r="F2468">
        <v>3</v>
      </c>
      <c r="G2468" t="s">
        <v>16</v>
      </c>
      <c r="H2468">
        <v>0</v>
      </c>
      <c r="I2468" s="2" t="s">
        <v>288</v>
      </c>
      <c r="J2468" s="2" t="s">
        <v>5525</v>
      </c>
      <c r="K2468">
        <v>20</v>
      </c>
      <c r="L2468">
        <v>20</v>
      </c>
      <c r="M2468">
        <v>20</v>
      </c>
    </row>
    <row r="2469" spans="1:13" x14ac:dyDescent="0.25">
      <c r="A2469" t="s">
        <v>5527</v>
      </c>
      <c r="B2469" t="s">
        <v>5526</v>
      </c>
      <c r="C2469" t="s">
        <v>362</v>
      </c>
      <c r="D2469" t="s">
        <v>4091</v>
      </c>
      <c r="F2469">
        <v>1</v>
      </c>
      <c r="G2469" t="s">
        <v>16</v>
      </c>
      <c r="H2469">
        <v>0</v>
      </c>
      <c r="I2469" s="2" t="s">
        <v>5528</v>
      </c>
      <c r="J2469" s="2" t="s">
        <v>5529</v>
      </c>
      <c r="K2469">
        <v>20</v>
      </c>
      <c r="L2469">
        <v>20</v>
      </c>
      <c r="M2469">
        <v>20</v>
      </c>
    </row>
    <row r="2470" spans="1:13" x14ac:dyDescent="0.25">
      <c r="A2470" t="s">
        <v>5530</v>
      </c>
      <c r="B2470" t="s">
        <v>5526</v>
      </c>
      <c r="C2470" t="s">
        <v>362</v>
      </c>
      <c r="D2470" t="s">
        <v>4091</v>
      </c>
      <c r="G2470" t="s">
        <v>16</v>
      </c>
      <c r="H2470">
        <v>0</v>
      </c>
      <c r="I2470" s="2" t="s">
        <v>491</v>
      </c>
      <c r="J2470" s="2">
        <v>323700050800</v>
      </c>
      <c r="K2470">
        <v>20</v>
      </c>
      <c r="L2470">
        <v>20</v>
      </c>
      <c r="M2470">
        <v>20</v>
      </c>
    </row>
    <row r="2471" spans="1:13" x14ac:dyDescent="0.25">
      <c r="A2471" t="s">
        <v>5531</v>
      </c>
      <c r="B2471" t="s">
        <v>5533</v>
      </c>
      <c r="C2471" t="s">
        <v>362</v>
      </c>
      <c r="D2471" t="s">
        <v>4091</v>
      </c>
      <c r="G2471" t="s">
        <v>16</v>
      </c>
      <c r="H2471">
        <v>0</v>
      </c>
      <c r="I2471" s="2" t="s">
        <v>288</v>
      </c>
      <c r="J2471" s="2" t="s">
        <v>5532</v>
      </c>
      <c r="K2471">
        <v>20</v>
      </c>
      <c r="L2471">
        <v>20</v>
      </c>
      <c r="M2471">
        <v>20</v>
      </c>
    </row>
    <row r="2472" spans="1:13" x14ac:dyDescent="0.25">
      <c r="A2472" t="s">
        <v>5534</v>
      </c>
      <c r="B2472" t="s">
        <v>5533</v>
      </c>
      <c r="C2472" t="s">
        <v>362</v>
      </c>
      <c r="D2472" t="s">
        <v>4091</v>
      </c>
      <c r="F2472">
        <v>1</v>
      </c>
      <c r="G2472" t="s">
        <v>16</v>
      </c>
      <c r="H2472">
        <v>0</v>
      </c>
      <c r="I2472" s="2" t="s">
        <v>5535</v>
      </c>
      <c r="J2472" s="2">
        <v>94285</v>
      </c>
      <c r="K2472">
        <v>20</v>
      </c>
      <c r="L2472">
        <v>20</v>
      </c>
      <c r="M2472">
        <v>20</v>
      </c>
    </row>
    <row r="2473" spans="1:13" x14ac:dyDescent="0.25">
      <c r="A2473" t="s">
        <v>5536</v>
      </c>
      <c r="B2473" t="s">
        <v>5538</v>
      </c>
      <c r="C2473" t="s">
        <v>362</v>
      </c>
      <c r="D2473" t="s">
        <v>4091</v>
      </c>
      <c r="F2473">
        <v>1</v>
      </c>
      <c r="G2473" t="s">
        <v>16</v>
      </c>
      <c r="H2473">
        <v>0</v>
      </c>
      <c r="I2473" s="2" t="s">
        <v>288</v>
      </c>
      <c r="J2473" s="2" t="s">
        <v>5537</v>
      </c>
      <c r="K2473">
        <v>20</v>
      </c>
      <c r="L2473">
        <v>20</v>
      </c>
      <c r="M2473">
        <v>20</v>
      </c>
    </row>
    <row r="2474" spans="1:13" x14ac:dyDescent="0.25">
      <c r="A2474" t="s">
        <v>5539</v>
      </c>
      <c r="B2474" t="s">
        <v>5538</v>
      </c>
      <c r="C2474" t="s">
        <v>362</v>
      </c>
      <c r="D2474" t="s">
        <v>4091</v>
      </c>
      <c r="F2474">
        <v>1</v>
      </c>
      <c r="G2474" t="s">
        <v>16</v>
      </c>
      <c r="H2474">
        <v>0</v>
      </c>
      <c r="I2474" s="2" t="s">
        <v>4182</v>
      </c>
      <c r="J2474" s="2" t="s">
        <v>5540</v>
      </c>
      <c r="K2474">
        <v>20</v>
      </c>
      <c r="L2474">
        <v>20</v>
      </c>
      <c r="M2474">
        <v>20</v>
      </c>
    </row>
    <row r="2475" spans="1:13" x14ac:dyDescent="0.25">
      <c r="A2475" t="s">
        <v>5541</v>
      </c>
      <c r="B2475" t="s">
        <v>5538</v>
      </c>
      <c r="C2475" t="s">
        <v>362</v>
      </c>
      <c r="D2475" t="s">
        <v>4091</v>
      </c>
      <c r="G2475" t="s">
        <v>16</v>
      </c>
      <c r="H2475">
        <v>0</v>
      </c>
      <c r="I2475" s="2" t="s">
        <v>941</v>
      </c>
      <c r="J2475" s="2" t="s">
        <v>5542</v>
      </c>
      <c r="K2475">
        <v>20</v>
      </c>
      <c r="L2475">
        <v>20</v>
      </c>
      <c r="M2475">
        <v>20</v>
      </c>
    </row>
    <row r="2476" spans="1:13" x14ac:dyDescent="0.25">
      <c r="A2476" t="s">
        <v>5543</v>
      </c>
      <c r="B2476" t="s">
        <v>5538</v>
      </c>
      <c r="C2476" t="s">
        <v>362</v>
      </c>
      <c r="D2476" t="s">
        <v>4091</v>
      </c>
      <c r="F2476">
        <v>1</v>
      </c>
      <c r="G2476" t="s">
        <v>16</v>
      </c>
      <c r="H2476">
        <v>0</v>
      </c>
      <c r="I2476" s="2" t="s">
        <v>3945</v>
      </c>
      <c r="J2476" s="2" t="str">
        <f>"025 244 1219/W"</f>
        <v>025 244 1219/W</v>
      </c>
      <c r="K2476">
        <v>20</v>
      </c>
      <c r="L2476">
        <v>20</v>
      </c>
      <c r="M2476">
        <v>20</v>
      </c>
    </row>
    <row r="2477" spans="1:13" x14ac:dyDescent="0.25">
      <c r="A2477" t="s">
        <v>5544</v>
      </c>
      <c r="B2477" t="s">
        <v>5538</v>
      </c>
      <c r="C2477" t="s">
        <v>362</v>
      </c>
      <c r="D2477" t="s">
        <v>4091</v>
      </c>
      <c r="F2477">
        <v>1</v>
      </c>
      <c r="G2477" t="s">
        <v>16</v>
      </c>
      <c r="H2477">
        <v>0</v>
      </c>
      <c r="I2477" s="2" t="s">
        <v>5057</v>
      </c>
      <c r="J2477" s="2" t="s">
        <v>5545</v>
      </c>
      <c r="K2477">
        <v>20</v>
      </c>
      <c r="L2477">
        <v>20</v>
      </c>
      <c r="M2477">
        <v>20</v>
      </c>
    </row>
    <row r="2478" spans="1:13" x14ac:dyDescent="0.25">
      <c r="A2478" t="s">
        <v>5546</v>
      </c>
      <c r="B2478" t="s">
        <v>5547</v>
      </c>
      <c r="C2478" t="s">
        <v>362</v>
      </c>
      <c r="D2478" t="s">
        <v>4091</v>
      </c>
      <c r="G2478" t="s">
        <v>16</v>
      </c>
      <c r="H2478">
        <v>0</v>
      </c>
      <c r="I2478" s="2" t="s">
        <v>5548</v>
      </c>
      <c r="J2478" s="2" t="s">
        <v>5549</v>
      </c>
      <c r="K2478">
        <v>20</v>
      </c>
      <c r="L2478">
        <v>20</v>
      </c>
      <c r="M2478">
        <v>20</v>
      </c>
    </row>
    <row r="2479" spans="1:13" x14ac:dyDescent="0.25">
      <c r="A2479" t="s">
        <v>5550</v>
      </c>
      <c r="B2479" t="s">
        <v>5547</v>
      </c>
      <c r="C2479" t="s">
        <v>362</v>
      </c>
      <c r="D2479" t="s">
        <v>4091</v>
      </c>
      <c r="F2479">
        <v>1</v>
      </c>
      <c r="G2479" t="s">
        <v>16</v>
      </c>
      <c r="H2479">
        <v>0</v>
      </c>
      <c r="I2479" s="2" t="s">
        <v>288</v>
      </c>
      <c r="J2479" s="2" t="s">
        <v>5551</v>
      </c>
      <c r="K2479">
        <v>20</v>
      </c>
      <c r="L2479">
        <v>20</v>
      </c>
      <c r="M2479">
        <v>20</v>
      </c>
    </row>
    <row r="2480" spans="1:13" x14ac:dyDescent="0.25">
      <c r="A2480" t="s">
        <v>5552</v>
      </c>
      <c r="B2480" t="s">
        <v>5547</v>
      </c>
      <c r="C2480" t="s">
        <v>362</v>
      </c>
      <c r="D2480" t="s">
        <v>4091</v>
      </c>
      <c r="F2480">
        <v>1</v>
      </c>
      <c r="G2480" t="s">
        <v>16</v>
      </c>
      <c r="H2480">
        <v>0</v>
      </c>
      <c r="I2480" s="2" t="s">
        <v>685</v>
      </c>
      <c r="J2480" s="2" t="str">
        <f>"0986494279"</f>
        <v>0986494279</v>
      </c>
      <c r="K2480">
        <v>20</v>
      </c>
      <c r="L2480">
        <v>20</v>
      </c>
      <c r="M2480">
        <v>20</v>
      </c>
    </row>
    <row r="2481" spans="1:13" x14ac:dyDescent="0.25">
      <c r="A2481" t="s">
        <v>5553</v>
      </c>
      <c r="B2481" t="s">
        <v>5547</v>
      </c>
      <c r="C2481" t="s">
        <v>362</v>
      </c>
      <c r="D2481" t="s">
        <v>4091</v>
      </c>
      <c r="F2481">
        <v>1</v>
      </c>
      <c r="G2481" t="s">
        <v>16</v>
      </c>
      <c r="H2481">
        <v>0</v>
      </c>
      <c r="I2481" s="2" t="s">
        <v>941</v>
      </c>
      <c r="J2481" s="2" t="s">
        <v>5554</v>
      </c>
      <c r="K2481">
        <v>20</v>
      </c>
      <c r="L2481">
        <v>20</v>
      </c>
      <c r="M2481">
        <v>20</v>
      </c>
    </row>
    <row r="2482" spans="1:13" x14ac:dyDescent="0.25">
      <c r="A2482" t="s">
        <v>5555</v>
      </c>
      <c r="B2482" t="s">
        <v>5547</v>
      </c>
      <c r="C2482" t="s">
        <v>362</v>
      </c>
      <c r="D2482" t="s">
        <v>4091</v>
      </c>
      <c r="G2482" t="s">
        <v>16</v>
      </c>
      <c r="H2482">
        <v>0</v>
      </c>
      <c r="I2482" s="2" t="s">
        <v>389</v>
      </c>
      <c r="J2482" s="2">
        <v>1639382880</v>
      </c>
      <c r="K2482">
        <v>20</v>
      </c>
      <c r="L2482">
        <v>20</v>
      </c>
      <c r="M2482">
        <v>20</v>
      </c>
    </row>
    <row r="2483" spans="1:13" x14ac:dyDescent="0.25">
      <c r="A2483" t="s">
        <v>5556</v>
      </c>
      <c r="B2483" t="s">
        <v>5547</v>
      </c>
      <c r="C2483" t="s">
        <v>362</v>
      </c>
      <c r="D2483" t="s">
        <v>4091</v>
      </c>
      <c r="G2483" t="s">
        <v>16</v>
      </c>
      <c r="H2483">
        <v>0</v>
      </c>
      <c r="I2483" s="2" t="s">
        <v>108</v>
      </c>
      <c r="J2483" s="3">
        <v>3951101005</v>
      </c>
      <c r="K2483">
        <v>20</v>
      </c>
      <c r="L2483">
        <v>20</v>
      </c>
      <c r="M2483">
        <v>20</v>
      </c>
    </row>
    <row r="2484" spans="1:13" x14ac:dyDescent="0.25">
      <c r="A2484" t="s">
        <v>5557</v>
      </c>
      <c r="B2484" t="s">
        <v>5547</v>
      </c>
      <c r="C2484" t="s">
        <v>362</v>
      </c>
      <c r="D2484" t="s">
        <v>4091</v>
      </c>
      <c r="G2484" t="s">
        <v>16</v>
      </c>
      <c r="H2484">
        <v>0</v>
      </c>
      <c r="I2484" s="2" t="s">
        <v>5558</v>
      </c>
      <c r="J2484" s="2" t="s">
        <v>5559</v>
      </c>
      <c r="K2484">
        <v>20</v>
      </c>
      <c r="L2484">
        <v>20</v>
      </c>
      <c r="M2484">
        <v>20</v>
      </c>
    </row>
    <row r="2485" spans="1:13" x14ac:dyDescent="0.25">
      <c r="A2485" t="s">
        <v>5560</v>
      </c>
      <c r="B2485" t="s">
        <v>5561</v>
      </c>
      <c r="C2485" t="s">
        <v>362</v>
      </c>
      <c r="D2485" t="s">
        <v>4097</v>
      </c>
      <c r="F2485">
        <v>1</v>
      </c>
      <c r="G2485" t="s">
        <v>16</v>
      </c>
      <c r="H2485">
        <v>0</v>
      </c>
      <c r="K2485">
        <v>20</v>
      </c>
      <c r="L2485">
        <v>20</v>
      </c>
      <c r="M2485">
        <v>20</v>
      </c>
    </row>
    <row r="2486" spans="1:13" x14ac:dyDescent="0.25">
      <c r="A2486" t="s">
        <v>5562</v>
      </c>
      <c r="B2486" t="s">
        <v>5564</v>
      </c>
      <c r="C2486" t="s">
        <v>362</v>
      </c>
      <c r="D2486" t="s">
        <v>363</v>
      </c>
      <c r="F2486">
        <v>2</v>
      </c>
      <c r="G2486" t="s">
        <v>16</v>
      </c>
      <c r="H2486">
        <v>0</v>
      </c>
      <c r="I2486" s="2" t="s">
        <v>765</v>
      </c>
      <c r="J2486" s="2" t="s">
        <v>5563</v>
      </c>
      <c r="K2486">
        <v>20</v>
      </c>
      <c r="L2486">
        <v>20</v>
      </c>
      <c r="M2486">
        <v>20</v>
      </c>
    </row>
    <row r="2487" spans="1:13" x14ac:dyDescent="0.25">
      <c r="A2487" t="s">
        <v>5565</v>
      </c>
      <c r="B2487" t="s">
        <v>5566</v>
      </c>
      <c r="C2487" t="s">
        <v>362</v>
      </c>
      <c r="D2487" t="s">
        <v>4091</v>
      </c>
      <c r="G2487" t="s">
        <v>16</v>
      </c>
      <c r="H2487">
        <v>0</v>
      </c>
      <c r="I2487" s="2" t="s">
        <v>2533</v>
      </c>
      <c r="J2487" s="2" t="s">
        <v>5567</v>
      </c>
      <c r="K2487">
        <v>20</v>
      </c>
      <c r="L2487">
        <v>20</v>
      </c>
      <c r="M2487">
        <v>20</v>
      </c>
    </row>
    <row r="2488" spans="1:13" x14ac:dyDescent="0.25">
      <c r="A2488" t="s">
        <v>5568</v>
      </c>
      <c r="B2488" t="s">
        <v>5564</v>
      </c>
      <c r="C2488" t="s">
        <v>362</v>
      </c>
      <c r="D2488" t="s">
        <v>4091</v>
      </c>
      <c r="G2488" t="s">
        <v>16</v>
      </c>
      <c r="H2488">
        <v>0</v>
      </c>
      <c r="I2488" s="2" t="s">
        <v>4193</v>
      </c>
      <c r="J2488" s="2" t="s">
        <v>5569</v>
      </c>
      <c r="K2488">
        <v>20</v>
      </c>
      <c r="L2488">
        <v>20</v>
      </c>
      <c r="M2488">
        <v>20</v>
      </c>
    </row>
    <row r="2489" spans="1:13" x14ac:dyDescent="0.25">
      <c r="A2489" t="s">
        <v>5570</v>
      </c>
      <c r="B2489" t="s">
        <v>5564</v>
      </c>
      <c r="C2489" t="s">
        <v>362</v>
      </c>
      <c r="D2489" t="s">
        <v>4091</v>
      </c>
      <c r="F2489">
        <v>4</v>
      </c>
      <c r="G2489" t="s">
        <v>16</v>
      </c>
      <c r="H2489">
        <v>0</v>
      </c>
      <c r="I2489" s="2" t="s">
        <v>941</v>
      </c>
      <c r="J2489" s="2" t="s">
        <v>5571</v>
      </c>
      <c r="K2489">
        <v>20</v>
      </c>
      <c r="L2489">
        <v>20</v>
      </c>
      <c r="M2489">
        <v>20</v>
      </c>
    </row>
    <row r="2490" spans="1:13" x14ac:dyDescent="0.25">
      <c r="A2490" t="s">
        <v>5572</v>
      </c>
      <c r="B2490" t="s">
        <v>5566</v>
      </c>
      <c r="C2490" t="s">
        <v>362</v>
      </c>
      <c r="D2490" t="s">
        <v>4091</v>
      </c>
      <c r="F2490">
        <v>1</v>
      </c>
      <c r="G2490" t="s">
        <v>16</v>
      </c>
      <c r="H2490">
        <v>0</v>
      </c>
      <c r="I2490" s="2" t="s">
        <v>5057</v>
      </c>
      <c r="J2490" s="2" t="s">
        <v>5573</v>
      </c>
      <c r="K2490">
        <v>20</v>
      </c>
      <c r="L2490">
        <v>20</v>
      </c>
      <c r="M2490">
        <v>20</v>
      </c>
    </row>
    <row r="2491" spans="1:13" x14ac:dyDescent="0.25">
      <c r="A2491" t="s">
        <v>5574</v>
      </c>
      <c r="B2491" t="s">
        <v>5575</v>
      </c>
      <c r="C2491" t="s">
        <v>362</v>
      </c>
      <c r="D2491" t="s">
        <v>4091</v>
      </c>
      <c r="G2491" t="s">
        <v>16</v>
      </c>
      <c r="H2491">
        <v>0</v>
      </c>
      <c r="I2491" s="2" t="s">
        <v>5576</v>
      </c>
      <c r="J2491" s="2" t="s">
        <v>5577</v>
      </c>
      <c r="K2491">
        <v>20</v>
      </c>
      <c r="L2491">
        <v>20</v>
      </c>
      <c r="M2491">
        <v>20</v>
      </c>
    </row>
    <row r="2492" spans="1:13" x14ac:dyDescent="0.25">
      <c r="A2492" t="s">
        <v>5578</v>
      </c>
      <c r="B2492" t="s">
        <v>5575</v>
      </c>
      <c r="C2492" t="s">
        <v>362</v>
      </c>
      <c r="D2492" t="s">
        <v>4091</v>
      </c>
      <c r="G2492" t="s">
        <v>16</v>
      </c>
      <c r="H2492">
        <v>0</v>
      </c>
      <c r="I2492" s="2" t="s">
        <v>3945</v>
      </c>
      <c r="J2492" s="2" t="str">
        <f>"0252093915"</f>
        <v>0252093915</v>
      </c>
      <c r="K2492">
        <v>20</v>
      </c>
      <c r="L2492">
        <v>20</v>
      </c>
      <c r="M2492">
        <v>20</v>
      </c>
    </row>
    <row r="2493" spans="1:13" x14ac:dyDescent="0.25">
      <c r="A2493" t="s">
        <v>5579</v>
      </c>
      <c r="B2493" t="s">
        <v>5580</v>
      </c>
      <c r="C2493" t="s">
        <v>362</v>
      </c>
      <c r="D2493" t="s">
        <v>4091</v>
      </c>
      <c r="F2493">
        <v>1</v>
      </c>
      <c r="G2493" t="s">
        <v>16</v>
      </c>
      <c r="H2493">
        <v>0</v>
      </c>
      <c r="I2493" s="2" t="s">
        <v>941</v>
      </c>
      <c r="J2493" s="2" t="s">
        <v>5581</v>
      </c>
      <c r="K2493">
        <v>20</v>
      </c>
      <c r="L2493">
        <v>20</v>
      </c>
      <c r="M2493">
        <v>20</v>
      </c>
    </row>
    <row r="2494" spans="1:13" x14ac:dyDescent="0.25">
      <c r="A2494" t="s">
        <v>5582</v>
      </c>
      <c r="B2494" t="s">
        <v>5580</v>
      </c>
      <c r="C2494" t="s">
        <v>362</v>
      </c>
      <c r="D2494" t="s">
        <v>4091</v>
      </c>
      <c r="F2494">
        <v>1</v>
      </c>
      <c r="G2494" t="s">
        <v>16</v>
      </c>
      <c r="H2494">
        <v>0</v>
      </c>
      <c r="I2494" s="2" t="s">
        <v>1538</v>
      </c>
      <c r="J2494" s="2" t="str">
        <f>"0252114015"</f>
        <v>0252114015</v>
      </c>
      <c r="K2494">
        <v>20</v>
      </c>
      <c r="L2494">
        <v>20</v>
      </c>
      <c r="M2494">
        <v>20</v>
      </c>
    </row>
    <row r="2495" spans="1:13" x14ac:dyDescent="0.25">
      <c r="A2495" t="s">
        <v>5583</v>
      </c>
      <c r="B2495" t="s">
        <v>5584</v>
      </c>
      <c r="C2495" t="s">
        <v>362</v>
      </c>
      <c r="D2495" t="s">
        <v>4091</v>
      </c>
      <c r="G2495" t="s">
        <v>16</v>
      </c>
      <c r="H2495">
        <v>0</v>
      </c>
      <c r="I2495" s="2" t="s">
        <v>4093</v>
      </c>
      <c r="J2495" s="2" t="s">
        <v>5585</v>
      </c>
      <c r="K2495">
        <v>20</v>
      </c>
      <c r="L2495">
        <v>20</v>
      </c>
      <c r="M2495">
        <v>20</v>
      </c>
    </row>
    <row r="2496" spans="1:13" x14ac:dyDescent="0.25">
      <c r="A2496" t="s">
        <v>5586</v>
      </c>
      <c r="B2496" t="s">
        <v>5584</v>
      </c>
      <c r="C2496" t="s">
        <v>362</v>
      </c>
      <c r="D2496" t="s">
        <v>4091</v>
      </c>
      <c r="F2496">
        <v>1</v>
      </c>
      <c r="G2496" t="s">
        <v>16</v>
      </c>
      <c r="H2496">
        <v>0</v>
      </c>
      <c r="I2496" s="2" t="s">
        <v>288</v>
      </c>
      <c r="J2496" s="2" t="s">
        <v>5587</v>
      </c>
      <c r="K2496">
        <v>20</v>
      </c>
      <c r="L2496">
        <v>20</v>
      </c>
      <c r="M2496">
        <v>20</v>
      </c>
    </row>
    <row r="2497" spans="1:13" x14ac:dyDescent="0.25">
      <c r="A2497" t="s">
        <v>5588</v>
      </c>
      <c r="B2497" t="s">
        <v>5584</v>
      </c>
      <c r="C2497" t="s">
        <v>362</v>
      </c>
      <c r="D2497" t="s">
        <v>4091</v>
      </c>
      <c r="F2497">
        <v>1</v>
      </c>
      <c r="G2497" t="s">
        <v>16</v>
      </c>
      <c r="H2497">
        <v>0</v>
      </c>
      <c r="I2497" s="2" t="s">
        <v>383</v>
      </c>
      <c r="J2497" s="2" t="str">
        <f>"0986460938"</f>
        <v>0986460938</v>
      </c>
      <c r="K2497">
        <v>20</v>
      </c>
      <c r="L2497">
        <v>20</v>
      </c>
      <c r="M2497">
        <v>20</v>
      </c>
    </row>
    <row r="2498" spans="1:13" x14ac:dyDescent="0.25">
      <c r="A2498" t="s">
        <v>5589</v>
      </c>
      <c r="B2498" t="s">
        <v>5584</v>
      </c>
      <c r="C2498" t="s">
        <v>362</v>
      </c>
      <c r="D2498" t="s">
        <v>4091</v>
      </c>
      <c r="F2498">
        <v>5</v>
      </c>
      <c r="G2498" t="s">
        <v>16</v>
      </c>
      <c r="H2498">
        <v>0</v>
      </c>
      <c r="I2498" s="2" t="s">
        <v>941</v>
      </c>
      <c r="J2498" s="2" t="s">
        <v>5590</v>
      </c>
      <c r="K2498">
        <v>20</v>
      </c>
      <c r="L2498">
        <v>20</v>
      </c>
      <c r="M2498">
        <v>20</v>
      </c>
    </row>
    <row r="2499" spans="1:13" x14ac:dyDescent="0.25">
      <c r="A2499" t="s">
        <v>5591</v>
      </c>
      <c r="B2499" t="s">
        <v>5584</v>
      </c>
      <c r="C2499" t="s">
        <v>362</v>
      </c>
      <c r="D2499" t="s">
        <v>4091</v>
      </c>
      <c r="F2499">
        <v>1</v>
      </c>
      <c r="G2499" t="s">
        <v>16</v>
      </c>
      <c r="H2499">
        <v>0</v>
      </c>
      <c r="I2499" s="2" t="s">
        <v>5057</v>
      </c>
      <c r="J2499" s="2" t="s">
        <v>5592</v>
      </c>
      <c r="K2499">
        <v>20</v>
      </c>
      <c r="L2499">
        <v>20</v>
      </c>
      <c r="M2499">
        <v>20</v>
      </c>
    </row>
    <row r="2500" spans="1:13" x14ac:dyDescent="0.25">
      <c r="A2500" t="s">
        <v>5593</v>
      </c>
      <c r="B2500" t="s">
        <v>5594</v>
      </c>
      <c r="C2500" t="s">
        <v>362</v>
      </c>
      <c r="D2500" t="s">
        <v>4091</v>
      </c>
      <c r="G2500" t="s">
        <v>16</v>
      </c>
      <c r="H2500">
        <v>0</v>
      </c>
      <c r="I2500" s="2" t="s">
        <v>707</v>
      </c>
      <c r="J2500" s="2" t="s">
        <v>5595</v>
      </c>
      <c r="K2500">
        <v>20</v>
      </c>
      <c r="L2500">
        <v>20</v>
      </c>
      <c r="M2500">
        <v>20</v>
      </c>
    </row>
    <row r="2501" spans="1:13" x14ac:dyDescent="0.25">
      <c r="A2501" t="s">
        <v>5596</v>
      </c>
      <c r="B2501" t="s">
        <v>5594</v>
      </c>
      <c r="C2501" t="s">
        <v>362</v>
      </c>
      <c r="D2501" t="s">
        <v>4091</v>
      </c>
      <c r="G2501" t="s">
        <v>16</v>
      </c>
      <c r="H2501">
        <v>0</v>
      </c>
      <c r="I2501" s="2" t="s">
        <v>5496</v>
      </c>
      <c r="J2501" s="2" t="s">
        <v>5597</v>
      </c>
      <c r="K2501">
        <v>20</v>
      </c>
      <c r="L2501">
        <v>20</v>
      </c>
      <c r="M2501">
        <v>20</v>
      </c>
    </row>
    <row r="2502" spans="1:13" x14ac:dyDescent="0.25">
      <c r="A2502" t="s">
        <v>5598</v>
      </c>
      <c r="B2502" t="s">
        <v>5594</v>
      </c>
      <c r="C2502" t="s">
        <v>362</v>
      </c>
      <c r="D2502" t="s">
        <v>4091</v>
      </c>
      <c r="F2502">
        <v>0</v>
      </c>
      <c r="G2502" t="s">
        <v>16</v>
      </c>
      <c r="H2502">
        <v>0</v>
      </c>
      <c r="I2502" s="2" t="s">
        <v>5599</v>
      </c>
      <c r="J2502" s="2">
        <v>4094</v>
      </c>
      <c r="K2502">
        <v>20</v>
      </c>
      <c r="L2502">
        <v>20</v>
      </c>
      <c r="M2502">
        <v>20</v>
      </c>
    </row>
    <row r="2503" spans="1:13" x14ac:dyDescent="0.25">
      <c r="A2503" t="s">
        <v>5600</v>
      </c>
      <c r="B2503" t="s">
        <v>5594</v>
      </c>
      <c r="C2503" t="s">
        <v>362</v>
      </c>
      <c r="D2503" t="s">
        <v>4091</v>
      </c>
      <c r="F2503">
        <v>1</v>
      </c>
      <c r="G2503" t="s">
        <v>16</v>
      </c>
      <c r="H2503">
        <v>0</v>
      </c>
      <c r="I2503" s="2" t="s">
        <v>266</v>
      </c>
      <c r="J2503" s="2">
        <v>454094</v>
      </c>
      <c r="K2503">
        <v>20</v>
      </c>
      <c r="L2503">
        <v>20</v>
      </c>
      <c r="M2503">
        <v>20</v>
      </c>
    </row>
    <row r="2504" spans="1:13" x14ac:dyDescent="0.25">
      <c r="A2504" t="s">
        <v>5601</v>
      </c>
      <c r="B2504" t="s">
        <v>5602</v>
      </c>
      <c r="C2504" t="s">
        <v>362</v>
      </c>
      <c r="D2504" t="s">
        <v>4091</v>
      </c>
      <c r="F2504">
        <v>1</v>
      </c>
      <c r="G2504" t="s">
        <v>16</v>
      </c>
      <c r="H2504">
        <v>0</v>
      </c>
      <c r="I2504" s="2" t="s">
        <v>941</v>
      </c>
      <c r="J2504" s="2" t="s">
        <v>5603</v>
      </c>
      <c r="K2504">
        <v>20</v>
      </c>
      <c r="L2504">
        <v>20</v>
      </c>
      <c r="M2504">
        <v>20</v>
      </c>
    </row>
    <row r="2505" spans="1:13" x14ac:dyDescent="0.25">
      <c r="A2505" t="s">
        <v>5604</v>
      </c>
      <c r="B2505" t="s">
        <v>5602</v>
      </c>
      <c r="C2505" t="s">
        <v>362</v>
      </c>
      <c r="D2505" t="s">
        <v>4091</v>
      </c>
      <c r="F2505">
        <v>2</v>
      </c>
      <c r="G2505" t="s">
        <v>16</v>
      </c>
      <c r="H2505">
        <v>0</v>
      </c>
      <c r="I2505" s="2" t="s">
        <v>162</v>
      </c>
      <c r="J2505" s="2">
        <v>55192</v>
      </c>
      <c r="K2505">
        <v>20</v>
      </c>
      <c r="L2505">
        <v>20</v>
      </c>
      <c r="M2505">
        <v>20</v>
      </c>
    </row>
    <row r="2506" spans="1:13" x14ac:dyDescent="0.25">
      <c r="A2506" t="s">
        <v>5605</v>
      </c>
      <c r="B2506" t="s">
        <v>5606</v>
      </c>
      <c r="C2506" t="s">
        <v>362</v>
      </c>
      <c r="D2506" t="s">
        <v>4091</v>
      </c>
      <c r="G2506" t="s">
        <v>16</v>
      </c>
      <c r="H2506">
        <v>0</v>
      </c>
      <c r="I2506" s="2" t="s">
        <v>4193</v>
      </c>
      <c r="J2506" s="2" t="s">
        <v>5607</v>
      </c>
      <c r="K2506">
        <v>20</v>
      </c>
      <c r="L2506">
        <v>20</v>
      </c>
      <c r="M2506">
        <v>20</v>
      </c>
    </row>
    <row r="2507" spans="1:13" x14ac:dyDescent="0.25">
      <c r="A2507" t="s">
        <v>5608</v>
      </c>
      <c r="B2507" t="s">
        <v>5606</v>
      </c>
      <c r="C2507" t="s">
        <v>362</v>
      </c>
      <c r="D2507" t="s">
        <v>4091</v>
      </c>
      <c r="F2507">
        <v>2</v>
      </c>
      <c r="G2507" t="s">
        <v>16</v>
      </c>
      <c r="H2507">
        <v>0</v>
      </c>
      <c r="I2507" s="2" t="s">
        <v>5609</v>
      </c>
      <c r="J2507" s="2" t="str">
        <f>"07020030"</f>
        <v>07020030</v>
      </c>
      <c r="K2507">
        <v>20</v>
      </c>
      <c r="L2507">
        <v>20</v>
      </c>
      <c r="M2507">
        <v>20</v>
      </c>
    </row>
    <row r="2508" spans="1:13" x14ac:dyDescent="0.25">
      <c r="A2508" t="s">
        <v>5610</v>
      </c>
      <c r="B2508" t="s">
        <v>5606</v>
      </c>
      <c r="C2508" t="s">
        <v>362</v>
      </c>
      <c r="D2508" t="s">
        <v>4091</v>
      </c>
      <c r="F2508">
        <v>1</v>
      </c>
      <c r="G2508" t="s">
        <v>16</v>
      </c>
      <c r="H2508">
        <v>0</v>
      </c>
      <c r="I2508" s="2" t="s">
        <v>2786</v>
      </c>
      <c r="J2508" s="2" t="str">
        <f>"02570"</f>
        <v>02570</v>
      </c>
      <c r="K2508">
        <v>20</v>
      </c>
      <c r="L2508">
        <v>20</v>
      </c>
      <c r="M2508">
        <v>20</v>
      </c>
    </row>
    <row r="2509" spans="1:13" x14ac:dyDescent="0.25">
      <c r="A2509" t="s">
        <v>5611</v>
      </c>
      <c r="B2509" t="s">
        <v>5612</v>
      </c>
      <c r="C2509" t="s">
        <v>362</v>
      </c>
      <c r="D2509" t="s">
        <v>4091</v>
      </c>
      <c r="F2509">
        <v>1</v>
      </c>
      <c r="G2509" t="s">
        <v>16</v>
      </c>
      <c r="H2509">
        <v>0</v>
      </c>
      <c r="I2509" s="2" t="s">
        <v>4193</v>
      </c>
      <c r="J2509" s="2" t="s">
        <v>5613</v>
      </c>
      <c r="K2509">
        <v>20</v>
      </c>
      <c r="L2509">
        <v>20</v>
      </c>
      <c r="M2509">
        <v>20</v>
      </c>
    </row>
    <row r="2510" spans="1:13" x14ac:dyDescent="0.25">
      <c r="A2510" t="s">
        <v>5614</v>
      </c>
      <c r="B2510" t="s">
        <v>5615</v>
      </c>
      <c r="C2510" t="s">
        <v>362</v>
      </c>
      <c r="D2510" t="s">
        <v>4091</v>
      </c>
      <c r="G2510" t="s">
        <v>16</v>
      </c>
      <c r="H2510">
        <v>0</v>
      </c>
      <c r="I2510" s="2" t="s">
        <v>941</v>
      </c>
      <c r="J2510" s="2" t="s">
        <v>5616</v>
      </c>
      <c r="K2510">
        <v>20</v>
      </c>
      <c r="L2510">
        <v>20</v>
      </c>
      <c r="M2510">
        <v>20</v>
      </c>
    </row>
    <row r="2511" spans="1:13" x14ac:dyDescent="0.25">
      <c r="A2511" t="s">
        <v>5617</v>
      </c>
      <c r="B2511" t="s">
        <v>5612</v>
      </c>
      <c r="C2511" t="s">
        <v>362</v>
      </c>
      <c r="D2511" t="s">
        <v>4091</v>
      </c>
      <c r="G2511" t="s">
        <v>16</v>
      </c>
      <c r="H2511">
        <v>0</v>
      </c>
      <c r="I2511" s="2" t="s">
        <v>854</v>
      </c>
      <c r="J2511" s="2">
        <v>562077</v>
      </c>
      <c r="K2511">
        <v>20</v>
      </c>
      <c r="L2511">
        <v>20</v>
      </c>
      <c r="M2511">
        <v>20</v>
      </c>
    </row>
    <row r="2512" spans="1:13" x14ac:dyDescent="0.25">
      <c r="A2512" t="s">
        <v>5618</v>
      </c>
      <c r="B2512" t="s">
        <v>5619</v>
      </c>
      <c r="C2512" t="s">
        <v>362</v>
      </c>
      <c r="D2512" t="s">
        <v>4091</v>
      </c>
      <c r="G2512" t="s">
        <v>16</v>
      </c>
      <c r="H2512">
        <v>0</v>
      </c>
      <c r="I2512" s="2" t="s">
        <v>4193</v>
      </c>
      <c r="K2512">
        <v>20</v>
      </c>
      <c r="L2512">
        <v>20</v>
      </c>
      <c r="M2512">
        <v>20</v>
      </c>
    </row>
    <row r="2513" spans="1:13" x14ac:dyDescent="0.25">
      <c r="A2513" t="s">
        <v>5620</v>
      </c>
      <c r="B2513" t="s">
        <v>5619</v>
      </c>
      <c r="C2513" t="s">
        <v>362</v>
      </c>
      <c r="D2513" t="s">
        <v>4091</v>
      </c>
      <c r="F2513">
        <v>2</v>
      </c>
      <c r="G2513" t="s">
        <v>16</v>
      </c>
      <c r="H2513">
        <v>0</v>
      </c>
      <c r="I2513" s="2" t="s">
        <v>941</v>
      </c>
      <c r="J2513" s="2" t="s">
        <v>5621</v>
      </c>
      <c r="K2513">
        <v>20</v>
      </c>
      <c r="L2513">
        <v>20</v>
      </c>
      <c r="M2513">
        <v>20</v>
      </c>
    </row>
    <row r="2514" spans="1:13" x14ac:dyDescent="0.25">
      <c r="A2514" t="s">
        <v>5622</v>
      </c>
      <c r="B2514" t="s">
        <v>5619</v>
      </c>
      <c r="C2514" t="s">
        <v>362</v>
      </c>
      <c r="D2514" t="s">
        <v>4091</v>
      </c>
      <c r="G2514" t="s">
        <v>16</v>
      </c>
      <c r="H2514">
        <v>0</v>
      </c>
      <c r="I2514" s="2" t="s">
        <v>5623</v>
      </c>
      <c r="J2514" s="2">
        <v>3031551</v>
      </c>
      <c r="K2514">
        <v>20</v>
      </c>
      <c r="L2514">
        <v>20</v>
      </c>
      <c r="M2514">
        <v>20</v>
      </c>
    </row>
    <row r="2515" spans="1:13" x14ac:dyDescent="0.25">
      <c r="A2515" t="s">
        <v>5624</v>
      </c>
      <c r="B2515" t="s">
        <v>5619</v>
      </c>
      <c r="C2515" t="s">
        <v>362</v>
      </c>
      <c r="D2515" t="s">
        <v>4091</v>
      </c>
      <c r="F2515">
        <v>0</v>
      </c>
      <c r="G2515" t="s">
        <v>16</v>
      </c>
      <c r="H2515">
        <v>0</v>
      </c>
      <c r="I2515" s="2" t="s">
        <v>1538</v>
      </c>
      <c r="J2515" s="2" t="s">
        <v>5625</v>
      </c>
      <c r="K2515">
        <v>20</v>
      </c>
      <c r="L2515">
        <v>20</v>
      </c>
      <c r="M2515">
        <v>20</v>
      </c>
    </row>
    <row r="2516" spans="1:13" x14ac:dyDescent="0.25">
      <c r="A2516" t="s">
        <v>5626</v>
      </c>
      <c r="B2516" t="s">
        <v>5619</v>
      </c>
      <c r="C2516" t="s">
        <v>362</v>
      </c>
      <c r="D2516" t="s">
        <v>4091</v>
      </c>
      <c r="F2516">
        <v>1</v>
      </c>
      <c r="G2516" t="s">
        <v>16</v>
      </c>
      <c r="H2516">
        <v>0</v>
      </c>
      <c r="I2516" s="2" t="s">
        <v>5599</v>
      </c>
      <c r="J2516" s="2">
        <v>4093</v>
      </c>
      <c r="K2516">
        <v>20</v>
      </c>
      <c r="L2516">
        <v>20</v>
      </c>
      <c r="M2516">
        <v>20</v>
      </c>
    </row>
    <row r="2517" spans="1:13" x14ac:dyDescent="0.25">
      <c r="A2517" t="s">
        <v>5627</v>
      </c>
      <c r="B2517" t="s">
        <v>5628</v>
      </c>
      <c r="C2517" t="s">
        <v>362</v>
      </c>
      <c r="F2517">
        <v>3</v>
      </c>
      <c r="G2517" t="s">
        <v>16</v>
      </c>
      <c r="H2517">
        <v>0</v>
      </c>
      <c r="I2517" s="2" t="s">
        <v>707</v>
      </c>
      <c r="J2517" s="2" t="s">
        <v>5629</v>
      </c>
      <c r="K2517">
        <v>20</v>
      </c>
      <c r="L2517">
        <v>20</v>
      </c>
      <c r="M2517">
        <v>20</v>
      </c>
    </row>
    <row r="2518" spans="1:13" x14ac:dyDescent="0.25">
      <c r="A2518" t="s">
        <v>5630</v>
      </c>
      <c r="B2518" t="s">
        <v>5631</v>
      </c>
      <c r="C2518" t="s">
        <v>362</v>
      </c>
      <c r="G2518" t="s">
        <v>16</v>
      </c>
      <c r="H2518">
        <v>0</v>
      </c>
      <c r="I2518" s="2" t="s">
        <v>737</v>
      </c>
      <c r="J2518" s="2" t="s">
        <v>5632</v>
      </c>
      <c r="K2518">
        <v>20</v>
      </c>
      <c r="L2518">
        <v>20</v>
      </c>
      <c r="M2518">
        <v>20</v>
      </c>
    </row>
    <row r="2519" spans="1:13" x14ac:dyDescent="0.25">
      <c r="A2519" t="s">
        <v>5633</v>
      </c>
      <c r="B2519" t="s">
        <v>5634</v>
      </c>
      <c r="C2519" t="s">
        <v>362</v>
      </c>
      <c r="D2519" t="s">
        <v>4091</v>
      </c>
      <c r="G2519" t="s">
        <v>16</v>
      </c>
      <c r="H2519">
        <v>0</v>
      </c>
      <c r="I2519" s="2" t="s">
        <v>4093</v>
      </c>
      <c r="J2519" s="2" t="s">
        <v>5635</v>
      </c>
      <c r="K2519">
        <v>20</v>
      </c>
      <c r="L2519">
        <v>20</v>
      </c>
      <c r="M2519">
        <v>20</v>
      </c>
    </row>
    <row r="2520" spans="1:13" x14ac:dyDescent="0.25">
      <c r="A2520" t="s">
        <v>5636</v>
      </c>
      <c r="B2520" t="s">
        <v>5634</v>
      </c>
      <c r="C2520" t="s">
        <v>362</v>
      </c>
      <c r="D2520" t="s">
        <v>4091</v>
      </c>
      <c r="F2520">
        <v>7</v>
      </c>
      <c r="G2520" t="s">
        <v>16</v>
      </c>
      <c r="H2520">
        <v>0</v>
      </c>
      <c r="I2520" s="2" t="s">
        <v>288</v>
      </c>
      <c r="J2520" s="2" t="s">
        <v>5637</v>
      </c>
      <c r="K2520">
        <v>20</v>
      </c>
      <c r="L2520">
        <v>20</v>
      </c>
      <c r="M2520">
        <v>20</v>
      </c>
    </row>
    <row r="2521" spans="1:13" x14ac:dyDescent="0.25">
      <c r="A2521" t="s">
        <v>5638</v>
      </c>
      <c r="B2521" t="s">
        <v>5634</v>
      </c>
      <c r="C2521" t="s">
        <v>362</v>
      </c>
      <c r="D2521" t="s">
        <v>4091</v>
      </c>
      <c r="G2521" t="s">
        <v>16</v>
      </c>
      <c r="H2521">
        <v>0</v>
      </c>
      <c r="I2521" s="2" t="s">
        <v>2517</v>
      </c>
      <c r="J2521" s="2" t="s">
        <v>5639</v>
      </c>
      <c r="K2521">
        <v>20</v>
      </c>
      <c r="L2521">
        <v>20</v>
      </c>
      <c r="M2521">
        <v>20</v>
      </c>
    </row>
    <row r="2522" spans="1:13" x14ac:dyDescent="0.25">
      <c r="A2522" t="s">
        <v>5640</v>
      </c>
      <c r="B2522" t="s">
        <v>5634</v>
      </c>
      <c r="C2522" t="s">
        <v>362</v>
      </c>
      <c r="D2522" t="s">
        <v>4091</v>
      </c>
      <c r="F2522">
        <v>6</v>
      </c>
      <c r="G2522" t="s">
        <v>16</v>
      </c>
      <c r="H2522">
        <v>0</v>
      </c>
      <c r="I2522" s="2" t="s">
        <v>383</v>
      </c>
      <c r="J2522" s="2" t="str">
        <f>"0986424707"</f>
        <v>0986424707</v>
      </c>
      <c r="K2522">
        <v>20</v>
      </c>
      <c r="L2522">
        <v>20</v>
      </c>
      <c r="M2522">
        <v>20</v>
      </c>
    </row>
    <row r="2523" spans="1:13" x14ac:dyDescent="0.25">
      <c r="A2523" t="s">
        <v>5641</v>
      </c>
      <c r="B2523" t="s">
        <v>5634</v>
      </c>
      <c r="C2523" t="s">
        <v>362</v>
      </c>
      <c r="D2523" t="s">
        <v>4091</v>
      </c>
      <c r="G2523" t="s">
        <v>16</v>
      </c>
      <c r="H2523">
        <v>0</v>
      </c>
      <c r="I2523" s="2" t="s">
        <v>5642</v>
      </c>
      <c r="J2523" s="2" t="s">
        <v>5643</v>
      </c>
      <c r="K2523">
        <v>20</v>
      </c>
      <c r="L2523">
        <v>20</v>
      </c>
      <c r="M2523">
        <v>20</v>
      </c>
    </row>
    <row r="2524" spans="1:13" x14ac:dyDescent="0.25">
      <c r="A2524" t="s">
        <v>5644</v>
      </c>
      <c r="B2524" t="s">
        <v>5634</v>
      </c>
      <c r="C2524" t="s">
        <v>362</v>
      </c>
      <c r="D2524" t="s">
        <v>4091</v>
      </c>
      <c r="G2524" t="s">
        <v>16</v>
      </c>
      <c r="H2524">
        <v>0</v>
      </c>
      <c r="I2524" s="2" t="s">
        <v>707</v>
      </c>
      <c r="J2524" s="2" t="s">
        <v>5645</v>
      </c>
      <c r="K2524">
        <v>20</v>
      </c>
      <c r="L2524">
        <v>20</v>
      </c>
      <c r="M2524">
        <v>20</v>
      </c>
    </row>
    <row r="2525" spans="1:13" x14ac:dyDescent="0.25">
      <c r="A2525" t="s">
        <v>5646</v>
      </c>
      <c r="B2525" t="s">
        <v>5634</v>
      </c>
      <c r="C2525" t="s">
        <v>362</v>
      </c>
      <c r="D2525" t="s">
        <v>4091</v>
      </c>
      <c r="F2525">
        <v>1</v>
      </c>
      <c r="G2525" t="s">
        <v>16</v>
      </c>
      <c r="H2525">
        <v>0</v>
      </c>
      <c r="I2525" s="2" t="s">
        <v>389</v>
      </c>
      <c r="J2525" s="2">
        <v>1682305680</v>
      </c>
      <c r="K2525">
        <v>20</v>
      </c>
      <c r="L2525">
        <v>20</v>
      </c>
      <c r="M2525">
        <v>20</v>
      </c>
    </row>
    <row r="2526" spans="1:13" x14ac:dyDescent="0.25">
      <c r="A2526" t="s">
        <v>5647</v>
      </c>
      <c r="B2526" t="s">
        <v>5634</v>
      </c>
      <c r="C2526" t="s">
        <v>362</v>
      </c>
      <c r="D2526" t="s">
        <v>4091</v>
      </c>
      <c r="F2526">
        <v>0</v>
      </c>
      <c r="G2526" t="s">
        <v>16</v>
      </c>
      <c r="H2526">
        <v>0</v>
      </c>
      <c r="I2526" s="2" t="s">
        <v>162</v>
      </c>
      <c r="J2526" s="2">
        <v>55187</v>
      </c>
      <c r="K2526">
        <v>20</v>
      </c>
      <c r="L2526">
        <v>20</v>
      </c>
      <c r="M2526">
        <v>20</v>
      </c>
    </row>
    <row r="2527" spans="1:13" x14ac:dyDescent="0.25">
      <c r="A2527" t="s">
        <v>5648</v>
      </c>
      <c r="B2527" t="s">
        <v>5650</v>
      </c>
      <c r="C2527" t="s">
        <v>362</v>
      </c>
      <c r="D2527" t="s">
        <v>4091</v>
      </c>
      <c r="F2527">
        <v>6</v>
      </c>
      <c r="G2527" t="s">
        <v>16</v>
      </c>
      <c r="H2527">
        <v>0</v>
      </c>
      <c r="I2527" s="2" t="s">
        <v>765</v>
      </c>
      <c r="J2527" s="2" t="s">
        <v>5649</v>
      </c>
      <c r="K2527">
        <v>20</v>
      </c>
      <c r="L2527">
        <v>20</v>
      </c>
      <c r="M2527">
        <v>20</v>
      </c>
    </row>
    <row r="2528" spans="1:13" x14ac:dyDescent="0.25">
      <c r="A2528" t="s">
        <v>5651</v>
      </c>
      <c r="B2528" t="s">
        <v>5650</v>
      </c>
      <c r="C2528" t="s">
        <v>362</v>
      </c>
      <c r="D2528" t="s">
        <v>4091</v>
      </c>
      <c r="G2528" t="s">
        <v>16</v>
      </c>
      <c r="H2528">
        <v>0</v>
      </c>
      <c r="I2528" s="2" t="s">
        <v>2533</v>
      </c>
      <c r="J2528" s="2" t="s">
        <v>5652</v>
      </c>
      <c r="K2528">
        <v>20</v>
      </c>
      <c r="L2528">
        <v>20</v>
      </c>
      <c r="M2528">
        <v>20</v>
      </c>
    </row>
    <row r="2529" spans="1:13" x14ac:dyDescent="0.25">
      <c r="A2529" t="s">
        <v>5653</v>
      </c>
      <c r="B2529" t="s">
        <v>5650</v>
      </c>
      <c r="C2529" t="s">
        <v>362</v>
      </c>
      <c r="D2529" t="s">
        <v>4091</v>
      </c>
      <c r="F2529">
        <v>4</v>
      </c>
      <c r="G2529" t="s">
        <v>16</v>
      </c>
      <c r="H2529">
        <v>0</v>
      </c>
      <c r="I2529" s="2" t="s">
        <v>383</v>
      </c>
      <c r="J2529" s="2" t="str">
        <f>"0986495218"</f>
        <v>0986495218</v>
      </c>
      <c r="K2529">
        <v>20</v>
      </c>
      <c r="L2529">
        <v>20</v>
      </c>
      <c r="M2529">
        <v>20</v>
      </c>
    </row>
    <row r="2530" spans="1:13" x14ac:dyDescent="0.25">
      <c r="A2530" t="s">
        <v>5654</v>
      </c>
      <c r="B2530" t="s">
        <v>5650</v>
      </c>
      <c r="C2530" t="s">
        <v>362</v>
      </c>
      <c r="D2530" t="s">
        <v>4091</v>
      </c>
      <c r="F2530">
        <v>2</v>
      </c>
      <c r="G2530" t="s">
        <v>16</v>
      </c>
      <c r="H2530">
        <v>0</v>
      </c>
      <c r="I2530" s="2" t="s">
        <v>941</v>
      </c>
      <c r="J2530" s="2" t="s">
        <v>5655</v>
      </c>
      <c r="K2530">
        <v>20</v>
      </c>
      <c r="L2530">
        <v>20</v>
      </c>
      <c r="M2530">
        <v>20</v>
      </c>
    </row>
    <row r="2531" spans="1:13" x14ac:dyDescent="0.25">
      <c r="A2531" t="s">
        <v>5656</v>
      </c>
      <c r="B2531" t="s">
        <v>5650</v>
      </c>
      <c r="C2531" t="s">
        <v>362</v>
      </c>
      <c r="D2531" t="s">
        <v>4091</v>
      </c>
      <c r="F2531">
        <v>1</v>
      </c>
      <c r="G2531" t="s">
        <v>16</v>
      </c>
      <c r="H2531">
        <v>0</v>
      </c>
      <c r="I2531" s="2" t="s">
        <v>5657</v>
      </c>
      <c r="J2531" s="2">
        <v>1682305380</v>
      </c>
      <c r="K2531">
        <v>20</v>
      </c>
      <c r="L2531">
        <v>20</v>
      </c>
      <c r="M2531">
        <v>20</v>
      </c>
    </row>
    <row r="2532" spans="1:13" x14ac:dyDescent="0.25">
      <c r="A2532" t="s">
        <v>5658</v>
      </c>
      <c r="B2532" t="s">
        <v>5650</v>
      </c>
      <c r="C2532" t="s">
        <v>362</v>
      </c>
      <c r="D2532" t="s">
        <v>4091</v>
      </c>
      <c r="F2532">
        <v>1</v>
      </c>
      <c r="G2532" t="s">
        <v>16</v>
      </c>
      <c r="H2532">
        <v>0</v>
      </c>
      <c r="I2532" s="2" t="s">
        <v>2786</v>
      </c>
      <c r="J2532" s="2" t="str">
        <f>"05P1650"</f>
        <v>05P1650</v>
      </c>
      <c r="K2532">
        <v>20</v>
      </c>
      <c r="L2532">
        <v>20</v>
      </c>
      <c r="M2532">
        <v>20</v>
      </c>
    </row>
    <row r="2533" spans="1:13" x14ac:dyDescent="0.25">
      <c r="A2533" t="s">
        <v>5659</v>
      </c>
      <c r="B2533" t="s">
        <v>5660</v>
      </c>
      <c r="C2533" t="s">
        <v>20</v>
      </c>
      <c r="D2533" t="s">
        <v>26</v>
      </c>
      <c r="F2533">
        <v>1</v>
      </c>
      <c r="G2533" t="s">
        <v>16</v>
      </c>
      <c r="H2533">
        <v>0</v>
      </c>
      <c r="I2533" s="2" t="s">
        <v>3286</v>
      </c>
      <c r="J2533" s="2" t="s">
        <v>5661</v>
      </c>
      <c r="K2533">
        <v>20</v>
      </c>
      <c r="L2533">
        <v>20</v>
      </c>
      <c r="M2533">
        <v>20</v>
      </c>
    </row>
    <row r="2534" spans="1:13" x14ac:dyDescent="0.25">
      <c r="A2534" t="s">
        <v>5662</v>
      </c>
      <c r="B2534" t="s">
        <v>5663</v>
      </c>
      <c r="C2534" t="s">
        <v>20</v>
      </c>
      <c r="D2534" t="s">
        <v>26</v>
      </c>
      <c r="G2534" t="s">
        <v>16</v>
      </c>
      <c r="H2534">
        <v>0</v>
      </c>
      <c r="I2534" s="2" t="s">
        <v>3421</v>
      </c>
      <c r="J2534" s="2" t="s">
        <v>5664</v>
      </c>
      <c r="K2534">
        <v>20</v>
      </c>
      <c r="L2534">
        <v>20</v>
      </c>
      <c r="M2534">
        <v>20</v>
      </c>
    </row>
    <row r="2535" spans="1:13" x14ac:dyDescent="0.25">
      <c r="A2535" t="s">
        <v>5665</v>
      </c>
      <c r="B2535" t="s">
        <v>5666</v>
      </c>
      <c r="C2535" t="s">
        <v>20</v>
      </c>
      <c r="D2535" t="s">
        <v>26</v>
      </c>
      <c r="G2535" t="s">
        <v>16</v>
      </c>
      <c r="H2535">
        <v>0</v>
      </c>
      <c r="I2535" s="2" t="s">
        <v>80</v>
      </c>
      <c r="J2535" s="2" t="str">
        <f>"08-25879-01"</f>
        <v>08-25879-01</v>
      </c>
      <c r="K2535">
        <v>20</v>
      </c>
      <c r="L2535">
        <v>20</v>
      </c>
      <c r="M2535">
        <v>20</v>
      </c>
    </row>
    <row r="2536" spans="1:13" x14ac:dyDescent="0.25">
      <c r="A2536" t="s">
        <v>5667</v>
      </c>
      <c r="B2536" t="s">
        <v>5668</v>
      </c>
      <c r="C2536" t="s">
        <v>20</v>
      </c>
      <c r="D2536" t="s">
        <v>26</v>
      </c>
      <c r="F2536">
        <v>0</v>
      </c>
      <c r="G2536" t="s">
        <v>16</v>
      </c>
      <c r="H2536">
        <v>0</v>
      </c>
      <c r="I2536" s="2" t="s">
        <v>97</v>
      </c>
      <c r="J2536" s="2" t="str">
        <f>"061.430"</f>
        <v>061.430</v>
      </c>
      <c r="K2536">
        <v>20</v>
      </c>
      <c r="L2536">
        <v>20</v>
      </c>
      <c r="M2536">
        <v>20</v>
      </c>
    </row>
    <row r="2537" spans="1:13" x14ac:dyDescent="0.25">
      <c r="A2537" t="s">
        <v>5669</v>
      </c>
      <c r="B2537" t="s">
        <v>5668</v>
      </c>
      <c r="C2537" t="s">
        <v>20</v>
      </c>
      <c r="D2537" t="s">
        <v>26</v>
      </c>
      <c r="F2537">
        <v>1</v>
      </c>
      <c r="G2537" t="s">
        <v>16</v>
      </c>
      <c r="H2537">
        <v>0</v>
      </c>
      <c r="I2537" s="2" t="s">
        <v>83</v>
      </c>
      <c r="J2537" s="2" t="str">
        <f>"02-34900-01"</f>
        <v>02-34900-01</v>
      </c>
      <c r="K2537">
        <v>20</v>
      </c>
      <c r="L2537">
        <v>20</v>
      </c>
      <c r="M2537">
        <v>20</v>
      </c>
    </row>
    <row r="2538" spans="1:13" x14ac:dyDescent="0.25">
      <c r="A2538" t="s">
        <v>5670</v>
      </c>
      <c r="B2538" t="s">
        <v>5671</v>
      </c>
      <c r="C2538" t="s">
        <v>20</v>
      </c>
      <c r="D2538" t="s">
        <v>26</v>
      </c>
      <c r="F2538">
        <v>1</v>
      </c>
      <c r="G2538" t="s">
        <v>16</v>
      </c>
      <c r="H2538">
        <v>0</v>
      </c>
      <c r="I2538" s="2" t="s">
        <v>97</v>
      </c>
      <c r="J2538" s="2" t="str">
        <f>"081.390"</f>
        <v>081.390</v>
      </c>
      <c r="K2538">
        <v>20</v>
      </c>
      <c r="L2538">
        <v>20</v>
      </c>
      <c r="M2538">
        <v>20</v>
      </c>
    </row>
    <row r="2539" spans="1:13" x14ac:dyDescent="0.25">
      <c r="A2539" t="s">
        <v>5672</v>
      </c>
      <c r="B2539" t="s">
        <v>5673</v>
      </c>
      <c r="C2539" t="s">
        <v>20</v>
      </c>
      <c r="D2539" t="s">
        <v>26</v>
      </c>
      <c r="F2539">
        <v>1</v>
      </c>
      <c r="G2539" t="s">
        <v>16</v>
      </c>
      <c r="H2539">
        <v>0</v>
      </c>
      <c r="I2539" s="2" t="s">
        <v>97</v>
      </c>
      <c r="J2539" s="2" t="str">
        <f>"081.321"</f>
        <v>081.321</v>
      </c>
      <c r="K2539">
        <v>20</v>
      </c>
      <c r="L2539">
        <v>20</v>
      </c>
      <c r="M2539">
        <v>20</v>
      </c>
    </row>
    <row r="2540" spans="1:13" x14ac:dyDescent="0.25">
      <c r="A2540" t="s">
        <v>5674</v>
      </c>
      <c r="B2540" t="s">
        <v>5673</v>
      </c>
      <c r="C2540" t="s">
        <v>20</v>
      </c>
      <c r="D2540" t="s">
        <v>26</v>
      </c>
      <c r="F2540">
        <v>1</v>
      </c>
      <c r="G2540" t="s">
        <v>16</v>
      </c>
      <c r="H2540">
        <v>0</v>
      </c>
      <c r="I2540" s="2" t="s">
        <v>80</v>
      </c>
      <c r="J2540" s="2" t="str">
        <f>"08-35564-01"</f>
        <v>08-35564-01</v>
      </c>
      <c r="K2540">
        <v>20</v>
      </c>
      <c r="L2540">
        <v>20</v>
      </c>
      <c r="M2540">
        <v>20</v>
      </c>
    </row>
    <row r="2541" spans="1:13" x14ac:dyDescent="0.25">
      <c r="A2541" t="s">
        <v>5675</v>
      </c>
      <c r="B2541" t="s">
        <v>5676</v>
      </c>
      <c r="C2541" t="s">
        <v>1432</v>
      </c>
      <c r="F2541">
        <v>1</v>
      </c>
      <c r="G2541" t="s">
        <v>16</v>
      </c>
      <c r="H2541">
        <v>0</v>
      </c>
      <c r="I2541" s="2" t="s">
        <v>5677</v>
      </c>
      <c r="J2541" s="2">
        <v>621302709</v>
      </c>
      <c r="K2541">
        <v>20</v>
      </c>
      <c r="L2541">
        <v>20</v>
      </c>
      <c r="M2541">
        <v>20</v>
      </c>
    </row>
    <row r="2542" spans="1:13" x14ac:dyDescent="0.25">
      <c r="A2542" t="s">
        <v>5678</v>
      </c>
      <c r="B2542" t="s">
        <v>5679</v>
      </c>
      <c r="C2542" t="s">
        <v>20</v>
      </c>
      <c r="D2542" t="s">
        <v>26</v>
      </c>
      <c r="F2542">
        <v>1</v>
      </c>
      <c r="G2542" t="s">
        <v>16</v>
      </c>
      <c r="H2542">
        <v>0</v>
      </c>
      <c r="I2542" s="2" t="s">
        <v>99</v>
      </c>
      <c r="J2542" s="3">
        <v>388210</v>
      </c>
      <c r="K2542">
        <v>20</v>
      </c>
      <c r="L2542">
        <v>20</v>
      </c>
      <c r="M2542">
        <v>20</v>
      </c>
    </row>
    <row r="2543" spans="1:13" x14ac:dyDescent="0.25">
      <c r="A2543" t="s">
        <v>5680</v>
      </c>
      <c r="B2543" t="s">
        <v>5679</v>
      </c>
      <c r="C2543" t="s">
        <v>20</v>
      </c>
      <c r="D2543" t="s">
        <v>26</v>
      </c>
      <c r="F2543">
        <v>1</v>
      </c>
      <c r="G2543" t="s">
        <v>16</v>
      </c>
      <c r="H2543">
        <v>0</v>
      </c>
      <c r="I2543" s="2" t="s">
        <v>83</v>
      </c>
      <c r="J2543" s="2" t="str">
        <f>"02-36025-01"</f>
        <v>02-36025-01</v>
      </c>
      <c r="K2543">
        <v>20</v>
      </c>
      <c r="L2543">
        <v>20</v>
      </c>
      <c r="M2543">
        <v>20</v>
      </c>
    </row>
    <row r="2544" spans="1:13" x14ac:dyDescent="0.25">
      <c r="A2544" t="s">
        <v>5681</v>
      </c>
      <c r="B2544" t="s">
        <v>5682</v>
      </c>
      <c r="C2544" t="s">
        <v>20</v>
      </c>
      <c r="D2544" t="s">
        <v>26</v>
      </c>
      <c r="F2544">
        <v>1</v>
      </c>
      <c r="G2544" t="s">
        <v>16</v>
      </c>
      <c r="H2544">
        <v>0</v>
      </c>
      <c r="I2544" s="2" t="s">
        <v>83</v>
      </c>
      <c r="J2544" s="2" t="str">
        <f>"08-36993-01"</f>
        <v>08-36993-01</v>
      </c>
      <c r="K2544">
        <v>20</v>
      </c>
      <c r="L2544">
        <v>20</v>
      </c>
      <c r="M2544">
        <v>20</v>
      </c>
    </row>
    <row r="2545" spans="1:13" x14ac:dyDescent="0.25">
      <c r="A2545" t="s">
        <v>5683</v>
      </c>
      <c r="B2545" t="s">
        <v>5684</v>
      </c>
      <c r="C2545" t="s">
        <v>1432</v>
      </c>
      <c r="F2545">
        <v>0</v>
      </c>
      <c r="G2545" t="s">
        <v>16</v>
      </c>
      <c r="H2545">
        <v>0</v>
      </c>
      <c r="I2545" s="2" t="s">
        <v>5227</v>
      </c>
      <c r="J2545" s="2" t="str">
        <f>"003190509"</f>
        <v>003190509</v>
      </c>
      <c r="K2545">
        <v>20</v>
      </c>
      <c r="L2545">
        <v>20</v>
      </c>
      <c r="M2545">
        <v>20</v>
      </c>
    </row>
    <row r="2546" spans="1:13" x14ac:dyDescent="0.25">
      <c r="A2546" t="s">
        <v>5685</v>
      </c>
      <c r="B2546" t="s">
        <v>5223</v>
      </c>
      <c r="C2546" t="s">
        <v>1432</v>
      </c>
      <c r="F2546">
        <v>1</v>
      </c>
      <c r="G2546" t="s">
        <v>16</v>
      </c>
      <c r="H2546">
        <v>0</v>
      </c>
      <c r="I2546" s="2" t="s">
        <v>5677</v>
      </c>
      <c r="J2546" s="2">
        <v>620309009</v>
      </c>
      <c r="K2546">
        <v>20</v>
      </c>
      <c r="L2546">
        <v>20</v>
      </c>
      <c r="M2546">
        <v>20</v>
      </c>
    </row>
    <row r="2547" spans="1:13" x14ac:dyDescent="0.25">
      <c r="A2547" t="s">
        <v>5686</v>
      </c>
      <c r="B2547" t="s">
        <v>5223</v>
      </c>
      <c r="C2547" t="s">
        <v>1432</v>
      </c>
      <c r="G2547" t="s">
        <v>16</v>
      </c>
      <c r="H2547">
        <v>0</v>
      </c>
      <c r="I2547" s="2" t="s">
        <v>5227</v>
      </c>
      <c r="J2547" s="2" t="str">
        <f>"008200009"</f>
        <v>008200009</v>
      </c>
      <c r="K2547">
        <v>20</v>
      </c>
      <c r="L2547">
        <v>20</v>
      </c>
      <c r="M2547">
        <v>20</v>
      </c>
    </row>
    <row r="2548" spans="1:13" x14ac:dyDescent="0.25">
      <c r="A2548" t="s">
        <v>5687</v>
      </c>
      <c r="B2548" t="s">
        <v>5223</v>
      </c>
      <c r="C2548" t="s">
        <v>1432</v>
      </c>
      <c r="F2548">
        <v>1</v>
      </c>
      <c r="G2548" t="s">
        <v>16</v>
      </c>
      <c r="H2548">
        <v>0</v>
      </c>
      <c r="I2548" s="2" t="s">
        <v>5688</v>
      </c>
      <c r="J2548" s="2">
        <v>3000836101</v>
      </c>
      <c r="K2548">
        <v>20</v>
      </c>
      <c r="L2548">
        <v>20</v>
      </c>
      <c r="M2548">
        <v>20</v>
      </c>
    </row>
    <row r="2549" spans="1:13" x14ac:dyDescent="0.25">
      <c r="A2549" t="s">
        <v>5689</v>
      </c>
      <c r="B2549" t="s">
        <v>5690</v>
      </c>
      <c r="C2549" t="s">
        <v>20</v>
      </c>
      <c r="D2549" t="s">
        <v>26</v>
      </c>
      <c r="F2549">
        <v>1</v>
      </c>
      <c r="G2549" t="s">
        <v>16</v>
      </c>
      <c r="H2549">
        <v>0</v>
      </c>
      <c r="I2549" s="2" t="s">
        <v>99</v>
      </c>
      <c r="J2549" s="3">
        <v>378110</v>
      </c>
      <c r="K2549">
        <v>20</v>
      </c>
      <c r="L2549">
        <v>20</v>
      </c>
      <c r="M2549">
        <v>20</v>
      </c>
    </row>
    <row r="2550" spans="1:13" x14ac:dyDescent="0.25">
      <c r="A2550" t="s">
        <v>5691</v>
      </c>
      <c r="B2550" t="s">
        <v>5692</v>
      </c>
      <c r="C2550" t="s">
        <v>20</v>
      </c>
      <c r="D2550" t="s">
        <v>26</v>
      </c>
      <c r="G2550" t="s">
        <v>16</v>
      </c>
      <c r="H2550">
        <v>0</v>
      </c>
      <c r="I2550" s="2" t="s">
        <v>104</v>
      </c>
      <c r="J2550" s="2" t="s">
        <v>5693</v>
      </c>
      <c r="K2550">
        <v>20</v>
      </c>
      <c r="L2550">
        <v>20</v>
      </c>
      <c r="M2550">
        <v>20</v>
      </c>
    </row>
    <row r="2551" spans="1:13" x14ac:dyDescent="0.25">
      <c r="A2551" t="s">
        <v>5694</v>
      </c>
      <c r="B2551" t="s">
        <v>5690</v>
      </c>
      <c r="C2551" t="s">
        <v>20</v>
      </c>
      <c r="D2551" t="s">
        <v>26</v>
      </c>
      <c r="F2551">
        <v>1</v>
      </c>
      <c r="G2551" t="s">
        <v>16</v>
      </c>
      <c r="H2551">
        <v>0</v>
      </c>
      <c r="I2551" s="2" t="s">
        <v>80</v>
      </c>
      <c r="J2551" s="2" t="str">
        <f>"02-36225-01"</f>
        <v>02-36225-01</v>
      </c>
      <c r="K2551">
        <v>20</v>
      </c>
      <c r="L2551">
        <v>20</v>
      </c>
      <c r="M2551">
        <v>20</v>
      </c>
    </row>
    <row r="2552" spans="1:13" x14ac:dyDescent="0.25">
      <c r="A2552" t="s">
        <v>5695</v>
      </c>
      <c r="B2552" t="s">
        <v>5696</v>
      </c>
      <c r="C2552" t="s">
        <v>20</v>
      </c>
      <c r="D2552" t="s">
        <v>26</v>
      </c>
      <c r="F2552">
        <v>0</v>
      </c>
      <c r="G2552" t="s">
        <v>16</v>
      </c>
      <c r="H2552">
        <v>0</v>
      </c>
      <c r="I2552" s="2" t="s">
        <v>97</v>
      </c>
      <c r="J2552" s="3">
        <v>127540</v>
      </c>
      <c r="K2552">
        <v>20</v>
      </c>
      <c r="L2552">
        <v>20</v>
      </c>
      <c r="M2552">
        <v>20</v>
      </c>
    </row>
    <row r="2553" spans="1:13" x14ac:dyDescent="0.25">
      <c r="A2553" t="s">
        <v>5697</v>
      </c>
      <c r="B2553" t="s">
        <v>5690</v>
      </c>
      <c r="C2553" t="s">
        <v>20</v>
      </c>
      <c r="D2553" t="s">
        <v>26</v>
      </c>
      <c r="F2553">
        <v>1</v>
      </c>
      <c r="G2553" t="s">
        <v>16</v>
      </c>
      <c r="H2553">
        <v>0</v>
      </c>
      <c r="I2553" s="2" t="s">
        <v>99</v>
      </c>
      <c r="J2553" s="3">
        <v>378120</v>
      </c>
      <c r="K2553">
        <v>20</v>
      </c>
      <c r="L2553">
        <v>20</v>
      </c>
      <c r="M2553">
        <v>20</v>
      </c>
    </row>
    <row r="2554" spans="1:13" x14ac:dyDescent="0.25">
      <c r="A2554">
        <v>1606340280</v>
      </c>
      <c r="B2554" t="s">
        <v>5698</v>
      </c>
      <c r="C2554" t="s">
        <v>1436</v>
      </c>
      <c r="G2554" t="s">
        <v>16</v>
      </c>
      <c r="H2554">
        <v>0</v>
      </c>
      <c r="I2554" s="2" t="s">
        <v>51</v>
      </c>
      <c r="J2554" s="2">
        <v>1606340280</v>
      </c>
      <c r="K2554">
        <v>20</v>
      </c>
      <c r="L2554">
        <v>20</v>
      </c>
      <c r="M2554">
        <v>20</v>
      </c>
    </row>
    <row r="2555" spans="1:13" x14ac:dyDescent="0.25">
      <c r="A2555" t="s">
        <v>5699</v>
      </c>
      <c r="B2555" t="s">
        <v>5700</v>
      </c>
      <c r="C2555" t="s">
        <v>20</v>
      </c>
      <c r="D2555" t="s">
        <v>296</v>
      </c>
      <c r="F2555">
        <v>2</v>
      </c>
      <c r="G2555" t="s">
        <v>16</v>
      </c>
      <c r="H2555">
        <v>0</v>
      </c>
      <c r="I2555" s="2" t="s">
        <v>3689</v>
      </c>
      <c r="J2555" s="2" t="s">
        <v>5701</v>
      </c>
      <c r="K2555">
        <v>20</v>
      </c>
      <c r="L2555">
        <v>20</v>
      </c>
      <c r="M2555">
        <v>20</v>
      </c>
    </row>
    <row r="2556" spans="1:13" x14ac:dyDescent="0.25">
      <c r="A2556" t="s">
        <v>5702</v>
      </c>
      <c r="B2556" t="s">
        <v>5700</v>
      </c>
      <c r="C2556" t="s">
        <v>20</v>
      </c>
      <c r="D2556" t="s">
        <v>296</v>
      </c>
      <c r="G2556" t="s">
        <v>16</v>
      </c>
      <c r="H2556">
        <v>0</v>
      </c>
      <c r="I2556" s="2" t="s">
        <v>408</v>
      </c>
      <c r="J2556" s="2" t="s">
        <v>5703</v>
      </c>
      <c r="K2556">
        <v>20</v>
      </c>
      <c r="L2556">
        <v>20</v>
      </c>
      <c r="M2556">
        <v>20</v>
      </c>
    </row>
    <row r="2557" spans="1:13" x14ac:dyDescent="0.25">
      <c r="A2557" t="s">
        <v>5704</v>
      </c>
      <c r="B2557" t="s">
        <v>5705</v>
      </c>
      <c r="C2557" t="s">
        <v>20</v>
      </c>
      <c r="D2557" t="s">
        <v>296</v>
      </c>
      <c r="F2557">
        <v>1</v>
      </c>
      <c r="G2557" t="s">
        <v>16</v>
      </c>
      <c r="H2557">
        <v>0</v>
      </c>
      <c r="I2557" s="2" t="s">
        <v>411</v>
      </c>
      <c r="J2557" s="2" t="s">
        <v>5706</v>
      </c>
      <c r="K2557">
        <v>20</v>
      </c>
      <c r="L2557">
        <v>20</v>
      </c>
      <c r="M2557">
        <v>20</v>
      </c>
    </row>
    <row r="2558" spans="1:13" x14ac:dyDescent="0.25">
      <c r="A2558" t="s">
        <v>5707</v>
      </c>
      <c r="B2558" t="s">
        <v>5708</v>
      </c>
      <c r="C2558" t="s">
        <v>20</v>
      </c>
      <c r="D2558" t="s">
        <v>26</v>
      </c>
      <c r="F2558">
        <v>1</v>
      </c>
      <c r="G2558" t="s">
        <v>16</v>
      </c>
      <c r="H2558">
        <v>0</v>
      </c>
      <c r="I2558" s="2" t="s">
        <v>3286</v>
      </c>
      <c r="J2558" s="2" t="s">
        <v>5709</v>
      </c>
      <c r="K2558">
        <v>20</v>
      </c>
      <c r="L2558">
        <v>20</v>
      </c>
      <c r="M2558">
        <v>20</v>
      </c>
    </row>
    <row r="2559" spans="1:13" x14ac:dyDescent="0.25">
      <c r="A2559" t="s">
        <v>5710</v>
      </c>
      <c r="B2559" t="s">
        <v>5711</v>
      </c>
      <c r="C2559" t="s">
        <v>20</v>
      </c>
      <c r="D2559" t="s">
        <v>26</v>
      </c>
      <c r="G2559" t="s">
        <v>16</v>
      </c>
      <c r="H2559">
        <v>0</v>
      </c>
      <c r="I2559" s="2" t="s">
        <v>99</v>
      </c>
      <c r="J2559" s="3">
        <v>825361</v>
      </c>
      <c r="K2559">
        <v>20</v>
      </c>
      <c r="L2559">
        <v>20</v>
      </c>
      <c r="M2559">
        <v>20</v>
      </c>
    </row>
    <row r="2560" spans="1:13" x14ac:dyDescent="0.25">
      <c r="A2560" t="s">
        <v>5712</v>
      </c>
      <c r="B2560" t="s">
        <v>5713</v>
      </c>
      <c r="C2560" t="s">
        <v>20</v>
      </c>
      <c r="D2560" t="s">
        <v>296</v>
      </c>
      <c r="G2560" t="s">
        <v>16</v>
      </c>
      <c r="H2560">
        <v>0</v>
      </c>
      <c r="I2560" s="2" t="s">
        <v>3421</v>
      </c>
      <c r="J2560" s="2" t="s">
        <v>5714</v>
      </c>
      <c r="K2560">
        <v>20</v>
      </c>
      <c r="L2560">
        <v>20</v>
      </c>
      <c r="M2560">
        <v>20</v>
      </c>
    </row>
    <row r="2561" spans="1:13" x14ac:dyDescent="0.25">
      <c r="A2561" t="s">
        <v>5715</v>
      </c>
      <c r="B2561" t="s">
        <v>5713</v>
      </c>
      <c r="C2561" t="s">
        <v>20</v>
      </c>
      <c r="D2561" t="s">
        <v>296</v>
      </c>
      <c r="F2561">
        <v>0</v>
      </c>
      <c r="G2561" t="s">
        <v>16</v>
      </c>
      <c r="H2561">
        <v>0</v>
      </c>
      <c r="I2561" s="2" t="s">
        <v>4250</v>
      </c>
      <c r="J2561" s="2" t="s">
        <v>5716</v>
      </c>
      <c r="K2561">
        <v>20</v>
      </c>
      <c r="L2561">
        <v>20</v>
      </c>
      <c r="M2561">
        <v>20</v>
      </c>
    </row>
    <row r="2562" spans="1:13" x14ac:dyDescent="0.25">
      <c r="A2562" t="s">
        <v>5717</v>
      </c>
      <c r="B2562" t="s">
        <v>5713</v>
      </c>
      <c r="C2562" t="s">
        <v>20</v>
      </c>
      <c r="D2562" t="s">
        <v>296</v>
      </c>
      <c r="G2562" t="s">
        <v>16</v>
      </c>
      <c r="H2562">
        <v>0</v>
      </c>
      <c r="I2562" s="2" t="s">
        <v>411</v>
      </c>
      <c r="J2562" s="2" t="s">
        <v>5718</v>
      </c>
      <c r="K2562">
        <v>20</v>
      </c>
      <c r="L2562">
        <v>20</v>
      </c>
      <c r="M2562">
        <v>20</v>
      </c>
    </row>
    <row r="2563" spans="1:13" x14ac:dyDescent="0.25">
      <c r="A2563" t="s">
        <v>5719</v>
      </c>
      <c r="B2563" t="s">
        <v>5713</v>
      </c>
      <c r="C2563" t="s">
        <v>20</v>
      </c>
      <c r="D2563" t="s">
        <v>296</v>
      </c>
      <c r="G2563" t="s">
        <v>16</v>
      </c>
      <c r="H2563">
        <v>0</v>
      </c>
      <c r="I2563" s="2" t="s">
        <v>297</v>
      </c>
      <c r="J2563" s="2">
        <v>530000410</v>
      </c>
      <c r="K2563">
        <v>20</v>
      </c>
      <c r="L2563">
        <v>20</v>
      </c>
      <c r="M2563">
        <v>20</v>
      </c>
    </row>
    <row r="2564" spans="1:13" x14ac:dyDescent="0.25">
      <c r="A2564" t="s">
        <v>5720</v>
      </c>
      <c r="B2564" t="s">
        <v>5713</v>
      </c>
      <c r="C2564" t="s">
        <v>20</v>
      </c>
      <c r="D2564" t="s">
        <v>296</v>
      </c>
      <c r="F2564">
        <v>0</v>
      </c>
      <c r="G2564" t="s">
        <v>16</v>
      </c>
      <c r="H2564">
        <v>0</v>
      </c>
      <c r="I2564" s="2" t="s">
        <v>479</v>
      </c>
      <c r="J2564" s="2" t="s">
        <v>5721</v>
      </c>
      <c r="K2564">
        <v>20</v>
      </c>
      <c r="L2564">
        <v>20</v>
      </c>
      <c r="M2564">
        <v>20</v>
      </c>
    </row>
    <row r="2565" spans="1:13" x14ac:dyDescent="0.25">
      <c r="A2565" t="s">
        <v>5722</v>
      </c>
      <c r="B2565" t="s">
        <v>5713</v>
      </c>
      <c r="C2565" t="s">
        <v>20</v>
      </c>
      <c r="D2565" t="s">
        <v>296</v>
      </c>
      <c r="F2565">
        <v>2</v>
      </c>
      <c r="G2565" t="s">
        <v>16</v>
      </c>
      <c r="H2565">
        <v>0</v>
      </c>
      <c r="I2565" s="2" t="s">
        <v>5724</v>
      </c>
      <c r="J2565" s="2" t="s">
        <v>5723</v>
      </c>
      <c r="K2565">
        <v>20</v>
      </c>
      <c r="L2565">
        <v>20</v>
      </c>
      <c r="M2565">
        <v>20</v>
      </c>
    </row>
    <row r="2566" spans="1:13" x14ac:dyDescent="0.25">
      <c r="A2566" t="s">
        <v>5725</v>
      </c>
      <c r="B2566" t="s">
        <v>5713</v>
      </c>
      <c r="C2566" t="s">
        <v>20</v>
      </c>
      <c r="D2566" t="s">
        <v>296</v>
      </c>
      <c r="F2566">
        <v>1</v>
      </c>
      <c r="G2566" t="s">
        <v>16</v>
      </c>
      <c r="H2566">
        <v>0</v>
      </c>
      <c r="I2566" s="2" t="s">
        <v>414</v>
      </c>
      <c r="J2566" s="2" t="s">
        <v>5726</v>
      </c>
      <c r="K2566">
        <v>20</v>
      </c>
      <c r="L2566">
        <v>20</v>
      </c>
      <c r="M2566">
        <v>20</v>
      </c>
    </row>
    <row r="2567" spans="1:13" x14ac:dyDescent="0.25">
      <c r="A2567" t="s">
        <v>5727</v>
      </c>
      <c r="B2567" t="s">
        <v>5713</v>
      </c>
      <c r="C2567" t="s">
        <v>20</v>
      </c>
      <c r="D2567" t="s">
        <v>296</v>
      </c>
      <c r="F2567">
        <v>-1</v>
      </c>
      <c r="G2567" t="s">
        <v>16</v>
      </c>
      <c r="H2567">
        <v>0</v>
      </c>
      <c r="I2567" s="2" t="s">
        <v>408</v>
      </c>
      <c r="J2567" s="2" t="s">
        <v>5728</v>
      </c>
      <c r="K2567">
        <v>20</v>
      </c>
      <c r="L2567">
        <v>20</v>
      </c>
      <c r="M2567">
        <v>20</v>
      </c>
    </row>
    <row r="2568" spans="1:13" x14ac:dyDescent="0.25">
      <c r="A2568" t="s">
        <v>5729</v>
      </c>
      <c r="B2568" t="s">
        <v>5730</v>
      </c>
      <c r="C2568" t="s">
        <v>20</v>
      </c>
      <c r="D2568" t="s">
        <v>26</v>
      </c>
      <c r="F2568">
        <v>0</v>
      </c>
      <c r="G2568" t="s">
        <v>16</v>
      </c>
      <c r="H2568">
        <v>0</v>
      </c>
      <c r="I2568" s="2" t="s">
        <v>99</v>
      </c>
      <c r="J2568" s="3">
        <v>169690</v>
      </c>
      <c r="K2568">
        <v>20</v>
      </c>
      <c r="L2568">
        <v>20</v>
      </c>
      <c r="M2568">
        <v>20</v>
      </c>
    </row>
    <row r="2569" spans="1:13" x14ac:dyDescent="0.25">
      <c r="A2569" t="s">
        <v>5731</v>
      </c>
      <c r="B2569" t="s">
        <v>5730</v>
      </c>
      <c r="C2569" t="s">
        <v>20</v>
      </c>
      <c r="D2569" t="s">
        <v>26</v>
      </c>
      <c r="F2569">
        <v>3</v>
      </c>
      <c r="G2569" t="s">
        <v>16</v>
      </c>
      <c r="H2569">
        <v>0</v>
      </c>
      <c r="I2569" s="2" t="s">
        <v>83</v>
      </c>
      <c r="J2569" s="2" t="str">
        <f>"02-31995-04"</f>
        <v>02-31995-04</v>
      </c>
      <c r="K2569">
        <v>20</v>
      </c>
      <c r="L2569">
        <v>20</v>
      </c>
      <c r="M2569">
        <v>20</v>
      </c>
    </row>
    <row r="2570" spans="1:13" x14ac:dyDescent="0.25">
      <c r="A2570" t="s">
        <v>5732</v>
      </c>
      <c r="B2570" t="s">
        <v>5733</v>
      </c>
      <c r="C2570" t="s">
        <v>20</v>
      </c>
      <c r="D2570" t="s">
        <v>26</v>
      </c>
      <c r="F2570">
        <v>1</v>
      </c>
      <c r="G2570" t="s">
        <v>16</v>
      </c>
      <c r="H2570">
        <v>0</v>
      </c>
      <c r="I2570" s="2" t="s">
        <v>104</v>
      </c>
      <c r="J2570" s="2" t="s">
        <v>5734</v>
      </c>
      <c r="K2570">
        <v>20</v>
      </c>
      <c r="L2570">
        <v>20</v>
      </c>
      <c r="M2570">
        <v>20</v>
      </c>
    </row>
    <row r="2571" spans="1:13" x14ac:dyDescent="0.25">
      <c r="A2571" t="s">
        <v>5735</v>
      </c>
      <c r="B2571" t="s">
        <v>5736</v>
      </c>
      <c r="C2571" t="s">
        <v>20</v>
      </c>
      <c r="D2571" t="s">
        <v>296</v>
      </c>
      <c r="F2571">
        <v>0</v>
      </c>
      <c r="G2571" t="s">
        <v>16</v>
      </c>
      <c r="H2571">
        <v>0</v>
      </c>
      <c r="I2571" s="2" t="s">
        <v>5737</v>
      </c>
      <c r="J2571" s="2" t="s">
        <v>5738</v>
      </c>
      <c r="K2571">
        <v>20</v>
      </c>
      <c r="L2571">
        <v>20</v>
      </c>
      <c r="M2571">
        <v>20</v>
      </c>
    </row>
    <row r="2572" spans="1:13" x14ac:dyDescent="0.25">
      <c r="A2572" t="s">
        <v>5739</v>
      </c>
      <c r="B2572" t="s">
        <v>5736</v>
      </c>
      <c r="C2572" t="s">
        <v>20</v>
      </c>
      <c r="D2572" t="s">
        <v>296</v>
      </c>
      <c r="G2572" t="s">
        <v>16</v>
      </c>
      <c r="H2572">
        <v>0</v>
      </c>
      <c r="I2572" s="2" t="s">
        <v>400</v>
      </c>
      <c r="J2572" s="2" t="s">
        <v>5740</v>
      </c>
      <c r="K2572">
        <v>20</v>
      </c>
      <c r="L2572">
        <v>20</v>
      </c>
      <c r="M2572">
        <v>20</v>
      </c>
    </row>
    <row r="2573" spans="1:13" x14ac:dyDescent="0.25">
      <c r="A2573" t="s">
        <v>5741</v>
      </c>
      <c r="B2573" t="s">
        <v>5736</v>
      </c>
      <c r="C2573" t="s">
        <v>20</v>
      </c>
      <c r="D2573" t="s">
        <v>296</v>
      </c>
      <c r="G2573" t="s">
        <v>16</v>
      </c>
      <c r="H2573">
        <v>0</v>
      </c>
      <c r="I2573" s="2" t="s">
        <v>408</v>
      </c>
      <c r="J2573" s="2" t="s">
        <v>5742</v>
      </c>
      <c r="K2573">
        <v>20</v>
      </c>
      <c r="L2573">
        <v>20</v>
      </c>
      <c r="M2573">
        <v>20</v>
      </c>
    </row>
    <row r="2574" spans="1:13" x14ac:dyDescent="0.25">
      <c r="A2574" t="s">
        <v>5743</v>
      </c>
      <c r="B2574" t="s">
        <v>5744</v>
      </c>
      <c r="C2574" t="s">
        <v>20</v>
      </c>
      <c r="D2574" t="s">
        <v>300</v>
      </c>
      <c r="G2574" t="s">
        <v>16</v>
      </c>
      <c r="H2574">
        <v>0</v>
      </c>
      <c r="I2574" s="2" t="s">
        <v>5745</v>
      </c>
      <c r="J2574" s="2" t="s">
        <v>5746</v>
      </c>
      <c r="K2574">
        <v>20</v>
      </c>
      <c r="L2574">
        <v>20</v>
      </c>
      <c r="M2574">
        <v>20</v>
      </c>
    </row>
    <row r="2575" spans="1:13" x14ac:dyDescent="0.25">
      <c r="A2575" t="s">
        <v>5747</v>
      </c>
      <c r="B2575" t="s">
        <v>5744</v>
      </c>
      <c r="C2575" t="s">
        <v>20</v>
      </c>
      <c r="D2575" t="s">
        <v>296</v>
      </c>
      <c r="G2575" t="s">
        <v>16</v>
      </c>
      <c r="H2575">
        <v>0</v>
      </c>
      <c r="I2575" s="2" t="s">
        <v>3421</v>
      </c>
      <c r="J2575" s="2" t="s">
        <v>5748</v>
      </c>
      <c r="K2575">
        <v>20</v>
      </c>
      <c r="L2575">
        <v>20</v>
      </c>
      <c r="M2575">
        <v>20</v>
      </c>
    </row>
    <row r="2576" spans="1:13" x14ac:dyDescent="0.25">
      <c r="A2576" t="s">
        <v>5749</v>
      </c>
      <c r="B2576" t="s">
        <v>5744</v>
      </c>
      <c r="C2576" t="s">
        <v>20</v>
      </c>
      <c r="D2576" t="s">
        <v>296</v>
      </c>
      <c r="F2576">
        <v>2</v>
      </c>
      <c r="G2576" t="s">
        <v>16</v>
      </c>
      <c r="H2576">
        <v>0</v>
      </c>
      <c r="I2576" s="2" t="s">
        <v>5750</v>
      </c>
      <c r="J2576" s="2" t="s">
        <v>5751</v>
      </c>
      <c r="K2576">
        <v>20</v>
      </c>
      <c r="L2576">
        <v>20</v>
      </c>
      <c r="M2576">
        <v>20</v>
      </c>
    </row>
    <row r="2577" spans="1:13" x14ac:dyDescent="0.25">
      <c r="A2577" t="s">
        <v>5752</v>
      </c>
      <c r="B2577" t="s">
        <v>5744</v>
      </c>
      <c r="C2577" t="s">
        <v>20</v>
      </c>
      <c r="D2577" t="s">
        <v>296</v>
      </c>
      <c r="F2577">
        <v>0</v>
      </c>
      <c r="G2577" t="s">
        <v>16</v>
      </c>
      <c r="H2577">
        <v>0</v>
      </c>
      <c r="I2577" s="2" t="s">
        <v>5754</v>
      </c>
      <c r="J2577" s="2" t="s">
        <v>5753</v>
      </c>
      <c r="K2577">
        <v>20</v>
      </c>
      <c r="L2577">
        <v>20</v>
      </c>
      <c r="M2577">
        <v>20</v>
      </c>
    </row>
    <row r="2578" spans="1:13" x14ac:dyDescent="0.25">
      <c r="A2578" t="s">
        <v>5755</v>
      </c>
      <c r="B2578" t="s">
        <v>5744</v>
      </c>
      <c r="C2578" t="s">
        <v>20</v>
      </c>
      <c r="D2578" t="s">
        <v>296</v>
      </c>
      <c r="G2578" t="s">
        <v>16</v>
      </c>
      <c r="H2578">
        <v>0</v>
      </c>
      <c r="I2578" s="2" t="s">
        <v>400</v>
      </c>
      <c r="J2578" s="2" t="s">
        <v>5756</v>
      </c>
      <c r="K2578">
        <v>20</v>
      </c>
      <c r="L2578">
        <v>20</v>
      </c>
      <c r="M2578">
        <v>20</v>
      </c>
    </row>
    <row r="2579" spans="1:13" x14ac:dyDescent="0.25">
      <c r="A2579" t="s">
        <v>5757</v>
      </c>
      <c r="B2579" t="s">
        <v>5758</v>
      </c>
      <c r="C2579" t="s">
        <v>20</v>
      </c>
      <c r="D2579" t="s">
        <v>26</v>
      </c>
      <c r="F2579">
        <v>1</v>
      </c>
      <c r="G2579" t="s">
        <v>16</v>
      </c>
      <c r="H2579">
        <v>0</v>
      </c>
      <c r="I2579" s="2" t="s">
        <v>80</v>
      </c>
      <c r="J2579" s="2" t="str">
        <f>"02-34277-01"</f>
        <v>02-34277-01</v>
      </c>
      <c r="K2579">
        <v>20</v>
      </c>
      <c r="L2579">
        <v>20</v>
      </c>
      <c r="M2579">
        <v>20</v>
      </c>
    </row>
    <row r="2580" spans="1:13" x14ac:dyDescent="0.25">
      <c r="A2580" t="s">
        <v>5759</v>
      </c>
      <c r="B2580" t="s">
        <v>5760</v>
      </c>
      <c r="C2580" t="s">
        <v>20</v>
      </c>
      <c r="D2580" t="s">
        <v>296</v>
      </c>
      <c r="F2580">
        <v>0</v>
      </c>
      <c r="G2580" t="s">
        <v>16</v>
      </c>
      <c r="H2580">
        <v>0</v>
      </c>
      <c r="I2580" s="2" t="s">
        <v>400</v>
      </c>
      <c r="J2580" s="2" t="s">
        <v>5761</v>
      </c>
      <c r="K2580">
        <v>20</v>
      </c>
      <c r="L2580">
        <v>20</v>
      </c>
      <c r="M2580">
        <v>20</v>
      </c>
    </row>
    <row r="2581" spans="1:13" x14ac:dyDescent="0.25">
      <c r="A2581" t="s">
        <v>5762</v>
      </c>
      <c r="B2581" t="s">
        <v>5763</v>
      </c>
      <c r="C2581" t="s">
        <v>20</v>
      </c>
      <c r="D2581" t="s">
        <v>296</v>
      </c>
      <c r="G2581" t="s">
        <v>16</v>
      </c>
      <c r="H2581">
        <v>0</v>
      </c>
      <c r="I2581" s="2" t="s">
        <v>414</v>
      </c>
      <c r="J2581" s="2" t="s">
        <v>5764</v>
      </c>
      <c r="K2581">
        <v>20</v>
      </c>
      <c r="L2581">
        <v>20</v>
      </c>
      <c r="M2581">
        <v>20</v>
      </c>
    </row>
    <row r="2582" spans="1:13" x14ac:dyDescent="0.25">
      <c r="A2582" t="s">
        <v>5765</v>
      </c>
      <c r="B2582" t="s">
        <v>5760</v>
      </c>
      <c r="C2582" t="s">
        <v>20</v>
      </c>
      <c r="D2582" t="s">
        <v>296</v>
      </c>
      <c r="F2582">
        <v>0</v>
      </c>
      <c r="G2582" t="s">
        <v>16</v>
      </c>
      <c r="H2582">
        <v>0</v>
      </c>
      <c r="I2582" s="2" t="s">
        <v>408</v>
      </c>
      <c r="J2582" s="2" t="s">
        <v>5766</v>
      </c>
      <c r="K2582">
        <v>20</v>
      </c>
      <c r="L2582">
        <v>20</v>
      </c>
      <c r="M2582">
        <v>20</v>
      </c>
    </row>
    <row r="2583" spans="1:13" x14ac:dyDescent="0.25">
      <c r="A2583" t="s">
        <v>5767</v>
      </c>
      <c r="B2583" t="s">
        <v>5768</v>
      </c>
      <c r="C2583" t="s">
        <v>20</v>
      </c>
      <c r="D2583" t="s">
        <v>26</v>
      </c>
      <c r="F2583">
        <v>1</v>
      </c>
      <c r="G2583" t="s">
        <v>16</v>
      </c>
      <c r="H2583">
        <v>0</v>
      </c>
      <c r="I2583" s="2" t="s">
        <v>3421</v>
      </c>
      <c r="J2583" s="2" t="s">
        <v>5769</v>
      </c>
      <c r="K2583">
        <v>20</v>
      </c>
      <c r="L2583">
        <v>20</v>
      </c>
      <c r="M2583">
        <v>20</v>
      </c>
    </row>
    <row r="2584" spans="1:13" x14ac:dyDescent="0.25">
      <c r="A2584" t="s">
        <v>5770</v>
      </c>
      <c r="B2584" t="s">
        <v>5771</v>
      </c>
      <c r="C2584" t="s">
        <v>1432</v>
      </c>
      <c r="G2584" t="s">
        <v>16</v>
      </c>
      <c r="H2584">
        <v>0</v>
      </c>
      <c r="I2584" s="2" t="s">
        <v>5224</v>
      </c>
      <c r="J2584" s="2" t="str">
        <f>"006190200"</f>
        <v>006190200</v>
      </c>
      <c r="K2584">
        <v>20</v>
      </c>
      <c r="L2584">
        <v>20</v>
      </c>
      <c r="M2584">
        <v>20</v>
      </c>
    </row>
    <row r="2585" spans="1:13" x14ac:dyDescent="0.25">
      <c r="A2585" t="s">
        <v>5772</v>
      </c>
      <c r="B2585" t="s">
        <v>5773</v>
      </c>
      <c r="C2585" t="s">
        <v>496</v>
      </c>
      <c r="G2585" t="s">
        <v>16</v>
      </c>
      <c r="H2585">
        <v>0</v>
      </c>
      <c r="I2585" s="2" t="s">
        <v>5774</v>
      </c>
      <c r="J2585" s="2" t="s">
        <v>5775</v>
      </c>
      <c r="K2585">
        <v>20</v>
      </c>
      <c r="L2585">
        <v>20</v>
      </c>
      <c r="M2585">
        <v>20</v>
      </c>
    </row>
    <row r="2586" spans="1:13" x14ac:dyDescent="0.25">
      <c r="A2586" t="s">
        <v>5776</v>
      </c>
      <c r="B2586" t="s">
        <v>5777</v>
      </c>
      <c r="C2586" t="s">
        <v>362</v>
      </c>
      <c r="D2586" t="s">
        <v>4091</v>
      </c>
      <c r="F2586">
        <v>1</v>
      </c>
      <c r="G2586" t="s">
        <v>16</v>
      </c>
      <c r="H2586">
        <v>0</v>
      </c>
      <c r="I2586" s="2" t="s">
        <v>87</v>
      </c>
      <c r="J2586" s="2" t="s">
        <v>5778</v>
      </c>
      <c r="K2586">
        <v>20</v>
      </c>
      <c r="L2586">
        <v>20</v>
      </c>
      <c r="M2586">
        <v>20</v>
      </c>
    </row>
    <row r="2587" spans="1:13" x14ac:dyDescent="0.25">
      <c r="A2587" t="s">
        <v>5779</v>
      </c>
      <c r="B2587" t="s">
        <v>5777</v>
      </c>
      <c r="C2587" t="s">
        <v>362</v>
      </c>
      <c r="D2587" t="s">
        <v>4091</v>
      </c>
      <c r="G2587" t="s">
        <v>16</v>
      </c>
      <c r="H2587">
        <v>0</v>
      </c>
      <c r="I2587" s="2" t="s">
        <v>383</v>
      </c>
      <c r="J2587" s="2" t="str">
        <f>"0986487819"</f>
        <v>0986487819</v>
      </c>
      <c r="K2587">
        <v>20</v>
      </c>
      <c r="L2587">
        <v>20</v>
      </c>
      <c r="M2587">
        <v>20</v>
      </c>
    </row>
    <row r="2588" spans="1:13" x14ac:dyDescent="0.25">
      <c r="A2588" t="s">
        <v>5780</v>
      </c>
      <c r="B2588" t="s">
        <v>5781</v>
      </c>
      <c r="C2588" t="s">
        <v>20</v>
      </c>
      <c r="D2588" t="s">
        <v>26</v>
      </c>
      <c r="G2588" t="s">
        <v>16</v>
      </c>
      <c r="H2588">
        <v>0</v>
      </c>
      <c r="I2588" s="2" t="s">
        <v>99</v>
      </c>
      <c r="J2588" s="3">
        <v>702294</v>
      </c>
      <c r="K2588">
        <v>20</v>
      </c>
      <c r="L2588">
        <v>20</v>
      </c>
      <c r="M2588">
        <v>20</v>
      </c>
    </row>
    <row r="2589" spans="1:13" x14ac:dyDescent="0.25">
      <c r="A2589" t="s">
        <v>5782</v>
      </c>
      <c r="B2589" t="s">
        <v>5783</v>
      </c>
      <c r="C2589" t="s">
        <v>20</v>
      </c>
      <c r="D2589" t="s">
        <v>26</v>
      </c>
      <c r="F2589">
        <v>1</v>
      </c>
      <c r="G2589" t="s">
        <v>16</v>
      </c>
      <c r="H2589">
        <v>0</v>
      </c>
      <c r="I2589" s="2" t="s">
        <v>3421</v>
      </c>
      <c r="J2589" s="2" t="s">
        <v>5784</v>
      </c>
      <c r="K2589">
        <v>20</v>
      </c>
      <c r="L2589">
        <v>20</v>
      </c>
      <c r="M2589">
        <v>20</v>
      </c>
    </row>
    <row r="2590" spans="1:13" x14ac:dyDescent="0.25">
      <c r="A2590" t="s">
        <v>5785</v>
      </c>
      <c r="B2590" t="s">
        <v>5783</v>
      </c>
      <c r="C2590" t="s">
        <v>20</v>
      </c>
      <c r="D2590" t="s">
        <v>26</v>
      </c>
      <c r="F2590">
        <v>1</v>
      </c>
      <c r="G2590" t="s">
        <v>16</v>
      </c>
      <c r="H2590">
        <v>0</v>
      </c>
      <c r="I2590" s="2" t="s">
        <v>99</v>
      </c>
      <c r="J2590" s="3">
        <v>702383</v>
      </c>
      <c r="K2590">
        <v>20</v>
      </c>
      <c r="L2590">
        <v>20</v>
      </c>
      <c r="M2590">
        <v>20</v>
      </c>
    </row>
    <row r="2591" spans="1:13" x14ac:dyDescent="0.25">
      <c r="A2591" t="s">
        <v>5786</v>
      </c>
      <c r="B2591" t="s">
        <v>5783</v>
      </c>
      <c r="C2591" t="s">
        <v>20</v>
      </c>
      <c r="D2591" t="s">
        <v>26</v>
      </c>
      <c r="G2591" t="s">
        <v>16</v>
      </c>
      <c r="H2591">
        <v>0</v>
      </c>
      <c r="I2591" s="2" t="s">
        <v>83</v>
      </c>
      <c r="J2591" s="2" t="str">
        <f>"02-26775-02"</f>
        <v>02-26775-02</v>
      </c>
      <c r="K2591">
        <v>20</v>
      </c>
      <c r="L2591">
        <v>20</v>
      </c>
      <c r="M2591">
        <v>20</v>
      </c>
    </row>
    <row r="2592" spans="1:13" x14ac:dyDescent="0.25">
      <c r="A2592" t="s">
        <v>5787</v>
      </c>
      <c r="B2592" t="s">
        <v>5788</v>
      </c>
      <c r="C2592" t="s">
        <v>20</v>
      </c>
      <c r="D2592" t="s">
        <v>26</v>
      </c>
      <c r="F2592">
        <v>1</v>
      </c>
      <c r="G2592" t="s">
        <v>16</v>
      </c>
      <c r="H2592">
        <v>0</v>
      </c>
      <c r="I2592" s="2" t="s">
        <v>3421</v>
      </c>
      <c r="J2592" s="2" t="s">
        <v>5789</v>
      </c>
      <c r="K2592">
        <v>20</v>
      </c>
      <c r="L2592">
        <v>20</v>
      </c>
      <c r="M2592">
        <v>20</v>
      </c>
    </row>
    <row r="2593" spans="1:13" x14ac:dyDescent="0.25">
      <c r="A2593" t="s">
        <v>5790</v>
      </c>
      <c r="B2593" t="s">
        <v>5791</v>
      </c>
      <c r="C2593" t="s">
        <v>20</v>
      </c>
      <c r="D2593" t="s">
        <v>26</v>
      </c>
      <c r="G2593" t="s">
        <v>16</v>
      </c>
      <c r="H2593">
        <v>0</v>
      </c>
      <c r="I2593" s="2" t="s">
        <v>3286</v>
      </c>
      <c r="J2593" s="2" t="s">
        <v>5792</v>
      </c>
      <c r="K2593">
        <v>20</v>
      </c>
      <c r="L2593">
        <v>20</v>
      </c>
      <c r="M2593">
        <v>20</v>
      </c>
    </row>
    <row r="2594" spans="1:13" x14ac:dyDescent="0.25">
      <c r="A2594" t="s">
        <v>5793</v>
      </c>
      <c r="B2594" t="s">
        <v>5791</v>
      </c>
      <c r="C2594" t="s">
        <v>20</v>
      </c>
      <c r="D2594" t="s">
        <v>26</v>
      </c>
      <c r="G2594" t="s">
        <v>16</v>
      </c>
      <c r="H2594">
        <v>0</v>
      </c>
      <c r="I2594" s="2" t="s">
        <v>80</v>
      </c>
      <c r="J2594" s="2" t="str">
        <f>"02-28135-01"</f>
        <v>02-28135-01</v>
      </c>
      <c r="K2594">
        <v>20</v>
      </c>
      <c r="L2594">
        <v>20</v>
      </c>
      <c r="M2594">
        <v>20</v>
      </c>
    </row>
    <row r="2595" spans="1:13" x14ac:dyDescent="0.25">
      <c r="A2595" t="s">
        <v>5794</v>
      </c>
      <c r="B2595" t="s">
        <v>5795</v>
      </c>
      <c r="C2595" t="s">
        <v>20</v>
      </c>
      <c r="D2595" t="s">
        <v>26</v>
      </c>
      <c r="F2595">
        <v>1</v>
      </c>
      <c r="G2595" t="s">
        <v>16</v>
      </c>
      <c r="H2595">
        <v>0</v>
      </c>
      <c r="I2595" s="2" t="s">
        <v>83</v>
      </c>
      <c r="J2595" s="2" t="str">
        <f>"02-29270-01"</f>
        <v>02-29270-01</v>
      </c>
      <c r="K2595">
        <v>20</v>
      </c>
      <c r="L2595">
        <v>20</v>
      </c>
      <c r="M2595">
        <v>20</v>
      </c>
    </row>
    <row r="2596" spans="1:13" x14ac:dyDescent="0.25">
      <c r="A2596" t="s">
        <v>5796</v>
      </c>
      <c r="B2596" t="s">
        <v>5797</v>
      </c>
      <c r="C2596" t="s">
        <v>20</v>
      </c>
      <c r="D2596" t="s">
        <v>26</v>
      </c>
      <c r="F2596">
        <v>2</v>
      </c>
      <c r="G2596" t="s">
        <v>16</v>
      </c>
      <c r="H2596">
        <v>0</v>
      </c>
      <c r="I2596" s="2" t="s">
        <v>97</v>
      </c>
      <c r="J2596" s="3">
        <v>919500</v>
      </c>
      <c r="K2596">
        <v>20</v>
      </c>
      <c r="L2596">
        <v>20</v>
      </c>
      <c r="M2596">
        <v>20</v>
      </c>
    </row>
    <row r="2597" spans="1:13" x14ac:dyDescent="0.25">
      <c r="A2597" t="s">
        <v>5798</v>
      </c>
      <c r="B2597" t="s">
        <v>5799</v>
      </c>
      <c r="C2597" t="s">
        <v>20</v>
      </c>
      <c r="D2597" t="s">
        <v>26</v>
      </c>
      <c r="F2597">
        <v>2</v>
      </c>
      <c r="G2597" t="s">
        <v>16</v>
      </c>
      <c r="H2597">
        <v>0</v>
      </c>
      <c r="I2597" s="2" t="s">
        <v>99</v>
      </c>
      <c r="J2597" s="3">
        <v>304000</v>
      </c>
      <c r="K2597">
        <v>20</v>
      </c>
      <c r="L2597">
        <v>20</v>
      </c>
      <c r="M2597">
        <v>20</v>
      </c>
    </row>
    <row r="2598" spans="1:13" x14ac:dyDescent="0.25">
      <c r="A2598" t="s">
        <v>5800</v>
      </c>
      <c r="B2598" t="s">
        <v>5799</v>
      </c>
      <c r="C2598" t="s">
        <v>20</v>
      </c>
      <c r="D2598" t="s">
        <v>26</v>
      </c>
      <c r="F2598">
        <v>2</v>
      </c>
      <c r="G2598" t="s">
        <v>16</v>
      </c>
      <c r="H2598">
        <v>0</v>
      </c>
      <c r="I2598" s="2" t="s">
        <v>104</v>
      </c>
      <c r="J2598" s="2" t="s">
        <v>5801</v>
      </c>
      <c r="K2598">
        <v>20</v>
      </c>
      <c r="L2598">
        <v>20</v>
      </c>
      <c r="M2598">
        <v>20</v>
      </c>
    </row>
    <row r="2599" spans="1:13" x14ac:dyDescent="0.25">
      <c r="A2599" t="s">
        <v>5802</v>
      </c>
      <c r="B2599" t="s">
        <v>5803</v>
      </c>
      <c r="C2599" t="s">
        <v>20</v>
      </c>
      <c r="D2599" t="s">
        <v>26</v>
      </c>
      <c r="F2599">
        <v>1</v>
      </c>
      <c r="G2599" t="s">
        <v>16</v>
      </c>
      <c r="H2599">
        <v>0</v>
      </c>
      <c r="I2599" s="2" t="s">
        <v>83</v>
      </c>
      <c r="J2599" s="2" t="str">
        <f>"02-33005-01"</f>
        <v>02-33005-01</v>
      </c>
      <c r="K2599">
        <v>20</v>
      </c>
      <c r="L2599">
        <v>20</v>
      </c>
      <c r="M2599">
        <v>20</v>
      </c>
    </row>
    <row r="2600" spans="1:13" x14ac:dyDescent="0.25">
      <c r="A2600" t="s">
        <v>5804</v>
      </c>
      <c r="B2600" t="s">
        <v>5805</v>
      </c>
      <c r="C2600" t="s">
        <v>20</v>
      </c>
      <c r="D2600" t="s">
        <v>26</v>
      </c>
      <c r="F2600">
        <v>0</v>
      </c>
      <c r="G2600" t="s">
        <v>16</v>
      </c>
      <c r="H2600">
        <v>0</v>
      </c>
      <c r="I2600" s="2" t="s">
        <v>99</v>
      </c>
      <c r="J2600" s="3">
        <v>457930</v>
      </c>
      <c r="K2600">
        <v>20</v>
      </c>
      <c r="L2600">
        <v>20</v>
      </c>
      <c r="M2600">
        <v>20</v>
      </c>
    </row>
    <row r="2601" spans="1:13" x14ac:dyDescent="0.25">
      <c r="A2601" t="s">
        <v>5806</v>
      </c>
      <c r="B2601" t="s">
        <v>5805</v>
      </c>
      <c r="C2601" t="s">
        <v>20</v>
      </c>
      <c r="D2601" t="s">
        <v>26</v>
      </c>
      <c r="G2601" t="s">
        <v>16</v>
      </c>
      <c r="H2601">
        <v>0</v>
      </c>
      <c r="I2601" s="2" t="s">
        <v>80</v>
      </c>
      <c r="J2601" s="2" t="str">
        <f>"08-31226-01"</f>
        <v>08-31226-01</v>
      </c>
      <c r="K2601">
        <v>20</v>
      </c>
      <c r="L2601">
        <v>20</v>
      </c>
      <c r="M2601">
        <v>20</v>
      </c>
    </row>
    <row r="2602" spans="1:13" x14ac:dyDescent="0.25">
      <c r="A2602" t="s">
        <v>5807</v>
      </c>
      <c r="B2602" t="s">
        <v>5808</v>
      </c>
      <c r="C2602" t="s">
        <v>20</v>
      </c>
      <c r="D2602" t="s">
        <v>26</v>
      </c>
      <c r="F2602">
        <v>1</v>
      </c>
      <c r="G2602" t="s">
        <v>16</v>
      </c>
      <c r="H2602">
        <v>0</v>
      </c>
      <c r="I2602" s="2" t="s">
        <v>99</v>
      </c>
      <c r="J2602" s="3">
        <v>216110</v>
      </c>
      <c r="K2602">
        <v>20</v>
      </c>
      <c r="L2602">
        <v>20</v>
      </c>
      <c r="M2602">
        <v>20</v>
      </c>
    </row>
    <row r="2603" spans="1:13" x14ac:dyDescent="0.25">
      <c r="A2603" t="s">
        <v>5809</v>
      </c>
      <c r="B2603" t="s">
        <v>5808</v>
      </c>
      <c r="C2603" t="s">
        <v>20</v>
      </c>
      <c r="D2603" t="s">
        <v>26</v>
      </c>
      <c r="F2603">
        <v>0</v>
      </c>
      <c r="G2603" t="s">
        <v>16</v>
      </c>
      <c r="H2603">
        <v>0</v>
      </c>
      <c r="I2603" s="2" t="s">
        <v>80</v>
      </c>
      <c r="J2603" s="2" t="str">
        <f>"02-31995-02"</f>
        <v>02-31995-02</v>
      </c>
      <c r="K2603">
        <v>20</v>
      </c>
      <c r="L2603">
        <v>20</v>
      </c>
      <c r="M2603">
        <v>20</v>
      </c>
    </row>
    <row r="2604" spans="1:13" x14ac:dyDescent="0.25">
      <c r="A2604" t="s">
        <v>5810</v>
      </c>
      <c r="B2604" t="s">
        <v>5811</v>
      </c>
      <c r="C2604" t="s">
        <v>20</v>
      </c>
      <c r="D2604" t="s">
        <v>26</v>
      </c>
      <c r="F2604">
        <v>0</v>
      </c>
      <c r="G2604" t="s">
        <v>16</v>
      </c>
      <c r="H2604">
        <v>0</v>
      </c>
      <c r="I2604" s="2" t="s">
        <v>99</v>
      </c>
      <c r="J2604" s="3">
        <v>413100</v>
      </c>
      <c r="K2604">
        <v>20</v>
      </c>
      <c r="L2604">
        <v>20</v>
      </c>
      <c r="M2604">
        <v>20</v>
      </c>
    </row>
    <row r="2605" spans="1:13" x14ac:dyDescent="0.25">
      <c r="A2605" t="s">
        <v>5812</v>
      </c>
      <c r="B2605" t="s">
        <v>5811</v>
      </c>
      <c r="C2605" t="s">
        <v>20</v>
      </c>
      <c r="D2605" t="s">
        <v>26</v>
      </c>
      <c r="G2605" t="s">
        <v>16</v>
      </c>
      <c r="H2605">
        <v>0</v>
      </c>
      <c r="I2605" s="2" t="s">
        <v>80</v>
      </c>
      <c r="J2605" s="2" t="str">
        <f>"08-31979-01"</f>
        <v>08-31979-01</v>
      </c>
      <c r="K2605">
        <v>20</v>
      </c>
      <c r="L2605">
        <v>20</v>
      </c>
      <c r="M2605">
        <v>20</v>
      </c>
    </row>
    <row r="2606" spans="1:13" x14ac:dyDescent="0.25">
      <c r="A2606" t="s">
        <v>5813</v>
      </c>
      <c r="B2606" t="s">
        <v>5814</v>
      </c>
      <c r="C2606" t="s">
        <v>1432</v>
      </c>
      <c r="G2606" t="s">
        <v>16</v>
      </c>
      <c r="H2606">
        <v>0</v>
      </c>
      <c r="I2606" s="2" t="s">
        <v>5221</v>
      </c>
      <c r="J2606" s="2">
        <v>623060800</v>
      </c>
      <c r="K2606">
        <v>20</v>
      </c>
      <c r="L2606">
        <v>20</v>
      </c>
      <c r="M2606">
        <v>20</v>
      </c>
    </row>
    <row r="2607" spans="1:13" x14ac:dyDescent="0.25">
      <c r="A2607" t="s">
        <v>5815</v>
      </c>
      <c r="B2607" t="s">
        <v>5223</v>
      </c>
      <c r="C2607" t="s">
        <v>1432</v>
      </c>
      <c r="G2607" t="s">
        <v>16</v>
      </c>
      <c r="H2607">
        <v>0</v>
      </c>
      <c r="I2607" s="2" t="s">
        <v>5688</v>
      </c>
      <c r="J2607" s="2">
        <v>3000311002</v>
      </c>
      <c r="K2607">
        <v>20</v>
      </c>
      <c r="L2607">
        <v>20</v>
      </c>
      <c r="M2607">
        <v>20</v>
      </c>
    </row>
    <row r="2608" spans="1:13" x14ac:dyDescent="0.25">
      <c r="A2608" t="s">
        <v>5816</v>
      </c>
      <c r="B2608" t="s">
        <v>5817</v>
      </c>
      <c r="C2608" t="s">
        <v>20</v>
      </c>
      <c r="D2608" t="s">
        <v>26</v>
      </c>
      <c r="G2608" t="s">
        <v>16</v>
      </c>
      <c r="H2608">
        <v>0</v>
      </c>
      <c r="I2608" s="2" t="s">
        <v>99</v>
      </c>
      <c r="J2608" s="3">
        <v>539350</v>
      </c>
      <c r="K2608">
        <v>20</v>
      </c>
      <c r="L2608">
        <v>20</v>
      </c>
      <c r="M2608">
        <v>20</v>
      </c>
    </row>
    <row r="2609" spans="1:13" x14ac:dyDescent="0.25">
      <c r="A2609" t="s">
        <v>5818</v>
      </c>
      <c r="B2609" t="s">
        <v>5819</v>
      </c>
      <c r="C2609" t="s">
        <v>20</v>
      </c>
      <c r="D2609" t="s">
        <v>26</v>
      </c>
      <c r="G2609" t="s">
        <v>16</v>
      </c>
      <c r="H2609">
        <v>0</v>
      </c>
      <c r="I2609" s="2" t="s">
        <v>500</v>
      </c>
      <c r="J2609" s="2" t="s">
        <v>5820</v>
      </c>
      <c r="K2609">
        <v>20</v>
      </c>
      <c r="L2609">
        <v>20</v>
      </c>
      <c r="M2609">
        <v>20</v>
      </c>
    </row>
    <row r="2610" spans="1:13" x14ac:dyDescent="0.25">
      <c r="A2610" t="s">
        <v>5821</v>
      </c>
      <c r="B2610" t="s">
        <v>5817</v>
      </c>
      <c r="C2610" t="s">
        <v>20</v>
      </c>
      <c r="D2610" t="s">
        <v>26</v>
      </c>
      <c r="G2610" t="s">
        <v>16</v>
      </c>
      <c r="H2610">
        <v>0</v>
      </c>
      <c r="I2610" s="2" t="s">
        <v>5822</v>
      </c>
      <c r="J2610" s="2" t="s">
        <v>5823</v>
      </c>
      <c r="K2610">
        <v>20</v>
      </c>
      <c r="L2610">
        <v>20</v>
      </c>
      <c r="M2610">
        <v>20</v>
      </c>
    </row>
    <row r="2611" spans="1:13" x14ac:dyDescent="0.25">
      <c r="A2611" t="s">
        <v>5824</v>
      </c>
      <c r="B2611" t="s">
        <v>5817</v>
      </c>
      <c r="C2611" t="s">
        <v>20</v>
      </c>
      <c r="D2611" t="s">
        <v>26</v>
      </c>
      <c r="G2611" t="s">
        <v>16</v>
      </c>
      <c r="H2611">
        <v>0</v>
      </c>
      <c r="I2611" s="2" t="s">
        <v>80</v>
      </c>
      <c r="J2611" s="2" t="str">
        <f>"01-53146-01"</f>
        <v>01-53146-01</v>
      </c>
      <c r="K2611">
        <v>20</v>
      </c>
      <c r="L2611">
        <v>20</v>
      </c>
      <c r="M2611">
        <v>20</v>
      </c>
    </row>
    <row r="2612" spans="1:13" x14ac:dyDescent="0.25">
      <c r="A2612" t="s">
        <v>5825</v>
      </c>
      <c r="B2612" t="s">
        <v>5826</v>
      </c>
      <c r="C2612" t="s">
        <v>20</v>
      </c>
      <c r="D2612" t="s">
        <v>26</v>
      </c>
      <c r="F2612">
        <v>1</v>
      </c>
      <c r="G2612" t="s">
        <v>16</v>
      </c>
      <c r="H2612">
        <v>0</v>
      </c>
      <c r="I2612" s="2" t="s">
        <v>80</v>
      </c>
      <c r="J2612" s="2" t="str">
        <f>"02-53146-01"</f>
        <v>02-53146-01</v>
      </c>
      <c r="K2612">
        <v>20</v>
      </c>
      <c r="L2612">
        <v>20</v>
      </c>
      <c r="M2612">
        <v>20</v>
      </c>
    </row>
    <row r="2613" spans="1:13" x14ac:dyDescent="0.25">
      <c r="A2613" t="s">
        <v>5827</v>
      </c>
      <c r="B2613" t="s">
        <v>5828</v>
      </c>
      <c r="C2613" t="s">
        <v>362</v>
      </c>
      <c r="D2613" t="s">
        <v>4091</v>
      </c>
      <c r="F2613">
        <v>1</v>
      </c>
      <c r="G2613" t="s">
        <v>16</v>
      </c>
      <c r="H2613">
        <v>0</v>
      </c>
      <c r="I2613" s="2" t="s">
        <v>4625</v>
      </c>
      <c r="J2613" s="2" t="s">
        <v>5829</v>
      </c>
      <c r="K2613">
        <v>20</v>
      </c>
      <c r="L2613">
        <v>20</v>
      </c>
      <c r="M2613">
        <v>20</v>
      </c>
    </row>
    <row r="2614" spans="1:13" x14ac:dyDescent="0.25">
      <c r="A2614" t="s">
        <v>5830</v>
      </c>
      <c r="B2614" t="s">
        <v>5831</v>
      </c>
      <c r="C2614" t="s">
        <v>362</v>
      </c>
      <c r="D2614" t="s">
        <v>4091</v>
      </c>
      <c r="F2614">
        <v>1</v>
      </c>
      <c r="G2614" t="s">
        <v>16</v>
      </c>
      <c r="H2614">
        <v>0</v>
      </c>
      <c r="I2614" s="2" t="s">
        <v>685</v>
      </c>
      <c r="J2614" s="2" t="str">
        <f>"0986494564"</f>
        <v>0986494564</v>
      </c>
      <c r="K2614">
        <v>20</v>
      </c>
      <c r="L2614">
        <v>20</v>
      </c>
      <c r="M2614">
        <v>20</v>
      </c>
    </row>
    <row r="2615" spans="1:13" x14ac:dyDescent="0.25">
      <c r="A2615" t="s">
        <v>5832</v>
      </c>
      <c r="B2615" t="s">
        <v>5828</v>
      </c>
      <c r="C2615" t="s">
        <v>362</v>
      </c>
      <c r="D2615" t="s">
        <v>4091</v>
      </c>
      <c r="F2615">
        <v>6</v>
      </c>
      <c r="G2615" t="s">
        <v>16</v>
      </c>
      <c r="H2615">
        <v>0</v>
      </c>
      <c r="I2615" s="2" t="s">
        <v>941</v>
      </c>
      <c r="J2615" s="2" t="s">
        <v>5833</v>
      </c>
      <c r="K2615">
        <v>20</v>
      </c>
      <c r="L2615">
        <v>20</v>
      </c>
      <c r="M2615">
        <v>20</v>
      </c>
    </row>
    <row r="2616" spans="1:13" x14ac:dyDescent="0.25">
      <c r="A2616" t="s">
        <v>5834</v>
      </c>
      <c r="B2616" t="s">
        <v>5828</v>
      </c>
      <c r="C2616" t="s">
        <v>362</v>
      </c>
      <c r="D2616" t="s">
        <v>4091</v>
      </c>
      <c r="F2616">
        <v>2</v>
      </c>
      <c r="G2616" t="s">
        <v>16</v>
      </c>
      <c r="H2616">
        <v>0</v>
      </c>
      <c r="I2616" s="2" t="s">
        <v>5500</v>
      </c>
      <c r="J2616" s="2" t="s">
        <v>5835</v>
      </c>
      <c r="K2616">
        <v>20</v>
      </c>
      <c r="L2616">
        <v>20</v>
      </c>
      <c r="M2616">
        <v>20</v>
      </c>
    </row>
    <row r="2617" spans="1:13" x14ac:dyDescent="0.25">
      <c r="A2617" t="s">
        <v>5836</v>
      </c>
      <c r="B2617" t="s">
        <v>5831</v>
      </c>
      <c r="C2617" t="s">
        <v>362</v>
      </c>
      <c r="D2617" t="s">
        <v>4091</v>
      </c>
      <c r="G2617" t="s">
        <v>16</v>
      </c>
      <c r="H2617">
        <v>0</v>
      </c>
      <c r="I2617" s="2" t="s">
        <v>389</v>
      </c>
      <c r="J2617" s="2">
        <v>1617275680</v>
      </c>
      <c r="K2617">
        <v>20</v>
      </c>
      <c r="L2617">
        <v>20</v>
      </c>
      <c r="M2617">
        <v>20</v>
      </c>
    </row>
    <row r="2618" spans="1:13" x14ac:dyDescent="0.25">
      <c r="A2618" t="s">
        <v>5837</v>
      </c>
      <c r="B2618" t="s">
        <v>5828</v>
      </c>
      <c r="C2618" t="s">
        <v>362</v>
      </c>
      <c r="D2618" t="s">
        <v>4091</v>
      </c>
      <c r="F2618">
        <v>1</v>
      </c>
      <c r="G2618" t="s">
        <v>16</v>
      </c>
      <c r="H2618">
        <v>0</v>
      </c>
      <c r="I2618" s="2" t="s">
        <v>5838</v>
      </c>
      <c r="J2618" s="2">
        <v>9001170</v>
      </c>
      <c r="K2618">
        <v>20</v>
      </c>
      <c r="L2618">
        <v>20</v>
      </c>
      <c r="M2618">
        <v>20</v>
      </c>
    </row>
    <row r="2619" spans="1:13" x14ac:dyDescent="0.25">
      <c r="A2619" t="s">
        <v>5839</v>
      </c>
      <c r="B2619" t="s">
        <v>5840</v>
      </c>
      <c r="C2619" t="s">
        <v>362</v>
      </c>
      <c r="D2619" t="s">
        <v>4091</v>
      </c>
      <c r="G2619" t="s">
        <v>16</v>
      </c>
      <c r="H2619">
        <v>0</v>
      </c>
      <c r="I2619" s="2" t="s">
        <v>842</v>
      </c>
      <c r="J2619" s="2">
        <v>670030</v>
      </c>
      <c r="K2619">
        <v>20</v>
      </c>
      <c r="L2619">
        <v>20</v>
      </c>
      <c r="M2619">
        <v>20</v>
      </c>
    </row>
    <row r="2620" spans="1:13" x14ac:dyDescent="0.25">
      <c r="A2620" t="s">
        <v>5841</v>
      </c>
      <c r="B2620" t="s">
        <v>5842</v>
      </c>
      <c r="C2620" t="s">
        <v>362</v>
      </c>
      <c r="D2620" t="s">
        <v>2545</v>
      </c>
      <c r="F2620">
        <v>2</v>
      </c>
      <c r="G2620" t="s">
        <v>16</v>
      </c>
      <c r="H2620">
        <v>0</v>
      </c>
      <c r="I2620" s="2" t="s">
        <v>4193</v>
      </c>
      <c r="J2620" s="2" t="s">
        <v>5843</v>
      </c>
      <c r="K2620">
        <v>20</v>
      </c>
      <c r="L2620">
        <v>20</v>
      </c>
      <c r="M2620">
        <v>20</v>
      </c>
    </row>
    <row r="2621" spans="1:13" x14ac:dyDescent="0.25">
      <c r="A2621" t="s">
        <v>5844</v>
      </c>
      <c r="B2621" t="s">
        <v>5845</v>
      </c>
      <c r="C2621" t="s">
        <v>362</v>
      </c>
      <c r="D2621" t="s">
        <v>2545</v>
      </c>
      <c r="F2621">
        <v>2</v>
      </c>
      <c r="G2621" t="s">
        <v>16</v>
      </c>
      <c r="H2621">
        <v>0</v>
      </c>
      <c r="I2621" s="2" t="s">
        <v>5846</v>
      </c>
      <c r="J2621" s="2" t="s">
        <v>5847</v>
      </c>
      <c r="K2621">
        <v>20</v>
      </c>
      <c r="L2621">
        <v>20</v>
      </c>
      <c r="M2621">
        <v>20</v>
      </c>
    </row>
    <row r="2622" spans="1:13" x14ac:dyDescent="0.25">
      <c r="A2622" t="s">
        <v>5848</v>
      </c>
      <c r="C2622" t="s">
        <v>20</v>
      </c>
      <c r="D2622" t="s">
        <v>26</v>
      </c>
      <c r="G2622" t="s">
        <v>16</v>
      </c>
      <c r="H2622">
        <v>0</v>
      </c>
      <c r="K2622">
        <v>20</v>
      </c>
      <c r="L2622">
        <v>20</v>
      </c>
      <c r="M2622">
        <v>20</v>
      </c>
    </row>
    <row r="2623" spans="1:13" x14ac:dyDescent="0.25">
      <c r="A2623" t="s">
        <v>5849</v>
      </c>
      <c r="B2623" t="s">
        <v>5850</v>
      </c>
      <c r="C2623" t="s">
        <v>20</v>
      </c>
      <c r="D2623" t="s">
        <v>26</v>
      </c>
      <c r="G2623" t="s">
        <v>16</v>
      </c>
      <c r="H2623">
        <v>0</v>
      </c>
      <c r="K2623">
        <v>20</v>
      </c>
      <c r="L2623">
        <v>20</v>
      </c>
      <c r="M2623">
        <v>20</v>
      </c>
    </row>
    <row r="2624" spans="1:13" x14ac:dyDescent="0.25">
      <c r="A2624" t="s">
        <v>5851</v>
      </c>
      <c r="B2624" t="s">
        <v>5852</v>
      </c>
      <c r="C2624" t="s">
        <v>20</v>
      </c>
      <c r="D2624" t="s">
        <v>21</v>
      </c>
      <c r="F2624">
        <v>4</v>
      </c>
      <c r="G2624" t="s">
        <v>16</v>
      </c>
      <c r="H2624">
        <v>0</v>
      </c>
      <c r="I2624" s="2" t="s">
        <v>82</v>
      </c>
      <c r="J2624" s="2" t="str">
        <f>"06-838300-00"</f>
        <v>06-838300-00</v>
      </c>
      <c r="K2624">
        <v>20</v>
      </c>
      <c r="L2624">
        <v>20</v>
      </c>
      <c r="M2624">
        <v>20</v>
      </c>
    </row>
    <row r="2625" spans="1:13" x14ac:dyDescent="0.25">
      <c r="A2625">
        <v>1607387880</v>
      </c>
      <c r="B2625" t="s">
        <v>5853</v>
      </c>
      <c r="C2625" t="s">
        <v>1432</v>
      </c>
      <c r="F2625">
        <v>1</v>
      </c>
      <c r="G2625" t="s">
        <v>16</v>
      </c>
      <c r="H2625">
        <v>0</v>
      </c>
      <c r="I2625" s="2" t="s">
        <v>51</v>
      </c>
      <c r="J2625" s="2">
        <v>1607387880</v>
      </c>
      <c r="K2625">
        <v>20</v>
      </c>
      <c r="L2625">
        <v>20</v>
      </c>
      <c r="M2625">
        <v>20</v>
      </c>
    </row>
    <row r="2626" spans="1:13" x14ac:dyDescent="0.25">
      <c r="A2626" t="s">
        <v>5854</v>
      </c>
      <c r="B2626" t="s">
        <v>5855</v>
      </c>
      <c r="C2626" t="s">
        <v>2493</v>
      </c>
      <c r="D2626" t="s">
        <v>5856</v>
      </c>
      <c r="F2626">
        <v>2</v>
      </c>
      <c r="G2626" t="s">
        <v>16</v>
      </c>
      <c r="H2626">
        <v>0</v>
      </c>
      <c r="I2626" s="2" t="s">
        <v>5500</v>
      </c>
      <c r="J2626" s="2" t="s">
        <v>5857</v>
      </c>
      <c r="K2626">
        <v>20</v>
      </c>
      <c r="L2626">
        <v>20</v>
      </c>
      <c r="M2626">
        <v>20</v>
      </c>
    </row>
    <row r="2627" spans="1:13" x14ac:dyDescent="0.25">
      <c r="A2627" t="s">
        <v>5858</v>
      </c>
      <c r="B2627" t="s">
        <v>5859</v>
      </c>
      <c r="C2627" t="s">
        <v>151</v>
      </c>
      <c r="D2627" t="s">
        <v>1092</v>
      </c>
      <c r="F2627">
        <v>1</v>
      </c>
      <c r="G2627" t="s">
        <v>16</v>
      </c>
      <c r="H2627">
        <v>0</v>
      </c>
      <c r="I2627" s="2" t="s">
        <v>5860</v>
      </c>
      <c r="J2627" s="2" t="s">
        <v>5861</v>
      </c>
      <c r="K2627">
        <v>20</v>
      </c>
      <c r="L2627">
        <v>20</v>
      </c>
      <c r="M2627">
        <v>20</v>
      </c>
    </row>
    <row r="2628" spans="1:13" x14ac:dyDescent="0.25">
      <c r="A2628" t="s">
        <v>5862</v>
      </c>
      <c r="B2628" t="s">
        <v>5863</v>
      </c>
      <c r="C2628" t="s">
        <v>2493</v>
      </c>
      <c r="D2628" t="s">
        <v>5864</v>
      </c>
      <c r="F2628">
        <v>2</v>
      </c>
      <c r="G2628" t="s">
        <v>16</v>
      </c>
      <c r="H2628">
        <v>0</v>
      </c>
      <c r="I2628" s="2" t="s">
        <v>277</v>
      </c>
      <c r="J2628" s="2">
        <v>41731</v>
      </c>
      <c r="K2628">
        <v>20</v>
      </c>
      <c r="L2628">
        <v>20</v>
      </c>
      <c r="M2628">
        <v>20</v>
      </c>
    </row>
    <row r="2629" spans="1:13" x14ac:dyDescent="0.25">
      <c r="A2629" t="s">
        <v>5865</v>
      </c>
      <c r="B2629" t="s">
        <v>5866</v>
      </c>
      <c r="C2629" t="s">
        <v>1432</v>
      </c>
      <c r="F2629">
        <v>1</v>
      </c>
      <c r="G2629" t="s">
        <v>16</v>
      </c>
      <c r="H2629">
        <v>0</v>
      </c>
      <c r="I2629" s="2" t="s">
        <v>389</v>
      </c>
      <c r="J2629" s="2">
        <v>1636264480</v>
      </c>
      <c r="K2629">
        <v>20</v>
      </c>
      <c r="L2629">
        <v>20</v>
      </c>
      <c r="M2629">
        <v>20</v>
      </c>
    </row>
    <row r="2630" spans="1:13" x14ac:dyDescent="0.25">
      <c r="A2630" t="s">
        <v>5867</v>
      </c>
      <c r="B2630" t="s">
        <v>5866</v>
      </c>
      <c r="C2630" t="s">
        <v>1432</v>
      </c>
      <c r="G2630" t="s">
        <v>16</v>
      </c>
      <c r="H2630">
        <v>0</v>
      </c>
      <c r="I2630" s="2" t="s">
        <v>5221</v>
      </c>
      <c r="J2630" s="2">
        <v>620326800</v>
      </c>
      <c r="K2630">
        <v>20</v>
      </c>
      <c r="L2630">
        <v>20</v>
      </c>
      <c r="M2630">
        <v>20</v>
      </c>
    </row>
    <row r="2631" spans="1:13" x14ac:dyDescent="0.25">
      <c r="A2631" t="s">
        <v>5868</v>
      </c>
      <c r="B2631" t="s">
        <v>5869</v>
      </c>
      <c r="C2631" t="s">
        <v>1432</v>
      </c>
      <c r="F2631">
        <v>2</v>
      </c>
      <c r="G2631" t="s">
        <v>16</v>
      </c>
      <c r="H2631">
        <v>0</v>
      </c>
      <c r="I2631" s="2" t="s">
        <v>5227</v>
      </c>
      <c r="J2631" s="2" t="str">
        <f>"006200600"</f>
        <v>006200600</v>
      </c>
      <c r="K2631">
        <v>20</v>
      </c>
      <c r="L2631">
        <v>20</v>
      </c>
      <c r="M2631">
        <v>20</v>
      </c>
    </row>
    <row r="2632" spans="1:13" x14ac:dyDescent="0.25">
      <c r="A2632" t="s">
        <v>5870</v>
      </c>
      <c r="B2632" t="s">
        <v>5871</v>
      </c>
      <c r="C2632" t="s">
        <v>2493</v>
      </c>
      <c r="F2632">
        <v>1</v>
      </c>
      <c r="G2632" t="s">
        <v>16</v>
      </c>
      <c r="H2632">
        <v>0</v>
      </c>
      <c r="I2632" s="2" t="s">
        <v>2533</v>
      </c>
      <c r="J2632" s="2" t="s">
        <v>5872</v>
      </c>
      <c r="K2632">
        <v>20</v>
      </c>
      <c r="L2632">
        <v>20</v>
      </c>
      <c r="M2632">
        <v>20</v>
      </c>
    </row>
    <row r="2633" spans="1:13" x14ac:dyDescent="0.25">
      <c r="A2633" t="s">
        <v>5873</v>
      </c>
      <c r="B2633" t="s">
        <v>5874</v>
      </c>
      <c r="C2633" t="s">
        <v>496</v>
      </c>
      <c r="F2633">
        <v>2</v>
      </c>
      <c r="G2633" t="s">
        <v>16</v>
      </c>
      <c r="H2633">
        <v>0</v>
      </c>
      <c r="I2633" s="2" t="s">
        <v>108</v>
      </c>
      <c r="J2633" s="3">
        <v>2851202001</v>
      </c>
      <c r="K2633">
        <v>20</v>
      </c>
      <c r="L2633">
        <v>20</v>
      </c>
      <c r="M2633">
        <v>20</v>
      </c>
    </row>
    <row r="2634" spans="1:13" x14ac:dyDescent="0.25">
      <c r="A2634" t="s">
        <v>5875</v>
      </c>
      <c r="B2634" t="s">
        <v>5874</v>
      </c>
      <c r="C2634" t="s">
        <v>496</v>
      </c>
      <c r="F2634">
        <v>0</v>
      </c>
      <c r="G2634" t="s">
        <v>16</v>
      </c>
      <c r="H2634">
        <v>0</v>
      </c>
      <c r="I2634" s="2" t="s">
        <v>266</v>
      </c>
      <c r="J2634" s="2" t="s">
        <v>5876</v>
      </c>
      <c r="K2634">
        <v>20</v>
      </c>
      <c r="L2634">
        <v>20</v>
      </c>
      <c r="M2634">
        <v>20</v>
      </c>
    </row>
    <row r="2635" spans="1:13" x14ac:dyDescent="0.25">
      <c r="A2635" t="s">
        <v>5877</v>
      </c>
      <c r="B2635" t="s">
        <v>5878</v>
      </c>
      <c r="C2635" t="s">
        <v>2493</v>
      </c>
      <c r="F2635">
        <v>1</v>
      </c>
      <c r="G2635" t="s">
        <v>16</v>
      </c>
      <c r="H2635">
        <v>0</v>
      </c>
      <c r="I2635" s="2" t="s">
        <v>2533</v>
      </c>
      <c r="J2635" s="2" t="s">
        <v>5879</v>
      </c>
      <c r="K2635">
        <v>20</v>
      </c>
      <c r="L2635">
        <v>20</v>
      </c>
      <c r="M2635">
        <v>20</v>
      </c>
    </row>
    <row r="2636" spans="1:13" x14ac:dyDescent="0.25">
      <c r="A2636" t="s">
        <v>5880</v>
      </c>
      <c r="B2636" t="s">
        <v>5878</v>
      </c>
      <c r="C2636" t="s">
        <v>496</v>
      </c>
      <c r="F2636">
        <v>2</v>
      </c>
      <c r="G2636" t="s">
        <v>16</v>
      </c>
      <c r="H2636">
        <v>0</v>
      </c>
      <c r="I2636" s="2" t="s">
        <v>108</v>
      </c>
      <c r="J2636" s="3">
        <v>2851202002</v>
      </c>
      <c r="K2636">
        <v>20</v>
      </c>
      <c r="L2636">
        <v>20</v>
      </c>
      <c r="M2636">
        <v>20</v>
      </c>
    </row>
    <row r="2637" spans="1:13" x14ac:dyDescent="0.25">
      <c r="A2637" t="s">
        <v>5881</v>
      </c>
      <c r="B2637" t="s">
        <v>5878</v>
      </c>
      <c r="C2637" t="s">
        <v>496</v>
      </c>
      <c r="F2637">
        <v>0</v>
      </c>
      <c r="G2637" t="s">
        <v>16</v>
      </c>
      <c r="H2637">
        <v>0</v>
      </c>
      <c r="I2637" s="2" t="s">
        <v>2670</v>
      </c>
      <c r="J2637" s="2" t="s">
        <v>5882</v>
      </c>
      <c r="K2637">
        <v>20</v>
      </c>
      <c r="L2637">
        <v>20</v>
      </c>
      <c r="M2637">
        <v>20</v>
      </c>
    </row>
    <row r="2638" spans="1:13" x14ac:dyDescent="0.25">
      <c r="A2638" t="s">
        <v>5883</v>
      </c>
      <c r="B2638" t="s">
        <v>5878</v>
      </c>
      <c r="C2638" t="s">
        <v>496</v>
      </c>
      <c r="F2638">
        <v>1</v>
      </c>
      <c r="G2638" t="s">
        <v>16</v>
      </c>
      <c r="H2638">
        <v>0</v>
      </c>
      <c r="I2638" s="2" t="s">
        <v>266</v>
      </c>
      <c r="J2638" s="2" t="s">
        <v>5884</v>
      </c>
      <c r="K2638">
        <v>20</v>
      </c>
      <c r="L2638">
        <v>20</v>
      </c>
      <c r="M2638">
        <v>20</v>
      </c>
    </row>
    <row r="2639" spans="1:13" x14ac:dyDescent="0.25">
      <c r="A2639" t="s">
        <v>5885</v>
      </c>
      <c r="B2639" t="s">
        <v>5886</v>
      </c>
      <c r="C2639" t="s">
        <v>496</v>
      </c>
      <c r="F2639">
        <v>0</v>
      </c>
      <c r="G2639" t="s">
        <v>16</v>
      </c>
      <c r="H2639">
        <v>0</v>
      </c>
      <c r="I2639" s="2" t="s">
        <v>108</v>
      </c>
      <c r="J2639" s="3">
        <v>2851204001</v>
      </c>
      <c r="K2639">
        <v>20</v>
      </c>
      <c r="L2639">
        <v>20</v>
      </c>
      <c r="M2639">
        <v>20</v>
      </c>
    </row>
    <row r="2640" spans="1:13" x14ac:dyDescent="0.25">
      <c r="A2640" t="s">
        <v>5887</v>
      </c>
      <c r="B2640" t="s">
        <v>5888</v>
      </c>
      <c r="C2640" t="s">
        <v>496</v>
      </c>
      <c r="D2640" t="s">
        <v>2360</v>
      </c>
      <c r="F2640">
        <v>2</v>
      </c>
      <c r="G2640" t="s">
        <v>16</v>
      </c>
      <c r="H2640">
        <v>0</v>
      </c>
      <c r="I2640" s="2" t="s">
        <v>266</v>
      </c>
      <c r="J2640" s="2" t="s">
        <v>5889</v>
      </c>
      <c r="K2640">
        <v>20</v>
      </c>
      <c r="L2640">
        <v>20</v>
      </c>
      <c r="M2640">
        <v>20</v>
      </c>
    </row>
    <row r="2641" spans="1:13" x14ac:dyDescent="0.25">
      <c r="A2641" t="s">
        <v>5890</v>
      </c>
      <c r="B2641" t="s">
        <v>5888</v>
      </c>
      <c r="C2641" t="s">
        <v>496</v>
      </c>
      <c r="D2641" t="s">
        <v>2360</v>
      </c>
      <c r="F2641">
        <v>4</v>
      </c>
      <c r="G2641" t="s">
        <v>16</v>
      </c>
      <c r="H2641">
        <v>0</v>
      </c>
      <c r="I2641" s="2" t="s">
        <v>5044</v>
      </c>
      <c r="J2641" s="2" t="s">
        <v>5891</v>
      </c>
      <c r="K2641">
        <v>20</v>
      </c>
      <c r="L2641">
        <v>20</v>
      </c>
      <c r="M2641">
        <v>20</v>
      </c>
    </row>
    <row r="2642" spans="1:13" x14ac:dyDescent="0.25">
      <c r="A2642">
        <v>1608304580</v>
      </c>
      <c r="B2642" t="s">
        <v>5892</v>
      </c>
      <c r="C2642" t="s">
        <v>540</v>
      </c>
      <c r="F2642">
        <v>1</v>
      </c>
      <c r="G2642" t="s">
        <v>16</v>
      </c>
      <c r="H2642">
        <v>0</v>
      </c>
      <c r="I2642" s="2" t="s">
        <v>1433</v>
      </c>
      <c r="J2642" s="2">
        <v>51910321</v>
      </c>
      <c r="K2642">
        <v>20</v>
      </c>
      <c r="L2642">
        <v>20</v>
      </c>
      <c r="M2642">
        <v>20</v>
      </c>
    </row>
    <row r="2643" spans="1:13" x14ac:dyDescent="0.25">
      <c r="A2643" t="s">
        <v>5893</v>
      </c>
      <c r="B2643" t="s">
        <v>5895</v>
      </c>
      <c r="C2643" t="s">
        <v>540</v>
      </c>
      <c r="F2643">
        <v>0</v>
      </c>
      <c r="G2643" t="s">
        <v>16</v>
      </c>
      <c r="H2643">
        <v>0</v>
      </c>
      <c r="I2643" s="2" t="s">
        <v>69</v>
      </c>
      <c r="J2643" s="2" t="s">
        <v>5894</v>
      </c>
      <c r="K2643">
        <v>20</v>
      </c>
      <c r="L2643">
        <v>20</v>
      </c>
      <c r="M2643">
        <v>20</v>
      </c>
    </row>
    <row r="2644" spans="1:13" x14ac:dyDescent="0.25">
      <c r="A2644" t="s">
        <v>5896</v>
      </c>
      <c r="B2644" t="s">
        <v>5897</v>
      </c>
      <c r="C2644" t="s">
        <v>362</v>
      </c>
      <c r="D2644" t="s">
        <v>4091</v>
      </c>
      <c r="G2644" t="s">
        <v>16</v>
      </c>
      <c r="H2644">
        <v>0</v>
      </c>
      <c r="I2644" s="2" t="s">
        <v>2517</v>
      </c>
      <c r="J2644" s="2" t="s">
        <v>5898</v>
      </c>
      <c r="K2644">
        <v>20</v>
      </c>
      <c r="L2644">
        <v>20</v>
      </c>
      <c r="M2644">
        <v>20</v>
      </c>
    </row>
    <row r="2645" spans="1:13" x14ac:dyDescent="0.25">
      <c r="A2645" t="s">
        <v>5899</v>
      </c>
      <c r="B2645" t="s">
        <v>5897</v>
      </c>
      <c r="C2645" t="s">
        <v>362</v>
      </c>
      <c r="D2645" t="s">
        <v>4091</v>
      </c>
      <c r="F2645">
        <v>4</v>
      </c>
      <c r="G2645" t="s">
        <v>16</v>
      </c>
      <c r="H2645">
        <v>0</v>
      </c>
      <c r="I2645" s="2" t="s">
        <v>4193</v>
      </c>
      <c r="J2645" s="2" t="s">
        <v>5900</v>
      </c>
      <c r="K2645">
        <v>20</v>
      </c>
      <c r="L2645">
        <v>20</v>
      </c>
      <c r="M2645">
        <v>20</v>
      </c>
    </row>
    <row r="2646" spans="1:13" x14ac:dyDescent="0.25">
      <c r="A2646" t="s">
        <v>5901</v>
      </c>
      <c r="B2646" t="s">
        <v>5897</v>
      </c>
      <c r="C2646" t="s">
        <v>362</v>
      </c>
      <c r="D2646" t="s">
        <v>4091</v>
      </c>
      <c r="F2646">
        <v>1</v>
      </c>
      <c r="G2646" t="s">
        <v>16</v>
      </c>
      <c r="H2646">
        <v>0</v>
      </c>
      <c r="I2646" s="2" t="s">
        <v>707</v>
      </c>
      <c r="J2646" s="2" t="s">
        <v>5902</v>
      </c>
      <c r="K2646">
        <v>20</v>
      </c>
      <c r="L2646">
        <v>20</v>
      </c>
      <c r="M2646">
        <v>20</v>
      </c>
    </row>
    <row r="2647" spans="1:13" x14ac:dyDescent="0.25">
      <c r="A2647" t="s">
        <v>5903</v>
      </c>
      <c r="B2647" t="s">
        <v>5897</v>
      </c>
      <c r="C2647" t="s">
        <v>362</v>
      </c>
      <c r="D2647" t="s">
        <v>4091</v>
      </c>
      <c r="G2647" t="s">
        <v>16</v>
      </c>
      <c r="H2647">
        <v>0</v>
      </c>
      <c r="I2647" s="2" t="s">
        <v>5904</v>
      </c>
      <c r="J2647" s="2">
        <v>9005014</v>
      </c>
      <c r="K2647">
        <v>20</v>
      </c>
      <c r="L2647">
        <v>20</v>
      </c>
      <c r="M2647">
        <v>20</v>
      </c>
    </row>
    <row r="2648" spans="1:13" x14ac:dyDescent="0.25">
      <c r="A2648" t="s">
        <v>5905</v>
      </c>
      <c r="B2648" t="s">
        <v>5897</v>
      </c>
      <c r="C2648" t="s">
        <v>362</v>
      </c>
      <c r="D2648" t="s">
        <v>4091</v>
      </c>
      <c r="G2648" t="s">
        <v>16</v>
      </c>
      <c r="H2648">
        <v>0</v>
      </c>
      <c r="I2648" s="2" t="s">
        <v>1710</v>
      </c>
      <c r="J2648" s="2">
        <v>323700007500</v>
      </c>
      <c r="K2648">
        <v>20</v>
      </c>
      <c r="L2648">
        <v>20</v>
      </c>
      <c r="M2648">
        <v>20</v>
      </c>
    </row>
    <row r="2649" spans="1:13" x14ac:dyDescent="0.25">
      <c r="A2649" t="s">
        <v>5906</v>
      </c>
      <c r="B2649" t="s">
        <v>5897</v>
      </c>
      <c r="C2649" t="s">
        <v>362</v>
      </c>
      <c r="D2649" t="s">
        <v>4091</v>
      </c>
      <c r="G2649" t="s">
        <v>16</v>
      </c>
      <c r="H2649">
        <v>0</v>
      </c>
      <c r="I2649" s="2" t="s">
        <v>285</v>
      </c>
      <c r="J2649" s="2">
        <v>55171</v>
      </c>
      <c r="K2649">
        <v>20</v>
      </c>
      <c r="L2649">
        <v>20</v>
      </c>
      <c r="M2649">
        <v>20</v>
      </c>
    </row>
    <row r="2650" spans="1:13" x14ac:dyDescent="0.25">
      <c r="A2650" t="s">
        <v>5907</v>
      </c>
      <c r="B2650" t="s">
        <v>5908</v>
      </c>
      <c r="C2650" t="s">
        <v>362</v>
      </c>
      <c r="D2650" t="s">
        <v>4091</v>
      </c>
      <c r="G2650" t="s">
        <v>16</v>
      </c>
      <c r="H2650">
        <v>0</v>
      </c>
      <c r="I2650" s="2" t="s">
        <v>2533</v>
      </c>
      <c r="J2650" s="2" t="s">
        <v>5909</v>
      </c>
      <c r="K2650">
        <v>20</v>
      </c>
      <c r="L2650">
        <v>20</v>
      </c>
      <c r="M2650">
        <v>20</v>
      </c>
    </row>
    <row r="2651" spans="1:13" x14ac:dyDescent="0.25">
      <c r="A2651" t="s">
        <v>5910</v>
      </c>
      <c r="B2651" t="s">
        <v>5908</v>
      </c>
      <c r="C2651" t="s">
        <v>362</v>
      </c>
      <c r="D2651" t="s">
        <v>4091</v>
      </c>
      <c r="G2651" t="s">
        <v>16</v>
      </c>
      <c r="H2651">
        <v>0</v>
      </c>
      <c r="I2651" s="2" t="s">
        <v>941</v>
      </c>
      <c r="J2651" s="2" t="s">
        <v>5911</v>
      </c>
      <c r="K2651">
        <v>20</v>
      </c>
      <c r="L2651">
        <v>20</v>
      </c>
      <c r="M2651">
        <v>20</v>
      </c>
    </row>
    <row r="2652" spans="1:13" x14ac:dyDescent="0.25">
      <c r="A2652" t="s">
        <v>5912</v>
      </c>
      <c r="B2652" t="s">
        <v>5913</v>
      </c>
      <c r="C2652" t="s">
        <v>2493</v>
      </c>
      <c r="F2652">
        <v>2</v>
      </c>
      <c r="G2652" t="s">
        <v>16</v>
      </c>
      <c r="H2652">
        <v>0</v>
      </c>
      <c r="I2652" s="2" t="s">
        <v>2533</v>
      </c>
      <c r="J2652" s="2" t="s">
        <v>5914</v>
      </c>
      <c r="K2652">
        <v>20</v>
      </c>
      <c r="L2652">
        <v>20</v>
      </c>
      <c r="M2652">
        <v>20</v>
      </c>
    </row>
    <row r="2653" spans="1:13" x14ac:dyDescent="0.25">
      <c r="A2653" t="s">
        <v>5915</v>
      </c>
      <c r="B2653" t="s">
        <v>5913</v>
      </c>
      <c r="C2653" t="s">
        <v>496</v>
      </c>
      <c r="F2653">
        <v>2</v>
      </c>
      <c r="G2653" t="s">
        <v>16</v>
      </c>
      <c r="H2653">
        <v>0</v>
      </c>
      <c r="I2653" s="2" t="s">
        <v>108</v>
      </c>
      <c r="J2653" s="3">
        <v>2861204001</v>
      </c>
      <c r="K2653">
        <v>20</v>
      </c>
      <c r="L2653">
        <v>20</v>
      </c>
      <c r="M2653">
        <v>20</v>
      </c>
    </row>
    <row r="2654" spans="1:13" x14ac:dyDescent="0.25">
      <c r="A2654" t="s">
        <v>5916</v>
      </c>
      <c r="B2654" t="s">
        <v>5913</v>
      </c>
      <c r="C2654" t="s">
        <v>496</v>
      </c>
      <c r="F2654">
        <v>2</v>
      </c>
      <c r="G2654" t="s">
        <v>16</v>
      </c>
      <c r="H2654">
        <v>0</v>
      </c>
      <c r="I2654" s="2" t="s">
        <v>4214</v>
      </c>
      <c r="J2654" s="2" t="s">
        <v>5917</v>
      </c>
      <c r="K2654">
        <v>20</v>
      </c>
      <c r="L2654">
        <v>20</v>
      </c>
      <c r="M2654">
        <v>20</v>
      </c>
    </row>
    <row r="2655" spans="1:13" x14ac:dyDescent="0.25">
      <c r="A2655" t="s">
        <v>5918</v>
      </c>
      <c r="B2655" t="s">
        <v>5919</v>
      </c>
      <c r="C2655" t="s">
        <v>496</v>
      </c>
      <c r="F2655">
        <v>2</v>
      </c>
      <c r="G2655" t="s">
        <v>16</v>
      </c>
      <c r="H2655">
        <v>0</v>
      </c>
      <c r="I2655" s="2" t="s">
        <v>2533</v>
      </c>
      <c r="J2655" s="2" t="s">
        <v>5920</v>
      </c>
      <c r="K2655">
        <v>20</v>
      </c>
      <c r="L2655">
        <v>20</v>
      </c>
      <c r="M2655">
        <v>20</v>
      </c>
    </row>
    <row r="2656" spans="1:13" x14ac:dyDescent="0.25">
      <c r="A2656" t="s">
        <v>5921</v>
      </c>
      <c r="B2656" t="s">
        <v>5919</v>
      </c>
      <c r="C2656" t="s">
        <v>496</v>
      </c>
      <c r="F2656">
        <v>2</v>
      </c>
      <c r="G2656" t="s">
        <v>16</v>
      </c>
      <c r="H2656">
        <v>0</v>
      </c>
      <c r="I2656" s="2" t="s">
        <v>108</v>
      </c>
      <c r="J2656" s="3">
        <v>2861202001</v>
      </c>
      <c r="K2656">
        <v>20</v>
      </c>
      <c r="L2656">
        <v>20</v>
      </c>
      <c r="M2656">
        <v>20</v>
      </c>
    </row>
    <row r="2657" spans="1:13" x14ac:dyDescent="0.25">
      <c r="A2657" t="s">
        <v>5922</v>
      </c>
      <c r="B2657" t="s">
        <v>5919</v>
      </c>
      <c r="C2657" t="s">
        <v>496</v>
      </c>
      <c r="F2657">
        <v>0</v>
      </c>
      <c r="G2657" t="s">
        <v>16</v>
      </c>
      <c r="H2657">
        <v>0</v>
      </c>
      <c r="I2657" s="2" t="s">
        <v>5040</v>
      </c>
      <c r="J2657" s="2" t="s">
        <v>5923</v>
      </c>
      <c r="K2657">
        <v>20</v>
      </c>
      <c r="L2657">
        <v>20</v>
      </c>
      <c r="M2657">
        <v>20</v>
      </c>
    </row>
    <row r="2658" spans="1:13" x14ac:dyDescent="0.25">
      <c r="A2658" t="s">
        <v>5924</v>
      </c>
      <c r="B2658" t="s">
        <v>5925</v>
      </c>
      <c r="C2658" t="s">
        <v>496</v>
      </c>
      <c r="F2658">
        <v>1</v>
      </c>
      <c r="G2658" t="s">
        <v>16</v>
      </c>
      <c r="H2658">
        <v>0</v>
      </c>
      <c r="I2658" s="2" t="s">
        <v>4086</v>
      </c>
      <c r="J2658" s="2" t="str">
        <f>"01017"</f>
        <v>01017</v>
      </c>
      <c r="K2658">
        <v>20</v>
      </c>
      <c r="L2658">
        <v>20</v>
      </c>
      <c r="M2658">
        <v>20</v>
      </c>
    </row>
    <row r="2659" spans="1:13" x14ac:dyDescent="0.25">
      <c r="A2659" t="s">
        <v>5926</v>
      </c>
      <c r="B2659" t="s">
        <v>5927</v>
      </c>
      <c r="C2659" t="s">
        <v>496</v>
      </c>
      <c r="F2659">
        <v>2</v>
      </c>
      <c r="G2659" t="s">
        <v>16</v>
      </c>
      <c r="H2659">
        <v>0</v>
      </c>
      <c r="I2659" s="2" t="s">
        <v>87</v>
      </c>
      <c r="J2659" s="2" t="s">
        <v>5928</v>
      </c>
      <c r="K2659">
        <v>20</v>
      </c>
      <c r="L2659">
        <v>20</v>
      </c>
      <c r="M2659">
        <v>20</v>
      </c>
    </row>
    <row r="2660" spans="1:13" x14ac:dyDescent="0.25">
      <c r="A2660" t="s">
        <v>5929</v>
      </c>
      <c r="B2660" t="s">
        <v>5927</v>
      </c>
      <c r="C2660" t="s">
        <v>496</v>
      </c>
      <c r="F2660">
        <v>4</v>
      </c>
      <c r="G2660" t="s">
        <v>16</v>
      </c>
      <c r="H2660">
        <v>0</v>
      </c>
      <c r="I2660" s="2" t="s">
        <v>2533</v>
      </c>
      <c r="J2660" s="2" t="s">
        <v>5930</v>
      </c>
      <c r="K2660">
        <v>20</v>
      </c>
      <c r="L2660">
        <v>20</v>
      </c>
      <c r="M2660">
        <v>20</v>
      </c>
    </row>
    <row r="2661" spans="1:13" x14ac:dyDescent="0.25">
      <c r="A2661" t="s">
        <v>5931</v>
      </c>
      <c r="B2661" t="s">
        <v>5932</v>
      </c>
      <c r="C2661" t="s">
        <v>496</v>
      </c>
      <c r="F2661">
        <v>0</v>
      </c>
      <c r="G2661" t="s">
        <v>16</v>
      </c>
      <c r="H2661">
        <v>0</v>
      </c>
      <c r="I2661" s="2" t="s">
        <v>108</v>
      </c>
      <c r="J2661" s="3">
        <v>2861202002</v>
      </c>
      <c r="K2661">
        <v>20</v>
      </c>
      <c r="L2661">
        <v>20</v>
      </c>
      <c r="M2661">
        <v>20</v>
      </c>
    </row>
    <row r="2662" spans="1:13" x14ac:dyDescent="0.25">
      <c r="A2662" t="s">
        <v>5933</v>
      </c>
      <c r="B2662" t="s">
        <v>5932</v>
      </c>
      <c r="C2662" t="s">
        <v>496</v>
      </c>
      <c r="G2662" t="s">
        <v>16</v>
      </c>
      <c r="H2662">
        <v>0</v>
      </c>
      <c r="I2662" s="2" t="s">
        <v>5040</v>
      </c>
      <c r="J2662" s="2" t="s">
        <v>5934</v>
      </c>
      <c r="K2662">
        <v>20</v>
      </c>
      <c r="L2662">
        <v>20</v>
      </c>
      <c r="M2662">
        <v>20</v>
      </c>
    </row>
    <row r="2663" spans="1:13" x14ac:dyDescent="0.25">
      <c r="A2663" t="s">
        <v>5935</v>
      </c>
      <c r="B2663" t="s">
        <v>5927</v>
      </c>
      <c r="C2663" t="s">
        <v>496</v>
      </c>
      <c r="F2663">
        <v>0</v>
      </c>
      <c r="G2663" t="s">
        <v>16</v>
      </c>
      <c r="H2663">
        <v>0</v>
      </c>
      <c r="I2663" s="2" t="s">
        <v>4086</v>
      </c>
      <c r="J2663" s="2" t="str">
        <f>"01018"</f>
        <v>01018</v>
      </c>
      <c r="K2663">
        <v>20</v>
      </c>
      <c r="L2663">
        <v>20</v>
      </c>
      <c r="M2663">
        <v>20</v>
      </c>
    </row>
    <row r="2664" spans="1:13" x14ac:dyDescent="0.25">
      <c r="A2664" t="s">
        <v>5936</v>
      </c>
      <c r="B2664" t="s">
        <v>5932</v>
      </c>
      <c r="C2664" t="s">
        <v>496</v>
      </c>
      <c r="D2664" t="s">
        <v>2360</v>
      </c>
      <c r="F2664">
        <v>1</v>
      </c>
      <c r="G2664" t="s">
        <v>16</v>
      </c>
      <c r="H2664">
        <v>0</v>
      </c>
      <c r="I2664" s="2" t="s">
        <v>4214</v>
      </c>
      <c r="J2664" s="2" t="s">
        <v>5937</v>
      </c>
      <c r="K2664">
        <v>20</v>
      </c>
      <c r="L2664">
        <v>20</v>
      </c>
      <c r="M2664">
        <v>20</v>
      </c>
    </row>
    <row r="2665" spans="1:13" x14ac:dyDescent="0.25">
      <c r="A2665" t="s">
        <v>5938</v>
      </c>
      <c r="B2665" t="s">
        <v>5939</v>
      </c>
      <c r="C2665" t="s">
        <v>362</v>
      </c>
      <c r="D2665" t="s">
        <v>4091</v>
      </c>
      <c r="F2665">
        <v>0</v>
      </c>
      <c r="G2665" t="s">
        <v>16</v>
      </c>
      <c r="H2665">
        <v>0</v>
      </c>
      <c r="I2665" s="2" t="s">
        <v>392</v>
      </c>
      <c r="J2665" s="2">
        <v>1682313880</v>
      </c>
      <c r="K2665">
        <v>20</v>
      </c>
      <c r="L2665">
        <v>20</v>
      </c>
      <c r="M2665">
        <v>20</v>
      </c>
    </row>
    <row r="2666" spans="1:13" x14ac:dyDescent="0.25">
      <c r="A2666" t="s">
        <v>5940</v>
      </c>
      <c r="B2666" t="s">
        <v>5939</v>
      </c>
      <c r="C2666" t="s">
        <v>362</v>
      </c>
      <c r="D2666" t="s">
        <v>4091</v>
      </c>
      <c r="F2666">
        <v>0</v>
      </c>
      <c r="G2666" t="s">
        <v>16</v>
      </c>
      <c r="H2666">
        <v>0</v>
      </c>
      <c r="I2666" s="2" t="s">
        <v>108</v>
      </c>
      <c r="J2666" s="3">
        <v>2861101001</v>
      </c>
      <c r="K2666">
        <v>20</v>
      </c>
      <c r="L2666">
        <v>20</v>
      </c>
      <c r="M2666">
        <v>20</v>
      </c>
    </row>
    <row r="2667" spans="1:13" x14ac:dyDescent="0.25">
      <c r="A2667" t="s">
        <v>5941</v>
      </c>
      <c r="B2667" t="s">
        <v>5939</v>
      </c>
      <c r="C2667" t="s">
        <v>362</v>
      </c>
      <c r="D2667" t="s">
        <v>4091</v>
      </c>
      <c r="G2667" t="s">
        <v>16</v>
      </c>
      <c r="H2667">
        <v>0</v>
      </c>
      <c r="I2667" s="2" t="s">
        <v>5942</v>
      </c>
      <c r="J2667" s="2" t="s">
        <v>5943</v>
      </c>
      <c r="K2667">
        <v>20</v>
      </c>
      <c r="L2667">
        <v>20</v>
      </c>
      <c r="M2667">
        <v>20</v>
      </c>
    </row>
    <row r="2668" spans="1:13" x14ac:dyDescent="0.25">
      <c r="A2668" t="s">
        <v>5944</v>
      </c>
      <c r="B2668" t="s">
        <v>5945</v>
      </c>
      <c r="C2668" t="s">
        <v>362</v>
      </c>
      <c r="D2668" t="s">
        <v>363</v>
      </c>
      <c r="G2668" t="s">
        <v>16</v>
      </c>
      <c r="H2668">
        <v>0</v>
      </c>
      <c r="I2668" s="2" t="s">
        <v>685</v>
      </c>
      <c r="J2668" s="2" t="str">
        <f>"0986478847"</f>
        <v>0986478847</v>
      </c>
      <c r="K2668">
        <v>20</v>
      </c>
      <c r="L2668">
        <v>20</v>
      </c>
      <c r="M2668">
        <v>20</v>
      </c>
    </row>
    <row r="2669" spans="1:13" x14ac:dyDescent="0.25">
      <c r="A2669" t="s">
        <v>5946</v>
      </c>
      <c r="B2669" t="s">
        <v>5945</v>
      </c>
      <c r="C2669" t="s">
        <v>362</v>
      </c>
      <c r="D2669" t="s">
        <v>363</v>
      </c>
      <c r="G2669" t="s">
        <v>16</v>
      </c>
      <c r="H2669">
        <v>0</v>
      </c>
      <c r="I2669" s="2" t="s">
        <v>64</v>
      </c>
      <c r="J2669" s="2" t="str">
        <f>"07040220"</f>
        <v>07040220</v>
      </c>
      <c r="K2669">
        <v>20</v>
      </c>
      <c r="L2669">
        <v>20</v>
      </c>
      <c r="M2669">
        <v>20</v>
      </c>
    </row>
    <row r="2670" spans="1:13" x14ac:dyDescent="0.25">
      <c r="A2670" t="s">
        <v>5947</v>
      </c>
      <c r="B2670" t="s">
        <v>5948</v>
      </c>
      <c r="C2670" t="s">
        <v>362</v>
      </c>
      <c r="D2670" t="s">
        <v>363</v>
      </c>
      <c r="F2670">
        <v>2</v>
      </c>
      <c r="G2670" t="s">
        <v>16</v>
      </c>
      <c r="H2670">
        <v>0</v>
      </c>
      <c r="K2670">
        <v>20</v>
      </c>
      <c r="L2670">
        <v>20</v>
      </c>
      <c r="M2670">
        <v>20</v>
      </c>
    </row>
    <row r="2671" spans="1:13" x14ac:dyDescent="0.25">
      <c r="A2671" t="s">
        <v>5949</v>
      </c>
      <c r="B2671" t="s">
        <v>5950</v>
      </c>
      <c r="C2671" t="s">
        <v>151</v>
      </c>
      <c r="F2671">
        <v>1</v>
      </c>
      <c r="G2671" t="s">
        <v>16</v>
      </c>
      <c r="H2671">
        <v>0</v>
      </c>
      <c r="I2671" s="2" t="s">
        <v>1543</v>
      </c>
      <c r="J2671" s="2" t="s">
        <v>5951</v>
      </c>
      <c r="K2671">
        <v>20</v>
      </c>
      <c r="L2671">
        <v>20</v>
      </c>
      <c r="M2671">
        <v>20</v>
      </c>
    </row>
    <row r="2672" spans="1:13" x14ac:dyDescent="0.25">
      <c r="A2672" t="s">
        <v>5952</v>
      </c>
      <c r="B2672" t="s">
        <v>5953</v>
      </c>
      <c r="C2672" t="s">
        <v>540</v>
      </c>
      <c r="G2672" t="s">
        <v>16</v>
      </c>
      <c r="H2672">
        <v>0</v>
      </c>
      <c r="I2672" s="2" t="s">
        <v>108</v>
      </c>
      <c r="J2672" s="3">
        <v>2861604001</v>
      </c>
      <c r="K2672">
        <v>20</v>
      </c>
      <c r="L2672">
        <v>20</v>
      </c>
      <c r="M2672">
        <v>20</v>
      </c>
    </row>
    <row r="2673" spans="1:13" x14ac:dyDescent="0.25">
      <c r="A2673" t="s">
        <v>5954</v>
      </c>
      <c r="B2673" t="s">
        <v>5955</v>
      </c>
      <c r="C2673" t="s">
        <v>540</v>
      </c>
      <c r="F2673">
        <v>0</v>
      </c>
      <c r="G2673" t="s">
        <v>16</v>
      </c>
      <c r="H2673">
        <v>0</v>
      </c>
      <c r="I2673" s="2" t="s">
        <v>5956</v>
      </c>
      <c r="J2673" s="2" t="s">
        <v>5957</v>
      </c>
      <c r="K2673">
        <v>20</v>
      </c>
      <c r="L2673">
        <v>20</v>
      </c>
      <c r="M2673">
        <v>20</v>
      </c>
    </row>
    <row r="2674" spans="1:13" x14ac:dyDescent="0.25">
      <c r="A2674" t="s">
        <v>5958</v>
      </c>
      <c r="B2674" t="s">
        <v>5953</v>
      </c>
      <c r="C2674" t="s">
        <v>540</v>
      </c>
      <c r="F2674">
        <v>1</v>
      </c>
      <c r="G2674" t="s">
        <v>16</v>
      </c>
      <c r="H2674">
        <v>0</v>
      </c>
      <c r="K2674">
        <v>20</v>
      </c>
      <c r="L2674">
        <v>20</v>
      </c>
      <c r="M2674">
        <v>20</v>
      </c>
    </row>
    <row r="2675" spans="1:13" x14ac:dyDescent="0.25">
      <c r="A2675">
        <v>1608716080</v>
      </c>
      <c r="B2675" t="s">
        <v>5959</v>
      </c>
      <c r="C2675" t="s">
        <v>540</v>
      </c>
      <c r="G2675" t="s">
        <v>16</v>
      </c>
      <c r="H2675">
        <v>0</v>
      </c>
      <c r="I2675" s="2" t="s">
        <v>51</v>
      </c>
      <c r="J2675" s="2">
        <v>1608716080</v>
      </c>
      <c r="K2675">
        <v>20</v>
      </c>
      <c r="L2675">
        <v>20</v>
      </c>
      <c r="M2675">
        <v>20</v>
      </c>
    </row>
    <row r="2676" spans="1:13" x14ac:dyDescent="0.25">
      <c r="A2676" t="s">
        <v>5960</v>
      </c>
      <c r="B2676" t="s">
        <v>5961</v>
      </c>
      <c r="C2676" t="s">
        <v>20</v>
      </c>
      <c r="D2676" t="s">
        <v>296</v>
      </c>
      <c r="F2676">
        <v>1</v>
      </c>
      <c r="G2676" t="s">
        <v>16</v>
      </c>
      <c r="H2676">
        <v>0</v>
      </c>
      <c r="I2676" s="2" t="s">
        <v>389</v>
      </c>
      <c r="J2676" s="2">
        <v>1635067180</v>
      </c>
      <c r="K2676">
        <v>20</v>
      </c>
      <c r="L2676">
        <v>20</v>
      </c>
      <c r="M2676">
        <v>20</v>
      </c>
    </row>
    <row r="2677" spans="1:13" x14ac:dyDescent="0.25">
      <c r="A2677" t="s">
        <v>5962</v>
      </c>
      <c r="B2677" t="s">
        <v>5963</v>
      </c>
      <c r="C2677" t="s">
        <v>20</v>
      </c>
      <c r="D2677" t="s">
        <v>296</v>
      </c>
      <c r="F2677">
        <v>1</v>
      </c>
      <c r="G2677" t="s">
        <v>16</v>
      </c>
      <c r="H2677">
        <v>0</v>
      </c>
      <c r="I2677" s="2" t="s">
        <v>392</v>
      </c>
      <c r="J2677" s="2">
        <v>1635067380</v>
      </c>
      <c r="K2677">
        <v>20</v>
      </c>
      <c r="L2677">
        <v>20</v>
      </c>
      <c r="M2677">
        <v>20</v>
      </c>
    </row>
    <row r="2678" spans="1:13" x14ac:dyDescent="0.25">
      <c r="A2678">
        <v>1608850680</v>
      </c>
      <c r="B2678" t="s">
        <v>5964</v>
      </c>
      <c r="C2678" t="s">
        <v>20</v>
      </c>
      <c r="G2678" t="s">
        <v>16</v>
      </c>
      <c r="H2678">
        <v>0</v>
      </c>
      <c r="I2678" s="2" t="s">
        <v>55</v>
      </c>
      <c r="J2678" s="2">
        <v>1608850680</v>
      </c>
      <c r="K2678">
        <v>20</v>
      </c>
      <c r="L2678">
        <v>20</v>
      </c>
      <c r="M2678">
        <v>20</v>
      </c>
    </row>
    <row r="2679" spans="1:13" x14ac:dyDescent="0.25">
      <c r="A2679" t="s">
        <v>5965</v>
      </c>
      <c r="B2679" t="s">
        <v>5967</v>
      </c>
      <c r="C2679" t="s">
        <v>1432</v>
      </c>
      <c r="F2679">
        <v>1</v>
      </c>
      <c r="G2679" t="s">
        <v>16</v>
      </c>
      <c r="H2679">
        <v>0</v>
      </c>
      <c r="I2679" s="2" t="s">
        <v>69</v>
      </c>
      <c r="J2679" s="2" t="s">
        <v>5966</v>
      </c>
      <c r="K2679">
        <v>20</v>
      </c>
      <c r="L2679">
        <v>20</v>
      </c>
      <c r="M2679">
        <v>20</v>
      </c>
    </row>
    <row r="2680" spans="1:13" x14ac:dyDescent="0.25">
      <c r="A2680" t="s">
        <v>5968</v>
      </c>
      <c r="B2680" t="s">
        <v>5969</v>
      </c>
      <c r="C2680" t="s">
        <v>20</v>
      </c>
      <c r="D2680" t="s">
        <v>26</v>
      </c>
      <c r="F2680">
        <v>0</v>
      </c>
      <c r="G2680" t="s">
        <v>16</v>
      </c>
      <c r="H2680">
        <v>0</v>
      </c>
      <c r="I2680" s="2" t="s">
        <v>57</v>
      </c>
      <c r="J2680" s="2" t="str">
        <f>"046119-FP"</f>
        <v>046119-FP</v>
      </c>
      <c r="K2680">
        <v>20</v>
      </c>
      <c r="L2680">
        <v>20</v>
      </c>
      <c r="M2680">
        <v>20</v>
      </c>
    </row>
    <row r="2681" spans="1:13" x14ac:dyDescent="0.25">
      <c r="A2681" t="s">
        <v>5970</v>
      </c>
      <c r="B2681" t="s">
        <v>5972</v>
      </c>
      <c r="C2681" t="s">
        <v>362</v>
      </c>
      <c r="D2681" t="s">
        <v>4091</v>
      </c>
      <c r="F2681">
        <v>10</v>
      </c>
      <c r="G2681" t="s">
        <v>16</v>
      </c>
      <c r="H2681">
        <v>0</v>
      </c>
      <c r="I2681" s="2" t="s">
        <v>288</v>
      </c>
      <c r="J2681" s="2" t="s">
        <v>5971</v>
      </c>
      <c r="K2681">
        <v>20</v>
      </c>
      <c r="L2681">
        <v>20</v>
      </c>
      <c r="M2681">
        <v>20</v>
      </c>
    </row>
    <row r="2682" spans="1:13" x14ac:dyDescent="0.25">
      <c r="A2682" t="s">
        <v>5973</v>
      </c>
      <c r="B2682" t="s">
        <v>5974</v>
      </c>
      <c r="C2682" t="s">
        <v>362</v>
      </c>
      <c r="D2682" t="s">
        <v>4091</v>
      </c>
      <c r="F2682">
        <v>1</v>
      </c>
      <c r="G2682" t="s">
        <v>16</v>
      </c>
      <c r="H2682">
        <v>0</v>
      </c>
      <c r="I2682" s="2" t="s">
        <v>5975</v>
      </c>
      <c r="J2682" s="2">
        <v>4372</v>
      </c>
      <c r="K2682">
        <v>20</v>
      </c>
      <c r="L2682">
        <v>20</v>
      </c>
      <c r="M2682">
        <v>20</v>
      </c>
    </row>
    <row r="2683" spans="1:13" x14ac:dyDescent="0.25">
      <c r="A2683" t="s">
        <v>5976</v>
      </c>
      <c r="B2683" t="s">
        <v>5974</v>
      </c>
      <c r="C2683" t="s">
        <v>362</v>
      </c>
      <c r="D2683" t="s">
        <v>4091</v>
      </c>
      <c r="F2683">
        <v>3</v>
      </c>
      <c r="G2683" t="s">
        <v>16</v>
      </c>
      <c r="H2683">
        <v>0</v>
      </c>
      <c r="I2683" s="2" t="s">
        <v>383</v>
      </c>
      <c r="J2683" s="2" t="str">
        <f>"0986494716"</f>
        <v>0986494716</v>
      </c>
      <c r="K2683">
        <v>20</v>
      </c>
      <c r="L2683">
        <v>20</v>
      </c>
      <c r="M2683">
        <v>20</v>
      </c>
    </row>
    <row r="2684" spans="1:13" x14ac:dyDescent="0.25">
      <c r="A2684" t="s">
        <v>5977</v>
      </c>
      <c r="B2684" t="s">
        <v>5972</v>
      </c>
      <c r="C2684" t="s">
        <v>362</v>
      </c>
      <c r="D2684" t="s">
        <v>4091</v>
      </c>
      <c r="F2684">
        <v>1</v>
      </c>
      <c r="G2684" t="s">
        <v>16</v>
      </c>
      <c r="H2684">
        <v>0</v>
      </c>
      <c r="I2684" s="2" t="s">
        <v>707</v>
      </c>
      <c r="J2684" s="2" t="s">
        <v>5978</v>
      </c>
      <c r="K2684">
        <v>20</v>
      </c>
      <c r="L2684">
        <v>20</v>
      </c>
      <c r="M2684">
        <v>20</v>
      </c>
    </row>
    <row r="2685" spans="1:13" x14ac:dyDescent="0.25">
      <c r="A2685" t="s">
        <v>5979</v>
      </c>
      <c r="B2685" t="s">
        <v>5974</v>
      </c>
      <c r="C2685" t="s">
        <v>362</v>
      </c>
      <c r="D2685" t="s">
        <v>4091</v>
      </c>
      <c r="G2685" t="s">
        <v>16</v>
      </c>
      <c r="H2685">
        <v>0</v>
      </c>
      <c r="I2685" s="2" t="s">
        <v>392</v>
      </c>
      <c r="J2685" s="2">
        <v>1619790880</v>
      </c>
      <c r="K2685">
        <v>20</v>
      </c>
      <c r="L2685">
        <v>20</v>
      </c>
      <c r="M2685">
        <v>20</v>
      </c>
    </row>
    <row r="2686" spans="1:13" x14ac:dyDescent="0.25">
      <c r="A2686" t="s">
        <v>5980</v>
      </c>
      <c r="B2686" t="s">
        <v>5974</v>
      </c>
      <c r="C2686" t="s">
        <v>362</v>
      </c>
      <c r="D2686" t="s">
        <v>4091</v>
      </c>
      <c r="F2686">
        <v>3</v>
      </c>
      <c r="G2686" t="s">
        <v>16</v>
      </c>
      <c r="H2686">
        <v>0</v>
      </c>
      <c r="I2686" s="2" t="s">
        <v>5535</v>
      </c>
      <c r="J2686" s="2">
        <v>94372</v>
      </c>
      <c r="K2686">
        <v>20</v>
      </c>
      <c r="L2686">
        <v>20</v>
      </c>
      <c r="M2686">
        <v>20</v>
      </c>
    </row>
    <row r="2687" spans="1:13" x14ac:dyDescent="0.25">
      <c r="A2687" t="s">
        <v>5981</v>
      </c>
      <c r="B2687" t="s">
        <v>5974</v>
      </c>
      <c r="C2687" t="s">
        <v>362</v>
      </c>
      <c r="D2687" t="s">
        <v>4091</v>
      </c>
      <c r="F2687">
        <v>2</v>
      </c>
      <c r="G2687" t="s">
        <v>16</v>
      </c>
      <c r="H2687">
        <v>0</v>
      </c>
      <c r="I2687" s="2" t="s">
        <v>64</v>
      </c>
      <c r="J2687" s="2" t="str">
        <f>"05070195"</f>
        <v>05070195</v>
      </c>
      <c r="K2687">
        <v>20</v>
      </c>
      <c r="L2687">
        <v>20</v>
      </c>
      <c r="M2687">
        <v>20</v>
      </c>
    </row>
    <row r="2688" spans="1:13" x14ac:dyDescent="0.25">
      <c r="A2688" t="s">
        <v>5982</v>
      </c>
      <c r="B2688" t="s">
        <v>5974</v>
      </c>
      <c r="C2688" t="s">
        <v>362</v>
      </c>
      <c r="D2688" t="s">
        <v>4091</v>
      </c>
      <c r="G2688" t="s">
        <v>16</v>
      </c>
      <c r="H2688">
        <v>0</v>
      </c>
      <c r="I2688" s="2" t="s">
        <v>5057</v>
      </c>
      <c r="J2688" s="2" t="s">
        <v>5983</v>
      </c>
      <c r="K2688">
        <v>20</v>
      </c>
      <c r="L2688">
        <v>20</v>
      </c>
      <c r="M2688">
        <v>20</v>
      </c>
    </row>
    <row r="2689" spans="1:13" x14ac:dyDescent="0.25">
      <c r="A2689" t="s">
        <v>5984</v>
      </c>
      <c r="B2689" t="s">
        <v>5985</v>
      </c>
      <c r="C2689" t="s">
        <v>362</v>
      </c>
      <c r="D2689" t="s">
        <v>4091</v>
      </c>
      <c r="F2689">
        <v>1</v>
      </c>
      <c r="G2689" t="s">
        <v>16</v>
      </c>
      <c r="H2689">
        <v>0</v>
      </c>
      <c r="I2689" s="2" t="s">
        <v>685</v>
      </c>
      <c r="J2689" s="2" t="str">
        <f>"0986494805"</f>
        <v>0986494805</v>
      </c>
      <c r="K2689">
        <v>20</v>
      </c>
      <c r="L2689">
        <v>20</v>
      </c>
      <c r="M2689">
        <v>20</v>
      </c>
    </row>
    <row r="2690" spans="1:13" x14ac:dyDescent="0.25">
      <c r="A2690" t="s">
        <v>5986</v>
      </c>
      <c r="B2690" t="s">
        <v>5985</v>
      </c>
      <c r="C2690" t="s">
        <v>362</v>
      </c>
      <c r="D2690" t="s">
        <v>4091</v>
      </c>
      <c r="F2690">
        <v>0</v>
      </c>
      <c r="G2690" t="s">
        <v>16</v>
      </c>
      <c r="H2690">
        <v>0</v>
      </c>
      <c r="I2690" s="2" t="s">
        <v>4193</v>
      </c>
      <c r="J2690" s="2" t="s">
        <v>5987</v>
      </c>
      <c r="K2690">
        <v>20</v>
      </c>
      <c r="L2690">
        <v>20</v>
      </c>
      <c r="M2690">
        <v>20</v>
      </c>
    </row>
    <row r="2691" spans="1:13" x14ac:dyDescent="0.25">
      <c r="A2691" t="s">
        <v>5988</v>
      </c>
      <c r="B2691" t="s">
        <v>5985</v>
      </c>
      <c r="C2691" t="s">
        <v>362</v>
      </c>
      <c r="D2691" t="s">
        <v>4091</v>
      </c>
      <c r="F2691">
        <v>4</v>
      </c>
      <c r="G2691" t="s">
        <v>16</v>
      </c>
      <c r="H2691">
        <v>0</v>
      </c>
      <c r="I2691" s="2" t="s">
        <v>5500</v>
      </c>
      <c r="J2691" s="2" t="s">
        <v>5989</v>
      </c>
      <c r="K2691">
        <v>20</v>
      </c>
      <c r="L2691">
        <v>20</v>
      </c>
      <c r="M2691">
        <v>20</v>
      </c>
    </row>
    <row r="2692" spans="1:13" x14ac:dyDescent="0.25">
      <c r="A2692" t="s">
        <v>5990</v>
      </c>
      <c r="B2692" t="s">
        <v>5985</v>
      </c>
      <c r="C2692" t="s">
        <v>362</v>
      </c>
      <c r="D2692" t="s">
        <v>4091</v>
      </c>
      <c r="F2692">
        <v>3</v>
      </c>
      <c r="G2692" t="s">
        <v>16</v>
      </c>
      <c r="H2692">
        <v>0</v>
      </c>
      <c r="I2692" s="2" t="s">
        <v>5297</v>
      </c>
      <c r="J2692" s="2" t="s">
        <v>5991</v>
      </c>
      <c r="K2692">
        <v>20</v>
      </c>
      <c r="L2692">
        <v>20</v>
      </c>
      <c r="M2692">
        <v>20</v>
      </c>
    </row>
    <row r="2693" spans="1:13" x14ac:dyDescent="0.25">
      <c r="A2693">
        <v>1609015780</v>
      </c>
      <c r="B2693" t="s">
        <v>5992</v>
      </c>
      <c r="C2693" t="s">
        <v>1432</v>
      </c>
      <c r="D2693" t="s">
        <v>5993</v>
      </c>
      <c r="G2693" t="s">
        <v>16</v>
      </c>
      <c r="H2693">
        <v>0</v>
      </c>
      <c r="I2693" s="2" t="s">
        <v>51</v>
      </c>
      <c r="J2693" s="2">
        <v>1609015780</v>
      </c>
      <c r="K2693">
        <v>20</v>
      </c>
      <c r="L2693">
        <v>20</v>
      </c>
      <c r="M2693">
        <v>20</v>
      </c>
    </row>
    <row r="2694" spans="1:13" x14ac:dyDescent="0.25">
      <c r="A2694" t="s">
        <v>5994</v>
      </c>
      <c r="B2694" t="s">
        <v>5995</v>
      </c>
      <c r="C2694" t="s">
        <v>496</v>
      </c>
      <c r="F2694">
        <v>5</v>
      </c>
      <c r="G2694" t="s">
        <v>16</v>
      </c>
      <c r="H2694">
        <v>0</v>
      </c>
      <c r="I2694" s="2" t="s">
        <v>2533</v>
      </c>
      <c r="J2694" s="2" t="s">
        <v>5996</v>
      </c>
      <c r="K2694">
        <v>20</v>
      </c>
      <c r="L2694">
        <v>20</v>
      </c>
      <c r="M2694">
        <v>20</v>
      </c>
    </row>
    <row r="2695" spans="1:13" x14ac:dyDescent="0.25">
      <c r="A2695" t="s">
        <v>5997</v>
      </c>
      <c r="B2695" t="s">
        <v>5998</v>
      </c>
      <c r="C2695" t="s">
        <v>496</v>
      </c>
      <c r="G2695" t="s">
        <v>16</v>
      </c>
      <c r="H2695">
        <v>0</v>
      </c>
      <c r="I2695" s="2" t="s">
        <v>2533</v>
      </c>
      <c r="J2695" s="2" t="s">
        <v>5999</v>
      </c>
      <c r="K2695">
        <v>20</v>
      </c>
      <c r="L2695">
        <v>20</v>
      </c>
      <c r="M2695">
        <v>20</v>
      </c>
    </row>
    <row r="2696" spans="1:13" x14ac:dyDescent="0.25">
      <c r="A2696" t="s">
        <v>6000</v>
      </c>
      <c r="B2696" t="s">
        <v>5998</v>
      </c>
      <c r="C2696" t="s">
        <v>496</v>
      </c>
      <c r="F2696">
        <v>3</v>
      </c>
      <c r="G2696" t="s">
        <v>16</v>
      </c>
      <c r="H2696">
        <v>0</v>
      </c>
      <c r="I2696" s="2" t="s">
        <v>5180</v>
      </c>
      <c r="J2696" s="2" t="s">
        <v>6001</v>
      </c>
      <c r="K2696">
        <v>20</v>
      </c>
      <c r="L2696">
        <v>20</v>
      </c>
      <c r="M2696">
        <v>20</v>
      </c>
    </row>
    <row r="2697" spans="1:13" x14ac:dyDescent="0.25">
      <c r="A2697" t="s">
        <v>6002</v>
      </c>
      <c r="B2697" t="s">
        <v>6003</v>
      </c>
      <c r="C2697" t="s">
        <v>496</v>
      </c>
      <c r="F2697">
        <v>1</v>
      </c>
      <c r="G2697" t="s">
        <v>16</v>
      </c>
      <c r="H2697">
        <v>0</v>
      </c>
      <c r="I2697" s="2" t="s">
        <v>737</v>
      </c>
      <c r="J2697" s="2" t="s">
        <v>6004</v>
      </c>
      <c r="K2697">
        <v>20</v>
      </c>
      <c r="L2697">
        <v>20</v>
      </c>
      <c r="M2697">
        <v>20</v>
      </c>
    </row>
    <row r="2698" spans="1:13" x14ac:dyDescent="0.25">
      <c r="A2698" t="s">
        <v>6005</v>
      </c>
      <c r="B2698" t="s">
        <v>6006</v>
      </c>
      <c r="C2698" t="s">
        <v>496</v>
      </c>
      <c r="G2698" t="s">
        <v>16</v>
      </c>
      <c r="H2698">
        <v>0</v>
      </c>
      <c r="I2698" s="2" t="s">
        <v>288</v>
      </c>
      <c r="J2698" s="2">
        <v>463009116</v>
      </c>
      <c r="K2698">
        <v>20</v>
      </c>
      <c r="L2698">
        <v>20</v>
      </c>
      <c r="M2698">
        <v>20</v>
      </c>
    </row>
    <row r="2699" spans="1:13" x14ac:dyDescent="0.25">
      <c r="A2699" t="s">
        <v>6007</v>
      </c>
      <c r="B2699" t="s">
        <v>6006</v>
      </c>
      <c r="C2699" t="s">
        <v>496</v>
      </c>
      <c r="F2699">
        <v>2</v>
      </c>
      <c r="G2699" t="s">
        <v>16</v>
      </c>
      <c r="H2699">
        <v>0</v>
      </c>
      <c r="I2699" s="2" t="s">
        <v>737</v>
      </c>
      <c r="J2699" s="2" t="s">
        <v>6008</v>
      </c>
      <c r="K2699">
        <v>20</v>
      </c>
      <c r="L2699">
        <v>20</v>
      </c>
      <c r="M2699">
        <v>20</v>
      </c>
    </row>
    <row r="2700" spans="1:13" x14ac:dyDescent="0.25">
      <c r="A2700" t="s">
        <v>6009</v>
      </c>
      <c r="B2700" t="s">
        <v>6011</v>
      </c>
      <c r="C2700" t="s">
        <v>496</v>
      </c>
      <c r="F2700">
        <v>2</v>
      </c>
      <c r="G2700" t="s">
        <v>16</v>
      </c>
      <c r="H2700">
        <v>0</v>
      </c>
      <c r="I2700" s="2" t="s">
        <v>765</v>
      </c>
      <c r="J2700" s="2" t="s">
        <v>6010</v>
      </c>
      <c r="K2700">
        <v>20</v>
      </c>
      <c r="L2700">
        <v>20</v>
      </c>
      <c r="M2700">
        <v>20</v>
      </c>
    </row>
    <row r="2701" spans="1:13" x14ac:dyDescent="0.25">
      <c r="A2701" t="s">
        <v>6012</v>
      </c>
      <c r="B2701" t="s">
        <v>6011</v>
      </c>
      <c r="C2701" t="s">
        <v>496</v>
      </c>
      <c r="G2701" t="s">
        <v>16</v>
      </c>
      <c r="H2701">
        <v>0</v>
      </c>
      <c r="I2701" s="2" t="s">
        <v>5085</v>
      </c>
      <c r="J2701" s="2" t="s">
        <v>6013</v>
      </c>
      <c r="K2701">
        <v>20</v>
      </c>
      <c r="L2701">
        <v>20</v>
      </c>
      <c r="M2701">
        <v>20</v>
      </c>
    </row>
    <row r="2702" spans="1:13" x14ac:dyDescent="0.25">
      <c r="A2702" t="s">
        <v>6014</v>
      </c>
      <c r="B2702" t="s">
        <v>6011</v>
      </c>
      <c r="C2702" t="s">
        <v>496</v>
      </c>
      <c r="F2702">
        <v>4</v>
      </c>
      <c r="G2702" t="s">
        <v>16</v>
      </c>
      <c r="H2702">
        <v>0</v>
      </c>
      <c r="I2702" s="2" t="s">
        <v>64</v>
      </c>
      <c r="J2702" s="2">
        <v>10020182</v>
      </c>
      <c r="K2702">
        <v>20</v>
      </c>
      <c r="L2702">
        <v>20</v>
      </c>
      <c r="M2702">
        <v>20</v>
      </c>
    </row>
    <row r="2703" spans="1:13" x14ac:dyDescent="0.25">
      <c r="A2703" t="s">
        <v>6015</v>
      </c>
      <c r="B2703" t="s">
        <v>6011</v>
      </c>
      <c r="C2703" t="s">
        <v>496</v>
      </c>
      <c r="F2703">
        <v>2</v>
      </c>
      <c r="G2703" t="s">
        <v>16</v>
      </c>
      <c r="H2703">
        <v>0</v>
      </c>
      <c r="I2703" s="2" t="s">
        <v>266</v>
      </c>
      <c r="J2703" s="2">
        <v>55111</v>
      </c>
      <c r="K2703">
        <v>20</v>
      </c>
      <c r="L2703">
        <v>20</v>
      </c>
      <c r="M2703">
        <v>20</v>
      </c>
    </row>
    <row r="2704" spans="1:13" x14ac:dyDescent="0.25">
      <c r="A2704" t="s">
        <v>6016</v>
      </c>
      <c r="B2704" t="s">
        <v>6011</v>
      </c>
      <c r="C2704" t="s">
        <v>496</v>
      </c>
      <c r="F2704">
        <v>4</v>
      </c>
      <c r="G2704" t="s">
        <v>16</v>
      </c>
      <c r="H2704">
        <v>0</v>
      </c>
      <c r="I2704" s="2" t="s">
        <v>737</v>
      </c>
      <c r="J2704" s="2" t="s">
        <v>6017</v>
      </c>
      <c r="K2704">
        <v>20</v>
      </c>
      <c r="L2704">
        <v>20</v>
      </c>
      <c r="M2704">
        <v>20</v>
      </c>
    </row>
    <row r="2705" spans="1:13" x14ac:dyDescent="0.25">
      <c r="A2705" t="s">
        <v>6018</v>
      </c>
      <c r="B2705" t="s">
        <v>6019</v>
      </c>
      <c r="C2705" t="s">
        <v>496</v>
      </c>
      <c r="F2705">
        <v>4</v>
      </c>
      <c r="G2705" t="s">
        <v>16</v>
      </c>
      <c r="H2705">
        <v>0</v>
      </c>
      <c r="I2705" s="2" t="s">
        <v>288</v>
      </c>
      <c r="J2705" s="2">
        <v>463022116</v>
      </c>
      <c r="K2705">
        <v>20</v>
      </c>
      <c r="L2705">
        <v>20</v>
      </c>
      <c r="M2705">
        <v>20</v>
      </c>
    </row>
    <row r="2706" spans="1:13" x14ac:dyDescent="0.25">
      <c r="A2706" t="s">
        <v>6020</v>
      </c>
      <c r="B2706" t="s">
        <v>6019</v>
      </c>
      <c r="C2706" t="s">
        <v>496</v>
      </c>
      <c r="F2706">
        <v>4</v>
      </c>
      <c r="G2706" t="s">
        <v>16</v>
      </c>
      <c r="H2706">
        <v>0</v>
      </c>
      <c r="I2706" s="2" t="b">
        <v>1</v>
      </c>
      <c r="J2706" s="2" t="s">
        <v>6021</v>
      </c>
      <c r="K2706">
        <v>20</v>
      </c>
      <c r="L2706">
        <v>20</v>
      </c>
      <c r="M2706">
        <v>20</v>
      </c>
    </row>
    <row r="2707" spans="1:13" x14ac:dyDescent="0.25">
      <c r="A2707" t="s">
        <v>6022</v>
      </c>
      <c r="B2707" t="s">
        <v>6019</v>
      </c>
      <c r="C2707" t="s">
        <v>496</v>
      </c>
      <c r="G2707" t="s">
        <v>16</v>
      </c>
      <c r="H2707">
        <v>0</v>
      </c>
      <c r="I2707" s="2" t="s">
        <v>64</v>
      </c>
      <c r="J2707" s="2">
        <v>10020173</v>
      </c>
      <c r="K2707">
        <v>20</v>
      </c>
      <c r="L2707">
        <v>20</v>
      </c>
      <c r="M2707">
        <v>20</v>
      </c>
    </row>
    <row r="2708" spans="1:13" x14ac:dyDescent="0.25">
      <c r="A2708" t="s">
        <v>6023</v>
      </c>
      <c r="B2708" t="s">
        <v>6019</v>
      </c>
      <c r="C2708" t="s">
        <v>496</v>
      </c>
      <c r="G2708" t="s">
        <v>16</v>
      </c>
      <c r="H2708">
        <v>0</v>
      </c>
      <c r="I2708" s="2" t="s">
        <v>737</v>
      </c>
      <c r="J2708" s="2" t="s">
        <v>6024</v>
      </c>
      <c r="K2708">
        <v>20</v>
      </c>
      <c r="L2708">
        <v>20</v>
      </c>
      <c r="M2708">
        <v>20</v>
      </c>
    </row>
    <row r="2709" spans="1:13" x14ac:dyDescent="0.25">
      <c r="A2709" t="s">
        <v>6025</v>
      </c>
      <c r="B2709" t="s">
        <v>6027</v>
      </c>
      <c r="C2709" t="s">
        <v>496</v>
      </c>
      <c r="G2709" t="s">
        <v>16</v>
      </c>
      <c r="H2709">
        <v>0</v>
      </c>
      <c r="I2709" s="2" t="s">
        <v>288</v>
      </c>
      <c r="J2709" s="2" t="s">
        <v>6026</v>
      </c>
      <c r="K2709">
        <v>20</v>
      </c>
      <c r="L2709">
        <v>20</v>
      </c>
      <c r="M2709">
        <v>20</v>
      </c>
    </row>
    <row r="2710" spans="1:13" x14ac:dyDescent="0.25">
      <c r="A2710" t="s">
        <v>6028</v>
      </c>
      <c r="B2710" t="s">
        <v>6027</v>
      </c>
      <c r="C2710" t="s">
        <v>496</v>
      </c>
      <c r="F2710">
        <v>2</v>
      </c>
      <c r="G2710" t="s">
        <v>16</v>
      </c>
      <c r="H2710">
        <v>0</v>
      </c>
      <c r="I2710" s="2" t="b">
        <v>1</v>
      </c>
      <c r="J2710" s="2" t="s">
        <v>6029</v>
      </c>
      <c r="K2710">
        <v>20</v>
      </c>
      <c r="L2710">
        <v>20</v>
      </c>
      <c r="M2710">
        <v>20</v>
      </c>
    </row>
    <row r="2711" spans="1:13" x14ac:dyDescent="0.25">
      <c r="A2711" t="s">
        <v>6030</v>
      </c>
      <c r="B2711" t="s">
        <v>6031</v>
      </c>
      <c r="C2711" t="s">
        <v>496</v>
      </c>
      <c r="F2711">
        <v>2</v>
      </c>
      <c r="G2711" t="s">
        <v>16</v>
      </c>
      <c r="H2711">
        <v>0</v>
      </c>
      <c r="I2711" s="2" t="s">
        <v>64</v>
      </c>
      <c r="J2711" s="2">
        <v>10020177</v>
      </c>
      <c r="K2711">
        <v>20</v>
      </c>
      <c r="L2711">
        <v>20</v>
      </c>
      <c r="M2711">
        <v>20</v>
      </c>
    </row>
    <row r="2712" spans="1:13" x14ac:dyDescent="0.25">
      <c r="A2712" t="s">
        <v>6032</v>
      </c>
      <c r="B2712" t="s">
        <v>6031</v>
      </c>
      <c r="C2712" t="s">
        <v>496</v>
      </c>
      <c r="G2712" t="s">
        <v>16</v>
      </c>
      <c r="H2712">
        <v>0</v>
      </c>
      <c r="I2712" s="2" t="s">
        <v>737</v>
      </c>
      <c r="J2712" s="2" t="s">
        <v>6033</v>
      </c>
      <c r="K2712">
        <v>20</v>
      </c>
      <c r="L2712">
        <v>20</v>
      </c>
      <c r="M2712">
        <v>20</v>
      </c>
    </row>
    <row r="2713" spans="1:13" x14ac:dyDescent="0.25">
      <c r="A2713" t="s">
        <v>6034</v>
      </c>
      <c r="B2713" t="s">
        <v>6035</v>
      </c>
      <c r="C2713" t="s">
        <v>496</v>
      </c>
      <c r="G2713" t="s">
        <v>16</v>
      </c>
      <c r="H2713">
        <v>0</v>
      </c>
      <c r="I2713" s="2" t="s">
        <v>288</v>
      </c>
      <c r="J2713" s="2" t="s">
        <v>6036</v>
      </c>
      <c r="K2713">
        <v>20</v>
      </c>
      <c r="L2713">
        <v>20</v>
      </c>
      <c r="M2713">
        <v>20</v>
      </c>
    </row>
    <row r="2714" spans="1:13" x14ac:dyDescent="0.25">
      <c r="A2714" t="s">
        <v>6037</v>
      </c>
      <c r="B2714" t="s">
        <v>6035</v>
      </c>
      <c r="C2714" t="s">
        <v>496</v>
      </c>
      <c r="G2714" t="s">
        <v>16</v>
      </c>
      <c r="H2714">
        <v>0</v>
      </c>
      <c r="I2714" s="2" t="s">
        <v>737</v>
      </c>
      <c r="J2714" s="2" t="s">
        <v>6038</v>
      </c>
      <c r="K2714">
        <v>20</v>
      </c>
      <c r="L2714">
        <v>20</v>
      </c>
      <c r="M2714">
        <v>20</v>
      </c>
    </row>
    <row r="2715" spans="1:13" x14ac:dyDescent="0.25">
      <c r="A2715" t="s">
        <v>6039</v>
      </c>
      <c r="B2715" t="s">
        <v>6040</v>
      </c>
      <c r="C2715" t="s">
        <v>2493</v>
      </c>
      <c r="G2715" t="s">
        <v>16</v>
      </c>
      <c r="H2715">
        <v>0</v>
      </c>
      <c r="I2715" s="2" t="s">
        <v>5267</v>
      </c>
      <c r="J2715" s="2" t="s">
        <v>6041</v>
      </c>
      <c r="K2715">
        <v>20</v>
      </c>
      <c r="L2715">
        <v>20</v>
      </c>
      <c r="M2715">
        <v>20</v>
      </c>
    </row>
    <row r="2716" spans="1:13" x14ac:dyDescent="0.25">
      <c r="A2716" t="s">
        <v>6042</v>
      </c>
      <c r="B2716" t="s">
        <v>6043</v>
      </c>
      <c r="C2716" t="s">
        <v>496</v>
      </c>
      <c r="F2716">
        <v>2</v>
      </c>
      <c r="G2716" t="s">
        <v>16</v>
      </c>
      <c r="H2716">
        <v>0</v>
      </c>
      <c r="I2716" s="2" t="s">
        <v>288</v>
      </c>
      <c r="J2716" s="2">
        <v>46001016</v>
      </c>
      <c r="K2716">
        <v>20</v>
      </c>
      <c r="L2716">
        <v>20</v>
      </c>
      <c r="M2716">
        <v>20</v>
      </c>
    </row>
    <row r="2717" spans="1:13" x14ac:dyDescent="0.25">
      <c r="A2717" t="s">
        <v>6044</v>
      </c>
      <c r="B2717" t="s">
        <v>6043</v>
      </c>
      <c r="C2717" t="s">
        <v>496</v>
      </c>
      <c r="G2717" t="s">
        <v>16</v>
      </c>
      <c r="H2717">
        <v>0</v>
      </c>
      <c r="I2717" s="2" t="b">
        <v>1</v>
      </c>
      <c r="J2717" s="2" t="s">
        <v>6045</v>
      </c>
      <c r="K2717">
        <v>20</v>
      </c>
      <c r="L2717">
        <v>20</v>
      </c>
      <c r="M2717">
        <v>20</v>
      </c>
    </row>
    <row r="2718" spans="1:13" x14ac:dyDescent="0.25">
      <c r="A2718" t="s">
        <v>6046</v>
      </c>
      <c r="B2718" t="s">
        <v>6043</v>
      </c>
      <c r="C2718" t="s">
        <v>496</v>
      </c>
      <c r="G2718" t="s">
        <v>16</v>
      </c>
      <c r="H2718">
        <v>0</v>
      </c>
      <c r="I2718" s="2" t="s">
        <v>737</v>
      </c>
      <c r="J2718" s="2" t="s">
        <v>6047</v>
      </c>
      <c r="K2718">
        <v>20</v>
      </c>
      <c r="L2718">
        <v>20</v>
      </c>
      <c r="M2718">
        <v>20</v>
      </c>
    </row>
    <row r="2719" spans="1:13" x14ac:dyDescent="0.25">
      <c r="A2719" t="s">
        <v>6048</v>
      </c>
      <c r="B2719" t="s">
        <v>6049</v>
      </c>
      <c r="C2719" t="s">
        <v>496</v>
      </c>
      <c r="F2719">
        <v>1</v>
      </c>
      <c r="G2719" t="s">
        <v>16</v>
      </c>
      <c r="H2719">
        <v>0</v>
      </c>
      <c r="I2719" s="2" t="s">
        <v>2517</v>
      </c>
      <c r="J2719" s="2" t="s">
        <v>6050</v>
      </c>
      <c r="K2719">
        <v>20</v>
      </c>
      <c r="L2719">
        <v>20</v>
      </c>
      <c r="M2719">
        <v>20</v>
      </c>
    </row>
    <row r="2720" spans="1:13" x14ac:dyDescent="0.25">
      <c r="A2720" t="s">
        <v>6051</v>
      </c>
      <c r="B2720" t="s">
        <v>6052</v>
      </c>
      <c r="C2720" t="s">
        <v>496</v>
      </c>
      <c r="F2720">
        <v>2</v>
      </c>
      <c r="G2720" t="s">
        <v>16</v>
      </c>
      <c r="H2720">
        <v>0</v>
      </c>
      <c r="I2720" s="2" t="s">
        <v>2533</v>
      </c>
      <c r="J2720" s="2" t="s">
        <v>6053</v>
      </c>
      <c r="K2720">
        <v>20</v>
      </c>
      <c r="L2720">
        <v>20</v>
      </c>
      <c r="M2720">
        <v>20</v>
      </c>
    </row>
    <row r="2721" spans="1:13" x14ac:dyDescent="0.25">
      <c r="A2721" t="s">
        <v>6054</v>
      </c>
      <c r="B2721" t="s">
        <v>6052</v>
      </c>
      <c r="C2721" t="s">
        <v>496</v>
      </c>
      <c r="G2721" t="s">
        <v>16</v>
      </c>
      <c r="H2721">
        <v>0</v>
      </c>
      <c r="I2721" s="2" t="s">
        <v>108</v>
      </c>
      <c r="J2721" s="3">
        <v>3821202001</v>
      </c>
      <c r="K2721">
        <v>20</v>
      </c>
      <c r="L2721">
        <v>20</v>
      </c>
      <c r="M2721">
        <v>20</v>
      </c>
    </row>
    <row r="2722" spans="1:13" x14ac:dyDescent="0.25">
      <c r="A2722" t="s">
        <v>6055</v>
      </c>
      <c r="B2722" t="s">
        <v>6056</v>
      </c>
      <c r="C2722" t="s">
        <v>2493</v>
      </c>
      <c r="G2722" t="s">
        <v>16</v>
      </c>
      <c r="H2722">
        <v>0</v>
      </c>
      <c r="I2722" s="2" t="s">
        <v>737</v>
      </c>
      <c r="J2722" s="2" t="s">
        <v>6057</v>
      </c>
      <c r="K2722">
        <v>20</v>
      </c>
      <c r="L2722">
        <v>20</v>
      </c>
      <c r="M2722">
        <v>20</v>
      </c>
    </row>
    <row r="2723" spans="1:13" x14ac:dyDescent="0.25">
      <c r="A2723">
        <v>1609267180</v>
      </c>
      <c r="B2723" t="s">
        <v>6058</v>
      </c>
      <c r="C2723" t="s">
        <v>1426</v>
      </c>
      <c r="F2723">
        <v>4</v>
      </c>
      <c r="G2723" t="s">
        <v>16</v>
      </c>
      <c r="H2723">
        <v>0</v>
      </c>
      <c r="I2723" s="2" t="s">
        <v>55</v>
      </c>
      <c r="J2723" s="2">
        <v>1609267180</v>
      </c>
      <c r="K2723">
        <v>20</v>
      </c>
      <c r="L2723">
        <v>20</v>
      </c>
      <c r="M2723">
        <v>20</v>
      </c>
    </row>
    <row r="2724" spans="1:13" x14ac:dyDescent="0.25">
      <c r="A2724" t="s">
        <v>6059</v>
      </c>
      <c r="B2724" t="s">
        <v>6060</v>
      </c>
      <c r="C2724" t="s">
        <v>496</v>
      </c>
      <c r="G2724" t="s">
        <v>16</v>
      </c>
      <c r="H2724">
        <v>0</v>
      </c>
      <c r="I2724" s="2" t="s">
        <v>277</v>
      </c>
      <c r="J2724" s="2">
        <v>31522</v>
      </c>
      <c r="K2724">
        <v>20</v>
      </c>
      <c r="L2724">
        <v>20</v>
      </c>
      <c r="M2724">
        <v>20</v>
      </c>
    </row>
    <row r="2725" spans="1:13" x14ac:dyDescent="0.25">
      <c r="A2725" t="s">
        <v>6061</v>
      </c>
      <c r="B2725" t="s">
        <v>6060</v>
      </c>
      <c r="C2725" t="s">
        <v>496</v>
      </c>
      <c r="G2725" t="s">
        <v>16</v>
      </c>
      <c r="H2725">
        <v>0</v>
      </c>
      <c r="I2725" s="2" t="s">
        <v>737</v>
      </c>
      <c r="J2725" s="2" t="s">
        <v>6062</v>
      </c>
      <c r="K2725">
        <v>20</v>
      </c>
      <c r="L2725">
        <v>20</v>
      </c>
      <c r="M2725">
        <v>20</v>
      </c>
    </row>
    <row r="2726" spans="1:13" x14ac:dyDescent="0.25">
      <c r="A2726" t="s">
        <v>6063</v>
      </c>
      <c r="B2726" t="s">
        <v>6064</v>
      </c>
      <c r="C2726" t="s">
        <v>362</v>
      </c>
      <c r="D2726" t="s">
        <v>363</v>
      </c>
      <c r="F2726">
        <v>-2</v>
      </c>
      <c r="G2726" t="s">
        <v>16</v>
      </c>
      <c r="H2726">
        <v>0</v>
      </c>
      <c r="I2726" s="2" t="s">
        <v>2533</v>
      </c>
      <c r="J2726" s="2" t="s">
        <v>6065</v>
      </c>
      <c r="K2726">
        <v>20</v>
      </c>
      <c r="L2726">
        <v>20</v>
      </c>
      <c r="M2726">
        <v>20</v>
      </c>
    </row>
    <row r="2727" spans="1:13" x14ac:dyDescent="0.25">
      <c r="A2727" t="s">
        <v>6066</v>
      </c>
      <c r="B2727" t="s">
        <v>6064</v>
      </c>
      <c r="C2727" t="s">
        <v>362</v>
      </c>
      <c r="D2727" t="s">
        <v>363</v>
      </c>
      <c r="F2727">
        <v>4</v>
      </c>
      <c r="G2727" t="s">
        <v>16</v>
      </c>
      <c r="H2727">
        <v>0</v>
      </c>
      <c r="I2727" s="2" t="s">
        <v>383</v>
      </c>
      <c r="J2727" s="2" t="str">
        <f>"0986479C24"</f>
        <v>0986479C24</v>
      </c>
      <c r="K2727">
        <v>20</v>
      </c>
      <c r="L2727">
        <v>20</v>
      </c>
      <c r="M2727">
        <v>20</v>
      </c>
    </row>
    <row r="2728" spans="1:13" x14ac:dyDescent="0.25">
      <c r="A2728" t="s">
        <v>6067</v>
      </c>
      <c r="B2728" t="s">
        <v>6068</v>
      </c>
      <c r="C2728" t="s">
        <v>362</v>
      </c>
      <c r="D2728" t="s">
        <v>4091</v>
      </c>
      <c r="G2728" t="s">
        <v>16</v>
      </c>
      <c r="H2728">
        <v>0</v>
      </c>
      <c r="I2728" s="2" t="s">
        <v>2533</v>
      </c>
      <c r="J2728" s="2" t="s">
        <v>6069</v>
      </c>
      <c r="K2728">
        <v>20</v>
      </c>
      <c r="L2728">
        <v>20</v>
      </c>
      <c r="M2728">
        <v>20</v>
      </c>
    </row>
    <row r="2729" spans="1:13" x14ac:dyDescent="0.25">
      <c r="A2729" t="s">
        <v>6070</v>
      </c>
      <c r="B2729" t="s">
        <v>6071</v>
      </c>
      <c r="C2729" t="s">
        <v>362</v>
      </c>
      <c r="D2729" t="s">
        <v>363</v>
      </c>
      <c r="G2729" t="s">
        <v>16</v>
      </c>
      <c r="H2729">
        <v>0</v>
      </c>
      <c r="I2729" s="2" t="s">
        <v>685</v>
      </c>
      <c r="J2729" s="2" t="str">
        <f>"0986479C25"</f>
        <v>0986479C25</v>
      </c>
      <c r="K2729">
        <v>20</v>
      </c>
      <c r="L2729">
        <v>20</v>
      </c>
      <c r="M2729">
        <v>20</v>
      </c>
    </row>
    <row r="2730" spans="1:13" x14ac:dyDescent="0.25">
      <c r="A2730" t="s">
        <v>6072</v>
      </c>
      <c r="B2730" t="s">
        <v>6073</v>
      </c>
      <c r="C2730" t="s">
        <v>496</v>
      </c>
      <c r="D2730" t="s">
        <v>5856</v>
      </c>
      <c r="F2730">
        <v>0</v>
      </c>
      <c r="G2730" t="s">
        <v>16</v>
      </c>
      <c r="H2730">
        <v>0</v>
      </c>
      <c r="I2730" s="2" t="s">
        <v>5500</v>
      </c>
      <c r="J2730" s="2" t="s">
        <v>6074</v>
      </c>
      <c r="K2730">
        <v>20</v>
      </c>
      <c r="L2730">
        <v>20</v>
      </c>
      <c r="M2730">
        <v>20</v>
      </c>
    </row>
    <row r="2731" spans="1:13" x14ac:dyDescent="0.25">
      <c r="A2731" t="s">
        <v>6075</v>
      </c>
      <c r="B2731" t="s">
        <v>6076</v>
      </c>
      <c r="C2731" t="s">
        <v>496</v>
      </c>
      <c r="D2731" t="s">
        <v>2360</v>
      </c>
      <c r="F2731">
        <v>0</v>
      </c>
      <c r="G2731" t="s">
        <v>16</v>
      </c>
      <c r="H2731">
        <v>0</v>
      </c>
      <c r="I2731" s="2" t="s">
        <v>64</v>
      </c>
      <c r="J2731" s="2">
        <v>15010043</v>
      </c>
      <c r="K2731">
        <v>20</v>
      </c>
      <c r="L2731">
        <v>20</v>
      </c>
      <c r="M2731">
        <v>20</v>
      </c>
    </row>
    <row r="2732" spans="1:13" x14ac:dyDescent="0.25">
      <c r="A2732" t="s">
        <v>6077</v>
      </c>
      <c r="B2732" t="s">
        <v>6073</v>
      </c>
      <c r="C2732" t="s">
        <v>496</v>
      </c>
      <c r="D2732" t="s">
        <v>2360</v>
      </c>
      <c r="G2732" t="s">
        <v>16</v>
      </c>
      <c r="H2732">
        <v>0</v>
      </c>
      <c r="I2732" s="2" t="s">
        <v>6078</v>
      </c>
      <c r="J2732" s="2" t="s">
        <v>6079</v>
      </c>
      <c r="K2732">
        <v>20</v>
      </c>
      <c r="L2732">
        <v>20</v>
      </c>
      <c r="M2732">
        <v>20</v>
      </c>
    </row>
    <row r="2733" spans="1:13" x14ac:dyDescent="0.25">
      <c r="A2733" t="s">
        <v>6080</v>
      </c>
      <c r="B2733" t="s">
        <v>6082</v>
      </c>
      <c r="C2733" t="s">
        <v>20</v>
      </c>
      <c r="D2733" t="s">
        <v>26</v>
      </c>
      <c r="F2733">
        <v>10</v>
      </c>
      <c r="G2733" t="s">
        <v>16</v>
      </c>
      <c r="H2733">
        <v>0</v>
      </c>
      <c r="I2733" s="2" t="s">
        <v>69</v>
      </c>
      <c r="J2733" s="2" t="s">
        <v>6081</v>
      </c>
      <c r="K2733">
        <v>20</v>
      </c>
      <c r="L2733">
        <v>20</v>
      </c>
      <c r="M2733">
        <v>20</v>
      </c>
    </row>
    <row r="2734" spans="1:13" x14ac:dyDescent="0.25">
      <c r="A2734">
        <v>1609848280</v>
      </c>
      <c r="B2734" t="s">
        <v>6083</v>
      </c>
      <c r="C2734" t="s">
        <v>20</v>
      </c>
      <c r="D2734" t="s">
        <v>26</v>
      </c>
      <c r="F2734">
        <v>10</v>
      </c>
      <c r="G2734" t="s">
        <v>16</v>
      </c>
      <c r="H2734">
        <v>0</v>
      </c>
      <c r="I2734" s="2" t="s">
        <v>51</v>
      </c>
      <c r="J2734" s="2">
        <v>1609848280</v>
      </c>
      <c r="K2734">
        <v>20</v>
      </c>
      <c r="L2734">
        <v>20</v>
      </c>
      <c r="M2734">
        <v>20</v>
      </c>
    </row>
    <row r="2735" spans="1:13" x14ac:dyDescent="0.25">
      <c r="A2735" t="s">
        <v>6084</v>
      </c>
      <c r="B2735" t="s">
        <v>6083</v>
      </c>
      <c r="C2735" t="s">
        <v>20</v>
      </c>
      <c r="D2735" t="s">
        <v>26</v>
      </c>
      <c r="F2735">
        <v>4</v>
      </c>
      <c r="G2735" t="s">
        <v>16</v>
      </c>
      <c r="H2735">
        <v>0</v>
      </c>
      <c r="I2735" s="2" t="s">
        <v>69</v>
      </c>
      <c r="J2735" s="2" t="s">
        <v>6085</v>
      </c>
      <c r="K2735">
        <v>20</v>
      </c>
      <c r="L2735">
        <v>20</v>
      </c>
      <c r="M2735">
        <v>20</v>
      </c>
    </row>
    <row r="2736" spans="1:13" x14ac:dyDescent="0.25">
      <c r="A2736" t="s">
        <v>6086</v>
      </c>
      <c r="B2736" t="s">
        <v>6083</v>
      </c>
      <c r="C2736" t="s">
        <v>20</v>
      </c>
      <c r="D2736" t="s">
        <v>26</v>
      </c>
      <c r="F2736">
        <v>4</v>
      </c>
      <c r="G2736" t="s">
        <v>16</v>
      </c>
      <c r="H2736">
        <v>0</v>
      </c>
      <c r="I2736" s="2" t="s">
        <v>57</v>
      </c>
      <c r="J2736" s="2" t="str">
        <f>"041274-P"</f>
        <v>041274-P</v>
      </c>
      <c r="K2736">
        <v>20</v>
      </c>
      <c r="L2736">
        <v>20</v>
      </c>
      <c r="M2736">
        <v>20</v>
      </c>
    </row>
    <row r="2737" spans="1:13" x14ac:dyDescent="0.25">
      <c r="A2737" t="s">
        <v>6087</v>
      </c>
      <c r="B2737" t="s">
        <v>6088</v>
      </c>
      <c r="C2737" t="s">
        <v>362</v>
      </c>
      <c r="D2737" t="s">
        <v>4091</v>
      </c>
      <c r="G2737" t="s">
        <v>16</v>
      </c>
      <c r="H2737">
        <v>0</v>
      </c>
      <c r="I2737" s="2" t="s">
        <v>4093</v>
      </c>
      <c r="J2737" s="2" t="s">
        <v>6089</v>
      </c>
      <c r="K2737">
        <v>20</v>
      </c>
      <c r="L2737">
        <v>20</v>
      </c>
      <c r="M2737">
        <v>20</v>
      </c>
    </row>
    <row r="2738" spans="1:13" x14ac:dyDescent="0.25">
      <c r="A2738" t="s">
        <v>6090</v>
      </c>
      <c r="B2738" t="s">
        <v>6088</v>
      </c>
      <c r="C2738" t="s">
        <v>362</v>
      </c>
      <c r="D2738" t="s">
        <v>4091</v>
      </c>
      <c r="F2738">
        <v>-1</v>
      </c>
      <c r="G2738" t="s">
        <v>16</v>
      </c>
      <c r="H2738">
        <v>0</v>
      </c>
      <c r="I2738" s="2" t="s">
        <v>4625</v>
      </c>
      <c r="J2738" s="2" t="s">
        <v>6091</v>
      </c>
      <c r="K2738">
        <v>20</v>
      </c>
      <c r="L2738">
        <v>20</v>
      </c>
      <c r="M2738">
        <v>20</v>
      </c>
    </row>
    <row r="2739" spans="1:13" x14ac:dyDescent="0.25">
      <c r="A2739" t="s">
        <v>6092</v>
      </c>
      <c r="B2739" t="s">
        <v>6088</v>
      </c>
      <c r="C2739" t="s">
        <v>362</v>
      </c>
      <c r="D2739" t="s">
        <v>4091</v>
      </c>
      <c r="F2739">
        <v>2</v>
      </c>
      <c r="G2739" t="s">
        <v>16</v>
      </c>
      <c r="H2739">
        <v>0</v>
      </c>
      <c r="I2739" s="2" t="s">
        <v>288</v>
      </c>
      <c r="J2739" s="2" t="s">
        <v>6093</v>
      </c>
      <c r="K2739">
        <v>20</v>
      </c>
      <c r="L2739">
        <v>20</v>
      </c>
      <c r="M2739">
        <v>20</v>
      </c>
    </row>
    <row r="2740" spans="1:13" x14ac:dyDescent="0.25">
      <c r="A2740" t="s">
        <v>6094</v>
      </c>
      <c r="B2740" t="s">
        <v>6095</v>
      </c>
      <c r="C2740" t="s">
        <v>362</v>
      </c>
      <c r="D2740" t="s">
        <v>4091</v>
      </c>
      <c r="G2740" t="s">
        <v>16</v>
      </c>
      <c r="H2740">
        <v>0</v>
      </c>
      <c r="I2740" s="2" t="s">
        <v>2517</v>
      </c>
      <c r="J2740" s="2" t="s">
        <v>6096</v>
      </c>
      <c r="K2740">
        <v>20</v>
      </c>
      <c r="L2740">
        <v>20</v>
      </c>
      <c r="M2740">
        <v>20</v>
      </c>
    </row>
    <row r="2741" spans="1:13" x14ac:dyDescent="0.25">
      <c r="A2741" t="s">
        <v>6097</v>
      </c>
      <c r="B2741" t="s">
        <v>6098</v>
      </c>
      <c r="C2741" t="s">
        <v>362</v>
      </c>
      <c r="D2741" t="s">
        <v>4091</v>
      </c>
      <c r="F2741">
        <v>5</v>
      </c>
      <c r="G2741" t="s">
        <v>16</v>
      </c>
      <c r="H2741">
        <v>0</v>
      </c>
      <c r="I2741" s="2" t="s">
        <v>383</v>
      </c>
      <c r="J2741" s="2" t="str">
        <f>"0986494696"</f>
        <v>0986494696</v>
      </c>
      <c r="K2741">
        <v>20</v>
      </c>
      <c r="L2741">
        <v>20</v>
      </c>
      <c r="M2741">
        <v>20</v>
      </c>
    </row>
    <row r="2742" spans="1:13" x14ac:dyDescent="0.25">
      <c r="A2742" t="s">
        <v>6099</v>
      </c>
      <c r="B2742" t="s">
        <v>6098</v>
      </c>
      <c r="C2742" t="s">
        <v>362</v>
      </c>
      <c r="D2742" t="s">
        <v>4091</v>
      </c>
      <c r="F2742">
        <v>2</v>
      </c>
      <c r="G2742" t="s">
        <v>16</v>
      </c>
      <c r="H2742">
        <v>0</v>
      </c>
      <c r="I2742" s="2" t="s">
        <v>941</v>
      </c>
      <c r="J2742" s="2" t="s">
        <v>6100</v>
      </c>
      <c r="K2742">
        <v>20</v>
      </c>
      <c r="L2742">
        <v>20</v>
      </c>
      <c r="M2742">
        <v>20</v>
      </c>
    </row>
    <row r="2743" spans="1:13" x14ac:dyDescent="0.25">
      <c r="A2743" t="s">
        <v>6101</v>
      </c>
      <c r="B2743" t="s">
        <v>6088</v>
      </c>
      <c r="C2743" t="s">
        <v>362</v>
      </c>
      <c r="D2743" t="s">
        <v>4091</v>
      </c>
      <c r="F2743">
        <v>2</v>
      </c>
      <c r="G2743" t="s">
        <v>16</v>
      </c>
      <c r="H2743">
        <v>0</v>
      </c>
      <c r="I2743" s="2" t="s">
        <v>5500</v>
      </c>
      <c r="J2743" s="2" t="s">
        <v>6102</v>
      </c>
      <c r="K2743">
        <v>20</v>
      </c>
      <c r="L2743">
        <v>20</v>
      </c>
      <c r="M2743">
        <v>20</v>
      </c>
    </row>
    <row r="2744" spans="1:13" x14ac:dyDescent="0.25">
      <c r="A2744" t="s">
        <v>6103</v>
      </c>
      <c r="B2744" t="s">
        <v>6088</v>
      </c>
      <c r="C2744" t="s">
        <v>362</v>
      </c>
      <c r="D2744" t="s">
        <v>4091</v>
      </c>
      <c r="G2744" t="s">
        <v>16</v>
      </c>
      <c r="H2744">
        <v>0</v>
      </c>
      <c r="I2744" s="2" t="s">
        <v>6104</v>
      </c>
      <c r="J2744" s="2" t="s">
        <v>6105</v>
      </c>
      <c r="K2744">
        <v>20</v>
      </c>
      <c r="L2744">
        <v>20</v>
      </c>
      <c r="M2744">
        <v>20</v>
      </c>
    </row>
    <row r="2745" spans="1:13" x14ac:dyDescent="0.25">
      <c r="A2745" t="s">
        <v>6106</v>
      </c>
      <c r="B2745" t="s">
        <v>6107</v>
      </c>
      <c r="C2745" t="s">
        <v>2493</v>
      </c>
      <c r="F2745">
        <v>1</v>
      </c>
      <c r="G2745" t="s">
        <v>16</v>
      </c>
      <c r="H2745">
        <v>0</v>
      </c>
      <c r="I2745" s="2" t="s">
        <v>108</v>
      </c>
      <c r="J2745" s="3">
        <v>3051202004</v>
      </c>
      <c r="K2745">
        <v>20</v>
      </c>
      <c r="L2745">
        <v>20</v>
      </c>
      <c r="M2745">
        <v>20</v>
      </c>
    </row>
    <row r="2746" spans="1:13" x14ac:dyDescent="0.25">
      <c r="A2746" t="s">
        <v>6108</v>
      </c>
      <c r="B2746" t="s">
        <v>6109</v>
      </c>
      <c r="C2746" t="s">
        <v>2493</v>
      </c>
      <c r="F2746">
        <v>1</v>
      </c>
      <c r="G2746" t="s">
        <v>16</v>
      </c>
      <c r="H2746">
        <v>0</v>
      </c>
      <c r="I2746" s="2" t="s">
        <v>108</v>
      </c>
      <c r="J2746" s="3">
        <v>3051202003</v>
      </c>
      <c r="K2746">
        <v>20</v>
      </c>
      <c r="L2746">
        <v>20</v>
      </c>
      <c r="M2746">
        <v>20</v>
      </c>
    </row>
    <row r="2747" spans="1:13" x14ac:dyDescent="0.25">
      <c r="A2747" t="s">
        <v>6110</v>
      </c>
      <c r="B2747" t="s">
        <v>6111</v>
      </c>
      <c r="C2747" t="s">
        <v>362</v>
      </c>
      <c r="D2747" t="s">
        <v>4091</v>
      </c>
      <c r="G2747" t="s">
        <v>16</v>
      </c>
      <c r="H2747">
        <v>0</v>
      </c>
      <c r="I2747" s="2" t="s">
        <v>238</v>
      </c>
      <c r="J2747" s="2">
        <v>16850</v>
      </c>
      <c r="K2747">
        <v>20</v>
      </c>
      <c r="L2747">
        <v>20</v>
      </c>
      <c r="M2747">
        <v>20</v>
      </c>
    </row>
    <row r="2748" spans="1:13" x14ac:dyDescent="0.25">
      <c r="A2748" t="s">
        <v>6112</v>
      </c>
      <c r="B2748" t="s">
        <v>6113</v>
      </c>
      <c r="C2748" t="s">
        <v>496</v>
      </c>
      <c r="G2748" t="s">
        <v>16</v>
      </c>
      <c r="H2748">
        <v>0</v>
      </c>
      <c r="I2748" s="2" t="s">
        <v>737</v>
      </c>
      <c r="J2748" s="2" t="s">
        <v>6114</v>
      </c>
      <c r="K2748">
        <v>20</v>
      </c>
      <c r="L2748">
        <v>20</v>
      </c>
      <c r="M2748">
        <v>20</v>
      </c>
    </row>
    <row r="2749" spans="1:13" x14ac:dyDescent="0.25">
      <c r="A2749" t="s">
        <v>6115</v>
      </c>
      <c r="B2749" t="s">
        <v>6116</v>
      </c>
      <c r="C2749" t="s">
        <v>20</v>
      </c>
      <c r="D2749" t="s">
        <v>296</v>
      </c>
      <c r="F2749">
        <v>1</v>
      </c>
      <c r="G2749" t="s">
        <v>16</v>
      </c>
      <c r="H2749">
        <v>0</v>
      </c>
      <c r="I2749" s="2" t="s">
        <v>411</v>
      </c>
      <c r="J2749" s="2" t="s">
        <v>6117</v>
      </c>
      <c r="K2749">
        <v>20</v>
      </c>
      <c r="L2749">
        <v>20</v>
      </c>
      <c r="M2749">
        <v>20</v>
      </c>
    </row>
    <row r="2750" spans="1:13" x14ac:dyDescent="0.25">
      <c r="A2750" t="s">
        <v>6118</v>
      </c>
      <c r="B2750" t="s">
        <v>6119</v>
      </c>
      <c r="C2750" t="s">
        <v>496</v>
      </c>
      <c r="D2750" t="s">
        <v>4083</v>
      </c>
      <c r="G2750" t="s">
        <v>16</v>
      </c>
      <c r="H2750">
        <v>0</v>
      </c>
      <c r="I2750" s="2" t="s">
        <v>6120</v>
      </c>
      <c r="J2750" s="2" t="s">
        <v>6121</v>
      </c>
      <c r="K2750">
        <v>20</v>
      </c>
      <c r="L2750">
        <v>20</v>
      </c>
      <c r="M2750">
        <v>20</v>
      </c>
    </row>
    <row r="2751" spans="1:13" x14ac:dyDescent="0.25">
      <c r="A2751" t="s">
        <v>6122</v>
      </c>
      <c r="B2751" t="s">
        <v>6123</v>
      </c>
      <c r="C2751" t="s">
        <v>20</v>
      </c>
      <c r="D2751" t="s">
        <v>300</v>
      </c>
      <c r="F2751">
        <v>0</v>
      </c>
      <c r="G2751" t="s">
        <v>16</v>
      </c>
      <c r="H2751">
        <v>0</v>
      </c>
      <c r="I2751" s="2" t="s">
        <v>5737</v>
      </c>
      <c r="J2751" s="2" t="s">
        <v>6124</v>
      </c>
      <c r="K2751">
        <v>20</v>
      </c>
      <c r="L2751">
        <v>20</v>
      </c>
      <c r="M2751">
        <v>20</v>
      </c>
    </row>
    <row r="2752" spans="1:13" x14ac:dyDescent="0.25">
      <c r="A2752" t="s">
        <v>6125</v>
      </c>
      <c r="B2752" t="s">
        <v>6126</v>
      </c>
      <c r="C2752" t="s">
        <v>20</v>
      </c>
      <c r="D2752" t="s">
        <v>296</v>
      </c>
      <c r="F2752">
        <v>1</v>
      </c>
      <c r="G2752" t="s">
        <v>16</v>
      </c>
      <c r="H2752">
        <v>0</v>
      </c>
      <c r="I2752" s="2" t="s">
        <v>392</v>
      </c>
      <c r="J2752" s="2">
        <v>1684891880</v>
      </c>
      <c r="K2752">
        <v>20</v>
      </c>
      <c r="L2752">
        <v>20</v>
      </c>
      <c r="M2752">
        <v>20</v>
      </c>
    </row>
    <row r="2753" spans="1:13" x14ac:dyDescent="0.25">
      <c r="A2753">
        <v>1610693780</v>
      </c>
      <c r="B2753" t="s">
        <v>6127</v>
      </c>
      <c r="C2753" t="s">
        <v>14</v>
      </c>
      <c r="D2753" t="s">
        <v>293</v>
      </c>
      <c r="F2753">
        <v>3</v>
      </c>
      <c r="G2753" t="s">
        <v>16</v>
      </c>
      <c r="H2753">
        <v>0</v>
      </c>
      <c r="I2753" s="2" t="s">
        <v>55</v>
      </c>
      <c r="J2753" s="2">
        <v>1610693780</v>
      </c>
      <c r="K2753">
        <v>20</v>
      </c>
      <c r="L2753">
        <v>20</v>
      </c>
      <c r="M2753">
        <v>20</v>
      </c>
    </row>
    <row r="2754" spans="1:13" x14ac:dyDescent="0.25">
      <c r="A2754" t="s">
        <v>6128</v>
      </c>
      <c r="B2754" t="s">
        <v>6127</v>
      </c>
      <c r="C2754" t="s">
        <v>14</v>
      </c>
      <c r="D2754" t="s">
        <v>293</v>
      </c>
      <c r="F2754">
        <v>8</v>
      </c>
      <c r="G2754" t="s">
        <v>16</v>
      </c>
      <c r="H2754">
        <v>0</v>
      </c>
      <c r="I2754" s="2" t="s">
        <v>192</v>
      </c>
      <c r="J2754" s="2" t="s">
        <v>6129</v>
      </c>
      <c r="K2754">
        <v>20</v>
      </c>
      <c r="L2754">
        <v>20</v>
      </c>
      <c r="M2754">
        <v>20</v>
      </c>
    </row>
    <row r="2755" spans="1:13" x14ac:dyDescent="0.25">
      <c r="A2755" t="s">
        <v>6130</v>
      </c>
      <c r="B2755" t="s">
        <v>6131</v>
      </c>
      <c r="C2755" t="s">
        <v>14</v>
      </c>
      <c r="D2755" t="s">
        <v>293</v>
      </c>
      <c r="F2755">
        <v>2</v>
      </c>
      <c r="G2755" t="s">
        <v>16</v>
      </c>
      <c r="H2755">
        <v>0</v>
      </c>
      <c r="I2755" s="2" t="s">
        <v>290</v>
      </c>
      <c r="J2755" s="2" t="s">
        <v>6132</v>
      </c>
      <c r="K2755">
        <v>20</v>
      </c>
      <c r="L2755">
        <v>20</v>
      </c>
      <c r="M2755">
        <v>20</v>
      </c>
    </row>
    <row r="2756" spans="1:13" x14ac:dyDescent="0.25">
      <c r="A2756" t="s">
        <v>6133</v>
      </c>
      <c r="B2756" t="s">
        <v>6134</v>
      </c>
      <c r="C2756" t="s">
        <v>496</v>
      </c>
      <c r="F2756">
        <v>4</v>
      </c>
      <c r="G2756" t="s">
        <v>16</v>
      </c>
      <c r="H2756">
        <v>0</v>
      </c>
      <c r="I2756" s="2" t="s">
        <v>2517</v>
      </c>
      <c r="J2756" s="2" t="s">
        <v>6135</v>
      </c>
      <c r="K2756">
        <v>20</v>
      </c>
      <c r="L2756">
        <v>20</v>
      </c>
      <c r="M2756">
        <v>20</v>
      </c>
    </row>
    <row r="2757" spans="1:13" x14ac:dyDescent="0.25">
      <c r="A2757" t="s">
        <v>6136</v>
      </c>
      <c r="B2757" t="s">
        <v>6137</v>
      </c>
      <c r="C2757" t="s">
        <v>496</v>
      </c>
      <c r="F2757">
        <v>1</v>
      </c>
      <c r="G2757" t="s">
        <v>16</v>
      </c>
      <c r="H2757">
        <v>0</v>
      </c>
      <c r="I2757" s="2" t="s">
        <v>2517</v>
      </c>
      <c r="J2757" s="2" t="s">
        <v>6138</v>
      </c>
      <c r="K2757">
        <v>20</v>
      </c>
      <c r="L2757">
        <v>20</v>
      </c>
      <c r="M2757">
        <v>20</v>
      </c>
    </row>
    <row r="2758" spans="1:13" x14ac:dyDescent="0.25">
      <c r="A2758" t="s">
        <v>6139</v>
      </c>
      <c r="B2758" t="s">
        <v>6137</v>
      </c>
      <c r="C2758" t="s">
        <v>496</v>
      </c>
      <c r="F2758">
        <v>2</v>
      </c>
      <c r="G2758" t="s">
        <v>16</v>
      </c>
      <c r="H2758">
        <v>0</v>
      </c>
      <c r="I2758" s="2" t="s">
        <v>5040</v>
      </c>
      <c r="J2758" s="2" t="str">
        <f>"04-08324"</f>
        <v>04-08324</v>
      </c>
      <c r="K2758">
        <v>20</v>
      </c>
      <c r="L2758">
        <v>20</v>
      </c>
      <c r="M2758">
        <v>20</v>
      </c>
    </row>
    <row r="2759" spans="1:13" x14ac:dyDescent="0.25">
      <c r="A2759" t="s">
        <v>6140</v>
      </c>
      <c r="B2759" t="s">
        <v>6137</v>
      </c>
      <c r="C2759" t="s">
        <v>496</v>
      </c>
      <c r="F2759">
        <v>2</v>
      </c>
      <c r="G2759" t="s">
        <v>16</v>
      </c>
      <c r="H2759">
        <v>0</v>
      </c>
      <c r="I2759" s="2" t="s">
        <v>4086</v>
      </c>
      <c r="J2759" s="2" t="str">
        <f>"04886"</f>
        <v>04886</v>
      </c>
      <c r="K2759">
        <v>20</v>
      </c>
      <c r="L2759">
        <v>20</v>
      </c>
      <c r="M2759">
        <v>20</v>
      </c>
    </row>
    <row r="2760" spans="1:13" x14ac:dyDescent="0.25">
      <c r="A2760" t="s">
        <v>6141</v>
      </c>
      <c r="B2760" t="s">
        <v>6142</v>
      </c>
      <c r="C2760" t="s">
        <v>496</v>
      </c>
      <c r="F2760">
        <v>2</v>
      </c>
      <c r="G2760" t="s">
        <v>16</v>
      </c>
      <c r="H2760">
        <v>0</v>
      </c>
      <c r="I2760" s="2" t="s">
        <v>2517</v>
      </c>
      <c r="J2760" s="2" t="s">
        <v>6143</v>
      </c>
      <c r="K2760">
        <v>20</v>
      </c>
      <c r="L2760">
        <v>20</v>
      </c>
      <c r="M2760">
        <v>20</v>
      </c>
    </row>
    <row r="2761" spans="1:13" x14ac:dyDescent="0.25">
      <c r="A2761" t="s">
        <v>6144</v>
      </c>
      <c r="B2761" t="s">
        <v>6142</v>
      </c>
      <c r="C2761" t="s">
        <v>496</v>
      </c>
      <c r="F2761">
        <v>2</v>
      </c>
      <c r="G2761" t="s">
        <v>16</v>
      </c>
      <c r="H2761">
        <v>0</v>
      </c>
      <c r="I2761" s="2" t="s">
        <v>6145</v>
      </c>
      <c r="J2761" s="2" t="str">
        <f>"04-08325"</f>
        <v>04-08325</v>
      </c>
      <c r="K2761">
        <v>20</v>
      </c>
      <c r="L2761">
        <v>20</v>
      </c>
      <c r="M2761">
        <v>20</v>
      </c>
    </row>
    <row r="2762" spans="1:13" x14ac:dyDescent="0.25">
      <c r="A2762" t="s">
        <v>6146</v>
      </c>
      <c r="B2762" t="s">
        <v>6142</v>
      </c>
      <c r="C2762" t="s">
        <v>496</v>
      </c>
      <c r="F2762">
        <v>0</v>
      </c>
      <c r="G2762" t="s">
        <v>16</v>
      </c>
      <c r="H2762">
        <v>0</v>
      </c>
      <c r="I2762" s="2" t="s">
        <v>6147</v>
      </c>
      <c r="J2762" s="2" t="str">
        <f>"04887"</f>
        <v>04887</v>
      </c>
      <c r="K2762">
        <v>20</v>
      </c>
      <c r="L2762">
        <v>20</v>
      </c>
      <c r="M2762">
        <v>20</v>
      </c>
    </row>
    <row r="2763" spans="1:13" x14ac:dyDescent="0.25">
      <c r="A2763" t="s">
        <v>6148</v>
      </c>
      <c r="B2763" t="s">
        <v>6149</v>
      </c>
      <c r="C2763" t="s">
        <v>2493</v>
      </c>
      <c r="F2763">
        <v>2</v>
      </c>
      <c r="G2763" t="s">
        <v>16</v>
      </c>
      <c r="H2763">
        <v>0</v>
      </c>
      <c r="I2763" s="2" t="s">
        <v>5040</v>
      </c>
      <c r="J2763" s="2" t="s">
        <v>6150</v>
      </c>
      <c r="K2763">
        <v>20</v>
      </c>
      <c r="L2763">
        <v>20</v>
      </c>
      <c r="M2763">
        <v>20</v>
      </c>
    </row>
    <row r="2764" spans="1:13" x14ac:dyDescent="0.25">
      <c r="A2764">
        <v>1611266580</v>
      </c>
      <c r="B2764" t="s">
        <v>6151</v>
      </c>
      <c r="C2764" t="s">
        <v>1432</v>
      </c>
      <c r="F2764">
        <v>2</v>
      </c>
      <c r="G2764" t="s">
        <v>16</v>
      </c>
      <c r="H2764">
        <v>0</v>
      </c>
      <c r="I2764" s="2" t="s">
        <v>51</v>
      </c>
      <c r="J2764" s="2">
        <v>1611266580</v>
      </c>
      <c r="K2764">
        <v>20</v>
      </c>
      <c r="L2764">
        <v>20</v>
      </c>
      <c r="M2764">
        <v>20</v>
      </c>
    </row>
    <row r="2765" spans="1:13" x14ac:dyDescent="0.25">
      <c r="A2765" t="s">
        <v>6152</v>
      </c>
      <c r="B2765" t="s">
        <v>5869</v>
      </c>
      <c r="C2765" t="s">
        <v>1432</v>
      </c>
      <c r="F2765">
        <v>1</v>
      </c>
      <c r="G2765" t="s">
        <v>16</v>
      </c>
      <c r="H2765">
        <v>0</v>
      </c>
      <c r="I2765" s="2" t="s">
        <v>5227</v>
      </c>
      <c r="J2765" s="2" t="str">
        <f>"006200600"</f>
        <v>006200600</v>
      </c>
      <c r="K2765">
        <v>20</v>
      </c>
      <c r="L2765">
        <v>20</v>
      </c>
      <c r="M2765">
        <v>20</v>
      </c>
    </row>
    <row r="2766" spans="1:13" x14ac:dyDescent="0.25">
      <c r="A2766" t="s">
        <v>6153</v>
      </c>
      <c r="B2766" t="s">
        <v>5869</v>
      </c>
      <c r="C2766" t="s">
        <v>1432</v>
      </c>
      <c r="F2766">
        <v>3</v>
      </c>
      <c r="G2766" t="s">
        <v>16</v>
      </c>
      <c r="H2766">
        <v>0</v>
      </c>
      <c r="I2766" s="2" t="s">
        <v>854</v>
      </c>
      <c r="J2766" s="2">
        <v>877263</v>
      </c>
      <c r="K2766">
        <v>20</v>
      </c>
      <c r="L2766">
        <v>20</v>
      </c>
      <c r="M2766">
        <v>20</v>
      </c>
    </row>
    <row r="2767" spans="1:13" x14ac:dyDescent="0.25">
      <c r="A2767" t="s">
        <v>6154</v>
      </c>
      <c r="B2767" t="s">
        <v>6155</v>
      </c>
      <c r="C2767" t="s">
        <v>1432</v>
      </c>
      <c r="D2767" t="s">
        <v>5993</v>
      </c>
      <c r="F2767">
        <v>2</v>
      </c>
      <c r="G2767" t="s">
        <v>16</v>
      </c>
      <c r="H2767">
        <v>0</v>
      </c>
      <c r="I2767" s="2" t="s">
        <v>6156</v>
      </c>
      <c r="J2767" s="3">
        <v>2571303001</v>
      </c>
      <c r="K2767">
        <v>20</v>
      </c>
      <c r="L2767">
        <v>20</v>
      </c>
      <c r="M2767">
        <v>20</v>
      </c>
    </row>
    <row r="2768" spans="1:13" x14ac:dyDescent="0.25">
      <c r="A2768" t="s">
        <v>6157</v>
      </c>
      <c r="B2768" t="s">
        <v>6158</v>
      </c>
      <c r="C2768" t="s">
        <v>1432</v>
      </c>
      <c r="F2768">
        <v>1</v>
      </c>
      <c r="G2768" t="s">
        <v>16</v>
      </c>
      <c r="H2768">
        <v>0</v>
      </c>
      <c r="I2768" s="2" t="s">
        <v>389</v>
      </c>
      <c r="J2768" s="2">
        <v>1682297980</v>
      </c>
      <c r="K2768">
        <v>20</v>
      </c>
      <c r="L2768">
        <v>20</v>
      </c>
      <c r="M2768">
        <v>20</v>
      </c>
    </row>
    <row r="2769" spans="1:13" x14ac:dyDescent="0.25">
      <c r="A2769" t="s">
        <v>6159</v>
      </c>
      <c r="B2769" t="s">
        <v>6158</v>
      </c>
      <c r="C2769" t="s">
        <v>1432</v>
      </c>
      <c r="F2769">
        <v>0</v>
      </c>
      <c r="G2769" t="s">
        <v>16</v>
      </c>
      <c r="H2769">
        <v>0</v>
      </c>
      <c r="I2769" s="2" t="s">
        <v>5677</v>
      </c>
      <c r="J2769" s="2">
        <v>620308100</v>
      </c>
      <c r="K2769">
        <v>20</v>
      </c>
      <c r="L2769">
        <v>20</v>
      </c>
      <c r="M2769">
        <v>20</v>
      </c>
    </row>
    <row r="2770" spans="1:13" x14ac:dyDescent="0.25">
      <c r="A2770" t="s">
        <v>6160</v>
      </c>
      <c r="B2770" t="s">
        <v>6158</v>
      </c>
      <c r="C2770" t="s">
        <v>1432</v>
      </c>
      <c r="F2770">
        <v>0</v>
      </c>
      <c r="G2770" t="s">
        <v>16</v>
      </c>
      <c r="H2770">
        <v>0</v>
      </c>
      <c r="I2770" s="2" t="s">
        <v>5227</v>
      </c>
      <c r="J2770" s="2" t="str">
        <f>"006200500"</f>
        <v>006200500</v>
      </c>
      <c r="K2770">
        <v>20</v>
      </c>
      <c r="L2770">
        <v>20</v>
      </c>
      <c r="M2770">
        <v>20</v>
      </c>
    </row>
    <row r="2771" spans="1:13" x14ac:dyDescent="0.25">
      <c r="A2771" t="s">
        <v>6161</v>
      </c>
      <c r="B2771" t="s">
        <v>6158</v>
      </c>
      <c r="C2771" t="s">
        <v>1432</v>
      </c>
      <c r="F2771">
        <v>1</v>
      </c>
      <c r="G2771" t="s">
        <v>16</v>
      </c>
      <c r="H2771">
        <v>0</v>
      </c>
      <c r="I2771" s="2" t="s">
        <v>854</v>
      </c>
      <c r="J2771" s="2">
        <v>821365</v>
      </c>
      <c r="K2771">
        <v>20</v>
      </c>
      <c r="L2771">
        <v>20</v>
      </c>
      <c r="M2771">
        <v>20</v>
      </c>
    </row>
    <row r="2772" spans="1:13" x14ac:dyDescent="0.25">
      <c r="A2772">
        <v>1611272780</v>
      </c>
      <c r="B2772" t="s">
        <v>6162</v>
      </c>
      <c r="C2772" t="s">
        <v>1432</v>
      </c>
      <c r="G2772" t="s">
        <v>16</v>
      </c>
      <c r="H2772">
        <v>0</v>
      </c>
      <c r="I2772" s="2" t="s">
        <v>51</v>
      </c>
      <c r="J2772" s="2">
        <v>1611272780</v>
      </c>
      <c r="K2772">
        <v>20</v>
      </c>
      <c r="L2772">
        <v>20</v>
      </c>
      <c r="M2772">
        <v>20</v>
      </c>
    </row>
    <row r="2773" spans="1:13" x14ac:dyDescent="0.25">
      <c r="A2773">
        <v>1611273080</v>
      </c>
      <c r="B2773" t="s">
        <v>6163</v>
      </c>
      <c r="C2773" t="s">
        <v>1432</v>
      </c>
      <c r="F2773">
        <v>8</v>
      </c>
      <c r="G2773" t="s">
        <v>16</v>
      </c>
      <c r="H2773">
        <v>0</v>
      </c>
      <c r="I2773" s="2" t="s">
        <v>55</v>
      </c>
      <c r="J2773" s="2">
        <v>1611273080</v>
      </c>
      <c r="K2773">
        <v>20</v>
      </c>
      <c r="L2773">
        <v>20</v>
      </c>
      <c r="M2773">
        <v>20</v>
      </c>
    </row>
    <row r="2774" spans="1:13" x14ac:dyDescent="0.25">
      <c r="A2774" t="s">
        <v>6164</v>
      </c>
      <c r="B2774" t="s">
        <v>6165</v>
      </c>
      <c r="C2774" t="s">
        <v>1432</v>
      </c>
      <c r="F2774">
        <v>1</v>
      </c>
      <c r="G2774" t="s">
        <v>16</v>
      </c>
      <c r="H2774">
        <v>0</v>
      </c>
      <c r="I2774" s="2" t="s">
        <v>392</v>
      </c>
      <c r="J2774" s="2">
        <v>1682239380</v>
      </c>
      <c r="K2774">
        <v>20</v>
      </c>
      <c r="L2774">
        <v>20</v>
      </c>
      <c r="M2774">
        <v>20</v>
      </c>
    </row>
    <row r="2775" spans="1:13" x14ac:dyDescent="0.25">
      <c r="A2775" t="s">
        <v>6166</v>
      </c>
      <c r="B2775" t="s">
        <v>6167</v>
      </c>
      <c r="C2775" t="s">
        <v>1432</v>
      </c>
      <c r="F2775">
        <v>1</v>
      </c>
      <c r="G2775" t="s">
        <v>16</v>
      </c>
      <c r="H2775">
        <v>0</v>
      </c>
      <c r="I2775" s="2" t="s">
        <v>5688</v>
      </c>
      <c r="J2775" s="2">
        <v>3000951560</v>
      </c>
      <c r="K2775">
        <v>20</v>
      </c>
      <c r="L2775">
        <v>20</v>
      </c>
      <c r="M2775">
        <v>20</v>
      </c>
    </row>
    <row r="2776" spans="1:13" x14ac:dyDescent="0.25">
      <c r="A2776" t="s">
        <v>6168</v>
      </c>
      <c r="B2776" t="s">
        <v>6169</v>
      </c>
      <c r="C2776" t="s">
        <v>20</v>
      </c>
      <c r="D2776" t="s">
        <v>894</v>
      </c>
      <c r="F2776">
        <v>1</v>
      </c>
      <c r="G2776" t="s">
        <v>16</v>
      </c>
      <c r="H2776">
        <v>0</v>
      </c>
      <c r="I2776" s="2" t="s">
        <v>392</v>
      </c>
      <c r="J2776" s="2">
        <v>1613444880</v>
      </c>
      <c r="K2776">
        <v>20</v>
      </c>
      <c r="L2776">
        <v>20</v>
      </c>
      <c r="M2776">
        <v>20</v>
      </c>
    </row>
    <row r="2777" spans="1:13" x14ac:dyDescent="0.25">
      <c r="A2777" t="s">
        <v>6170</v>
      </c>
      <c r="B2777" t="s">
        <v>6171</v>
      </c>
      <c r="C2777" t="s">
        <v>1432</v>
      </c>
      <c r="F2777">
        <v>2</v>
      </c>
      <c r="G2777" t="s">
        <v>16</v>
      </c>
      <c r="H2777">
        <v>0</v>
      </c>
      <c r="I2777" s="2" t="s">
        <v>392</v>
      </c>
      <c r="J2777" s="2">
        <v>1682290480</v>
      </c>
      <c r="K2777">
        <v>20</v>
      </c>
      <c r="L2777">
        <v>20</v>
      </c>
      <c r="M2777">
        <v>20</v>
      </c>
    </row>
    <row r="2778" spans="1:13" x14ac:dyDescent="0.25">
      <c r="A2778" t="s">
        <v>6172</v>
      </c>
      <c r="B2778" t="s">
        <v>6174</v>
      </c>
      <c r="C2778" t="s">
        <v>496</v>
      </c>
      <c r="D2778" t="s">
        <v>4083</v>
      </c>
      <c r="F2778">
        <v>2</v>
      </c>
      <c r="G2778" t="s">
        <v>16</v>
      </c>
      <c r="H2778">
        <v>0</v>
      </c>
      <c r="I2778" s="2" t="s">
        <v>5329</v>
      </c>
      <c r="J2778" s="2" t="s">
        <v>6173</v>
      </c>
      <c r="K2778">
        <v>20</v>
      </c>
      <c r="L2778">
        <v>20</v>
      </c>
      <c r="M2778">
        <v>20</v>
      </c>
    </row>
    <row r="2779" spans="1:13" x14ac:dyDescent="0.25">
      <c r="A2779" t="s">
        <v>6175</v>
      </c>
      <c r="B2779" t="s">
        <v>6176</v>
      </c>
      <c r="C2779" t="s">
        <v>362</v>
      </c>
      <c r="D2779" t="s">
        <v>4091</v>
      </c>
      <c r="G2779" t="s">
        <v>16</v>
      </c>
      <c r="H2779">
        <v>0</v>
      </c>
      <c r="I2779" s="2" t="s">
        <v>383</v>
      </c>
      <c r="J2779" s="2" t="str">
        <f>"0986494811"</f>
        <v>0986494811</v>
      </c>
      <c r="K2779">
        <v>20</v>
      </c>
      <c r="L2779">
        <v>20</v>
      </c>
      <c r="M2779">
        <v>20</v>
      </c>
    </row>
    <row r="2780" spans="1:13" x14ac:dyDescent="0.25">
      <c r="A2780" t="s">
        <v>6177</v>
      </c>
      <c r="B2780" t="s">
        <v>6178</v>
      </c>
      <c r="C2780" t="s">
        <v>362</v>
      </c>
      <c r="D2780" t="s">
        <v>4091</v>
      </c>
      <c r="G2780" t="s">
        <v>16</v>
      </c>
      <c r="H2780">
        <v>0</v>
      </c>
      <c r="I2780" s="2" t="s">
        <v>842</v>
      </c>
      <c r="J2780" s="2">
        <v>671408</v>
      </c>
      <c r="K2780">
        <v>20</v>
      </c>
      <c r="L2780">
        <v>20</v>
      </c>
      <c r="M2780">
        <v>20</v>
      </c>
    </row>
    <row r="2781" spans="1:13" x14ac:dyDescent="0.25">
      <c r="A2781" t="s">
        <v>6179</v>
      </c>
      <c r="B2781" t="s">
        <v>6180</v>
      </c>
      <c r="C2781" t="s">
        <v>362</v>
      </c>
      <c r="D2781" t="s">
        <v>4091</v>
      </c>
      <c r="F2781">
        <v>1</v>
      </c>
      <c r="G2781" t="s">
        <v>16</v>
      </c>
      <c r="H2781">
        <v>0</v>
      </c>
      <c r="I2781" s="2" t="s">
        <v>108</v>
      </c>
      <c r="J2781" s="3">
        <v>2561101001</v>
      </c>
      <c r="K2781">
        <v>20</v>
      </c>
      <c r="L2781">
        <v>20</v>
      </c>
      <c r="M2781">
        <v>20</v>
      </c>
    </row>
    <row r="2782" spans="1:13" x14ac:dyDescent="0.25">
      <c r="A2782" t="s">
        <v>6181</v>
      </c>
      <c r="B2782" t="s">
        <v>6182</v>
      </c>
      <c r="C2782" t="s">
        <v>20</v>
      </c>
      <c r="D2782" t="s">
        <v>894</v>
      </c>
      <c r="F2782">
        <v>3</v>
      </c>
      <c r="G2782" t="s">
        <v>16</v>
      </c>
      <c r="H2782">
        <v>0</v>
      </c>
      <c r="I2782" s="2" t="s">
        <v>3689</v>
      </c>
      <c r="J2782" s="2">
        <v>25405990</v>
      </c>
      <c r="K2782">
        <v>20</v>
      </c>
      <c r="L2782">
        <v>20</v>
      </c>
      <c r="M2782">
        <v>20</v>
      </c>
    </row>
    <row r="2783" spans="1:13" x14ac:dyDescent="0.25">
      <c r="A2783" t="s">
        <v>6183</v>
      </c>
      <c r="B2783" t="s">
        <v>6184</v>
      </c>
      <c r="C2783" t="s">
        <v>20</v>
      </c>
      <c r="D2783" t="s">
        <v>894</v>
      </c>
      <c r="G2783" t="s">
        <v>16</v>
      </c>
      <c r="H2783">
        <v>0</v>
      </c>
      <c r="I2783" s="2" t="s">
        <v>301</v>
      </c>
      <c r="J2783" s="2">
        <v>25303220</v>
      </c>
      <c r="K2783">
        <v>20</v>
      </c>
      <c r="L2783">
        <v>20</v>
      </c>
      <c r="M2783">
        <v>20</v>
      </c>
    </row>
    <row r="2784" spans="1:13" x14ac:dyDescent="0.25">
      <c r="A2784" t="s">
        <v>6185</v>
      </c>
      <c r="B2784" t="s">
        <v>6186</v>
      </c>
      <c r="C2784" t="s">
        <v>20</v>
      </c>
      <c r="D2784" t="s">
        <v>894</v>
      </c>
      <c r="G2784" t="s">
        <v>16</v>
      </c>
      <c r="H2784">
        <v>0</v>
      </c>
      <c r="I2784" s="2" t="s">
        <v>411</v>
      </c>
      <c r="J2784" s="2" t="s">
        <v>6187</v>
      </c>
      <c r="K2784">
        <v>20</v>
      </c>
      <c r="L2784">
        <v>20</v>
      </c>
      <c r="M2784">
        <v>20</v>
      </c>
    </row>
    <row r="2785" spans="1:13" x14ac:dyDescent="0.25">
      <c r="A2785" t="s">
        <v>6188</v>
      </c>
      <c r="B2785" t="s">
        <v>6189</v>
      </c>
      <c r="C2785" t="s">
        <v>20</v>
      </c>
      <c r="D2785" t="s">
        <v>894</v>
      </c>
      <c r="F2785">
        <v>1</v>
      </c>
      <c r="G2785" t="s">
        <v>16</v>
      </c>
      <c r="H2785">
        <v>0</v>
      </c>
      <c r="I2785" s="2" t="s">
        <v>404</v>
      </c>
      <c r="J2785" s="2" t="s">
        <v>6190</v>
      </c>
      <c r="K2785">
        <v>20</v>
      </c>
      <c r="L2785">
        <v>20</v>
      </c>
      <c r="M2785">
        <v>20</v>
      </c>
    </row>
    <row r="2786" spans="1:13" x14ac:dyDescent="0.25">
      <c r="A2786" t="s">
        <v>6191</v>
      </c>
      <c r="B2786" t="s">
        <v>6192</v>
      </c>
      <c r="C2786" t="s">
        <v>14</v>
      </c>
      <c r="D2786" t="s">
        <v>2620</v>
      </c>
      <c r="F2786">
        <v>1</v>
      </c>
      <c r="G2786" t="s">
        <v>16</v>
      </c>
      <c r="H2786">
        <v>0</v>
      </c>
      <c r="I2786" s="2" t="s">
        <v>319</v>
      </c>
      <c r="J2786" s="2" t="s">
        <v>6193</v>
      </c>
      <c r="K2786">
        <v>20</v>
      </c>
      <c r="L2786">
        <v>20</v>
      </c>
      <c r="M2786">
        <v>20</v>
      </c>
    </row>
    <row r="2787" spans="1:13" x14ac:dyDescent="0.25">
      <c r="A2787" t="s">
        <v>6194</v>
      </c>
      <c r="B2787" t="s">
        <v>6195</v>
      </c>
      <c r="C2787" t="s">
        <v>14</v>
      </c>
      <c r="D2787" t="s">
        <v>2620</v>
      </c>
      <c r="G2787" t="s">
        <v>16</v>
      </c>
      <c r="H2787">
        <v>0</v>
      </c>
      <c r="I2787" s="2" t="s">
        <v>6196</v>
      </c>
      <c r="J2787" s="2" t="s">
        <v>6197</v>
      </c>
      <c r="K2787">
        <v>20</v>
      </c>
      <c r="L2787">
        <v>20</v>
      </c>
      <c r="M2787">
        <v>20</v>
      </c>
    </row>
    <row r="2788" spans="1:13" x14ac:dyDescent="0.25">
      <c r="A2788" t="s">
        <v>6198</v>
      </c>
      <c r="B2788" t="s">
        <v>6199</v>
      </c>
      <c r="C2788" t="s">
        <v>20</v>
      </c>
      <c r="D2788" t="s">
        <v>899</v>
      </c>
      <c r="F2788">
        <v>1</v>
      </c>
      <c r="G2788" t="s">
        <v>16</v>
      </c>
      <c r="H2788">
        <v>0</v>
      </c>
      <c r="I2788" s="2" t="s">
        <v>3689</v>
      </c>
      <c r="J2788" s="2" t="s">
        <v>6200</v>
      </c>
      <c r="K2788">
        <v>20</v>
      </c>
      <c r="L2788">
        <v>20</v>
      </c>
      <c r="M2788">
        <v>20</v>
      </c>
    </row>
    <row r="2789" spans="1:13" x14ac:dyDescent="0.25">
      <c r="A2789" t="s">
        <v>6201</v>
      </c>
      <c r="B2789" t="s">
        <v>6202</v>
      </c>
      <c r="C2789" t="s">
        <v>20</v>
      </c>
      <c r="D2789" t="s">
        <v>899</v>
      </c>
      <c r="F2789">
        <v>1</v>
      </c>
      <c r="G2789" t="s">
        <v>16</v>
      </c>
      <c r="H2789">
        <v>0</v>
      </c>
      <c r="I2789" s="2" t="s">
        <v>3710</v>
      </c>
      <c r="J2789" s="2" t="s">
        <v>6203</v>
      </c>
      <c r="K2789">
        <v>20</v>
      </c>
      <c r="L2789">
        <v>20</v>
      </c>
      <c r="M2789">
        <v>20</v>
      </c>
    </row>
    <row r="2790" spans="1:13" x14ac:dyDescent="0.25">
      <c r="A2790" t="s">
        <v>6204</v>
      </c>
      <c r="B2790" t="s">
        <v>6202</v>
      </c>
      <c r="C2790" t="s">
        <v>20</v>
      </c>
      <c r="D2790" t="s">
        <v>899</v>
      </c>
      <c r="F2790">
        <v>1</v>
      </c>
      <c r="G2790" t="s">
        <v>16</v>
      </c>
      <c r="H2790">
        <v>0</v>
      </c>
      <c r="I2790" s="2" t="s">
        <v>3697</v>
      </c>
      <c r="J2790" s="2" t="s">
        <v>6205</v>
      </c>
      <c r="K2790">
        <v>20</v>
      </c>
      <c r="L2790">
        <v>20</v>
      </c>
      <c r="M2790">
        <v>20</v>
      </c>
    </row>
    <row r="2791" spans="1:13" x14ac:dyDescent="0.25">
      <c r="A2791" t="s">
        <v>6206</v>
      </c>
      <c r="B2791" t="s">
        <v>6207</v>
      </c>
      <c r="C2791" t="s">
        <v>496</v>
      </c>
      <c r="F2791">
        <v>15</v>
      </c>
      <c r="G2791" t="s">
        <v>16</v>
      </c>
      <c r="H2791">
        <v>0</v>
      </c>
      <c r="K2791">
        <v>20</v>
      </c>
      <c r="L2791">
        <v>20</v>
      </c>
      <c r="M2791">
        <v>20</v>
      </c>
    </row>
    <row r="2792" spans="1:13" x14ac:dyDescent="0.25">
      <c r="A2792">
        <v>1611917080</v>
      </c>
      <c r="B2792" t="s">
        <v>6208</v>
      </c>
      <c r="C2792" t="s">
        <v>1432</v>
      </c>
      <c r="F2792">
        <v>0</v>
      </c>
      <c r="G2792" t="s">
        <v>16</v>
      </c>
      <c r="H2792">
        <v>0</v>
      </c>
      <c r="I2792" s="2" t="s">
        <v>51</v>
      </c>
      <c r="J2792" s="2">
        <v>1611917080</v>
      </c>
      <c r="K2792">
        <v>20</v>
      </c>
      <c r="L2792">
        <v>20</v>
      </c>
      <c r="M2792">
        <v>20</v>
      </c>
    </row>
    <row r="2793" spans="1:13" x14ac:dyDescent="0.25">
      <c r="A2793" t="s">
        <v>6209</v>
      </c>
      <c r="B2793" t="s">
        <v>6210</v>
      </c>
      <c r="C2793" t="s">
        <v>1432</v>
      </c>
      <c r="F2793">
        <v>1</v>
      </c>
      <c r="G2793" t="s">
        <v>16</v>
      </c>
      <c r="H2793">
        <v>0</v>
      </c>
      <c r="I2793" s="2" t="s">
        <v>1713</v>
      </c>
      <c r="J2793" s="2">
        <v>1114602</v>
      </c>
      <c r="K2793">
        <v>20</v>
      </c>
      <c r="L2793">
        <v>20</v>
      </c>
      <c r="M2793">
        <v>20</v>
      </c>
    </row>
    <row r="2794" spans="1:13" x14ac:dyDescent="0.25">
      <c r="A2794" t="s">
        <v>6211</v>
      </c>
      <c r="B2794" t="s">
        <v>6212</v>
      </c>
      <c r="C2794" t="s">
        <v>151</v>
      </c>
      <c r="D2794" t="s">
        <v>1092</v>
      </c>
      <c r="F2794">
        <v>0</v>
      </c>
      <c r="G2794" t="s">
        <v>16</v>
      </c>
      <c r="H2794">
        <v>0</v>
      </c>
      <c r="I2794" s="2" t="s">
        <v>1222</v>
      </c>
      <c r="J2794" s="2">
        <v>510370</v>
      </c>
      <c r="K2794">
        <v>20</v>
      </c>
      <c r="L2794">
        <v>20</v>
      </c>
      <c r="M2794">
        <v>20</v>
      </c>
    </row>
    <row r="2795" spans="1:13" x14ac:dyDescent="0.25">
      <c r="A2795" t="s">
        <v>6213</v>
      </c>
      <c r="B2795" t="s">
        <v>6215</v>
      </c>
      <c r="C2795" t="s">
        <v>926</v>
      </c>
      <c r="D2795" t="s">
        <v>6216</v>
      </c>
      <c r="F2795">
        <v>2</v>
      </c>
      <c r="G2795" t="s">
        <v>16</v>
      </c>
      <c r="H2795">
        <v>0</v>
      </c>
      <c r="I2795" s="2" t="s">
        <v>142</v>
      </c>
      <c r="J2795" s="2" t="s">
        <v>6214</v>
      </c>
      <c r="K2795">
        <v>20</v>
      </c>
      <c r="L2795">
        <v>20</v>
      </c>
      <c r="M2795">
        <v>20</v>
      </c>
    </row>
    <row r="2796" spans="1:13" x14ac:dyDescent="0.25">
      <c r="A2796" t="s">
        <v>6217</v>
      </c>
      <c r="B2796" t="s">
        <v>6215</v>
      </c>
      <c r="C2796" t="s">
        <v>926</v>
      </c>
      <c r="D2796" t="s">
        <v>6216</v>
      </c>
      <c r="G2796" t="s">
        <v>16</v>
      </c>
      <c r="H2796">
        <v>0</v>
      </c>
      <c r="I2796" s="2" t="s">
        <v>971</v>
      </c>
      <c r="J2796" s="2" t="s">
        <v>6218</v>
      </c>
      <c r="K2796">
        <v>20</v>
      </c>
      <c r="L2796">
        <v>20</v>
      </c>
      <c r="M2796">
        <v>20</v>
      </c>
    </row>
    <row r="2797" spans="1:13" x14ac:dyDescent="0.25">
      <c r="A2797" t="s">
        <v>6219</v>
      </c>
      <c r="B2797" t="s">
        <v>6215</v>
      </c>
      <c r="C2797" t="s">
        <v>926</v>
      </c>
      <c r="D2797" t="s">
        <v>6216</v>
      </c>
      <c r="G2797" t="s">
        <v>16</v>
      </c>
      <c r="H2797">
        <v>0</v>
      </c>
      <c r="I2797" s="2" t="s">
        <v>1039</v>
      </c>
      <c r="J2797" s="2" t="s">
        <v>6220</v>
      </c>
      <c r="K2797">
        <v>20</v>
      </c>
      <c r="L2797">
        <v>20</v>
      </c>
      <c r="M2797">
        <v>20</v>
      </c>
    </row>
    <row r="2798" spans="1:13" x14ac:dyDescent="0.25">
      <c r="A2798" t="s">
        <v>6221</v>
      </c>
      <c r="B2798" t="s">
        <v>6215</v>
      </c>
      <c r="C2798" t="s">
        <v>926</v>
      </c>
      <c r="D2798" t="s">
        <v>6216</v>
      </c>
      <c r="G2798" t="s">
        <v>16</v>
      </c>
      <c r="H2798">
        <v>0</v>
      </c>
      <c r="I2798" s="2" t="s">
        <v>6222</v>
      </c>
      <c r="J2798" s="2" t="s">
        <v>6223</v>
      </c>
      <c r="K2798">
        <v>20</v>
      </c>
      <c r="L2798">
        <v>20</v>
      </c>
      <c r="M2798">
        <v>20</v>
      </c>
    </row>
    <row r="2799" spans="1:13" x14ac:dyDescent="0.25">
      <c r="A2799" t="s">
        <v>6224</v>
      </c>
      <c r="B2799" t="s">
        <v>6215</v>
      </c>
      <c r="C2799" t="s">
        <v>926</v>
      </c>
      <c r="D2799" t="s">
        <v>6216</v>
      </c>
      <c r="G2799" t="s">
        <v>16</v>
      </c>
      <c r="H2799">
        <v>0</v>
      </c>
      <c r="I2799" s="2" t="s">
        <v>993</v>
      </c>
      <c r="J2799" s="2">
        <v>202527001</v>
      </c>
      <c r="K2799">
        <v>20</v>
      </c>
      <c r="L2799">
        <v>20</v>
      </c>
      <c r="M2799">
        <v>20</v>
      </c>
    </row>
    <row r="2800" spans="1:13" x14ac:dyDescent="0.25">
      <c r="A2800" t="s">
        <v>6225</v>
      </c>
      <c r="B2800" t="s">
        <v>6215</v>
      </c>
      <c r="C2800" t="s">
        <v>926</v>
      </c>
      <c r="D2800" t="s">
        <v>6216</v>
      </c>
      <c r="F2800">
        <v>2</v>
      </c>
      <c r="G2800" t="s">
        <v>16</v>
      </c>
      <c r="H2800">
        <v>0</v>
      </c>
      <c r="K2800">
        <v>20</v>
      </c>
      <c r="L2800">
        <v>20</v>
      </c>
      <c r="M2800">
        <v>20</v>
      </c>
    </row>
    <row r="2801" spans="1:13" x14ac:dyDescent="0.25">
      <c r="A2801" t="s">
        <v>6226</v>
      </c>
      <c r="B2801" t="s">
        <v>6227</v>
      </c>
      <c r="C2801" t="s">
        <v>926</v>
      </c>
      <c r="D2801" t="s">
        <v>6216</v>
      </c>
      <c r="G2801" t="s">
        <v>16</v>
      </c>
      <c r="H2801">
        <v>0</v>
      </c>
      <c r="I2801" s="2" t="s">
        <v>6228</v>
      </c>
      <c r="J2801" s="2" t="s">
        <v>6229</v>
      </c>
      <c r="K2801">
        <v>20</v>
      </c>
      <c r="L2801">
        <v>20</v>
      </c>
      <c r="M2801">
        <v>20</v>
      </c>
    </row>
    <row r="2802" spans="1:13" x14ac:dyDescent="0.25">
      <c r="A2802" t="s">
        <v>6230</v>
      </c>
      <c r="B2802" t="s">
        <v>6227</v>
      </c>
      <c r="C2802" t="s">
        <v>926</v>
      </c>
      <c r="D2802" t="s">
        <v>6216</v>
      </c>
      <c r="F2802">
        <v>2</v>
      </c>
      <c r="G2802" t="s">
        <v>16</v>
      </c>
      <c r="H2802">
        <v>0</v>
      </c>
      <c r="I2802" s="2" t="s">
        <v>64</v>
      </c>
      <c r="J2802" s="2" t="str">
        <f>"05070242"</f>
        <v>05070242</v>
      </c>
      <c r="K2802">
        <v>20</v>
      </c>
      <c r="L2802">
        <v>20</v>
      </c>
      <c r="M2802">
        <v>20</v>
      </c>
    </row>
    <row r="2803" spans="1:13" x14ac:dyDescent="0.25">
      <c r="A2803" t="s">
        <v>6231</v>
      </c>
      <c r="B2803" t="s">
        <v>6232</v>
      </c>
      <c r="C2803" t="s">
        <v>926</v>
      </c>
      <c r="D2803" t="s">
        <v>6216</v>
      </c>
      <c r="G2803" t="s">
        <v>16</v>
      </c>
      <c r="H2803">
        <v>0</v>
      </c>
      <c r="I2803" s="2" t="s">
        <v>1663</v>
      </c>
      <c r="J2803" s="2">
        <v>7101</v>
      </c>
      <c r="K2803">
        <v>20</v>
      </c>
      <c r="L2803">
        <v>20</v>
      </c>
      <c r="M2803">
        <v>20</v>
      </c>
    </row>
    <row r="2804" spans="1:13" x14ac:dyDescent="0.25">
      <c r="A2804" t="s">
        <v>6233</v>
      </c>
      <c r="B2804" t="s">
        <v>6234</v>
      </c>
      <c r="C2804" t="s">
        <v>926</v>
      </c>
      <c r="D2804" t="s">
        <v>6216</v>
      </c>
      <c r="F2804">
        <v>1</v>
      </c>
      <c r="G2804" t="s">
        <v>16</v>
      </c>
      <c r="H2804">
        <v>0</v>
      </c>
      <c r="I2804" s="2" t="s">
        <v>685</v>
      </c>
      <c r="J2804" s="2" t="str">
        <f>"0986356778"</f>
        <v>0986356778</v>
      </c>
      <c r="K2804">
        <v>20</v>
      </c>
      <c r="L2804">
        <v>20</v>
      </c>
      <c r="M2804">
        <v>20</v>
      </c>
    </row>
    <row r="2805" spans="1:13" x14ac:dyDescent="0.25">
      <c r="A2805" t="s">
        <v>6235</v>
      </c>
      <c r="B2805" t="s">
        <v>6234</v>
      </c>
      <c r="C2805" t="s">
        <v>926</v>
      </c>
      <c r="D2805" t="s">
        <v>6216</v>
      </c>
      <c r="G2805" t="s">
        <v>16</v>
      </c>
      <c r="H2805">
        <v>0</v>
      </c>
      <c r="I2805" s="2" t="s">
        <v>6222</v>
      </c>
      <c r="J2805" s="2" t="s">
        <v>6236</v>
      </c>
      <c r="K2805">
        <v>20</v>
      </c>
      <c r="L2805">
        <v>20</v>
      </c>
      <c r="M2805">
        <v>20</v>
      </c>
    </row>
    <row r="2806" spans="1:13" x14ac:dyDescent="0.25">
      <c r="A2806" t="s">
        <v>6237</v>
      </c>
      <c r="B2806" t="s">
        <v>6234</v>
      </c>
      <c r="C2806" t="s">
        <v>926</v>
      </c>
      <c r="D2806" t="s">
        <v>6216</v>
      </c>
      <c r="F2806">
        <v>1</v>
      </c>
      <c r="G2806" t="s">
        <v>16</v>
      </c>
      <c r="H2806">
        <v>0</v>
      </c>
      <c r="I2806" s="2" t="s">
        <v>988</v>
      </c>
      <c r="J2806" s="2" t="s">
        <v>6238</v>
      </c>
      <c r="K2806">
        <v>20</v>
      </c>
      <c r="L2806">
        <v>20</v>
      </c>
      <c r="M2806">
        <v>20</v>
      </c>
    </row>
    <row r="2807" spans="1:13" x14ac:dyDescent="0.25">
      <c r="A2807" t="s">
        <v>6239</v>
      </c>
      <c r="B2807" t="s">
        <v>6234</v>
      </c>
      <c r="C2807" t="s">
        <v>926</v>
      </c>
      <c r="D2807" t="s">
        <v>6216</v>
      </c>
      <c r="F2807">
        <v>2</v>
      </c>
      <c r="G2807" t="s">
        <v>16</v>
      </c>
      <c r="H2807">
        <v>0</v>
      </c>
      <c r="I2807" s="2" t="s">
        <v>2666</v>
      </c>
      <c r="J2807" s="2" t="s">
        <v>6240</v>
      </c>
      <c r="K2807">
        <v>20</v>
      </c>
      <c r="L2807">
        <v>20</v>
      </c>
      <c r="M2807">
        <v>20</v>
      </c>
    </row>
    <row r="2808" spans="1:13" x14ac:dyDescent="0.25">
      <c r="A2808" t="s">
        <v>6241</v>
      </c>
      <c r="B2808" t="s">
        <v>6234</v>
      </c>
      <c r="C2808" t="s">
        <v>926</v>
      </c>
      <c r="D2808" t="s">
        <v>6216</v>
      </c>
      <c r="F2808">
        <v>3</v>
      </c>
      <c r="G2808" t="s">
        <v>16</v>
      </c>
      <c r="H2808">
        <v>0</v>
      </c>
      <c r="I2808" s="2" t="s">
        <v>64</v>
      </c>
      <c r="J2808" s="2" t="str">
        <f>"05070195"</f>
        <v>05070195</v>
      </c>
      <c r="K2808">
        <v>20</v>
      </c>
      <c r="L2808">
        <v>20</v>
      </c>
      <c r="M2808">
        <v>20</v>
      </c>
    </row>
    <row r="2809" spans="1:13" x14ac:dyDescent="0.25">
      <c r="A2809" t="s">
        <v>6242</v>
      </c>
      <c r="B2809" t="s">
        <v>6243</v>
      </c>
      <c r="C2809" t="s">
        <v>926</v>
      </c>
      <c r="D2809" t="s">
        <v>6216</v>
      </c>
      <c r="F2809">
        <v>2</v>
      </c>
      <c r="G2809" t="s">
        <v>16</v>
      </c>
      <c r="H2809">
        <v>0</v>
      </c>
      <c r="I2809" s="2" t="s">
        <v>383</v>
      </c>
      <c r="J2809" s="2" t="str">
        <f>"0986357237"</f>
        <v>0986357237</v>
      </c>
      <c r="K2809">
        <v>20</v>
      </c>
      <c r="L2809">
        <v>20</v>
      </c>
      <c r="M2809">
        <v>20</v>
      </c>
    </row>
    <row r="2810" spans="1:13" x14ac:dyDescent="0.25">
      <c r="A2810" t="s">
        <v>6244</v>
      </c>
      <c r="B2810" t="s">
        <v>6245</v>
      </c>
      <c r="C2810" t="s">
        <v>926</v>
      </c>
      <c r="D2810" t="s">
        <v>6216</v>
      </c>
      <c r="G2810" t="s">
        <v>16</v>
      </c>
      <c r="H2810">
        <v>0</v>
      </c>
      <c r="I2810" s="2" t="s">
        <v>6246</v>
      </c>
      <c r="J2810" s="2" t="s">
        <v>6247</v>
      </c>
      <c r="K2810">
        <v>20</v>
      </c>
      <c r="L2810">
        <v>20</v>
      </c>
      <c r="M2810">
        <v>20</v>
      </c>
    </row>
    <row r="2811" spans="1:13" x14ac:dyDescent="0.25">
      <c r="A2811" t="s">
        <v>6248</v>
      </c>
      <c r="B2811" t="s">
        <v>6249</v>
      </c>
      <c r="C2811" t="s">
        <v>926</v>
      </c>
      <c r="D2811" t="s">
        <v>6216</v>
      </c>
      <c r="G2811" t="s">
        <v>16</v>
      </c>
      <c r="H2811">
        <v>0</v>
      </c>
      <c r="I2811" s="2" t="s">
        <v>6250</v>
      </c>
      <c r="J2811" s="2" t="str">
        <f>"07810"</f>
        <v>07810</v>
      </c>
      <c r="K2811">
        <v>20</v>
      </c>
      <c r="L2811">
        <v>20</v>
      </c>
      <c r="M2811">
        <v>20</v>
      </c>
    </row>
    <row r="2812" spans="1:13" x14ac:dyDescent="0.25">
      <c r="A2812" t="s">
        <v>6251</v>
      </c>
      <c r="B2812" t="s">
        <v>6245</v>
      </c>
      <c r="C2812" t="s">
        <v>926</v>
      </c>
      <c r="D2812" t="s">
        <v>6216</v>
      </c>
      <c r="G2812" t="s">
        <v>16</v>
      </c>
      <c r="H2812">
        <v>0</v>
      </c>
      <c r="I2812" s="2" t="s">
        <v>6222</v>
      </c>
      <c r="J2812" s="2" t="s">
        <v>6252</v>
      </c>
      <c r="K2812">
        <v>20</v>
      </c>
      <c r="L2812">
        <v>20</v>
      </c>
      <c r="M2812">
        <v>20</v>
      </c>
    </row>
    <row r="2813" spans="1:13" x14ac:dyDescent="0.25">
      <c r="A2813" t="s">
        <v>6253</v>
      </c>
      <c r="B2813" t="s">
        <v>6245</v>
      </c>
      <c r="C2813" t="s">
        <v>926</v>
      </c>
      <c r="D2813" t="s">
        <v>6216</v>
      </c>
      <c r="G2813" t="s">
        <v>16</v>
      </c>
      <c r="H2813">
        <v>0</v>
      </c>
      <c r="I2813" s="2" t="s">
        <v>2752</v>
      </c>
      <c r="J2813" s="2" t="s">
        <v>6254</v>
      </c>
      <c r="K2813">
        <v>20</v>
      </c>
      <c r="L2813">
        <v>20</v>
      </c>
      <c r="M2813">
        <v>20</v>
      </c>
    </row>
    <row r="2814" spans="1:13" x14ac:dyDescent="0.25">
      <c r="A2814" t="s">
        <v>6255</v>
      </c>
      <c r="B2814" t="s">
        <v>6245</v>
      </c>
      <c r="C2814" t="s">
        <v>926</v>
      </c>
      <c r="D2814" t="s">
        <v>6216</v>
      </c>
      <c r="F2814">
        <v>4</v>
      </c>
      <c r="G2814" t="s">
        <v>16</v>
      </c>
      <c r="H2814">
        <v>0</v>
      </c>
      <c r="I2814" s="2" t="s">
        <v>64</v>
      </c>
      <c r="J2814" s="2" t="str">
        <f>"05070203"</f>
        <v>05070203</v>
      </c>
      <c r="K2814">
        <v>20</v>
      </c>
      <c r="L2814">
        <v>20</v>
      </c>
      <c r="M2814">
        <v>20</v>
      </c>
    </row>
    <row r="2815" spans="1:13" x14ac:dyDescent="0.25">
      <c r="A2815" t="s">
        <v>6256</v>
      </c>
      <c r="B2815" t="s">
        <v>6257</v>
      </c>
      <c r="C2815" t="s">
        <v>926</v>
      </c>
      <c r="D2815" t="s">
        <v>6216</v>
      </c>
      <c r="F2815">
        <v>1</v>
      </c>
      <c r="G2815" t="s">
        <v>16</v>
      </c>
      <c r="H2815">
        <v>0</v>
      </c>
      <c r="I2815" s="2" t="s">
        <v>6222</v>
      </c>
      <c r="J2815" s="2" t="s">
        <v>6258</v>
      </c>
      <c r="K2815">
        <v>20</v>
      </c>
      <c r="L2815">
        <v>20</v>
      </c>
      <c r="M2815">
        <v>20</v>
      </c>
    </row>
    <row r="2816" spans="1:13" x14ac:dyDescent="0.25">
      <c r="A2816" t="s">
        <v>6259</v>
      </c>
      <c r="B2816" t="s">
        <v>6260</v>
      </c>
      <c r="C2816" t="s">
        <v>926</v>
      </c>
      <c r="D2816" t="s">
        <v>6216</v>
      </c>
      <c r="G2816" t="s">
        <v>16</v>
      </c>
      <c r="H2816">
        <v>0</v>
      </c>
      <c r="I2816" s="2" t="s">
        <v>953</v>
      </c>
      <c r="J2816" s="2">
        <v>85085</v>
      </c>
      <c r="K2816">
        <v>20</v>
      </c>
      <c r="L2816">
        <v>20</v>
      </c>
      <c r="M2816">
        <v>20</v>
      </c>
    </row>
    <row r="2817" spans="1:13" x14ac:dyDescent="0.25">
      <c r="A2817" t="s">
        <v>6261</v>
      </c>
      <c r="B2817" t="s">
        <v>6262</v>
      </c>
      <c r="C2817" t="s">
        <v>926</v>
      </c>
      <c r="D2817" t="s">
        <v>6216</v>
      </c>
      <c r="G2817" t="s">
        <v>16</v>
      </c>
      <c r="H2817">
        <v>0</v>
      </c>
      <c r="I2817" s="2" t="s">
        <v>6228</v>
      </c>
      <c r="J2817" s="2" t="s">
        <v>6263</v>
      </c>
      <c r="K2817">
        <v>20</v>
      </c>
      <c r="L2817">
        <v>20</v>
      </c>
      <c r="M2817">
        <v>20</v>
      </c>
    </row>
    <row r="2818" spans="1:13" x14ac:dyDescent="0.25">
      <c r="A2818" t="s">
        <v>6264</v>
      </c>
      <c r="B2818" t="s">
        <v>6262</v>
      </c>
      <c r="C2818" t="s">
        <v>926</v>
      </c>
      <c r="D2818" t="s">
        <v>6216</v>
      </c>
      <c r="F2818">
        <v>2</v>
      </c>
      <c r="G2818" t="s">
        <v>16</v>
      </c>
      <c r="H2818">
        <v>0</v>
      </c>
      <c r="I2818" s="2" t="s">
        <v>64</v>
      </c>
      <c r="J2818" s="2" t="str">
        <f>"05070253"</f>
        <v>05070253</v>
      </c>
      <c r="K2818">
        <v>20</v>
      </c>
      <c r="L2818">
        <v>20</v>
      </c>
      <c r="M2818">
        <v>20</v>
      </c>
    </row>
    <row r="2819" spans="1:13" x14ac:dyDescent="0.25">
      <c r="A2819" t="s">
        <v>6265</v>
      </c>
      <c r="B2819" t="s">
        <v>6266</v>
      </c>
      <c r="C2819" t="s">
        <v>1432</v>
      </c>
      <c r="F2819">
        <v>1</v>
      </c>
      <c r="G2819" t="s">
        <v>16</v>
      </c>
      <c r="H2819">
        <v>0</v>
      </c>
      <c r="I2819" s="2" t="s">
        <v>87</v>
      </c>
      <c r="J2819" s="2" t="s">
        <v>6267</v>
      </c>
      <c r="K2819">
        <v>20</v>
      </c>
      <c r="L2819">
        <v>20</v>
      </c>
      <c r="M2819">
        <v>20</v>
      </c>
    </row>
    <row r="2820" spans="1:13" x14ac:dyDescent="0.25">
      <c r="A2820" t="s">
        <v>6268</v>
      </c>
      <c r="B2820" t="s">
        <v>6269</v>
      </c>
      <c r="C2820" t="s">
        <v>1432</v>
      </c>
      <c r="F2820">
        <v>1</v>
      </c>
      <c r="G2820" t="s">
        <v>16</v>
      </c>
      <c r="H2820">
        <v>0</v>
      </c>
      <c r="I2820" s="2" t="s">
        <v>4884</v>
      </c>
      <c r="J2820" s="2" t="s">
        <v>6270</v>
      </c>
      <c r="K2820">
        <v>20</v>
      </c>
      <c r="L2820">
        <v>20</v>
      </c>
      <c r="M2820">
        <v>20</v>
      </c>
    </row>
    <row r="2821" spans="1:13" x14ac:dyDescent="0.25">
      <c r="A2821" t="s">
        <v>6271</v>
      </c>
      <c r="B2821" t="s">
        <v>6272</v>
      </c>
      <c r="C2821" t="s">
        <v>151</v>
      </c>
      <c r="D2821" t="s">
        <v>1381</v>
      </c>
      <c r="G2821" t="s">
        <v>16</v>
      </c>
      <c r="H2821">
        <v>0</v>
      </c>
      <c r="I2821" s="2" t="s">
        <v>707</v>
      </c>
      <c r="J2821" s="2" t="s">
        <v>6273</v>
      </c>
      <c r="K2821">
        <v>20</v>
      </c>
      <c r="L2821">
        <v>20</v>
      </c>
      <c r="M2821">
        <v>20</v>
      </c>
    </row>
    <row r="2822" spans="1:13" x14ac:dyDescent="0.25">
      <c r="A2822" t="s">
        <v>6274</v>
      </c>
      <c r="B2822" t="s">
        <v>6275</v>
      </c>
      <c r="C2822" t="s">
        <v>20</v>
      </c>
      <c r="D2822" t="s">
        <v>26</v>
      </c>
      <c r="F2822">
        <v>1</v>
      </c>
      <c r="G2822" t="s">
        <v>16</v>
      </c>
      <c r="H2822">
        <v>0</v>
      </c>
      <c r="I2822" s="2" t="s">
        <v>27</v>
      </c>
      <c r="J2822" s="2">
        <v>41703040</v>
      </c>
      <c r="K2822">
        <v>20</v>
      </c>
      <c r="L2822">
        <v>20</v>
      </c>
      <c r="M2822">
        <v>20</v>
      </c>
    </row>
    <row r="2823" spans="1:13" x14ac:dyDescent="0.25">
      <c r="A2823" t="s">
        <v>6276</v>
      </c>
      <c r="B2823" t="s">
        <v>6277</v>
      </c>
      <c r="C2823" t="s">
        <v>20</v>
      </c>
      <c r="D2823" t="s">
        <v>894</v>
      </c>
      <c r="F2823">
        <v>1</v>
      </c>
      <c r="G2823" t="s">
        <v>16</v>
      </c>
      <c r="H2823">
        <v>0</v>
      </c>
      <c r="I2823" s="2" t="s">
        <v>389</v>
      </c>
      <c r="J2823" s="2">
        <v>1613444680</v>
      </c>
      <c r="K2823">
        <v>20</v>
      </c>
      <c r="L2823">
        <v>20</v>
      </c>
      <c r="M2823">
        <v>20</v>
      </c>
    </row>
    <row r="2824" spans="1:13" x14ac:dyDescent="0.25">
      <c r="A2824" t="s">
        <v>6278</v>
      </c>
      <c r="B2824" t="s">
        <v>6279</v>
      </c>
      <c r="C2824" t="s">
        <v>1432</v>
      </c>
      <c r="D2824" t="s">
        <v>6280</v>
      </c>
      <c r="F2824">
        <v>1</v>
      </c>
      <c r="G2824" t="s">
        <v>16</v>
      </c>
      <c r="H2824">
        <v>0</v>
      </c>
      <c r="I2824" s="2" t="s">
        <v>854</v>
      </c>
      <c r="J2824" s="2">
        <v>874414</v>
      </c>
      <c r="K2824">
        <v>20</v>
      </c>
      <c r="L2824">
        <v>20</v>
      </c>
      <c r="M2824">
        <v>20</v>
      </c>
    </row>
    <row r="2825" spans="1:13" x14ac:dyDescent="0.25">
      <c r="A2825" t="s">
        <v>6281</v>
      </c>
      <c r="B2825" t="s">
        <v>6282</v>
      </c>
      <c r="C2825" t="s">
        <v>540</v>
      </c>
      <c r="F2825">
        <v>2</v>
      </c>
      <c r="G2825" t="s">
        <v>16</v>
      </c>
      <c r="H2825">
        <v>0</v>
      </c>
      <c r="I2825" s="2" t="s">
        <v>613</v>
      </c>
      <c r="J2825" s="2" t="str">
        <f>"0020.1613564580"</f>
        <v>0020.1613564580</v>
      </c>
      <c r="K2825">
        <v>20</v>
      </c>
      <c r="L2825">
        <v>20</v>
      </c>
      <c r="M2825">
        <v>20</v>
      </c>
    </row>
    <row r="2826" spans="1:13" x14ac:dyDescent="0.25">
      <c r="A2826" t="s">
        <v>6283</v>
      </c>
      <c r="B2826" t="s">
        <v>6284</v>
      </c>
      <c r="C2826" t="s">
        <v>20</v>
      </c>
      <c r="D2826" t="s">
        <v>26</v>
      </c>
      <c r="F2826">
        <v>1</v>
      </c>
      <c r="G2826" t="s">
        <v>16</v>
      </c>
      <c r="H2826">
        <v>0</v>
      </c>
      <c r="I2826" s="2" t="s">
        <v>2098</v>
      </c>
      <c r="J2826" s="2" t="s">
        <v>6285</v>
      </c>
      <c r="K2826">
        <v>20</v>
      </c>
      <c r="L2826">
        <v>20</v>
      </c>
      <c r="M2826">
        <v>20</v>
      </c>
    </row>
    <row r="2827" spans="1:13" x14ac:dyDescent="0.25">
      <c r="A2827" t="s">
        <v>6286</v>
      </c>
      <c r="B2827" t="s">
        <v>6287</v>
      </c>
      <c r="C2827" t="s">
        <v>20</v>
      </c>
      <c r="D2827" t="s">
        <v>894</v>
      </c>
      <c r="F2827">
        <v>1</v>
      </c>
      <c r="G2827" t="s">
        <v>16</v>
      </c>
      <c r="H2827">
        <v>0</v>
      </c>
      <c r="I2827" s="2" t="s">
        <v>411</v>
      </c>
      <c r="J2827" s="2" t="s">
        <v>6288</v>
      </c>
      <c r="K2827">
        <v>20</v>
      </c>
      <c r="L2827">
        <v>20</v>
      </c>
      <c r="M2827">
        <v>20</v>
      </c>
    </row>
    <row r="2828" spans="1:13" x14ac:dyDescent="0.25">
      <c r="A2828" t="s">
        <v>6289</v>
      </c>
      <c r="B2828" t="s">
        <v>6287</v>
      </c>
      <c r="C2828" t="s">
        <v>20</v>
      </c>
      <c r="D2828" t="s">
        <v>894</v>
      </c>
      <c r="G2828" t="s">
        <v>16</v>
      </c>
      <c r="H2828">
        <v>0</v>
      </c>
      <c r="I2828" s="2" t="s">
        <v>3783</v>
      </c>
      <c r="J2828" s="2" t="s">
        <v>6290</v>
      </c>
      <c r="K2828">
        <v>20</v>
      </c>
      <c r="L2828">
        <v>20</v>
      </c>
      <c r="M2828">
        <v>20</v>
      </c>
    </row>
    <row r="2829" spans="1:13" x14ac:dyDescent="0.25">
      <c r="A2829" t="s">
        <v>6291</v>
      </c>
      <c r="B2829" t="s">
        <v>6292</v>
      </c>
      <c r="C2829" t="s">
        <v>20</v>
      </c>
      <c r="D2829" t="s">
        <v>894</v>
      </c>
      <c r="F2829">
        <v>1</v>
      </c>
      <c r="G2829" t="s">
        <v>16</v>
      </c>
      <c r="H2829">
        <v>0</v>
      </c>
      <c r="I2829" s="2" t="s">
        <v>392</v>
      </c>
      <c r="J2829" s="2">
        <v>1613445180</v>
      </c>
      <c r="K2829">
        <v>20</v>
      </c>
      <c r="L2829">
        <v>20</v>
      </c>
      <c r="M2829">
        <v>20</v>
      </c>
    </row>
    <row r="2830" spans="1:13" x14ac:dyDescent="0.25">
      <c r="A2830" t="s">
        <v>6293</v>
      </c>
      <c r="B2830" t="s">
        <v>6294</v>
      </c>
      <c r="C2830" t="s">
        <v>20</v>
      </c>
      <c r="D2830" t="s">
        <v>26</v>
      </c>
      <c r="G2830" t="s">
        <v>16</v>
      </c>
      <c r="H2830">
        <v>0</v>
      </c>
      <c r="I2830" s="2" t="s">
        <v>92</v>
      </c>
      <c r="J2830" s="2">
        <v>82035976</v>
      </c>
      <c r="K2830">
        <v>20</v>
      </c>
      <c r="L2830">
        <v>20</v>
      </c>
      <c r="M2830">
        <v>20</v>
      </c>
    </row>
    <row r="2831" spans="1:13" x14ac:dyDescent="0.25">
      <c r="A2831" t="s">
        <v>6295</v>
      </c>
      <c r="B2831" t="s">
        <v>6296</v>
      </c>
      <c r="C2831" t="s">
        <v>20</v>
      </c>
      <c r="D2831" t="s">
        <v>26</v>
      </c>
      <c r="F2831">
        <v>1</v>
      </c>
      <c r="G2831" t="s">
        <v>16</v>
      </c>
      <c r="H2831">
        <v>0</v>
      </c>
      <c r="I2831" s="2" t="s">
        <v>57</v>
      </c>
      <c r="J2831" s="2" t="str">
        <f>"046210-FP"</f>
        <v>046210-FP</v>
      </c>
      <c r="K2831">
        <v>20</v>
      </c>
      <c r="L2831">
        <v>20</v>
      </c>
      <c r="M2831">
        <v>20</v>
      </c>
    </row>
    <row r="2832" spans="1:13" x14ac:dyDescent="0.25">
      <c r="A2832" t="s">
        <v>6297</v>
      </c>
      <c r="B2832" t="s">
        <v>6298</v>
      </c>
      <c r="C2832" t="s">
        <v>362</v>
      </c>
      <c r="D2832" t="s">
        <v>363</v>
      </c>
      <c r="F2832">
        <v>1</v>
      </c>
      <c r="G2832" t="s">
        <v>22</v>
      </c>
      <c r="H2832">
        <v>0</v>
      </c>
      <c r="I2832" s="2" t="s">
        <v>6299</v>
      </c>
      <c r="J2832" s="2" t="s">
        <v>6300</v>
      </c>
      <c r="K2832">
        <v>20</v>
      </c>
      <c r="L2832">
        <v>20</v>
      </c>
      <c r="M2832">
        <v>20</v>
      </c>
    </row>
    <row r="2833" spans="1:13" x14ac:dyDescent="0.25">
      <c r="A2833">
        <v>1616780680</v>
      </c>
      <c r="B2833" t="s">
        <v>6301</v>
      </c>
      <c r="C2833" t="s">
        <v>362</v>
      </c>
      <c r="F2833">
        <v>1</v>
      </c>
      <c r="G2833" t="s">
        <v>16</v>
      </c>
      <c r="H2833">
        <v>0</v>
      </c>
      <c r="I2833" s="2" t="s">
        <v>51</v>
      </c>
      <c r="J2833" s="2">
        <v>1616780680</v>
      </c>
      <c r="K2833">
        <v>20</v>
      </c>
      <c r="L2833">
        <v>20</v>
      </c>
      <c r="M2833">
        <v>20</v>
      </c>
    </row>
    <row r="2834" spans="1:13" x14ac:dyDescent="0.25">
      <c r="A2834" t="s">
        <v>6302</v>
      </c>
      <c r="B2834" t="s">
        <v>6303</v>
      </c>
      <c r="C2834" t="s">
        <v>362</v>
      </c>
      <c r="D2834" t="s">
        <v>4091</v>
      </c>
      <c r="F2834">
        <v>1</v>
      </c>
      <c r="G2834" t="s">
        <v>16</v>
      </c>
      <c r="H2834">
        <v>0</v>
      </c>
      <c r="I2834" s="2" t="s">
        <v>162</v>
      </c>
      <c r="J2834" s="2">
        <v>55123</v>
      </c>
      <c r="K2834">
        <v>20</v>
      </c>
      <c r="L2834">
        <v>20</v>
      </c>
      <c r="M2834">
        <v>20</v>
      </c>
    </row>
    <row r="2835" spans="1:13" x14ac:dyDescent="0.25">
      <c r="A2835" t="s">
        <v>6304</v>
      </c>
      <c r="B2835" t="s">
        <v>5828</v>
      </c>
      <c r="C2835" t="s">
        <v>362</v>
      </c>
      <c r="D2835" t="s">
        <v>4091</v>
      </c>
      <c r="F2835">
        <v>1</v>
      </c>
      <c r="G2835" t="s">
        <v>16</v>
      </c>
      <c r="H2835">
        <v>0</v>
      </c>
      <c r="I2835" s="2" t="s">
        <v>514</v>
      </c>
      <c r="J2835" s="2" t="s">
        <v>6305</v>
      </c>
      <c r="K2835">
        <v>20</v>
      </c>
      <c r="L2835">
        <v>20</v>
      </c>
      <c r="M2835">
        <v>20</v>
      </c>
    </row>
    <row r="2836" spans="1:13" x14ac:dyDescent="0.25">
      <c r="A2836" t="s">
        <v>6306</v>
      </c>
      <c r="B2836" t="s">
        <v>6307</v>
      </c>
      <c r="C2836" t="s">
        <v>362</v>
      </c>
      <c r="D2836" t="s">
        <v>4091</v>
      </c>
      <c r="F2836">
        <v>3</v>
      </c>
      <c r="G2836" t="s">
        <v>16</v>
      </c>
      <c r="H2836">
        <v>0</v>
      </c>
      <c r="I2836" s="2" t="s">
        <v>383</v>
      </c>
      <c r="J2836" s="2" t="str">
        <f>"0986494564"</f>
        <v>0986494564</v>
      </c>
      <c r="K2836">
        <v>20</v>
      </c>
      <c r="L2836">
        <v>20</v>
      </c>
      <c r="M2836">
        <v>20</v>
      </c>
    </row>
    <row r="2837" spans="1:13" x14ac:dyDescent="0.25">
      <c r="A2837" t="s">
        <v>6308</v>
      </c>
      <c r="B2837" t="s">
        <v>5828</v>
      </c>
      <c r="C2837" t="s">
        <v>362</v>
      </c>
      <c r="D2837" t="s">
        <v>4091</v>
      </c>
      <c r="F2837">
        <v>0</v>
      </c>
      <c r="G2837" t="s">
        <v>16</v>
      </c>
      <c r="H2837">
        <v>0</v>
      </c>
      <c r="I2837" s="2" t="s">
        <v>4193</v>
      </c>
      <c r="J2837" s="2" t="s">
        <v>6309</v>
      </c>
      <c r="K2837">
        <v>20</v>
      </c>
      <c r="L2837">
        <v>20</v>
      </c>
      <c r="M2837">
        <v>20</v>
      </c>
    </row>
    <row r="2838" spans="1:13" x14ac:dyDescent="0.25">
      <c r="A2838" t="s">
        <v>6310</v>
      </c>
      <c r="B2838" t="s">
        <v>6311</v>
      </c>
      <c r="C2838" t="s">
        <v>362</v>
      </c>
      <c r="D2838" t="s">
        <v>4091</v>
      </c>
      <c r="G2838" t="s">
        <v>16</v>
      </c>
      <c r="H2838">
        <v>0</v>
      </c>
      <c r="I2838" s="2" t="s">
        <v>854</v>
      </c>
      <c r="J2838" s="2">
        <v>670334</v>
      </c>
      <c r="K2838">
        <v>20</v>
      </c>
      <c r="L2838">
        <v>20</v>
      </c>
      <c r="M2838">
        <v>20</v>
      </c>
    </row>
    <row r="2839" spans="1:13" x14ac:dyDescent="0.25">
      <c r="A2839">
        <v>1617339280</v>
      </c>
      <c r="B2839" t="s">
        <v>6312</v>
      </c>
      <c r="C2839" t="s">
        <v>1432</v>
      </c>
      <c r="F2839">
        <v>0</v>
      </c>
      <c r="G2839" t="s">
        <v>16</v>
      </c>
      <c r="H2839">
        <v>0</v>
      </c>
      <c r="I2839" s="2" t="s">
        <v>51</v>
      </c>
      <c r="J2839" s="2">
        <v>1617339280</v>
      </c>
      <c r="K2839">
        <v>20</v>
      </c>
      <c r="L2839">
        <v>20</v>
      </c>
      <c r="M2839">
        <v>20</v>
      </c>
    </row>
    <row r="2840" spans="1:13" x14ac:dyDescent="0.25">
      <c r="A2840">
        <v>1617985780</v>
      </c>
      <c r="B2840" t="s">
        <v>6313</v>
      </c>
      <c r="C2840" t="s">
        <v>1432</v>
      </c>
      <c r="F2840">
        <v>1</v>
      </c>
      <c r="G2840" t="s">
        <v>16</v>
      </c>
      <c r="H2840">
        <v>0</v>
      </c>
      <c r="I2840" s="2" t="s">
        <v>55</v>
      </c>
      <c r="J2840" s="2">
        <v>1617985780</v>
      </c>
      <c r="K2840">
        <v>20</v>
      </c>
      <c r="L2840">
        <v>20</v>
      </c>
      <c r="M2840">
        <v>20</v>
      </c>
    </row>
    <row r="2841" spans="1:13" x14ac:dyDescent="0.25">
      <c r="A2841" t="s">
        <v>6314</v>
      </c>
      <c r="B2841" t="s">
        <v>6315</v>
      </c>
      <c r="C2841" t="s">
        <v>151</v>
      </c>
      <c r="D2841" t="s">
        <v>6316</v>
      </c>
      <c r="F2841">
        <v>1</v>
      </c>
      <c r="G2841" t="s">
        <v>16</v>
      </c>
      <c r="H2841">
        <v>0</v>
      </c>
      <c r="I2841" s="2" t="s">
        <v>639</v>
      </c>
      <c r="J2841" s="2" t="s">
        <v>6317</v>
      </c>
      <c r="K2841">
        <v>20</v>
      </c>
      <c r="L2841">
        <v>20</v>
      </c>
      <c r="M2841">
        <v>20</v>
      </c>
    </row>
    <row r="2842" spans="1:13" x14ac:dyDescent="0.25">
      <c r="A2842" t="s">
        <v>6318</v>
      </c>
      <c r="B2842" t="s">
        <v>6319</v>
      </c>
      <c r="C2842" t="s">
        <v>151</v>
      </c>
      <c r="D2842" t="s">
        <v>6316</v>
      </c>
      <c r="F2842">
        <v>2</v>
      </c>
      <c r="G2842" t="s">
        <v>16</v>
      </c>
      <c r="H2842">
        <v>0</v>
      </c>
      <c r="I2842" s="2" t="s">
        <v>51</v>
      </c>
      <c r="J2842" s="2" t="s">
        <v>6320</v>
      </c>
      <c r="K2842">
        <v>20</v>
      </c>
      <c r="L2842">
        <v>20</v>
      </c>
      <c r="M2842">
        <v>20</v>
      </c>
    </row>
    <row r="2843" spans="1:13" x14ac:dyDescent="0.25">
      <c r="A2843" t="s">
        <v>6321</v>
      </c>
      <c r="B2843" t="s">
        <v>6322</v>
      </c>
      <c r="C2843" t="s">
        <v>151</v>
      </c>
      <c r="D2843" t="s">
        <v>6316</v>
      </c>
      <c r="F2843">
        <v>-1</v>
      </c>
      <c r="G2843" t="s">
        <v>16</v>
      </c>
      <c r="H2843">
        <v>0</v>
      </c>
      <c r="I2843" s="2" t="s">
        <v>639</v>
      </c>
      <c r="J2843" s="2" t="s">
        <v>6323</v>
      </c>
      <c r="K2843">
        <v>20</v>
      </c>
      <c r="L2843">
        <v>20</v>
      </c>
      <c r="M2843">
        <v>20</v>
      </c>
    </row>
    <row r="2844" spans="1:13" x14ac:dyDescent="0.25">
      <c r="A2844" t="s">
        <v>6324</v>
      </c>
      <c r="B2844" t="s">
        <v>6325</v>
      </c>
      <c r="C2844" t="s">
        <v>151</v>
      </c>
      <c r="G2844" t="s">
        <v>16</v>
      </c>
      <c r="H2844">
        <v>0</v>
      </c>
      <c r="K2844">
        <v>20</v>
      </c>
      <c r="L2844">
        <v>20</v>
      </c>
      <c r="M2844">
        <v>20</v>
      </c>
    </row>
    <row r="2845" spans="1:13" x14ac:dyDescent="0.25">
      <c r="A2845" t="s">
        <v>6326</v>
      </c>
      <c r="B2845" t="s">
        <v>6327</v>
      </c>
      <c r="C2845" t="s">
        <v>151</v>
      </c>
      <c r="D2845" t="s">
        <v>6328</v>
      </c>
      <c r="F2845">
        <v>1</v>
      </c>
      <c r="G2845" t="s">
        <v>16</v>
      </c>
      <c r="H2845">
        <v>0</v>
      </c>
      <c r="I2845" s="2" t="s">
        <v>598</v>
      </c>
      <c r="J2845" s="2">
        <v>346660</v>
      </c>
      <c r="K2845">
        <v>20</v>
      </c>
      <c r="L2845">
        <v>20</v>
      </c>
      <c r="M2845">
        <v>20</v>
      </c>
    </row>
    <row r="2846" spans="1:13" x14ac:dyDescent="0.25">
      <c r="A2846" t="s">
        <v>6329</v>
      </c>
      <c r="B2846" t="s">
        <v>6330</v>
      </c>
      <c r="C2846" t="s">
        <v>151</v>
      </c>
      <c r="D2846" t="s">
        <v>6328</v>
      </c>
      <c r="F2846">
        <v>1</v>
      </c>
      <c r="G2846" t="s">
        <v>16</v>
      </c>
      <c r="H2846">
        <v>0</v>
      </c>
      <c r="I2846" s="2" t="s">
        <v>598</v>
      </c>
      <c r="J2846" s="2">
        <v>346685</v>
      </c>
      <c r="K2846">
        <v>20</v>
      </c>
      <c r="L2846">
        <v>20</v>
      </c>
      <c r="M2846">
        <v>20</v>
      </c>
    </row>
    <row r="2847" spans="1:13" x14ac:dyDescent="0.25">
      <c r="A2847" t="s">
        <v>6331</v>
      </c>
      <c r="B2847" t="s">
        <v>6332</v>
      </c>
      <c r="C2847" t="s">
        <v>151</v>
      </c>
      <c r="D2847" t="s">
        <v>6328</v>
      </c>
      <c r="F2847">
        <v>1</v>
      </c>
      <c r="G2847" t="s">
        <v>16</v>
      </c>
      <c r="H2847">
        <v>0</v>
      </c>
      <c r="I2847" s="2" t="s">
        <v>1200</v>
      </c>
      <c r="J2847" s="2" t="s">
        <v>6333</v>
      </c>
      <c r="K2847">
        <v>20</v>
      </c>
      <c r="L2847">
        <v>20</v>
      </c>
      <c r="M2847">
        <v>20</v>
      </c>
    </row>
    <row r="2848" spans="1:13" x14ac:dyDescent="0.25">
      <c r="A2848" t="s">
        <v>6334</v>
      </c>
      <c r="B2848" t="s">
        <v>6335</v>
      </c>
      <c r="C2848" t="s">
        <v>151</v>
      </c>
      <c r="D2848" t="s">
        <v>6328</v>
      </c>
      <c r="F2848">
        <v>1</v>
      </c>
      <c r="G2848" t="s">
        <v>16</v>
      </c>
      <c r="H2848">
        <v>0</v>
      </c>
      <c r="I2848" s="2" t="s">
        <v>1671</v>
      </c>
      <c r="J2848" s="2">
        <v>346695</v>
      </c>
      <c r="K2848">
        <v>20</v>
      </c>
      <c r="L2848">
        <v>20</v>
      </c>
      <c r="M2848">
        <v>20</v>
      </c>
    </row>
    <row r="2849" spans="1:13" x14ac:dyDescent="0.25">
      <c r="A2849" t="s">
        <v>6336</v>
      </c>
      <c r="B2849" t="s">
        <v>6335</v>
      </c>
      <c r="C2849" t="s">
        <v>151</v>
      </c>
      <c r="D2849" t="s">
        <v>6328</v>
      </c>
      <c r="F2849">
        <v>0</v>
      </c>
      <c r="G2849" t="s">
        <v>16</v>
      </c>
      <c r="H2849">
        <v>0</v>
      </c>
      <c r="I2849" s="2" t="s">
        <v>64</v>
      </c>
      <c r="J2849" s="2" t="str">
        <f>"08050084"</f>
        <v>08050084</v>
      </c>
      <c r="K2849">
        <v>20</v>
      </c>
      <c r="L2849">
        <v>20</v>
      </c>
      <c r="M2849">
        <v>20</v>
      </c>
    </row>
    <row r="2850" spans="1:13" x14ac:dyDescent="0.25">
      <c r="A2850" t="s">
        <v>6337</v>
      </c>
      <c r="B2850" t="s">
        <v>6338</v>
      </c>
      <c r="C2850" t="s">
        <v>151</v>
      </c>
      <c r="D2850" t="s">
        <v>6328</v>
      </c>
      <c r="G2850" t="s">
        <v>16</v>
      </c>
      <c r="H2850">
        <v>0</v>
      </c>
      <c r="I2850" s="2" t="s">
        <v>598</v>
      </c>
      <c r="J2850" s="2">
        <v>346680</v>
      </c>
      <c r="K2850">
        <v>20</v>
      </c>
      <c r="L2850">
        <v>20</v>
      </c>
      <c r="M2850">
        <v>20</v>
      </c>
    </row>
    <row r="2851" spans="1:13" x14ac:dyDescent="0.25">
      <c r="A2851" t="s">
        <v>6339</v>
      </c>
      <c r="B2851" t="s">
        <v>6338</v>
      </c>
      <c r="C2851" t="s">
        <v>151</v>
      </c>
      <c r="D2851" t="s">
        <v>6328</v>
      </c>
      <c r="F2851">
        <v>1</v>
      </c>
      <c r="G2851" t="s">
        <v>16</v>
      </c>
      <c r="H2851">
        <v>0</v>
      </c>
      <c r="I2851" s="2" t="s">
        <v>64</v>
      </c>
      <c r="J2851" s="2" t="str">
        <f>"08050081"</f>
        <v>08050081</v>
      </c>
      <c r="K2851">
        <v>20</v>
      </c>
      <c r="L2851">
        <v>20</v>
      </c>
      <c r="M2851">
        <v>20</v>
      </c>
    </row>
    <row r="2852" spans="1:13" x14ac:dyDescent="0.25">
      <c r="A2852" t="s">
        <v>6340</v>
      </c>
      <c r="B2852" t="s">
        <v>6342</v>
      </c>
      <c r="C2852" t="s">
        <v>151</v>
      </c>
      <c r="D2852" t="s">
        <v>6328</v>
      </c>
      <c r="F2852">
        <v>1</v>
      </c>
      <c r="G2852" t="s">
        <v>16</v>
      </c>
      <c r="H2852">
        <v>0</v>
      </c>
      <c r="I2852" s="2" t="s">
        <v>288</v>
      </c>
      <c r="J2852" s="2" t="s">
        <v>6341</v>
      </c>
      <c r="K2852">
        <v>20</v>
      </c>
      <c r="L2852">
        <v>20</v>
      </c>
      <c r="M2852">
        <v>20</v>
      </c>
    </row>
    <row r="2853" spans="1:13" x14ac:dyDescent="0.25">
      <c r="A2853" t="s">
        <v>6343</v>
      </c>
      <c r="B2853" t="s">
        <v>6344</v>
      </c>
      <c r="C2853" t="s">
        <v>151</v>
      </c>
      <c r="D2853" t="s">
        <v>6328</v>
      </c>
      <c r="F2853">
        <v>1</v>
      </c>
      <c r="G2853" t="s">
        <v>16</v>
      </c>
      <c r="H2853">
        <v>0</v>
      </c>
      <c r="I2853" s="2" t="s">
        <v>759</v>
      </c>
      <c r="J2853" s="2">
        <v>1618164</v>
      </c>
      <c r="K2853">
        <v>20</v>
      </c>
      <c r="L2853">
        <v>20</v>
      </c>
      <c r="M2853">
        <v>20</v>
      </c>
    </row>
    <row r="2854" spans="1:13" x14ac:dyDescent="0.25">
      <c r="A2854" t="s">
        <v>6345</v>
      </c>
      <c r="B2854" t="s">
        <v>6346</v>
      </c>
      <c r="C2854" t="s">
        <v>151</v>
      </c>
      <c r="D2854" t="s">
        <v>6347</v>
      </c>
      <c r="F2854">
        <v>2</v>
      </c>
      <c r="G2854" t="s">
        <v>16</v>
      </c>
      <c r="H2854">
        <v>0</v>
      </c>
      <c r="K2854">
        <v>20</v>
      </c>
      <c r="L2854">
        <v>20</v>
      </c>
      <c r="M2854">
        <v>20</v>
      </c>
    </row>
    <row r="2855" spans="1:13" x14ac:dyDescent="0.25">
      <c r="A2855" t="s">
        <v>6348</v>
      </c>
      <c r="B2855" t="s">
        <v>6349</v>
      </c>
      <c r="C2855" t="s">
        <v>151</v>
      </c>
      <c r="D2855" t="s">
        <v>6328</v>
      </c>
      <c r="F2855">
        <v>1</v>
      </c>
      <c r="G2855" t="s">
        <v>16</v>
      </c>
      <c r="H2855">
        <v>0</v>
      </c>
      <c r="I2855" s="2" t="s">
        <v>319</v>
      </c>
      <c r="J2855" s="2" t="s">
        <v>6350</v>
      </c>
      <c r="K2855">
        <v>20</v>
      </c>
      <c r="L2855">
        <v>20</v>
      </c>
      <c r="M2855">
        <v>20</v>
      </c>
    </row>
    <row r="2856" spans="1:13" x14ac:dyDescent="0.25">
      <c r="A2856" t="s">
        <v>6351</v>
      </c>
      <c r="B2856" t="s">
        <v>6349</v>
      </c>
      <c r="C2856" t="s">
        <v>151</v>
      </c>
      <c r="D2856" t="s">
        <v>6328</v>
      </c>
      <c r="F2856">
        <v>0</v>
      </c>
      <c r="G2856" t="s">
        <v>16</v>
      </c>
      <c r="H2856">
        <v>0</v>
      </c>
      <c r="I2856" s="2" t="s">
        <v>1175</v>
      </c>
      <c r="J2856" s="2" t="s">
        <v>6352</v>
      </c>
      <c r="K2856">
        <v>20</v>
      </c>
      <c r="L2856">
        <v>20</v>
      </c>
      <c r="M2856">
        <v>20</v>
      </c>
    </row>
    <row r="2857" spans="1:13" x14ac:dyDescent="0.25">
      <c r="A2857" t="s">
        <v>6353</v>
      </c>
      <c r="B2857" t="s">
        <v>6354</v>
      </c>
      <c r="C2857" t="s">
        <v>151</v>
      </c>
      <c r="D2857" t="s">
        <v>6347</v>
      </c>
      <c r="F2857">
        <v>0</v>
      </c>
      <c r="G2857" t="s">
        <v>16</v>
      </c>
      <c r="H2857">
        <v>0</v>
      </c>
      <c r="I2857" s="2" t="s">
        <v>319</v>
      </c>
      <c r="J2857" s="2" t="s">
        <v>6355</v>
      </c>
      <c r="K2857">
        <v>20</v>
      </c>
      <c r="L2857">
        <v>20</v>
      </c>
      <c r="M2857">
        <v>20</v>
      </c>
    </row>
    <row r="2858" spans="1:13" x14ac:dyDescent="0.25">
      <c r="A2858" t="s">
        <v>6356</v>
      </c>
      <c r="B2858" t="s">
        <v>6357</v>
      </c>
      <c r="C2858" t="s">
        <v>357</v>
      </c>
      <c r="G2858" t="s">
        <v>16</v>
      </c>
      <c r="H2858">
        <v>0</v>
      </c>
      <c r="I2858" s="2" t="s">
        <v>1175</v>
      </c>
      <c r="J2858" s="2" t="s">
        <v>6358</v>
      </c>
      <c r="K2858">
        <v>20</v>
      </c>
      <c r="L2858">
        <v>20</v>
      </c>
      <c r="M2858">
        <v>20</v>
      </c>
    </row>
    <row r="2859" spans="1:13" x14ac:dyDescent="0.25">
      <c r="A2859">
        <v>1621267280</v>
      </c>
      <c r="B2859" t="s">
        <v>6359</v>
      </c>
      <c r="C2859" t="s">
        <v>20</v>
      </c>
      <c r="D2859" t="s">
        <v>894</v>
      </c>
      <c r="F2859">
        <v>0</v>
      </c>
      <c r="G2859" t="s">
        <v>16</v>
      </c>
      <c r="H2859">
        <v>0</v>
      </c>
      <c r="I2859" s="2" t="s">
        <v>55</v>
      </c>
      <c r="J2859" s="2">
        <v>1621267280</v>
      </c>
      <c r="K2859">
        <v>20</v>
      </c>
      <c r="L2859">
        <v>20</v>
      </c>
      <c r="M2859">
        <v>20</v>
      </c>
    </row>
    <row r="2860" spans="1:13" x14ac:dyDescent="0.25">
      <c r="A2860" t="s">
        <v>6360</v>
      </c>
      <c r="B2860" t="s">
        <v>6361</v>
      </c>
      <c r="C2860" t="s">
        <v>1432</v>
      </c>
      <c r="F2860">
        <v>1</v>
      </c>
      <c r="G2860" t="s">
        <v>16</v>
      </c>
      <c r="H2860">
        <v>0</v>
      </c>
      <c r="I2860" s="2" t="s">
        <v>57</v>
      </c>
      <c r="J2860" s="2" t="str">
        <f>"046123VFAE"</f>
        <v>046123VFAE</v>
      </c>
      <c r="K2860">
        <v>20</v>
      </c>
      <c r="L2860">
        <v>20</v>
      </c>
      <c r="M2860">
        <v>20</v>
      </c>
    </row>
    <row r="2861" spans="1:13" x14ac:dyDescent="0.25">
      <c r="A2861" t="s">
        <v>6362</v>
      </c>
      <c r="B2861" t="s">
        <v>6363</v>
      </c>
      <c r="C2861" t="s">
        <v>362</v>
      </c>
      <c r="D2861" t="s">
        <v>4091</v>
      </c>
      <c r="F2861">
        <v>1</v>
      </c>
      <c r="G2861" t="s">
        <v>16</v>
      </c>
      <c r="H2861">
        <v>0</v>
      </c>
      <c r="I2861" s="2" t="s">
        <v>4093</v>
      </c>
      <c r="J2861" s="2" t="s">
        <v>6364</v>
      </c>
      <c r="K2861">
        <v>20</v>
      </c>
      <c r="L2861">
        <v>20</v>
      </c>
      <c r="M2861">
        <v>20</v>
      </c>
    </row>
    <row r="2862" spans="1:13" x14ac:dyDescent="0.25">
      <c r="A2862" t="s">
        <v>6365</v>
      </c>
      <c r="B2862" t="s">
        <v>6363</v>
      </c>
      <c r="C2862" t="s">
        <v>362</v>
      </c>
      <c r="D2862" t="s">
        <v>4091</v>
      </c>
      <c r="G2862" t="s">
        <v>16</v>
      </c>
      <c r="H2862">
        <v>0</v>
      </c>
      <c r="I2862" s="2" t="s">
        <v>2533</v>
      </c>
      <c r="J2862" s="2" t="s">
        <v>6366</v>
      </c>
      <c r="K2862">
        <v>20</v>
      </c>
      <c r="L2862">
        <v>20</v>
      </c>
      <c r="M2862">
        <v>20</v>
      </c>
    </row>
    <row r="2863" spans="1:13" x14ac:dyDescent="0.25">
      <c r="A2863" t="s">
        <v>6367</v>
      </c>
      <c r="B2863" t="s">
        <v>6363</v>
      </c>
      <c r="C2863" t="s">
        <v>362</v>
      </c>
      <c r="D2863" t="s">
        <v>4091</v>
      </c>
      <c r="G2863" t="s">
        <v>16</v>
      </c>
      <c r="H2863">
        <v>0</v>
      </c>
      <c r="I2863" s="2" t="s">
        <v>383</v>
      </c>
      <c r="J2863" s="2" t="str">
        <f>"0986495258"</f>
        <v>0986495258</v>
      </c>
      <c r="K2863">
        <v>20</v>
      </c>
      <c r="L2863">
        <v>20</v>
      </c>
      <c r="M2863">
        <v>20</v>
      </c>
    </row>
    <row r="2864" spans="1:13" x14ac:dyDescent="0.25">
      <c r="A2864" t="s">
        <v>6368</v>
      </c>
      <c r="B2864" t="s">
        <v>6363</v>
      </c>
      <c r="C2864" t="s">
        <v>362</v>
      </c>
      <c r="D2864" t="s">
        <v>4091</v>
      </c>
      <c r="G2864" t="s">
        <v>16</v>
      </c>
      <c r="H2864">
        <v>0</v>
      </c>
      <c r="I2864" s="2" t="s">
        <v>941</v>
      </c>
      <c r="J2864" s="2" t="s">
        <v>6369</v>
      </c>
      <c r="K2864">
        <v>20</v>
      </c>
      <c r="L2864">
        <v>20</v>
      </c>
      <c r="M2864">
        <v>20</v>
      </c>
    </row>
    <row r="2865" spans="1:13" x14ac:dyDescent="0.25">
      <c r="A2865" t="s">
        <v>6370</v>
      </c>
      <c r="B2865" t="s">
        <v>6363</v>
      </c>
      <c r="C2865" t="s">
        <v>362</v>
      </c>
      <c r="D2865" t="s">
        <v>4091</v>
      </c>
      <c r="F2865">
        <v>2</v>
      </c>
      <c r="G2865" t="s">
        <v>16</v>
      </c>
      <c r="H2865">
        <v>0</v>
      </c>
      <c r="I2865" s="2" t="s">
        <v>392</v>
      </c>
      <c r="J2865" s="2">
        <v>1682310380</v>
      </c>
      <c r="K2865">
        <v>20</v>
      </c>
      <c r="L2865">
        <v>20</v>
      </c>
      <c r="M2865">
        <v>20</v>
      </c>
    </row>
    <row r="2866" spans="1:13" x14ac:dyDescent="0.25">
      <c r="A2866" t="s">
        <v>6371</v>
      </c>
      <c r="B2866" t="s">
        <v>6363</v>
      </c>
      <c r="C2866" t="s">
        <v>362</v>
      </c>
      <c r="D2866" t="s">
        <v>4091</v>
      </c>
      <c r="F2866">
        <v>1</v>
      </c>
      <c r="G2866" t="s">
        <v>16</v>
      </c>
      <c r="H2866">
        <v>0</v>
      </c>
      <c r="I2866" s="2" t="s">
        <v>2786</v>
      </c>
      <c r="J2866" s="2" t="str">
        <f>"05P1351"</f>
        <v>05P1351</v>
      </c>
      <c r="K2866">
        <v>20</v>
      </c>
      <c r="L2866">
        <v>20</v>
      </c>
      <c r="M2866">
        <v>20</v>
      </c>
    </row>
    <row r="2867" spans="1:13" x14ac:dyDescent="0.25">
      <c r="A2867" t="s">
        <v>6372</v>
      </c>
      <c r="B2867" t="s">
        <v>6373</v>
      </c>
      <c r="C2867" t="s">
        <v>362</v>
      </c>
      <c r="D2867" t="s">
        <v>4091</v>
      </c>
      <c r="F2867">
        <v>2</v>
      </c>
      <c r="G2867" t="s">
        <v>16</v>
      </c>
      <c r="H2867">
        <v>0</v>
      </c>
      <c r="I2867" s="2" t="s">
        <v>266</v>
      </c>
      <c r="J2867" s="2">
        <v>44159</v>
      </c>
      <c r="K2867">
        <v>20</v>
      </c>
      <c r="L2867">
        <v>20</v>
      </c>
      <c r="M2867">
        <v>20</v>
      </c>
    </row>
    <row r="2868" spans="1:13" x14ac:dyDescent="0.25">
      <c r="A2868" t="s">
        <v>6374</v>
      </c>
      <c r="B2868" t="s">
        <v>6375</v>
      </c>
      <c r="C2868" t="s">
        <v>362</v>
      </c>
      <c r="D2868" t="s">
        <v>363</v>
      </c>
      <c r="F2868">
        <v>2</v>
      </c>
      <c r="G2868" t="s">
        <v>16</v>
      </c>
      <c r="H2868">
        <v>0</v>
      </c>
      <c r="I2868" s="2" t="s">
        <v>108</v>
      </c>
      <c r="J2868" s="3">
        <v>2571102006</v>
      </c>
      <c r="K2868">
        <v>20</v>
      </c>
      <c r="L2868">
        <v>20</v>
      </c>
      <c r="M2868">
        <v>20</v>
      </c>
    </row>
    <row r="2869" spans="1:13" x14ac:dyDescent="0.25">
      <c r="A2869" t="s">
        <v>6376</v>
      </c>
      <c r="B2869" t="s">
        <v>6377</v>
      </c>
      <c r="C2869" t="s">
        <v>540</v>
      </c>
      <c r="F2869">
        <v>1</v>
      </c>
      <c r="G2869" t="s">
        <v>16</v>
      </c>
      <c r="H2869">
        <v>0</v>
      </c>
      <c r="I2869" s="2" t="s">
        <v>613</v>
      </c>
      <c r="J2869" s="2" t="str">
        <f>"0020.1626195680-URT"</f>
        <v>0020.1626195680-URT</v>
      </c>
      <c r="K2869">
        <v>20</v>
      </c>
      <c r="L2869">
        <v>20</v>
      </c>
      <c r="M2869">
        <v>20</v>
      </c>
    </row>
    <row r="2870" spans="1:13" x14ac:dyDescent="0.25">
      <c r="A2870" t="s">
        <v>6378</v>
      </c>
      <c r="B2870" t="s">
        <v>6379</v>
      </c>
      <c r="C2870" t="s">
        <v>20</v>
      </c>
      <c r="D2870" t="s">
        <v>26</v>
      </c>
      <c r="F2870">
        <v>2</v>
      </c>
      <c r="G2870" t="s">
        <v>16</v>
      </c>
      <c r="H2870">
        <v>0</v>
      </c>
      <c r="I2870" s="2" t="s">
        <v>55</v>
      </c>
      <c r="J2870" s="2" t="s">
        <v>6378</v>
      </c>
      <c r="K2870">
        <v>20</v>
      </c>
      <c r="L2870">
        <v>20</v>
      </c>
      <c r="M2870">
        <v>20</v>
      </c>
    </row>
    <row r="2871" spans="1:13" x14ac:dyDescent="0.25">
      <c r="A2871" t="s">
        <v>6380</v>
      </c>
      <c r="B2871" t="s">
        <v>6381</v>
      </c>
      <c r="C2871" t="s">
        <v>151</v>
      </c>
      <c r="D2871" t="s">
        <v>6316</v>
      </c>
      <c r="F2871">
        <v>1</v>
      </c>
      <c r="G2871" t="s">
        <v>16</v>
      </c>
      <c r="H2871">
        <v>0</v>
      </c>
      <c r="I2871" s="2" t="s">
        <v>639</v>
      </c>
      <c r="J2871" s="2" t="s">
        <v>6382</v>
      </c>
      <c r="K2871">
        <v>20</v>
      </c>
      <c r="L2871">
        <v>20</v>
      </c>
      <c r="M2871">
        <v>20</v>
      </c>
    </row>
    <row r="2872" spans="1:13" x14ac:dyDescent="0.25">
      <c r="A2872" t="s">
        <v>6383</v>
      </c>
      <c r="B2872" t="s">
        <v>6384</v>
      </c>
      <c r="C2872" t="s">
        <v>241</v>
      </c>
      <c r="F2872">
        <v>1</v>
      </c>
      <c r="G2872" t="s">
        <v>16</v>
      </c>
      <c r="H2872">
        <v>0</v>
      </c>
      <c r="I2872" s="2" t="s">
        <v>64</v>
      </c>
      <c r="J2872" s="2">
        <v>10040399</v>
      </c>
      <c r="K2872">
        <v>20</v>
      </c>
      <c r="L2872">
        <v>20</v>
      </c>
      <c r="M2872">
        <v>20</v>
      </c>
    </row>
    <row r="2873" spans="1:13" x14ac:dyDescent="0.25">
      <c r="A2873" t="s">
        <v>6385</v>
      </c>
      <c r="B2873" t="s">
        <v>6386</v>
      </c>
      <c r="C2873" t="s">
        <v>1432</v>
      </c>
      <c r="F2873">
        <v>1</v>
      </c>
      <c r="G2873" t="s">
        <v>16</v>
      </c>
      <c r="H2873">
        <v>0</v>
      </c>
      <c r="I2873" s="2" t="s">
        <v>842</v>
      </c>
      <c r="J2873" s="2">
        <v>837162</v>
      </c>
      <c r="K2873">
        <v>20</v>
      </c>
      <c r="L2873">
        <v>20</v>
      </c>
      <c r="M2873">
        <v>20</v>
      </c>
    </row>
    <row r="2874" spans="1:13" x14ac:dyDescent="0.25">
      <c r="A2874">
        <v>1628939980</v>
      </c>
      <c r="B2874" t="s">
        <v>6387</v>
      </c>
      <c r="C2874" t="s">
        <v>1432</v>
      </c>
      <c r="F2874">
        <v>1</v>
      </c>
      <c r="G2874" t="s">
        <v>16</v>
      </c>
      <c r="H2874">
        <v>0</v>
      </c>
      <c r="I2874" s="2" t="s">
        <v>55</v>
      </c>
      <c r="J2874" s="2">
        <v>1628939980</v>
      </c>
      <c r="K2874">
        <v>20</v>
      </c>
      <c r="L2874">
        <v>20</v>
      </c>
      <c r="M2874">
        <v>20</v>
      </c>
    </row>
    <row r="2875" spans="1:13" x14ac:dyDescent="0.25">
      <c r="A2875" t="s">
        <v>6388</v>
      </c>
      <c r="B2875" t="s">
        <v>6389</v>
      </c>
      <c r="C2875" t="s">
        <v>357</v>
      </c>
      <c r="D2875" t="s">
        <v>792</v>
      </c>
      <c r="F2875">
        <v>5</v>
      </c>
      <c r="G2875" t="s">
        <v>16</v>
      </c>
      <c r="H2875">
        <v>0</v>
      </c>
      <c r="I2875" s="2" t="s">
        <v>886</v>
      </c>
      <c r="J2875" s="2" t="s">
        <v>6390</v>
      </c>
      <c r="K2875">
        <v>20</v>
      </c>
      <c r="L2875">
        <v>20</v>
      </c>
      <c r="M2875">
        <v>20</v>
      </c>
    </row>
    <row r="2876" spans="1:13" x14ac:dyDescent="0.25">
      <c r="A2876" t="s">
        <v>6391</v>
      </c>
      <c r="B2876" t="s">
        <v>6392</v>
      </c>
      <c r="C2876" t="s">
        <v>20</v>
      </c>
      <c r="D2876" t="s">
        <v>296</v>
      </c>
      <c r="G2876" t="s">
        <v>16</v>
      </c>
      <c r="H2876">
        <v>0</v>
      </c>
      <c r="I2876" s="2" t="s">
        <v>404</v>
      </c>
      <c r="J2876" s="2" t="s">
        <v>6393</v>
      </c>
      <c r="K2876">
        <v>20</v>
      </c>
      <c r="L2876">
        <v>20</v>
      </c>
      <c r="M2876">
        <v>20</v>
      </c>
    </row>
    <row r="2877" spans="1:13" x14ac:dyDescent="0.25">
      <c r="A2877" t="s">
        <v>6394</v>
      </c>
      <c r="B2877" t="s">
        <v>6395</v>
      </c>
      <c r="C2877" t="s">
        <v>20</v>
      </c>
      <c r="D2877" t="s">
        <v>26</v>
      </c>
      <c r="F2877">
        <v>0</v>
      </c>
      <c r="G2877" t="s">
        <v>16</v>
      </c>
      <c r="H2877">
        <v>0</v>
      </c>
      <c r="I2877" s="2" t="s">
        <v>99</v>
      </c>
      <c r="J2877" s="3">
        <v>744150</v>
      </c>
      <c r="K2877">
        <v>20</v>
      </c>
      <c r="L2877">
        <v>20</v>
      </c>
      <c r="M2877">
        <v>20</v>
      </c>
    </row>
    <row r="2878" spans="1:13" x14ac:dyDescent="0.25">
      <c r="A2878" t="s">
        <v>6396</v>
      </c>
      <c r="B2878" t="s">
        <v>6395</v>
      </c>
      <c r="C2878" t="s">
        <v>20</v>
      </c>
      <c r="D2878" t="s">
        <v>26</v>
      </c>
      <c r="F2878">
        <v>1</v>
      </c>
      <c r="G2878" t="s">
        <v>16</v>
      </c>
      <c r="H2878">
        <v>0</v>
      </c>
      <c r="I2878" s="2" t="s">
        <v>1175</v>
      </c>
      <c r="J2878" s="2" t="s">
        <v>6397</v>
      </c>
      <c r="K2878">
        <v>20</v>
      </c>
      <c r="L2878">
        <v>20</v>
      </c>
      <c r="M2878">
        <v>20</v>
      </c>
    </row>
    <row r="2879" spans="1:13" x14ac:dyDescent="0.25">
      <c r="A2879" t="s">
        <v>6398</v>
      </c>
      <c r="B2879" t="s">
        <v>6399</v>
      </c>
      <c r="C2879" t="s">
        <v>20</v>
      </c>
      <c r="D2879" t="s">
        <v>26</v>
      </c>
      <c r="F2879">
        <v>0</v>
      </c>
      <c r="G2879" t="s">
        <v>16</v>
      </c>
      <c r="H2879">
        <v>0</v>
      </c>
      <c r="I2879" s="2" t="s">
        <v>6400</v>
      </c>
      <c r="J2879" s="3">
        <v>243970</v>
      </c>
      <c r="K2879">
        <v>20</v>
      </c>
      <c r="L2879">
        <v>20</v>
      </c>
      <c r="M2879">
        <v>20</v>
      </c>
    </row>
    <row r="2880" spans="1:13" x14ac:dyDescent="0.25">
      <c r="A2880" t="s">
        <v>6401</v>
      </c>
      <c r="B2880" t="s">
        <v>6402</v>
      </c>
      <c r="C2880" t="s">
        <v>20</v>
      </c>
      <c r="D2880" t="s">
        <v>21</v>
      </c>
      <c r="F2880">
        <v>0</v>
      </c>
      <c r="G2880" t="s">
        <v>16</v>
      </c>
      <c r="H2880">
        <v>0</v>
      </c>
      <c r="I2880" s="2" t="s">
        <v>346</v>
      </c>
      <c r="J2880" s="2" t="s">
        <v>6403</v>
      </c>
      <c r="K2880">
        <v>20</v>
      </c>
      <c r="L2880">
        <v>20</v>
      </c>
      <c r="M2880">
        <v>20</v>
      </c>
    </row>
    <row r="2881" spans="1:13" x14ac:dyDescent="0.25">
      <c r="A2881" t="s">
        <v>6404</v>
      </c>
      <c r="B2881" t="s">
        <v>6405</v>
      </c>
      <c r="C2881" t="s">
        <v>20</v>
      </c>
      <c r="D2881" t="s">
        <v>296</v>
      </c>
      <c r="F2881">
        <v>10</v>
      </c>
      <c r="G2881" t="s">
        <v>16</v>
      </c>
      <c r="H2881">
        <v>0</v>
      </c>
      <c r="I2881" s="2" t="s">
        <v>404</v>
      </c>
      <c r="J2881" s="2" t="s">
        <v>6406</v>
      </c>
      <c r="K2881">
        <v>20</v>
      </c>
      <c r="L2881">
        <v>20</v>
      </c>
      <c r="M2881">
        <v>20</v>
      </c>
    </row>
    <row r="2882" spans="1:13" x14ac:dyDescent="0.25">
      <c r="A2882" t="s">
        <v>6407</v>
      </c>
      <c r="B2882" t="s">
        <v>6405</v>
      </c>
      <c r="C2882" t="s">
        <v>20</v>
      </c>
      <c r="D2882" t="s">
        <v>296</v>
      </c>
      <c r="F2882">
        <v>1</v>
      </c>
      <c r="G2882" t="s">
        <v>16</v>
      </c>
      <c r="H2882">
        <v>0</v>
      </c>
      <c r="I2882" s="2" t="s">
        <v>414</v>
      </c>
      <c r="J2882" s="2" t="s">
        <v>6408</v>
      </c>
      <c r="K2882">
        <v>20</v>
      </c>
      <c r="L2882">
        <v>20</v>
      </c>
      <c r="M2882">
        <v>20</v>
      </c>
    </row>
    <row r="2883" spans="1:13" x14ac:dyDescent="0.25">
      <c r="A2883" t="s">
        <v>6409</v>
      </c>
      <c r="B2883" t="s">
        <v>6405</v>
      </c>
      <c r="C2883" t="s">
        <v>20</v>
      </c>
      <c r="D2883" t="s">
        <v>296</v>
      </c>
      <c r="G2883" t="s">
        <v>16</v>
      </c>
      <c r="H2883">
        <v>0</v>
      </c>
      <c r="I2883" s="2" t="s">
        <v>408</v>
      </c>
      <c r="J2883" s="2" t="s">
        <v>6410</v>
      </c>
      <c r="K2883">
        <v>20</v>
      </c>
      <c r="L2883">
        <v>20</v>
      </c>
      <c r="M2883">
        <v>20</v>
      </c>
    </row>
    <row r="2884" spans="1:13" x14ac:dyDescent="0.25">
      <c r="A2884">
        <v>1629062</v>
      </c>
      <c r="B2884" t="s">
        <v>6411</v>
      </c>
      <c r="C2884" t="s">
        <v>20</v>
      </c>
      <c r="D2884" t="s">
        <v>296</v>
      </c>
      <c r="F2884">
        <v>1</v>
      </c>
      <c r="G2884" t="s">
        <v>16</v>
      </c>
      <c r="H2884">
        <v>0</v>
      </c>
      <c r="I2884" s="2" t="s">
        <v>497</v>
      </c>
      <c r="J2884" s="2">
        <v>95518060</v>
      </c>
      <c r="K2884">
        <v>20</v>
      </c>
      <c r="L2884">
        <v>20</v>
      </c>
      <c r="M2884">
        <v>20</v>
      </c>
    </row>
    <row r="2885" spans="1:13" x14ac:dyDescent="0.25">
      <c r="A2885" t="s">
        <v>6412</v>
      </c>
      <c r="B2885" t="s">
        <v>6411</v>
      </c>
      <c r="C2885" t="s">
        <v>20</v>
      </c>
      <c r="D2885" t="s">
        <v>296</v>
      </c>
      <c r="F2885">
        <v>1</v>
      </c>
      <c r="G2885" t="s">
        <v>16</v>
      </c>
      <c r="H2885">
        <v>0</v>
      </c>
      <c r="I2885" s="2" t="s">
        <v>383</v>
      </c>
      <c r="J2885" s="2">
        <v>1987948257</v>
      </c>
      <c r="K2885">
        <v>20</v>
      </c>
      <c r="L2885">
        <v>20</v>
      </c>
      <c r="M2885">
        <v>20</v>
      </c>
    </row>
    <row r="2886" spans="1:13" x14ac:dyDescent="0.25">
      <c r="A2886" t="s">
        <v>6413</v>
      </c>
      <c r="B2886" t="s">
        <v>6411</v>
      </c>
      <c r="C2886" t="s">
        <v>20</v>
      </c>
      <c r="D2886" t="s">
        <v>296</v>
      </c>
      <c r="F2886">
        <v>4</v>
      </c>
      <c r="G2886" t="s">
        <v>16</v>
      </c>
      <c r="H2886">
        <v>0</v>
      </c>
      <c r="I2886" s="2" t="s">
        <v>404</v>
      </c>
      <c r="J2886" s="2" t="s">
        <v>6414</v>
      </c>
      <c r="K2886">
        <v>20</v>
      </c>
      <c r="L2886">
        <v>20</v>
      </c>
      <c r="M2886">
        <v>20</v>
      </c>
    </row>
    <row r="2887" spans="1:13" x14ac:dyDescent="0.25">
      <c r="A2887" t="s">
        <v>6415</v>
      </c>
      <c r="B2887" t="s">
        <v>6411</v>
      </c>
      <c r="C2887" t="s">
        <v>20</v>
      </c>
      <c r="D2887" t="s">
        <v>296</v>
      </c>
      <c r="F2887">
        <v>0</v>
      </c>
      <c r="G2887" t="s">
        <v>16</v>
      </c>
      <c r="H2887">
        <v>0</v>
      </c>
      <c r="I2887" s="2" t="s">
        <v>297</v>
      </c>
      <c r="J2887" s="2">
        <v>530044110</v>
      </c>
      <c r="K2887">
        <v>20</v>
      </c>
      <c r="L2887">
        <v>20</v>
      </c>
      <c r="M2887">
        <v>20</v>
      </c>
    </row>
    <row r="2888" spans="1:13" x14ac:dyDescent="0.25">
      <c r="A2888" t="s">
        <v>6416</v>
      </c>
      <c r="B2888" t="s">
        <v>6417</v>
      </c>
      <c r="C2888" t="s">
        <v>20</v>
      </c>
      <c r="D2888" t="s">
        <v>296</v>
      </c>
      <c r="F2888">
        <v>1</v>
      </c>
      <c r="G2888" t="s">
        <v>16</v>
      </c>
      <c r="H2888">
        <v>0</v>
      </c>
      <c r="I2888" s="2" t="s">
        <v>400</v>
      </c>
      <c r="J2888" s="2" t="s">
        <v>6418</v>
      </c>
      <c r="K2888">
        <v>20</v>
      </c>
      <c r="L2888">
        <v>20</v>
      </c>
      <c r="M2888">
        <v>20</v>
      </c>
    </row>
    <row r="2889" spans="1:13" x14ac:dyDescent="0.25">
      <c r="A2889" t="s">
        <v>6419</v>
      </c>
      <c r="B2889" t="s">
        <v>6420</v>
      </c>
      <c r="C2889" t="s">
        <v>20</v>
      </c>
      <c r="D2889" t="s">
        <v>296</v>
      </c>
      <c r="F2889">
        <v>1</v>
      </c>
      <c r="G2889" t="s">
        <v>16</v>
      </c>
      <c r="H2889">
        <v>0</v>
      </c>
      <c r="I2889" s="2" t="s">
        <v>297</v>
      </c>
      <c r="J2889" s="2">
        <v>530004910</v>
      </c>
      <c r="K2889">
        <v>20</v>
      </c>
      <c r="L2889">
        <v>20</v>
      </c>
      <c r="M2889">
        <v>20</v>
      </c>
    </row>
    <row r="2890" spans="1:13" x14ac:dyDescent="0.25">
      <c r="A2890" t="s">
        <v>6421</v>
      </c>
      <c r="B2890" t="s">
        <v>6420</v>
      </c>
      <c r="C2890" t="s">
        <v>20</v>
      </c>
      <c r="D2890" t="s">
        <v>296</v>
      </c>
      <c r="F2890">
        <v>0</v>
      </c>
      <c r="G2890" t="s">
        <v>16</v>
      </c>
      <c r="H2890">
        <v>0</v>
      </c>
      <c r="I2890" s="2" t="s">
        <v>479</v>
      </c>
      <c r="J2890" s="2" t="s">
        <v>6422</v>
      </c>
      <c r="K2890">
        <v>20</v>
      </c>
      <c r="L2890">
        <v>20</v>
      </c>
      <c r="M2890">
        <v>20</v>
      </c>
    </row>
    <row r="2891" spans="1:13" x14ac:dyDescent="0.25">
      <c r="A2891" t="s">
        <v>6423</v>
      </c>
      <c r="B2891" t="s">
        <v>6420</v>
      </c>
      <c r="C2891" t="s">
        <v>20</v>
      </c>
      <c r="D2891" t="s">
        <v>300</v>
      </c>
      <c r="F2891">
        <v>0</v>
      </c>
      <c r="G2891" t="s">
        <v>16</v>
      </c>
      <c r="H2891">
        <v>0</v>
      </c>
      <c r="I2891" s="2" t="s">
        <v>414</v>
      </c>
      <c r="J2891" s="2" t="s">
        <v>6424</v>
      </c>
      <c r="K2891">
        <v>20</v>
      </c>
      <c r="L2891">
        <v>20</v>
      </c>
      <c r="M2891">
        <v>20</v>
      </c>
    </row>
    <row r="2892" spans="1:13" x14ac:dyDescent="0.25">
      <c r="A2892" t="s">
        <v>6425</v>
      </c>
      <c r="B2892" t="s">
        <v>6420</v>
      </c>
      <c r="C2892" t="s">
        <v>20</v>
      </c>
      <c r="D2892" t="s">
        <v>296</v>
      </c>
      <c r="G2892" t="s">
        <v>16</v>
      </c>
      <c r="H2892">
        <v>0</v>
      </c>
      <c r="I2892" s="2" t="s">
        <v>408</v>
      </c>
      <c r="J2892" s="2" t="s">
        <v>6426</v>
      </c>
      <c r="K2892">
        <v>20</v>
      </c>
      <c r="L2892">
        <v>20</v>
      </c>
      <c r="M2892">
        <v>20</v>
      </c>
    </row>
    <row r="2893" spans="1:13" x14ac:dyDescent="0.25">
      <c r="A2893">
        <v>1629067</v>
      </c>
      <c r="B2893" t="s">
        <v>6427</v>
      </c>
      <c r="C2893" t="s">
        <v>20</v>
      </c>
      <c r="D2893" t="s">
        <v>296</v>
      </c>
      <c r="G2893" t="s">
        <v>16</v>
      </c>
      <c r="H2893">
        <v>0</v>
      </c>
      <c r="I2893" s="2" t="s">
        <v>1444</v>
      </c>
      <c r="J2893" s="2">
        <v>95516740</v>
      </c>
      <c r="K2893">
        <v>20</v>
      </c>
      <c r="L2893">
        <v>20</v>
      </c>
      <c r="M2893">
        <v>20</v>
      </c>
    </row>
    <row r="2894" spans="1:13" x14ac:dyDescent="0.25">
      <c r="A2894" t="s">
        <v>6428</v>
      </c>
      <c r="B2894" t="s">
        <v>6427</v>
      </c>
      <c r="C2894" t="s">
        <v>20</v>
      </c>
      <c r="D2894" t="s">
        <v>296</v>
      </c>
      <c r="F2894">
        <v>2</v>
      </c>
      <c r="G2894" t="s">
        <v>16</v>
      </c>
      <c r="H2894">
        <v>0</v>
      </c>
      <c r="I2894" s="2" t="s">
        <v>383</v>
      </c>
      <c r="J2894" s="2">
        <v>1987946729</v>
      </c>
      <c r="K2894">
        <v>20</v>
      </c>
      <c r="L2894">
        <v>20</v>
      </c>
      <c r="M2894">
        <v>20</v>
      </c>
    </row>
    <row r="2895" spans="1:13" x14ac:dyDescent="0.25">
      <c r="A2895" t="s">
        <v>6429</v>
      </c>
      <c r="B2895" t="s">
        <v>6427</v>
      </c>
      <c r="C2895" t="s">
        <v>20</v>
      </c>
      <c r="D2895" t="s">
        <v>296</v>
      </c>
      <c r="F2895">
        <v>0</v>
      </c>
      <c r="G2895" t="s">
        <v>16</v>
      </c>
      <c r="H2895">
        <v>0</v>
      </c>
      <c r="I2895" s="2" t="s">
        <v>4250</v>
      </c>
      <c r="J2895" s="2" t="s">
        <v>6430</v>
      </c>
      <c r="K2895">
        <v>20</v>
      </c>
      <c r="L2895">
        <v>20</v>
      </c>
      <c r="M2895">
        <v>20</v>
      </c>
    </row>
    <row r="2896" spans="1:13" x14ac:dyDescent="0.25">
      <c r="A2896" t="s">
        <v>6431</v>
      </c>
      <c r="B2896" t="s">
        <v>6427</v>
      </c>
      <c r="C2896" t="s">
        <v>20</v>
      </c>
      <c r="D2896" t="s">
        <v>296</v>
      </c>
      <c r="F2896">
        <v>0</v>
      </c>
      <c r="G2896" t="s">
        <v>16</v>
      </c>
      <c r="H2896">
        <v>0</v>
      </c>
      <c r="I2896" s="2" t="s">
        <v>389</v>
      </c>
      <c r="J2896" s="2">
        <v>1648212080</v>
      </c>
      <c r="K2896">
        <v>20</v>
      </c>
      <c r="L2896">
        <v>20</v>
      </c>
      <c r="M2896">
        <v>20</v>
      </c>
    </row>
    <row r="2897" spans="1:13" x14ac:dyDescent="0.25">
      <c r="A2897" t="s">
        <v>6432</v>
      </c>
      <c r="B2897" t="s">
        <v>6427</v>
      </c>
      <c r="C2897" t="s">
        <v>20</v>
      </c>
      <c r="D2897" t="s">
        <v>296</v>
      </c>
      <c r="G2897" t="s">
        <v>16</v>
      </c>
      <c r="H2897">
        <v>0</v>
      </c>
      <c r="I2897" s="2" t="s">
        <v>404</v>
      </c>
      <c r="J2897" s="2" t="s">
        <v>6433</v>
      </c>
      <c r="K2897">
        <v>20</v>
      </c>
      <c r="L2897">
        <v>20</v>
      </c>
      <c r="M2897">
        <v>20</v>
      </c>
    </row>
    <row r="2898" spans="1:13" x14ac:dyDescent="0.25">
      <c r="A2898" t="s">
        <v>6434</v>
      </c>
      <c r="B2898" t="s">
        <v>6435</v>
      </c>
      <c r="C2898" t="s">
        <v>20</v>
      </c>
      <c r="D2898" t="s">
        <v>296</v>
      </c>
      <c r="F2898">
        <v>0</v>
      </c>
      <c r="G2898" t="s">
        <v>16</v>
      </c>
      <c r="H2898">
        <v>0</v>
      </c>
      <c r="I2898" s="2" t="s">
        <v>414</v>
      </c>
      <c r="J2898" s="2" t="s">
        <v>6436</v>
      </c>
      <c r="K2898">
        <v>20</v>
      </c>
      <c r="L2898">
        <v>20</v>
      </c>
      <c r="M2898">
        <v>20</v>
      </c>
    </row>
    <row r="2899" spans="1:13" x14ac:dyDescent="0.25">
      <c r="A2899" t="s">
        <v>6437</v>
      </c>
      <c r="B2899" t="s">
        <v>6438</v>
      </c>
      <c r="C2899" t="s">
        <v>1736</v>
      </c>
      <c r="F2899">
        <v>3</v>
      </c>
      <c r="G2899" t="s">
        <v>16</v>
      </c>
      <c r="H2899">
        <v>0</v>
      </c>
      <c r="I2899" s="2" t="s">
        <v>1748</v>
      </c>
      <c r="J2899" s="2" t="s">
        <v>6439</v>
      </c>
      <c r="K2899">
        <v>20</v>
      </c>
      <c r="L2899">
        <v>20</v>
      </c>
      <c r="M2899">
        <v>20</v>
      </c>
    </row>
    <row r="2900" spans="1:13" x14ac:dyDescent="0.25">
      <c r="A2900" t="s">
        <v>6440</v>
      </c>
      <c r="B2900" t="s">
        <v>6441</v>
      </c>
      <c r="C2900" t="s">
        <v>1432</v>
      </c>
      <c r="F2900">
        <v>1</v>
      </c>
      <c r="G2900" t="s">
        <v>16</v>
      </c>
      <c r="H2900">
        <v>0</v>
      </c>
      <c r="I2900" s="2" t="s">
        <v>5221</v>
      </c>
      <c r="J2900" s="2">
        <v>622315909</v>
      </c>
      <c r="K2900">
        <v>20</v>
      </c>
      <c r="L2900">
        <v>20</v>
      </c>
      <c r="M2900">
        <v>20</v>
      </c>
    </row>
    <row r="2901" spans="1:13" x14ac:dyDescent="0.25">
      <c r="A2901" t="s">
        <v>6442</v>
      </c>
      <c r="B2901" t="s">
        <v>6443</v>
      </c>
      <c r="C2901" t="s">
        <v>1432</v>
      </c>
      <c r="G2901" t="s">
        <v>16</v>
      </c>
      <c r="H2901">
        <v>0</v>
      </c>
      <c r="I2901" s="2" t="s">
        <v>5677</v>
      </c>
      <c r="J2901" s="2">
        <v>622315933</v>
      </c>
      <c r="K2901">
        <v>20</v>
      </c>
      <c r="L2901">
        <v>20</v>
      </c>
      <c r="M2901">
        <v>20</v>
      </c>
    </row>
    <row r="2902" spans="1:13" x14ac:dyDescent="0.25">
      <c r="A2902">
        <v>1629104</v>
      </c>
      <c r="B2902" t="s">
        <v>6444</v>
      </c>
      <c r="C2902" t="s">
        <v>1432</v>
      </c>
      <c r="F2902">
        <v>1</v>
      </c>
      <c r="G2902" t="s">
        <v>16</v>
      </c>
      <c r="H2902">
        <v>0</v>
      </c>
      <c r="I2902" s="2" t="s">
        <v>497</v>
      </c>
      <c r="J2902" s="2">
        <v>95518821</v>
      </c>
      <c r="K2902">
        <v>20</v>
      </c>
      <c r="L2902">
        <v>20</v>
      </c>
      <c r="M2902">
        <v>20</v>
      </c>
    </row>
    <row r="2903" spans="1:13" x14ac:dyDescent="0.25">
      <c r="A2903" t="s">
        <v>6445</v>
      </c>
      <c r="B2903" t="s">
        <v>6444</v>
      </c>
      <c r="C2903" t="s">
        <v>1432</v>
      </c>
      <c r="F2903">
        <v>1</v>
      </c>
      <c r="G2903" t="s">
        <v>16</v>
      </c>
      <c r="H2903">
        <v>0</v>
      </c>
      <c r="I2903" s="2" t="s">
        <v>5677</v>
      </c>
      <c r="J2903" s="2">
        <v>622323609</v>
      </c>
      <c r="K2903">
        <v>20</v>
      </c>
      <c r="L2903">
        <v>20</v>
      </c>
      <c r="M2903">
        <v>20</v>
      </c>
    </row>
    <row r="2904" spans="1:13" x14ac:dyDescent="0.25">
      <c r="A2904" t="s">
        <v>6446</v>
      </c>
      <c r="B2904" t="s">
        <v>6447</v>
      </c>
      <c r="C2904" t="s">
        <v>1432</v>
      </c>
      <c r="G2904" t="s">
        <v>16</v>
      </c>
      <c r="H2904">
        <v>0</v>
      </c>
      <c r="I2904" s="2" t="s">
        <v>5688</v>
      </c>
      <c r="J2904" s="2">
        <v>3000951081</v>
      </c>
      <c r="K2904">
        <v>20</v>
      </c>
      <c r="L2904">
        <v>20</v>
      </c>
      <c r="M2904">
        <v>20</v>
      </c>
    </row>
    <row r="2905" spans="1:13" x14ac:dyDescent="0.25">
      <c r="A2905">
        <v>1629114</v>
      </c>
      <c r="B2905" t="s">
        <v>6448</v>
      </c>
      <c r="C2905" t="s">
        <v>1432</v>
      </c>
      <c r="F2905">
        <v>1</v>
      </c>
      <c r="G2905" t="s">
        <v>16</v>
      </c>
      <c r="H2905">
        <v>0</v>
      </c>
      <c r="I2905" s="2" t="s">
        <v>497</v>
      </c>
      <c r="J2905" s="2">
        <v>95518834</v>
      </c>
      <c r="K2905">
        <v>20</v>
      </c>
      <c r="L2905">
        <v>20</v>
      </c>
      <c r="M2905">
        <v>20</v>
      </c>
    </row>
    <row r="2906" spans="1:13" x14ac:dyDescent="0.25">
      <c r="A2906" t="s">
        <v>6449</v>
      </c>
      <c r="B2906" t="s">
        <v>6448</v>
      </c>
      <c r="C2906" t="s">
        <v>1432</v>
      </c>
      <c r="F2906">
        <v>0</v>
      </c>
      <c r="G2906" t="s">
        <v>16</v>
      </c>
      <c r="H2906">
        <v>0</v>
      </c>
      <c r="I2906" s="2" t="s">
        <v>5677</v>
      </c>
      <c r="J2906" s="2">
        <v>622313509</v>
      </c>
      <c r="K2906">
        <v>20</v>
      </c>
      <c r="L2906">
        <v>20</v>
      </c>
      <c r="M2906">
        <v>20</v>
      </c>
    </row>
    <row r="2907" spans="1:13" x14ac:dyDescent="0.25">
      <c r="A2907" t="s">
        <v>6450</v>
      </c>
      <c r="B2907" t="s">
        <v>6448</v>
      </c>
      <c r="C2907" t="s">
        <v>1432</v>
      </c>
      <c r="F2907">
        <v>2</v>
      </c>
      <c r="G2907" t="s">
        <v>16</v>
      </c>
      <c r="H2907">
        <v>0</v>
      </c>
      <c r="I2907" s="2" t="s">
        <v>5688</v>
      </c>
      <c r="J2907" s="2">
        <v>3000951582</v>
      </c>
      <c r="K2907">
        <v>20</v>
      </c>
      <c r="L2907">
        <v>20</v>
      </c>
      <c r="M2907">
        <v>20</v>
      </c>
    </row>
    <row r="2908" spans="1:13" x14ac:dyDescent="0.25">
      <c r="A2908">
        <v>1631481680</v>
      </c>
      <c r="B2908" t="s">
        <v>6451</v>
      </c>
      <c r="C2908" t="s">
        <v>20</v>
      </c>
      <c r="D2908" t="s">
        <v>894</v>
      </c>
      <c r="F2908">
        <v>1</v>
      </c>
      <c r="G2908" t="s">
        <v>16</v>
      </c>
      <c r="H2908">
        <v>0</v>
      </c>
      <c r="I2908" s="2" t="s">
        <v>51</v>
      </c>
      <c r="J2908" s="2">
        <v>1631481680</v>
      </c>
      <c r="K2908">
        <v>20</v>
      </c>
      <c r="L2908">
        <v>20</v>
      </c>
      <c r="M2908">
        <v>20</v>
      </c>
    </row>
    <row r="2909" spans="1:13" x14ac:dyDescent="0.25">
      <c r="A2909" t="s">
        <v>6452</v>
      </c>
      <c r="B2909" t="s">
        <v>6453</v>
      </c>
      <c r="C2909" t="s">
        <v>20</v>
      </c>
      <c r="D2909" t="s">
        <v>894</v>
      </c>
      <c r="F2909">
        <v>1</v>
      </c>
      <c r="G2909" t="s">
        <v>16</v>
      </c>
      <c r="H2909">
        <v>0</v>
      </c>
      <c r="I2909" s="2" t="s">
        <v>389</v>
      </c>
      <c r="J2909" s="2">
        <v>1687683580</v>
      </c>
      <c r="K2909">
        <v>20</v>
      </c>
      <c r="L2909">
        <v>20</v>
      </c>
      <c r="M2909">
        <v>20</v>
      </c>
    </row>
    <row r="2910" spans="1:13" x14ac:dyDescent="0.25">
      <c r="A2910" t="s">
        <v>6454</v>
      </c>
      <c r="B2910" t="s">
        <v>6455</v>
      </c>
      <c r="C2910" t="s">
        <v>20</v>
      </c>
      <c r="D2910" t="s">
        <v>894</v>
      </c>
      <c r="F2910">
        <v>1</v>
      </c>
      <c r="G2910" t="s">
        <v>16</v>
      </c>
      <c r="H2910">
        <v>0</v>
      </c>
      <c r="I2910" s="2" t="s">
        <v>389</v>
      </c>
      <c r="J2910" s="2">
        <v>1687683680</v>
      </c>
      <c r="K2910">
        <v>20</v>
      </c>
      <c r="L2910">
        <v>20</v>
      </c>
      <c r="M2910">
        <v>20</v>
      </c>
    </row>
    <row r="2911" spans="1:13" x14ac:dyDescent="0.25">
      <c r="A2911">
        <v>1631724180</v>
      </c>
      <c r="B2911" t="s">
        <v>6456</v>
      </c>
      <c r="C2911" t="s">
        <v>20</v>
      </c>
      <c r="D2911" t="s">
        <v>2477</v>
      </c>
      <c r="F2911">
        <v>0</v>
      </c>
      <c r="G2911" t="s">
        <v>16</v>
      </c>
      <c r="H2911">
        <v>0</v>
      </c>
      <c r="I2911" s="2" t="s">
        <v>51</v>
      </c>
      <c r="J2911" s="2">
        <v>1631724180</v>
      </c>
      <c r="K2911">
        <v>20</v>
      </c>
      <c r="L2911">
        <v>20</v>
      </c>
      <c r="M2911">
        <v>20</v>
      </c>
    </row>
    <row r="2912" spans="1:13" x14ac:dyDescent="0.25">
      <c r="A2912">
        <v>1631733780</v>
      </c>
      <c r="B2912" t="s">
        <v>6457</v>
      </c>
      <c r="C2912" t="s">
        <v>1432</v>
      </c>
      <c r="F2912">
        <v>0</v>
      </c>
      <c r="G2912" t="s">
        <v>16</v>
      </c>
      <c r="H2912">
        <v>0</v>
      </c>
      <c r="I2912" s="2" t="s">
        <v>55</v>
      </c>
      <c r="K2912">
        <v>20</v>
      </c>
      <c r="L2912">
        <v>20</v>
      </c>
      <c r="M2912">
        <v>20</v>
      </c>
    </row>
    <row r="2913" spans="1:13" x14ac:dyDescent="0.25">
      <c r="A2913" t="s">
        <v>6458</v>
      </c>
      <c r="B2913" t="s">
        <v>6459</v>
      </c>
      <c r="C2913" t="s">
        <v>1432</v>
      </c>
      <c r="G2913" t="s">
        <v>16</v>
      </c>
      <c r="H2913">
        <v>0</v>
      </c>
      <c r="I2913" s="2" t="s">
        <v>854</v>
      </c>
      <c r="J2913" s="2">
        <v>837522</v>
      </c>
      <c r="K2913">
        <v>20</v>
      </c>
      <c r="L2913">
        <v>20</v>
      </c>
      <c r="M2913">
        <v>20</v>
      </c>
    </row>
    <row r="2914" spans="1:13" x14ac:dyDescent="0.25">
      <c r="A2914">
        <v>1632745480</v>
      </c>
      <c r="B2914" t="s">
        <v>6460</v>
      </c>
      <c r="C2914" t="s">
        <v>926</v>
      </c>
      <c r="D2914" t="s">
        <v>1036</v>
      </c>
      <c r="F2914">
        <v>12</v>
      </c>
      <c r="G2914" t="s">
        <v>16</v>
      </c>
      <c r="H2914">
        <v>0</v>
      </c>
      <c r="I2914" s="2" t="s">
        <v>51</v>
      </c>
      <c r="J2914" s="2">
        <v>1632745480</v>
      </c>
      <c r="K2914">
        <v>20</v>
      </c>
      <c r="L2914">
        <v>20</v>
      </c>
      <c r="M2914">
        <v>20</v>
      </c>
    </row>
    <row r="2915" spans="1:13" x14ac:dyDescent="0.25">
      <c r="A2915" t="s">
        <v>6461</v>
      </c>
      <c r="B2915" t="s">
        <v>6460</v>
      </c>
      <c r="C2915" t="s">
        <v>926</v>
      </c>
      <c r="D2915" t="s">
        <v>1036</v>
      </c>
      <c r="F2915">
        <v>4</v>
      </c>
      <c r="G2915" t="s">
        <v>16</v>
      </c>
      <c r="H2915">
        <v>0</v>
      </c>
      <c r="I2915" s="2" t="s">
        <v>389</v>
      </c>
      <c r="J2915" s="2">
        <v>1625935280</v>
      </c>
      <c r="K2915">
        <v>20</v>
      </c>
      <c r="L2915">
        <v>20</v>
      </c>
      <c r="M2915">
        <v>20</v>
      </c>
    </row>
    <row r="2916" spans="1:13" x14ac:dyDescent="0.25">
      <c r="A2916" t="s">
        <v>6462</v>
      </c>
      <c r="B2916" t="s">
        <v>6463</v>
      </c>
      <c r="C2916" t="s">
        <v>540</v>
      </c>
      <c r="F2916">
        <v>1</v>
      </c>
      <c r="G2916" t="s">
        <v>16</v>
      </c>
      <c r="H2916">
        <v>0</v>
      </c>
      <c r="I2916" s="2" t="s">
        <v>6464</v>
      </c>
      <c r="J2916" s="3">
        <v>10010274</v>
      </c>
      <c r="K2916">
        <v>20</v>
      </c>
      <c r="L2916">
        <v>20</v>
      </c>
      <c r="M2916">
        <v>20</v>
      </c>
    </row>
    <row r="2917" spans="1:13" x14ac:dyDescent="0.25">
      <c r="A2917" t="s">
        <v>6465</v>
      </c>
      <c r="B2917" t="s">
        <v>6466</v>
      </c>
      <c r="C2917" t="s">
        <v>540</v>
      </c>
      <c r="F2917">
        <v>1</v>
      </c>
      <c r="G2917" t="s">
        <v>16</v>
      </c>
      <c r="H2917">
        <v>0</v>
      </c>
      <c r="I2917" s="2" t="s">
        <v>6467</v>
      </c>
      <c r="J2917" s="2" t="s">
        <v>6468</v>
      </c>
      <c r="K2917">
        <v>20</v>
      </c>
      <c r="L2917">
        <v>20</v>
      </c>
      <c r="M2917">
        <v>20</v>
      </c>
    </row>
    <row r="2918" spans="1:13" x14ac:dyDescent="0.25">
      <c r="A2918" t="s">
        <v>6469</v>
      </c>
      <c r="B2918" t="s">
        <v>6470</v>
      </c>
      <c r="C2918" t="s">
        <v>151</v>
      </c>
      <c r="F2918">
        <v>1</v>
      </c>
      <c r="G2918" t="s">
        <v>16</v>
      </c>
      <c r="H2918">
        <v>0</v>
      </c>
      <c r="I2918" s="2" t="s">
        <v>156</v>
      </c>
      <c r="J2918" s="2" t="s">
        <v>6471</v>
      </c>
      <c r="K2918">
        <v>20</v>
      </c>
      <c r="L2918">
        <v>20</v>
      </c>
      <c r="M2918">
        <v>20</v>
      </c>
    </row>
    <row r="2919" spans="1:13" x14ac:dyDescent="0.25">
      <c r="A2919" t="s">
        <v>6472</v>
      </c>
      <c r="B2919" t="s">
        <v>6473</v>
      </c>
      <c r="C2919" t="s">
        <v>20</v>
      </c>
      <c r="D2919" t="s">
        <v>899</v>
      </c>
      <c r="F2919">
        <v>1</v>
      </c>
      <c r="G2919" t="s">
        <v>16</v>
      </c>
      <c r="H2919">
        <v>0</v>
      </c>
      <c r="I2919" s="2" t="s">
        <v>3830</v>
      </c>
      <c r="J2919" s="2" t="s">
        <v>6474</v>
      </c>
      <c r="K2919">
        <v>20</v>
      </c>
      <c r="L2919">
        <v>20</v>
      </c>
      <c r="M2919">
        <v>20</v>
      </c>
    </row>
    <row r="2920" spans="1:13" x14ac:dyDescent="0.25">
      <c r="A2920" t="s">
        <v>6475</v>
      </c>
      <c r="B2920" t="s">
        <v>6476</v>
      </c>
      <c r="C2920" t="s">
        <v>362</v>
      </c>
      <c r="D2920" t="s">
        <v>4091</v>
      </c>
      <c r="G2920" t="s">
        <v>16</v>
      </c>
      <c r="H2920">
        <v>0</v>
      </c>
      <c r="I2920" s="2" t="s">
        <v>2533</v>
      </c>
      <c r="J2920" s="2" t="s">
        <v>6477</v>
      </c>
      <c r="K2920">
        <v>20</v>
      </c>
      <c r="L2920">
        <v>20</v>
      </c>
      <c r="M2920">
        <v>20</v>
      </c>
    </row>
    <row r="2921" spans="1:13" x14ac:dyDescent="0.25">
      <c r="A2921" t="s">
        <v>6478</v>
      </c>
      <c r="B2921" t="s">
        <v>6476</v>
      </c>
      <c r="C2921" t="s">
        <v>362</v>
      </c>
      <c r="D2921" t="s">
        <v>4091</v>
      </c>
      <c r="G2921" t="s">
        <v>16</v>
      </c>
      <c r="H2921">
        <v>0</v>
      </c>
      <c r="I2921" s="2" t="s">
        <v>383</v>
      </c>
      <c r="J2921" s="2" t="str">
        <f>"0986495266"</f>
        <v>0986495266</v>
      </c>
      <c r="K2921">
        <v>20</v>
      </c>
      <c r="L2921">
        <v>20</v>
      </c>
      <c r="M2921">
        <v>20</v>
      </c>
    </row>
    <row r="2922" spans="1:13" x14ac:dyDescent="0.25">
      <c r="A2922" t="s">
        <v>6479</v>
      </c>
      <c r="B2922" t="s">
        <v>6476</v>
      </c>
      <c r="C2922" t="s">
        <v>362</v>
      </c>
      <c r="D2922" t="s">
        <v>4091</v>
      </c>
      <c r="F2922">
        <v>1</v>
      </c>
      <c r="G2922" t="s">
        <v>16</v>
      </c>
      <c r="H2922">
        <v>0</v>
      </c>
      <c r="I2922" s="2" t="s">
        <v>389</v>
      </c>
      <c r="J2922" s="2">
        <v>1617270080</v>
      </c>
      <c r="K2922">
        <v>20</v>
      </c>
      <c r="L2922">
        <v>20</v>
      </c>
      <c r="M2922">
        <v>20</v>
      </c>
    </row>
    <row r="2923" spans="1:13" x14ac:dyDescent="0.25">
      <c r="A2923" t="s">
        <v>6480</v>
      </c>
      <c r="B2923" t="s">
        <v>6476</v>
      </c>
      <c r="C2923" t="s">
        <v>362</v>
      </c>
      <c r="D2923" t="s">
        <v>4091</v>
      </c>
      <c r="F2923">
        <v>1</v>
      </c>
      <c r="G2923" t="s">
        <v>16</v>
      </c>
      <c r="H2923">
        <v>0</v>
      </c>
      <c r="I2923" s="2" t="s">
        <v>108</v>
      </c>
      <c r="J2923" s="3">
        <v>2831101003</v>
      </c>
      <c r="K2923">
        <v>20</v>
      </c>
      <c r="L2923">
        <v>20</v>
      </c>
      <c r="M2923">
        <v>20</v>
      </c>
    </row>
    <row r="2924" spans="1:13" x14ac:dyDescent="0.25">
      <c r="A2924">
        <v>1635187680</v>
      </c>
      <c r="B2924" t="s">
        <v>6481</v>
      </c>
      <c r="C2924" t="s">
        <v>540</v>
      </c>
      <c r="F2924">
        <v>1</v>
      </c>
      <c r="G2924" t="s">
        <v>16</v>
      </c>
      <c r="H2924">
        <v>0</v>
      </c>
      <c r="I2924" s="2" t="s">
        <v>51</v>
      </c>
      <c r="J2924" s="2">
        <v>1635187680</v>
      </c>
      <c r="K2924">
        <v>20</v>
      </c>
      <c r="L2924">
        <v>20</v>
      </c>
      <c r="M2924">
        <v>20</v>
      </c>
    </row>
    <row r="2925" spans="1:13" x14ac:dyDescent="0.25">
      <c r="A2925" t="s">
        <v>6482</v>
      </c>
      <c r="B2925" t="s">
        <v>6483</v>
      </c>
      <c r="C2925" t="s">
        <v>362</v>
      </c>
      <c r="D2925" t="s">
        <v>4091</v>
      </c>
      <c r="F2925">
        <v>2</v>
      </c>
      <c r="G2925" t="s">
        <v>16</v>
      </c>
      <c r="H2925">
        <v>0</v>
      </c>
      <c r="I2925" s="2" t="s">
        <v>4193</v>
      </c>
      <c r="J2925" s="2" t="s">
        <v>6484</v>
      </c>
      <c r="K2925">
        <v>20</v>
      </c>
      <c r="L2925">
        <v>20</v>
      </c>
      <c r="M2925">
        <v>20</v>
      </c>
    </row>
    <row r="2926" spans="1:13" x14ac:dyDescent="0.25">
      <c r="A2926" t="s">
        <v>6485</v>
      </c>
      <c r="B2926" t="s">
        <v>6486</v>
      </c>
      <c r="C2926" t="s">
        <v>362</v>
      </c>
      <c r="D2926" t="s">
        <v>4091</v>
      </c>
      <c r="F2926">
        <v>2</v>
      </c>
      <c r="G2926" t="s">
        <v>16</v>
      </c>
      <c r="H2926">
        <v>0</v>
      </c>
      <c r="I2926" s="2" t="s">
        <v>941</v>
      </c>
      <c r="J2926" s="2" t="s">
        <v>6487</v>
      </c>
      <c r="K2926">
        <v>20</v>
      </c>
      <c r="L2926">
        <v>20</v>
      </c>
      <c r="M2926">
        <v>20</v>
      </c>
    </row>
    <row r="2927" spans="1:13" x14ac:dyDescent="0.25">
      <c r="A2927" t="s">
        <v>6488</v>
      </c>
      <c r="B2927" t="s">
        <v>6483</v>
      </c>
      <c r="C2927" t="s">
        <v>362</v>
      </c>
      <c r="D2927" t="s">
        <v>6489</v>
      </c>
      <c r="G2927" t="s">
        <v>16</v>
      </c>
      <c r="H2927">
        <v>0</v>
      </c>
      <c r="I2927" s="2" t="s">
        <v>6156</v>
      </c>
      <c r="J2927" s="3">
        <v>2901102001</v>
      </c>
      <c r="K2927">
        <v>20</v>
      </c>
      <c r="L2927">
        <v>20</v>
      </c>
      <c r="M2927">
        <v>20</v>
      </c>
    </row>
    <row r="2928" spans="1:13" x14ac:dyDescent="0.25">
      <c r="A2928" t="s">
        <v>6490</v>
      </c>
      <c r="B2928" t="s">
        <v>6491</v>
      </c>
      <c r="C2928" t="s">
        <v>362</v>
      </c>
      <c r="D2928" t="s">
        <v>4091</v>
      </c>
      <c r="G2928" t="s">
        <v>16</v>
      </c>
      <c r="H2928">
        <v>0</v>
      </c>
      <c r="I2928" s="2" t="s">
        <v>809</v>
      </c>
      <c r="J2928" s="2" t="s">
        <v>6492</v>
      </c>
      <c r="K2928">
        <v>20</v>
      </c>
      <c r="L2928">
        <v>20</v>
      </c>
      <c r="M2928">
        <v>20</v>
      </c>
    </row>
    <row r="2929" spans="1:13" x14ac:dyDescent="0.25">
      <c r="A2929">
        <v>1638159380</v>
      </c>
      <c r="B2929" t="s">
        <v>6493</v>
      </c>
      <c r="C2929" t="s">
        <v>20</v>
      </c>
      <c r="D2929" t="s">
        <v>26</v>
      </c>
      <c r="F2929">
        <v>0</v>
      </c>
      <c r="G2929" t="s">
        <v>16</v>
      </c>
      <c r="H2929">
        <v>0</v>
      </c>
      <c r="I2929" s="2" t="s">
        <v>51</v>
      </c>
      <c r="J2929" s="2">
        <v>1638159380</v>
      </c>
      <c r="K2929">
        <v>20</v>
      </c>
      <c r="L2929">
        <v>20</v>
      </c>
      <c r="M2929">
        <v>20</v>
      </c>
    </row>
    <row r="2930" spans="1:13" x14ac:dyDescent="0.25">
      <c r="A2930" t="s">
        <v>6494</v>
      </c>
      <c r="B2930" t="s">
        <v>6496</v>
      </c>
      <c r="C2930" t="s">
        <v>20</v>
      </c>
      <c r="D2930" t="s">
        <v>26</v>
      </c>
      <c r="F2930">
        <v>3</v>
      </c>
      <c r="G2930" t="s">
        <v>16</v>
      </c>
      <c r="H2930">
        <v>0</v>
      </c>
      <c r="I2930" s="2" t="s">
        <v>69</v>
      </c>
      <c r="J2930" s="2" t="s">
        <v>6495</v>
      </c>
      <c r="K2930">
        <v>20</v>
      </c>
      <c r="L2930">
        <v>20</v>
      </c>
      <c r="M2930">
        <v>20</v>
      </c>
    </row>
    <row r="2931" spans="1:13" x14ac:dyDescent="0.25">
      <c r="A2931">
        <v>1638159680</v>
      </c>
      <c r="B2931" t="s">
        <v>6497</v>
      </c>
      <c r="C2931" t="s">
        <v>20</v>
      </c>
      <c r="D2931" t="s">
        <v>296</v>
      </c>
      <c r="F2931">
        <v>1</v>
      </c>
      <c r="G2931" t="s">
        <v>16</v>
      </c>
      <c r="H2931">
        <v>0</v>
      </c>
      <c r="I2931" s="2" t="s">
        <v>55</v>
      </c>
      <c r="J2931" s="2">
        <v>1638159680</v>
      </c>
      <c r="K2931">
        <v>20</v>
      </c>
      <c r="L2931">
        <v>20</v>
      </c>
      <c r="M2931">
        <v>20</v>
      </c>
    </row>
    <row r="2932" spans="1:13" x14ac:dyDescent="0.25">
      <c r="A2932" t="s">
        <v>6498</v>
      </c>
      <c r="B2932" t="s">
        <v>6499</v>
      </c>
      <c r="C2932" t="s">
        <v>20</v>
      </c>
      <c r="D2932" t="s">
        <v>296</v>
      </c>
      <c r="G2932" t="s">
        <v>16</v>
      </c>
      <c r="H2932">
        <v>0</v>
      </c>
      <c r="I2932" s="2" t="s">
        <v>404</v>
      </c>
      <c r="J2932" s="2" t="s">
        <v>6500</v>
      </c>
      <c r="K2932">
        <v>20</v>
      </c>
      <c r="L2932">
        <v>20</v>
      </c>
      <c r="M2932">
        <v>20</v>
      </c>
    </row>
    <row r="2933" spans="1:13" x14ac:dyDescent="0.25">
      <c r="A2933">
        <v>1638159980</v>
      </c>
      <c r="B2933" t="s">
        <v>6501</v>
      </c>
      <c r="C2933" t="s">
        <v>20</v>
      </c>
      <c r="D2933" t="s">
        <v>26</v>
      </c>
      <c r="F2933">
        <v>4</v>
      </c>
      <c r="G2933" t="s">
        <v>16</v>
      </c>
      <c r="H2933">
        <v>0</v>
      </c>
      <c r="I2933" s="2" t="s">
        <v>51</v>
      </c>
      <c r="J2933" s="2">
        <v>1638159980</v>
      </c>
      <c r="K2933">
        <v>20</v>
      </c>
      <c r="L2933">
        <v>20</v>
      </c>
      <c r="M2933">
        <v>20</v>
      </c>
    </row>
    <row r="2934" spans="1:13" x14ac:dyDescent="0.25">
      <c r="A2934" t="s">
        <v>6502</v>
      </c>
      <c r="B2934" t="s">
        <v>6503</v>
      </c>
      <c r="C2934" t="s">
        <v>20</v>
      </c>
      <c r="D2934" t="s">
        <v>26</v>
      </c>
      <c r="G2934" t="s">
        <v>22</v>
      </c>
      <c r="H2934">
        <v>0</v>
      </c>
      <c r="I2934" s="2" t="s">
        <v>99</v>
      </c>
      <c r="J2934" s="3">
        <v>747210</v>
      </c>
      <c r="K2934">
        <v>20</v>
      </c>
      <c r="L2934">
        <v>20</v>
      </c>
      <c r="M2934">
        <v>20</v>
      </c>
    </row>
    <row r="2935" spans="1:13" x14ac:dyDescent="0.25">
      <c r="A2935" t="s">
        <v>6504</v>
      </c>
      <c r="B2935" t="s">
        <v>6505</v>
      </c>
      <c r="C2935" t="s">
        <v>540</v>
      </c>
      <c r="D2935" t="s">
        <v>1736</v>
      </c>
      <c r="G2935" t="s">
        <v>16</v>
      </c>
      <c r="H2935">
        <v>0</v>
      </c>
      <c r="I2935" s="2" t="s">
        <v>1748</v>
      </c>
      <c r="J2935" s="2" t="s">
        <v>6506</v>
      </c>
      <c r="K2935">
        <v>20</v>
      </c>
      <c r="L2935">
        <v>20</v>
      </c>
      <c r="M2935">
        <v>20</v>
      </c>
    </row>
    <row r="2936" spans="1:13" x14ac:dyDescent="0.25">
      <c r="A2936" t="s">
        <v>6507</v>
      </c>
      <c r="B2936" t="s">
        <v>6508</v>
      </c>
      <c r="C2936" t="s">
        <v>362</v>
      </c>
      <c r="D2936" t="s">
        <v>363</v>
      </c>
      <c r="G2936" t="s">
        <v>16</v>
      </c>
      <c r="H2936">
        <v>0</v>
      </c>
      <c r="I2936" s="2" t="s">
        <v>6509</v>
      </c>
      <c r="J2936" s="2" t="s">
        <v>6510</v>
      </c>
      <c r="K2936">
        <v>20</v>
      </c>
      <c r="L2936">
        <v>20</v>
      </c>
      <c r="M2936">
        <v>20</v>
      </c>
    </row>
    <row r="2937" spans="1:13" x14ac:dyDescent="0.25">
      <c r="A2937" t="s">
        <v>6511</v>
      </c>
      <c r="B2937" t="s">
        <v>6512</v>
      </c>
      <c r="C2937" t="s">
        <v>362</v>
      </c>
      <c r="D2937" t="s">
        <v>4091</v>
      </c>
      <c r="F2937">
        <v>2</v>
      </c>
      <c r="G2937" t="s">
        <v>16</v>
      </c>
      <c r="H2937">
        <v>0</v>
      </c>
      <c r="I2937" s="2" t="s">
        <v>4193</v>
      </c>
      <c r="J2937" s="2" t="s">
        <v>6513</v>
      </c>
      <c r="K2937">
        <v>20</v>
      </c>
      <c r="L2937">
        <v>20</v>
      </c>
      <c r="M2937">
        <v>20</v>
      </c>
    </row>
    <row r="2938" spans="1:13" x14ac:dyDescent="0.25">
      <c r="A2938" t="s">
        <v>6514</v>
      </c>
      <c r="B2938" t="s">
        <v>6512</v>
      </c>
      <c r="C2938" t="s">
        <v>362</v>
      </c>
      <c r="D2938" t="s">
        <v>4091</v>
      </c>
      <c r="G2938" t="s">
        <v>16</v>
      </c>
      <c r="H2938">
        <v>0</v>
      </c>
      <c r="I2938" s="2" t="s">
        <v>2786</v>
      </c>
      <c r="J2938" s="2" t="str">
        <f>"05P2240"</f>
        <v>05P2240</v>
      </c>
      <c r="K2938">
        <v>20</v>
      </c>
      <c r="L2938">
        <v>20</v>
      </c>
      <c r="M2938">
        <v>20</v>
      </c>
    </row>
    <row r="2939" spans="1:13" x14ac:dyDescent="0.25">
      <c r="A2939">
        <v>1643637980</v>
      </c>
      <c r="B2939" t="s">
        <v>6515</v>
      </c>
      <c r="C2939" t="s">
        <v>20</v>
      </c>
      <c r="D2939" t="s">
        <v>296</v>
      </c>
      <c r="F2939">
        <v>1</v>
      </c>
      <c r="G2939" t="s">
        <v>16</v>
      </c>
      <c r="H2939">
        <v>0</v>
      </c>
      <c r="I2939" s="2" t="s">
        <v>51</v>
      </c>
      <c r="J2939" s="2">
        <v>1643637980</v>
      </c>
      <c r="K2939">
        <v>20</v>
      </c>
      <c r="L2939">
        <v>20</v>
      </c>
      <c r="M2939">
        <v>20</v>
      </c>
    </row>
    <row r="2940" spans="1:13" x14ac:dyDescent="0.25">
      <c r="A2940" t="s">
        <v>6516</v>
      </c>
      <c r="B2940" t="s">
        <v>6517</v>
      </c>
      <c r="C2940" t="s">
        <v>496</v>
      </c>
      <c r="D2940" t="s">
        <v>4101</v>
      </c>
      <c r="F2940">
        <v>1</v>
      </c>
      <c r="G2940" t="s">
        <v>16</v>
      </c>
      <c r="H2940">
        <v>0</v>
      </c>
      <c r="I2940" s="2" t="s">
        <v>87</v>
      </c>
      <c r="J2940" s="2" t="s">
        <v>6518</v>
      </c>
      <c r="K2940">
        <v>20</v>
      </c>
      <c r="L2940">
        <v>20</v>
      </c>
      <c r="M2940">
        <v>20</v>
      </c>
    </row>
    <row r="2941" spans="1:13" x14ac:dyDescent="0.25">
      <c r="A2941" t="s">
        <v>6519</v>
      </c>
      <c r="B2941" t="s">
        <v>6517</v>
      </c>
      <c r="C2941" t="s">
        <v>496</v>
      </c>
      <c r="D2941" t="s">
        <v>4101</v>
      </c>
      <c r="F2941">
        <v>1</v>
      </c>
      <c r="G2941" t="s">
        <v>16</v>
      </c>
      <c r="H2941">
        <v>0</v>
      </c>
      <c r="I2941" s="2" t="s">
        <v>2670</v>
      </c>
      <c r="J2941" s="2">
        <v>601207</v>
      </c>
      <c r="K2941">
        <v>20</v>
      </c>
      <c r="L2941">
        <v>20</v>
      </c>
      <c r="M2941">
        <v>20</v>
      </c>
    </row>
    <row r="2942" spans="1:13" x14ac:dyDescent="0.25">
      <c r="A2942" t="s">
        <v>6520</v>
      </c>
      <c r="B2942" t="s">
        <v>6517</v>
      </c>
      <c r="C2942" t="s">
        <v>496</v>
      </c>
      <c r="D2942" t="s">
        <v>4101</v>
      </c>
      <c r="F2942">
        <v>1</v>
      </c>
      <c r="G2942" t="s">
        <v>16</v>
      </c>
      <c r="H2942">
        <v>0</v>
      </c>
      <c r="I2942" s="2" t="s">
        <v>3808</v>
      </c>
      <c r="J2942" s="2" t="s">
        <v>6521</v>
      </c>
      <c r="K2942">
        <v>20</v>
      </c>
      <c r="L2942">
        <v>20</v>
      </c>
      <c r="M2942">
        <v>20</v>
      </c>
    </row>
    <row r="2943" spans="1:13" x14ac:dyDescent="0.25">
      <c r="A2943" t="s">
        <v>6522</v>
      </c>
      <c r="B2943" t="s">
        <v>6517</v>
      </c>
      <c r="C2943" t="s">
        <v>496</v>
      </c>
      <c r="D2943" t="s">
        <v>4101</v>
      </c>
      <c r="F2943">
        <v>2</v>
      </c>
      <c r="G2943" t="s">
        <v>16</v>
      </c>
      <c r="H2943">
        <v>0</v>
      </c>
      <c r="I2943" s="2" t="s">
        <v>414</v>
      </c>
      <c r="J2943" s="2" t="s">
        <v>6523</v>
      </c>
      <c r="K2943">
        <v>20</v>
      </c>
      <c r="L2943">
        <v>20</v>
      </c>
      <c r="M2943">
        <v>20</v>
      </c>
    </row>
    <row r="2944" spans="1:13" x14ac:dyDescent="0.25">
      <c r="A2944" t="s">
        <v>6524</v>
      </c>
      <c r="B2944" t="s">
        <v>6525</v>
      </c>
      <c r="C2944" t="s">
        <v>496</v>
      </c>
      <c r="D2944" t="s">
        <v>2360</v>
      </c>
      <c r="F2944">
        <v>1</v>
      </c>
      <c r="G2944" t="s">
        <v>16</v>
      </c>
      <c r="H2944">
        <v>0</v>
      </c>
      <c r="I2944" s="2" t="s">
        <v>1175</v>
      </c>
      <c r="J2944" s="2" t="s">
        <v>6526</v>
      </c>
      <c r="K2944">
        <v>20</v>
      </c>
      <c r="L2944">
        <v>20</v>
      </c>
      <c r="M2944">
        <v>20</v>
      </c>
    </row>
    <row r="2945" spans="1:13" x14ac:dyDescent="0.25">
      <c r="A2945" t="s">
        <v>6527</v>
      </c>
      <c r="B2945" t="s">
        <v>6528</v>
      </c>
      <c r="C2945" t="s">
        <v>362</v>
      </c>
      <c r="D2945" t="s">
        <v>4091</v>
      </c>
      <c r="G2945" t="s">
        <v>16</v>
      </c>
      <c r="H2945">
        <v>0</v>
      </c>
      <c r="I2945" s="2" t="s">
        <v>4093</v>
      </c>
      <c r="J2945" s="2" t="s">
        <v>6529</v>
      </c>
      <c r="K2945">
        <v>20</v>
      </c>
      <c r="L2945">
        <v>20</v>
      </c>
      <c r="M2945">
        <v>20</v>
      </c>
    </row>
    <row r="2946" spans="1:13" x14ac:dyDescent="0.25">
      <c r="A2946" t="s">
        <v>6530</v>
      </c>
      <c r="B2946" t="s">
        <v>6531</v>
      </c>
      <c r="C2946" t="s">
        <v>362</v>
      </c>
      <c r="D2946" t="s">
        <v>4091</v>
      </c>
      <c r="F2946">
        <v>0</v>
      </c>
      <c r="G2946" t="s">
        <v>16</v>
      </c>
      <c r="H2946">
        <v>0</v>
      </c>
      <c r="I2946" s="2" t="s">
        <v>4093</v>
      </c>
      <c r="J2946" s="2" t="s">
        <v>6532</v>
      </c>
      <c r="K2946">
        <v>20</v>
      </c>
      <c r="L2946">
        <v>20</v>
      </c>
      <c r="M2946">
        <v>20</v>
      </c>
    </row>
    <row r="2947" spans="1:13" x14ac:dyDescent="0.25">
      <c r="A2947" t="s">
        <v>6533</v>
      </c>
      <c r="B2947" t="s">
        <v>6531</v>
      </c>
      <c r="C2947" t="s">
        <v>362</v>
      </c>
      <c r="D2947" t="s">
        <v>4091</v>
      </c>
      <c r="F2947">
        <v>33</v>
      </c>
      <c r="G2947" t="s">
        <v>16</v>
      </c>
      <c r="H2947">
        <v>0</v>
      </c>
      <c r="I2947" s="2" t="s">
        <v>288</v>
      </c>
      <c r="J2947" s="2" t="s">
        <v>6534</v>
      </c>
      <c r="K2947">
        <v>20</v>
      </c>
      <c r="L2947">
        <v>20</v>
      </c>
      <c r="M2947">
        <v>20</v>
      </c>
    </row>
    <row r="2948" spans="1:13" x14ac:dyDescent="0.25">
      <c r="A2948" t="s">
        <v>6535</v>
      </c>
      <c r="B2948" t="s">
        <v>6536</v>
      </c>
      <c r="C2948" t="s">
        <v>362</v>
      </c>
      <c r="D2948" t="s">
        <v>4091</v>
      </c>
      <c r="G2948" t="s">
        <v>16</v>
      </c>
      <c r="H2948">
        <v>0</v>
      </c>
      <c r="I2948" s="2" t="s">
        <v>2517</v>
      </c>
      <c r="J2948" s="2" t="s">
        <v>6537</v>
      </c>
      <c r="K2948">
        <v>20</v>
      </c>
      <c r="L2948">
        <v>20</v>
      </c>
      <c r="M2948">
        <v>20</v>
      </c>
    </row>
    <row r="2949" spans="1:13" x14ac:dyDescent="0.25">
      <c r="A2949" t="s">
        <v>6538</v>
      </c>
      <c r="B2949" t="s">
        <v>6536</v>
      </c>
      <c r="C2949" t="s">
        <v>362</v>
      </c>
      <c r="D2949" t="s">
        <v>4091</v>
      </c>
      <c r="G2949" t="s">
        <v>16</v>
      </c>
      <c r="H2949">
        <v>0</v>
      </c>
      <c r="I2949" s="2" t="s">
        <v>685</v>
      </c>
      <c r="J2949" s="2" t="str">
        <f>"0986495430"</f>
        <v>0986495430</v>
      </c>
      <c r="K2949">
        <v>20</v>
      </c>
      <c r="L2949">
        <v>20</v>
      </c>
      <c r="M2949">
        <v>20</v>
      </c>
    </row>
    <row r="2950" spans="1:13" x14ac:dyDescent="0.25">
      <c r="A2950" t="s">
        <v>6539</v>
      </c>
      <c r="B2950" t="s">
        <v>6536</v>
      </c>
      <c r="C2950" t="s">
        <v>362</v>
      </c>
      <c r="D2950" t="s">
        <v>4091</v>
      </c>
      <c r="F2950">
        <v>0</v>
      </c>
      <c r="G2950" t="s">
        <v>16</v>
      </c>
      <c r="H2950">
        <v>0</v>
      </c>
      <c r="I2950" s="2" t="s">
        <v>941</v>
      </c>
      <c r="J2950" s="2" t="s">
        <v>6540</v>
      </c>
      <c r="K2950">
        <v>20</v>
      </c>
      <c r="L2950">
        <v>20</v>
      </c>
      <c r="M2950">
        <v>20</v>
      </c>
    </row>
    <row r="2951" spans="1:13" x14ac:dyDescent="0.25">
      <c r="A2951" t="s">
        <v>6541</v>
      </c>
      <c r="B2951" t="s">
        <v>6531</v>
      </c>
      <c r="C2951" t="s">
        <v>362</v>
      </c>
      <c r="D2951" t="s">
        <v>4091</v>
      </c>
      <c r="F2951">
        <v>0</v>
      </c>
      <c r="G2951" t="s">
        <v>16</v>
      </c>
      <c r="H2951">
        <v>0</v>
      </c>
      <c r="I2951" s="2" t="s">
        <v>392</v>
      </c>
      <c r="J2951" s="2">
        <v>1682315480</v>
      </c>
      <c r="K2951">
        <v>20</v>
      </c>
      <c r="L2951">
        <v>20</v>
      </c>
      <c r="M2951">
        <v>20</v>
      </c>
    </row>
    <row r="2952" spans="1:13" x14ac:dyDescent="0.25">
      <c r="A2952" t="s">
        <v>6542</v>
      </c>
      <c r="B2952" t="s">
        <v>6536</v>
      </c>
      <c r="C2952" t="s">
        <v>362</v>
      </c>
      <c r="D2952" t="s">
        <v>4091</v>
      </c>
      <c r="G2952" t="s">
        <v>16</v>
      </c>
      <c r="H2952">
        <v>0</v>
      </c>
      <c r="I2952" s="2" t="s">
        <v>5496</v>
      </c>
      <c r="J2952" s="2" t="s">
        <v>6543</v>
      </c>
      <c r="K2952">
        <v>20</v>
      </c>
      <c r="L2952">
        <v>20</v>
      </c>
      <c r="M2952">
        <v>20</v>
      </c>
    </row>
    <row r="2953" spans="1:13" x14ac:dyDescent="0.25">
      <c r="A2953" t="s">
        <v>6544</v>
      </c>
      <c r="B2953" t="s">
        <v>6531</v>
      </c>
      <c r="C2953" t="s">
        <v>362</v>
      </c>
      <c r="D2953" t="s">
        <v>4091</v>
      </c>
      <c r="F2953">
        <v>0</v>
      </c>
      <c r="G2953" t="s">
        <v>16</v>
      </c>
      <c r="H2953">
        <v>0</v>
      </c>
      <c r="I2953" s="2" t="s">
        <v>491</v>
      </c>
      <c r="J2953" s="2">
        <v>323700018900</v>
      </c>
      <c r="K2953">
        <v>20</v>
      </c>
      <c r="L2953">
        <v>20</v>
      </c>
      <c r="M2953">
        <v>20</v>
      </c>
    </row>
    <row r="2954" spans="1:13" x14ac:dyDescent="0.25">
      <c r="A2954" t="s">
        <v>6545</v>
      </c>
      <c r="B2954" t="s">
        <v>6536</v>
      </c>
      <c r="C2954" t="s">
        <v>362</v>
      </c>
      <c r="D2954" t="s">
        <v>4091</v>
      </c>
      <c r="F2954">
        <v>1</v>
      </c>
      <c r="G2954" t="s">
        <v>16</v>
      </c>
      <c r="H2954">
        <v>0</v>
      </c>
      <c r="I2954" s="2" t="s">
        <v>162</v>
      </c>
      <c r="J2954" s="2">
        <v>55900</v>
      </c>
      <c r="K2954">
        <v>20</v>
      </c>
      <c r="L2954">
        <v>20</v>
      </c>
      <c r="M2954">
        <v>20</v>
      </c>
    </row>
    <row r="2955" spans="1:13" x14ac:dyDescent="0.25">
      <c r="A2955" t="s">
        <v>6546</v>
      </c>
      <c r="B2955" t="s">
        <v>6547</v>
      </c>
      <c r="C2955" t="s">
        <v>362</v>
      </c>
      <c r="D2955" t="s">
        <v>4091</v>
      </c>
      <c r="F2955">
        <v>1</v>
      </c>
      <c r="G2955" t="s">
        <v>16</v>
      </c>
      <c r="H2955">
        <v>0</v>
      </c>
      <c r="I2955" s="2" t="s">
        <v>5057</v>
      </c>
      <c r="J2955" s="2" t="s">
        <v>6548</v>
      </c>
      <c r="K2955">
        <v>20</v>
      </c>
      <c r="L2955">
        <v>20</v>
      </c>
      <c r="M2955">
        <v>20</v>
      </c>
    </row>
    <row r="2956" spans="1:13" x14ac:dyDescent="0.25">
      <c r="A2956" t="s">
        <v>6549</v>
      </c>
      <c r="B2956" t="s">
        <v>6550</v>
      </c>
      <c r="C2956" t="s">
        <v>362</v>
      </c>
      <c r="D2956" t="s">
        <v>4091</v>
      </c>
      <c r="F2956">
        <v>1</v>
      </c>
      <c r="G2956" t="s">
        <v>16</v>
      </c>
      <c r="H2956">
        <v>0</v>
      </c>
      <c r="I2956" s="2" t="s">
        <v>4625</v>
      </c>
      <c r="J2956" s="2" t="s">
        <v>6551</v>
      </c>
      <c r="K2956">
        <v>20</v>
      </c>
      <c r="L2956">
        <v>20</v>
      </c>
      <c r="M2956">
        <v>20</v>
      </c>
    </row>
    <row r="2957" spans="1:13" x14ac:dyDescent="0.25">
      <c r="A2957" t="s">
        <v>6552</v>
      </c>
      <c r="B2957" t="s">
        <v>6550</v>
      </c>
      <c r="C2957" t="s">
        <v>362</v>
      </c>
      <c r="D2957" t="s">
        <v>4091</v>
      </c>
      <c r="F2957">
        <v>1</v>
      </c>
      <c r="G2957" t="s">
        <v>16</v>
      </c>
      <c r="H2957">
        <v>0</v>
      </c>
      <c r="I2957" s="2" t="s">
        <v>2517</v>
      </c>
      <c r="J2957" s="2" t="s">
        <v>6553</v>
      </c>
      <c r="K2957">
        <v>20</v>
      </c>
      <c r="L2957">
        <v>20</v>
      </c>
      <c r="M2957">
        <v>20</v>
      </c>
    </row>
    <row r="2958" spans="1:13" x14ac:dyDescent="0.25">
      <c r="A2958" t="s">
        <v>6554</v>
      </c>
      <c r="B2958" t="s">
        <v>6550</v>
      </c>
      <c r="C2958" t="s">
        <v>362</v>
      </c>
      <c r="D2958" t="s">
        <v>4091</v>
      </c>
      <c r="F2958">
        <v>1</v>
      </c>
      <c r="G2958" t="s">
        <v>16</v>
      </c>
      <c r="H2958">
        <v>0</v>
      </c>
      <c r="I2958" s="2" t="s">
        <v>6555</v>
      </c>
      <c r="J2958" s="2">
        <v>4406</v>
      </c>
      <c r="K2958">
        <v>20</v>
      </c>
      <c r="L2958">
        <v>20</v>
      </c>
      <c r="M2958">
        <v>20</v>
      </c>
    </row>
    <row r="2959" spans="1:13" x14ac:dyDescent="0.25">
      <c r="A2959" t="s">
        <v>6556</v>
      </c>
      <c r="B2959" t="s">
        <v>6550</v>
      </c>
      <c r="C2959" t="s">
        <v>362</v>
      </c>
      <c r="D2959" t="s">
        <v>4091</v>
      </c>
      <c r="F2959">
        <v>1</v>
      </c>
      <c r="G2959" t="s">
        <v>16</v>
      </c>
      <c r="H2959">
        <v>0</v>
      </c>
      <c r="I2959" s="2" t="s">
        <v>4193</v>
      </c>
      <c r="J2959" s="2" t="s">
        <v>6557</v>
      </c>
      <c r="K2959">
        <v>20</v>
      </c>
      <c r="L2959">
        <v>20</v>
      </c>
      <c r="M2959">
        <v>20</v>
      </c>
    </row>
    <row r="2960" spans="1:13" x14ac:dyDescent="0.25">
      <c r="A2960" t="s">
        <v>6558</v>
      </c>
      <c r="B2960" t="s">
        <v>6550</v>
      </c>
      <c r="C2960" t="s">
        <v>362</v>
      </c>
      <c r="D2960" t="s">
        <v>4091</v>
      </c>
      <c r="F2960">
        <v>1</v>
      </c>
      <c r="G2960" t="s">
        <v>16</v>
      </c>
      <c r="H2960">
        <v>0</v>
      </c>
      <c r="I2960" s="2" t="s">
        <v>707</v>
      </c>
      <c r="J2960" s="2" t="s">
        <v>6559</v>
      </c>
      <c r="K2960">
        <v>20</v>
      </c>
      <c r="L2960">
        <v>20</v>
      </c>
      <c r="M2960">
        <v>20</v>
      </c>
    </row>
    <row r="2961" spans="1:13" x14ac:dyDescent="0.25">
      <c r="A2961" t="s">
        <v>6560</v>
      </c>
      <c r="B2961" t="s">
        <v>6550</v>
      </c>
      <c r="C2961" t="s">
        <v>362</v>
      </c>
      <c r="D2961" t="s">
        <v>4091</v>
      </c>
      <c r="F2961">
        <v>3</v>
      </c>
      <c r="G2961" t="s">
        <v>16</v>
      </c>
      <c r="H2961">
        <v>0</v>
      </c>
      <c r="I2961" s="2" t="s">
        <v>5500</v>
      </c>
      <c r="J2961" s="2" t="s">
        <v>6561</v>
      </c>
      <c r="K2961">
        <v>20</v>
      </c>
      <c r="L2961">
        <v>20</v>
      </c>
      <c r="M2961">
        <v>20</v>
      </c>
    </row>
    <row r="2962" spans="1:13" x14ac:dyDescent="0.25">
      <c r="A2962" t="s">
        <v>6562</v>
      </c>
      <c r="B2962" t="s">
        <v>6550</v>
      </c>
      <c r="C2962" t="s">
        <v>362</v>
      </c>
      <c r="D2962" t="s">
        <v>4091</v>
      </c>
      <c r="F2962">
        <v>8</v>
      </c>
      <c r="G2962" t="s">
        <v>16</v>
      </c>
      <c r="H2962">
        <v>0</v>
      </c>
      <c r="I2962" s="2" t="s">
        <v>5496</v>
      </c>
      <c r="J2962" s="2" t="s">
        <v>6563</v>
      </c>
      <c r="K2962">
        <v>20</v>
      </c>
      <c r="L2962">
        <v>20</v>
      </c>
      <c r="M2962">
        <v>20</v>
      </c>
    </row>
    <row r="2963" spans="1:13" x14ac:dyDescent="0.25">
      <c r="A2963" t="s">
        <v>6564</v>
      </c>
      <c r="B2963" t="s">
        <v>6550</v>
      </c>
      <c r="C2963" t="s">
        <v>362</v>
      </c>
      <c r="D2963" t="s">
        <v>4091</v>
      </c>
      <c r="G2963" t="s">
        <v>16</v>
      </c>
      <c r="H2963">
        <v>0</v>
      </c>
      <c r="I2963" s="2" t="s">
        <v>108</v>
      </c>
      <c r="J2963" s="3">
        <v>2821101001</v>
      </c>
      <c r="K2963">
        <v>20</v>
      </c>
      <c r="L2963">
        <v>20</v>
      </c>
      <c r="M2963">
        <v>20</v>
      </c>
    </row>
    <row r="2964" spans="1:13" x14ac:dyDescent="0.25">
      <c r="A2964" t="s">
        <v>6565</v>
      </c>
      <c r="B2964" t="s">
        <v>6550</v>
      </c>
      <c r="C2964" t="s">
        <v>362</v>
      </c>
      <c r="D2964" t="s">
        <v>4091</v>
      </c>
      <c r="F2964">
        <v>1</v>
      </c>
      <c r="G2964" t="s">
        <v>16</v>
      </c>
      <c r="H2964">
        <v>0</v>
      </c>
      <c r="I2964" s="2" t="s">
        <v>64</v>
      </c>
      <c r="J2964" s="2" t="str">
        <f>"07160086"</f>
        <v>07160086</v>
      </c>
      <c r="K2964">
        <v>20</v>
      </c>
      <c r="L2964">
        <v>20</v>
      </c>
      <c r="M2964">
        <v>20</v>
      </c>
    </row>
    <row r="2965" spans="1:13" x14ac:dyDescent="0.25">
      <c r="A2965" t="s">
        <v>6566</v>
      </c>
      <c r="B2965" t="s">
        <v>6550</v>
      </c>
      <c r="C2965" t="s">
        <v>362</v>
      </c>
      <c r="D2965" t="s">
        <v>4091</v>
      </c>
      <c r="G2965" t="s">
        <v>16</v>
      </c>
      <c r="H2965">
        <v>0</v>
      </c>
      <c r="I2965" s="2" t="s">
        <v>285</v>
      </c>
      <c r="J2965" s="2" t="s">
        <v>6567</v>
      </c>
      <c r="K2965">
        <v>20</v>
      </c>
      <c r="L2965">
        <v>20</v>
      </c>
      <c r="M2965">
        <v>20</v>
      </c>
    </row>
    <row r="2966" spans="1:13" x14ac:dyDescent="0.25">
      <c r="A2966" t="s">
        <v>6568</v>
      </c>
      <c r="B2966" t="s">
        <v>6550</v>
      </c>
      <c r="C2966" t="s">
        <v>362</v>
      </c>
      <c r="D2966" t="s">
        <v>4091</v>
      </c>
      <c r="F2966">
        <v>2</v>
      </c>
      <c r="G2966" t="s">
        <v>16</v>
      </c>
      <c r="H2966">
        <v>0</v>
      </c>
      <c r="I2966" s="2" t="s">
        <v>266</v>
      </c>
      <c r="J2966" s="2">
        <v>44370</v>
      </c>
      <c r="K2966">
        <v>20</v>
      </c>
      <c r="L2966">
        <v>20</v>
      </c>
      <c r="M2966">
        <v>20</v>
      </c>
    </row>
    <row r="2967" spans="1:13" x14ac:dyDescent="0.25">
      <c r="A2967" t="s">
        <v>6569</v>
      </c>
      <c r="B2967" t="s">
        <v>6570</v>
      </c>
      <c r="C2967" t="s">
        <v>496</v>
      </c>
      <c r="F2967">
        <v>2</v>
      </c>
      <c r="G2967" t="s">
        <v>16</v>
      </c>
      <c r="H2967">
        <v>0</v>
      </c>
      <c r="I2967" s="2" t="s">
        <v>5267</v>
      </c>
      <c r="J2967" s="2" t="s">
        <v>6571</v>
      </c>
      <c r="K2967">
        <v>20</v>
      </c>
      <c r="L2967">
        <v>20</v>
      </c>
      <c r="M2967">
        <v>20</v>
      </c>
    </row>
    <row r="2968" spans="1:13" x14ac:dyDescent="0.25">
      <c r="A2968" t="s">
        <v>6572</v>
      </c>
      <c r="B2968" t="s">
        <v>6573</v>
      </c>
      <c r="C2968" t="s">
        <v>496</v>
      </c>
      <c r="D2968" t="s">
        <v>4101</v>
      </c>
      <c r="F2968">
        <v>1</v>
      </c>
      <c r="G2968" t="s">
        <v>16</v>
      </c>
      <c r="H2968">
        <v>0</v>
      </c>
      <c r="I2968" s="2" t="s">
        <v>2670</v>
      </c>
      <c r="J2968" s="2">
        <v>201212</v>
      </c>
      <c r="K2968">
        <v>20</v>
      </c>
      <c r="L2968">
        <v>20</v>
      </c>
      <c r="M2968">
        <v>20</v>
      </c>
    </row>
    <row r="2969" spans="1:13" x14ac:dyDescent="0.25">
      <c r="A2969" t="s">
        <v>6574</v>
      </c>
      <c r="B2969" t="s">
        <v>6573</v>
      </c>
      <c r="C2969" t="s">
        <v>496</v>
      </c>
      <c r="D2969" t="s">
        <v>4101</v>
      </c>
      <c r="F2969">
        <v>1</v>
      </c>
      <c r="G2969" t="s">
        <v>16</v>
      </c>
      <c r="H2969">
        <v>0</v>
      </c>
      <c r="I2969" s="2" t="s">
        <v>2599</v>
      </c>
      <c r="J2969" s="2" t="s">
        <v>6575</v>
      </c>
      <c r="K2969">
        <v>20</v>
      </c>
      <c r="L2969">
        <v>20</v>
      </c>
      <c r="M2969">
        <v>20</v>
      </c>
    </row>
    <row r="2970" spans="1:13" x14ac:dyDescent="0.25">
      <c r="A2970">
        <v>1654509380</v>
      </c>
      <c r="B2970" t="s">
        <v>6576</v>
      </c>
      <c r="C2970" t="s">
        <v>926</v>
      </c>
      <c r="D2970" t="s">
        <v>1036</v>
      </c>
      <c r="F2970">
        <v>10</v>
      </c>
      <c r="G2970" t="s">
        <v>16</v>
      </c>
      <c r="H2970">
        <v>0</v>
      </c>
      <c r="I2970" s="2" t="s">
        <v>51</v>
      </c>
      <c r="J2970" s="2">
        <v>1654509380</v>
      </c>
      <c r="K2970">
        <v>20</v>
      </c>
      <c r="L2970">
        <v>20</v>
      </c>
      <c r="M2970">
        <v>20</v>
      </c>
    </row>
    <row r="2971" spans="1:13" x14ac:dyDescent="0.25">
      <c r="A2971" t="s">
        <v>6577</v>
      </c>
      <c r="B2971" t="s">
        <v>6578</v>
      </c>
      <c r="C2971" t="s">
        <v>926</v>
      </c>
      <c r="D2971" t="s">
        <v>1036</v>
      </c>
      <c r="F2971">
        <v>13</v>
      </c>
      <c r="G2971" t="s">
        <v>16</v>
      </c>
      <c r="H2971">
        <v>0</v>
      </c>
      <c r="I2971" s="2" t="s">
        <v>389</v>
      </c>
      <c r="J2971" s="2">
        <v>1648406880</v>
      </c>
      <c r="K2971">
        <v>20</v>
      </c>
      <c r="L2971">
        <v>20</v>
      </c>
      <c r="M2971">
        <v>20</v>
      </c>
    </row>
    <row r="2972" spans="1:13" x14ac:dyDescent="0.25">
      <c r="A2972">
        <v>1654516080</v>
      </c>
      <c r="B2972" t="s">
        <v>6579</v>
      </c>
      <c r="C2972" t="s">
        <v>20</v>
      </c>
      <c r="D2972" t="s">
        <v>296</v>
      </c>
      <c r="F2972">
        <v>6</v>
      </c>
      <c r="G2972" t="s">
        <v>16</v>
      </c>
      <c r="H2972">
        <v>0</v>
      </c>
      <c r="I2972" s="2" t="s">
        <v>2831</v>
      </c>
      <c r="J2972" s="2">
        <v>1654516080</v>
      </c>
      <c r="K2972">
        <v>20</v>
      </c>
      <c r="L2972">
        <v>20</v>
      </c>
      <c r="M2972">
        <v>20</v>
      </c>
    </row>
    <row r="2973" spans="1:13" x14ac:dyDescent="0.25">
      <c r="A2973" t="s">
        <v>6580</v>
      </c>
      <c r="B2973" t="s">
        <v>6581</v>
      </c>
      <c r="C2973" t="s">
        <v>362</v>
      </c>
      <c r="D2973" t="s">
        <v>4091</v>
      </c>
      <c r="G2973" t="s">
        <v>16</v>
      </c>
      <c r="H2973">
        <v>0</v>
      </c>
      <c r="I2973" s="2" t="s">
        <v>6555</v>
      </c>
      <c r="J2973" s="2" t="s">
        <v>6582</v>
      </c>
      <c r="K2973">
        <v>20</v>
      </c>
      <c r="L2973">
        <v>20</v>
      </c>
      <c r="M2973">
        <v>20</v>
      </c>
    </row>
    <row r="2974" spans="1:13" x14ac:dyDescent="0.25">
      <c r="A2974" t="s">
        <v>6583</v>
      </c>
      <c r="B2974" t="s">
        <v>6581</v>
      </c>
      <c r="C2974" t="s">
        <v>362</v>
      </c>
      <c r="D2974" t="s">
        <v>4091</v>
      </c>
      <c r="G2974" t="s">
        <v>16</v>
      </c>
      <c r="H2974">
        <v>0</v>
      </c>
      <c r="I2974" s="2" t="s">
        <v>6584</v>
      </c>
      <c r="J2974" s="2">
        <v>4415</v>
      </c>
      <c r="K2974">
        <v>20</v>
      </c>
      <c r="L2974">
        <v>20</v>
      </c>
      <c r="M2974">
        <v>20</v>
      </c>
    </row>
    <row r="2975" spans="1:13" x14ac:dyDescent="0.25">
      <c r="A2975" t="s">
        <v>6585</v>
      </c>
      <c r="B2975" t="s">
        <v>6581</v>
      </c>
      <c r="C2975" t="s">
        <v>362</v>
      </c>
      <c r="D2975" t="s">
        <v>4091</v>
      </c>
      <c r="F2975">
        <v>2</v>
      </c>
      <c r="G2975" t="s">
        <v>16</v>
      </c>
      <c r="H2975">
        <v>0</v>
      </c>
      <c r="I2975" s="2" t="s">
        <v>5500</v>
      </c>
      <c r="J2975" s="2" t="s">
        <v>6586</v>
      </c>
      <c r="K2975">
        <v>20</v>
      </c>
      <c r="L2975">
        <v>20</v>
      </c>
      <c r="M2975">
        <v>20</v>
      </c>
    </row>
    <row r="2976" spans="1:13" x14ac:dyDescent="0.25">
      <c r="A2976" t="s">
        <v>6587</v>
      </c>
      <c r="B2976" t="s">
        <v>6581</v>
      </c>
      <c r="C2976" t="s">
        <v>362</v>
      </c>
      <c r="D2976" t="s">
        <v>4091</v>
      </c>
      <c r="F2976">
        <v>1</v>
      </c>
      <c r="G2976" t="s">
        <v>16</v>
      </c>
      <c r="H2976">
        <v>0</v>
      </c>
      <c r="I2976" s="2" t="s">
        <v>162</v>
      </c>
      <c r="J2976" s="2">
        <v>55765</v>
      </c>
      <c r="K2976">
        <v>20</v>
      </c>
      <c r="L2976">
        <v>20</v>
      </c>
      <c r="M2976">
        <v>20</v>
      </c>
    </row>
    <row r="2977" spans="1:13" x14ac:dyDescent="0.25">
      <c r="A2977" t="s">
        <v>6588</v>
      </c>
      <c r="B2977" t="s">
        <v>6589</v>
      </c>
      <c r="C2977" t="s">
        <v>362</v>
      </c>
      <c r="D2977" t="s">
        <v>4091</v>
      </c>
      <c r="F2977">
        <v>1</v>
      </c>
      <c r="G2977" t="s">
        <v>16</v>
      </c>
      <c r="H2977">
        <v>0</v>
      </c>
      <c r="I2977" s="2" t="s">
        <v>4193</v>
      </c>
      <c r="J2977" s="2" t="s">
        <v>6590</v>
      </c>
      <c r="K2977">
        <v>20</v>
      </c>
      <c r="L2977">
        <v>20</v>
      </c>
      <c r="M2977">
        <v>20</v>
      </c>
    </row>
    <row r="2978" spans="1:13" x14ac:dyDescent="0.25">
      <c r="A2978" t="s">
        <v>6591</v>
      </c>
      <c r="B2978" t="s">
        <v>6592</v>
      </c>
      <c r="C2978" t="s">
        <v>362</v>
      </c>
      <c r="D2978" t="s">
        <v>4091</v>
      </c>
      <c r="F2978">
        <v>2</v>
      </c>
      <c r="G2978" t="s">
        <v>16</v>
      </c>
      <c r="H2978">
        <v>0</v>
      </c>
      <c r="I2978" s="2" t="s">
        <v>6593</v>
      </c>
      <c r="J2978" s="2" t="str">
        <f>"00350"</f>
        <v>00350</v>
      </c>
      <c r="K2978">
        <v>20</v>
      </c>
      <c r="L2978">
        <v>20</v>
      </c>
      <c r="M2978">
        <v>20</v>
      </c>
    </row>
    <row r="2979" spans="1:13" x14ac:dyDescent="0.25">
      <c r="A2979" t="s">
        <v>6594</v>
      </c>
      <c r="B2979" t="s">
        <v>6595</v>
      </c>
      <c r="C2979" t="s">
        <v>362</v>
      </c>
      <c r="D2979" t="s">
        <v>4091</v>
      </c>
      <c r="F2979">
        <v>1</v>
      </c>
      <c r="G2979" t="s">
        <v>16</v>
      </c>
      <c r="H2979">
        <v>0</v>
      </c>
      <c r="I2979" s="2" t="s">
        <v>4193</v>
      </c>
      <c r="J2979" s="2" t="s">
        <v>6596</v>
      </c>
      <c r="K2979">
        <v>20</v>
      </c>
      <c r="L2979">
        <v>20</v>
      </c>
      <c r="M2979">
        <v>20</v>
      </c>
    </row>
    <row r="2980" spans="1:13" x14ac:dyDescent="0.25">
      <c r="A2980" t="s">
        <v>6597</v>
      </c>
      <c r="B2980" t="s">
        <v>6595</v>
      </c>
      <c r="C2980" t="s">
        <v>362</v>
      </c>
      <c r="D2980" t="s">
        <v>4091</v>
      </c>
      <c r="F2980">
        <v>1</v>
      </c>
      <c r="G2980" t="s">
        <v>16</v>
      </c>
      <c r="H2980">
        <v>0</v>
      </c>
      <c r="I2980" s="2" t="s">
        <v>6593</v>
      </c>
      <c r="J2980" s="2">
        <v>520000</v>
      </c>
      <c r="K2980">
        <v>20</v>
      </c>
      <c r="L2980">
        <v>20</v>
      </c>
      <c r="M2980">
        <v>20</v>
      </c>
    </row>
    <row r="2981" spans="1:13" x14ac:dyDescent="0.25">
      <c r="A2981" t="s">
        <v>6598</v>
      </c>
      <c r="B2981" t="s">
        <v>6599</v>
      </c>
      <c r="C2981" t="s">
        <v>362</v>
      </c>
      <c r="D2981" t="s">
        <v>4091</v>
      </c>
      <c r="F2981">
        <v>2</v>
      </c>
      <c r="G2981" t="s">
        <v>16</v>
      </c>
      <c r="H2981">
        <v>0</v>
      </c>
      <c r="I2981" s="2" t="s">
        <v>6600</v>
      </c>
      <c r="J2981" s="2">
        <v>1675991880</v>
      </c>
      <c r="K2981">
        <v>20</v>
      </c>
      <c r="L2981">
        <v>20</v>
      </c>
      <c r="M2981">
        <v>20</v>
      </c>
    </row>
    <row r="2982" spans="1:13" x14ac:dyDescent="0.25">
      <c r="A2982" t="s">
        <v>6601</v>
      </c>
      <c r="B2982" t="s">
        <v>6602</v>
      </c>
      <c r="C2982" t="s">
        <v>362</v>
      </c>
      <c r="D2982" t="s">
        <v>4091</v>
      </c>
      <c r="F2982">
        <v>0</v>
      </c>
      <c r="G2982" t="s">
        <v>16</v>
      </c>
      <c r="H2982">
        <v>0</v>
      </c>
      <c r="I2982" s="2" t="s">
        <v>162</v>
      </c>
      <c r="J2982" s="2">
        <v>55687</v>
      </c>
      <c r="K2982">
        <v>20</v>
      </c>
      <c r="L2982">
        <v>20</v>
      </c>
      <c r="M2982">
        <v>20</v>
      </c>
    </row>
    <row r="2983" spans="1:13" x14ac:dyDescent="0.25">
      <c r="A2983" t="s">
        <v>6603</v>
      </c>
      <c r="B2983" t="s">
        <v>6604</v>
      </c>
      <c r="C2983" t="s">
        <v>540</v>
      </c>
      <c r="F2983">
        <v>1</v>
      </c>
      <c r="G2983" t="s">
        <v>16</v>
      </c>
      <c r="H2983">
        <v>0</v>
      </c>
      <c r="I2983" s="2" t="s">
        <v>108</v>
      </c>
      <c r="J2983" s="3">
        <v>2731655001</v>
      </c>
      <c r="K2983">
        <v>20</v>
      </c>
      <c r="L2983">
        <v>20</v>
      </c>
      <c r="M2983">
        <v>20</v>
      </c>
    </row>
    <row r="2984" spans="1:13" x14ac:dyDescent="0.25">
      <c r="A2984" t="s">
        <v>6605</v>
      </c>
      <c r="B2984" t="s">
        <v>6606</v>
      </c>
      <c r="C2984" t="s">
        <v>14</v>
      </c>
      <c r="D2984" t="s">
        <v>2620</v>
      </c>
      <c r="F2984">
        <v>1</v>
      </c>
      <c r="G2984" t="s">
        <v>16</v>
      </c>
      <c r="H2984">
        <v>0</v>
      </c>
      <c r="I2984" s="2" t="s">
        <v>4711</v>
      </c>
      <c r="J2984" s="2" t="s">
        <v>6607</v>
      </c>
      <c r="K2984">
        <v>20</v>
      </c>
      <c r="L2984">
        <v>20</v>
      </c>
      <c r="M2984">
        <v>20</v>
      </c>
    </row>
    <row r="2985" spans="1:13" x14ac:dyDescent="0.25">
      <c r="A2985">
        <v>1674211180</v>
      </c>
      <c r="B2985" t="s">
        <v>6608</v>
      </c>
      <c r="C2985" t="s">
        <v>1432</v>
      </c>
      <c r="F2985">
        <v>1</v>
      </c>
      <c r="G2985" t="s">
        <v>16</v>
      </c>
      <c r="H2985">
        <v>0</v>
      </c>
      <c r="I2985" s="2" t="s">
        <v>55</v>
      </c>
      <c r="J2985" s="2">
        <v>1674211180</v>
      </c>
      <c r="K2985">
        <v>20</v>
      </c>
      <c r="L2985">
        <v>20</v>
      </c>
      <c r="M2985">
        <v>20</v>
      </c>
    </row>
    <row r="2986" spans="1:13" x14ac:dyDescent="0.25">
      <c r="A2986" t="s">
        <v>6609</v>
      </c>
      <c r="B2986" t="s">
        <v>6610</v>
      </c>
      <c r="C2986" t="s">
        <v>14</v>
      </c>
      <c r="D2986" t="s">
        <v>2620</v>
      </c>
      <c r="F2986">
        <v>2</v>
      </c>
      <c r="G2986" t="s">
        <v>16</v>
      </c>
      <c r="H2986">
        <v>0</v>
      </c>
      <c r="I2986" s="2" t="s">
        <v>64</v>
      </c>
      <c r="J2986" s="2" t="str">
        <f>"06030138"</f>
        <v>06030138</v>
      </c>
      <c r="K2986">
        <v>20</v>
      </c>
      <c r="L2986">
        <v>20</v>
      </c>
      <c r="M2986">
        <v>20</v>
      </c>
    </row>
    <row r="2987" spans="1:13" x14ac:dyDescent="0.25">
      <c r="A2987" t="s">
        <v>6611</v>
      </c>
      <c r="B2987" t="s">
        <v>6612</v>
      </c>
      <c r="C2987" t="s">
        <v>14</v>
      </c>
      <c r="D2987" t="s">
        <v>2620</v>
      </c>
      <c r="F2987">
        <v>2</v>
      </c>
      <c r="G2987" t="s">
        <v>16</v>
      </c>
      <c r="H2987">
        <v>0</v>
      </c>
      <c r="I2987" s="2" t="s">
        <v>4711</v>
      </c>
      <c r="J2987" s="2" t="s">
        <v>6613</v>
      </c>
      <c r="K2987">
        <v>20</v>
      </c>
      <c r="L2987">
        <v>20</v>
      </c>
      <c r="M2987">
        <v>20</v>
      </c>
    </row>
    <row r="2988" spans="1:13" x14ac:dyDescent="0.25">
      <c r="A2988">
        <v>1675941180</v>
      </c>
      <c r="B2988" t="s">
        <v>6614</v>
      </c>
      <c r="C2988" t="s">
        <v>20</v>
      </c>
      <c r="D2988" t="s">
        <v>385</v>
      </c>
      <c r="G2988" t="s">
        <v>16</v>
      </c>
      <c r="H2988">
        <v>0</v>
      </c>
      <c r="I2988" s="2" t="s">
        <v>51</v>
      </c>
      <c r="J2988" s="2">
        <v>1675941180</v>
      </c>
      <c r="K2988">
        <v>20</v>
      </c>
      <c r="L2988">
        <v>20</v>
      </c>
      <c r="M2988">
        <v>20</v>
      </c>
    </row>
    <row r="2989" spans="1:13" x14ac:dyDescent="0.25">
      <c r="A2989" t="s">
        <v>6615</v>
      </c>
      <c r="B2989" t="s">
        <v>6616</v>
      </c>
      <c r="C2989" t="s">
        <v>362</v>
      </c>
      <c r="D2989" t="s">
        <v>4091</v>
      </c>
      <c r="F2989">
        <v>2</v>
      </c>
      <c r="G2989" t="s">
        <v>16</v>
      </c>
      <c r="H2989">
        <v>0</v>
      </c>
      <c r="I2989" s="2" t="s">
        <v>2786</v>
      </c>
      <c r="J2989" s="2" t="str">
        <f>"05P1845"</f>
        <v>05P1845</v>
      </c>
      <c r="K2989">
        <v>20</v>
      </c>
      <c r="L2989">
        <v>20</v>
      </c>
      <c r="M2989">
        <v>20</v>
      </c>
    </row>
    <row r="2990" spans="1:13" x14ac:dyDescent="0.25">
      <c r="A2990" t="s">
        <v>6617</v>
      </c>
      <c r="B2990" t="s">
        <v>6618</v>
      </c>
      <c r="C2990" t="s">
        <v>362</v>
      </c>
      <c r="D2990" t="s">
        <v>4091</v>
      </c>
      <c r="F2990">
        <v>1</v>
      </c>
      <c r="G2990" t="s">
        <v>16</v>
      </c>
      <c r="H2990">
        <v>0</v>
      </c>
      <c r="I2990" s="2" t="s">
        <v>854</v>
      </c>
      <c r="J2990" s="2">
        <v>670394</v>
      </c>
      <c r="K2990">
        <v>20</v>
      </c>
      <c r="L2990">
        <v>20</v>
      </c>
      <c r="M2990">
        <v>20</v>
      </c>
    </row>
    <row r="2991" spans="1:13" x14ac:dyDescent="0.25">
      <c r="A2991" t="s">
        <v>6619</v>
      </c>
      <c r="B2991" t="s">
        <v>6620</v>
      </c>
      <c r="C2991" t="s">
        <v>362</v>
      </c>
      <c r="D2991" t="s">
        <v>4091</v>
      </c>
      <c r="F2991">
        <v>1</v>
      </c>
      <c r="G2991" t="s">
        <v>16</v>
      </c>
      <c r="H2991">
        <v>0</v>
      </c>
      <c r="I2991" s="2" t="s">
        <v>383</v>
      </c>
      <c r="J2991" s="2" t="str">
        <f>"0986424436"</f>
        <v>0986424436</v>
      </c>
      <c r="K2991">
        <v>20</v>
      </c>
      <c r="L2991">
        <v>20</v>
      </c>
      <c r="M2991">
        <v>20</v>
      </c>
    </row>
    <row r="2992" spans="1:13" x14ac:dyDescent="0.25">
      <c r="A2992" t="s">
        <v>6621</v>
      </c>
      <c r="B2992" t="s">
        <v>6620</v>
      </c>
      <c r="C2992" t="s">
        <v>362</v>
      </c>
      <c r="D2992" t="s">
        <v>4091</v>
      </c>
      <c r="F2992">
        <v>1</v>
      </c>
      <c r="G2992" t="s">
        <v>16</v>
      </c>
      <c r="H2992">
        <v>0</v>
      </c>
      <c r="I2992" s="2" t="s">
        <v>6593</v>
      </c>
      <c r="J2992" s="2">
        <v>97100</v>
      </c>
      <c r="K2992">
        <v>20</v>
      </c>
      <c r="L2992">
        <v>20</v>
      </c>
      <c r="M2992">
        <v>20</v>
      </c>
    </row>
    <row r="2993" spans="1:13" x14ac:dyDescent="0.25">
      <c r="A2993" t="s">
        <v>6622</v>
      </c>
      <c r="B2993" t="s">
        <v>6620</v>
      </c>
      <c r="C2993" t="s">
        <v>362</v>
      </c>
      <c r="D2993" t="s">
        <v>4091</v>
      </c>
      <c r="F2993">
        <v>0</v>
      </c>
      <c r="G2993" t="s">
        <v>16</v>
      </c>
      <c r="H2993">
        <v>0</v>
      </c>
      <c r="I2993" s="2" t="s">
        <v>1671</v>
      </c>
      <c r="J2993" s="2" t="s">
        <v>6623</v>
      </c>
      <c r="K2993">
        <v>20</v>
      </c>
      <c r="L2993">
        <v>20</v>
      </c>
      <c r="M2993">
        <v>20</v>
      </c>
    </row>
    <row r="2994" spans="1:13" x14ac:dyDescent="0.25">
      <c r="A2994" t="s">
        <v>6624</v>
      </c>
      <c r="B2994" t="s">
        <v>6620</v>
      </c>
      <c r="C2994" t="s">
        <v>362</v>
      </c>
      <c r="D2994" t="s">
        <v>4091</v>
      </c>
      <c r="F2994">
        <v>0</v>
      </c>
      <c r="G2994" t="s">
        <v>16</v>
      </c>
      <c r="H2994">
        <v>0</v>
      </c>
      <c r="I2994" s="2" t="s">
        <v>2786</v>
      </c>
      <c r="J2994" s="2" t="str">
        <f>"05P2030"</f>
        <v>05P2030</v>
      </c>
      <c r="K2994">
        <v>20</v>
      </c>
      <c r="L2994">
        <v>20</v>
      </c>
      <c r="M2994">
        <v>20</v>
      </c>
    </row>
    <row r="2995" spans="1:13" x14ac:dyDescent="0.25">
      <c r="A2995">
        <v>1679455580</v>
      </c>
      <c r="B2995" t="s">
        <v>6625</v>
      </c>
      <c r="C2995" t="s">
        <v>1432</v>
      </c>
      <c r="F2995">
        <v>1</v>
      </c>
      <c r="G2995" t="s">
        <v>16</v>
      </c>
      <c r="H2995">
        <v>0</v>
      </c>
      <c r="I2995" s="2" t="s">
        <v>51</v>
      </c>
      <c r="J2995" s="2">
        <v>1679455580</v>
      </c>
      <c r="K2995">
        <v>20</v>
      </c>
      <c r="L2995">
        <v>20</v>
      </c>
      <c r="M2995">
        <v>20</v>
      </c>
    </row>
    <row r="2996" spans="1:13" x14ac:dyDescent="0.25">
      <c r="A2996" t="s">
        <v>6626</v>
      </c>
      <c r="B2996" t="s">
        <v>6627</v>
      </c>
      <c r="C2996" t="s">
        <v>540</v>
      </c>
      <c r="F2996">
        <v>2</v>
      </c>
      <c r="G2996" t="s">
        <v>22</v>
      </c>
      <c r="H2996">
        <v>0</v>
      </c>
      <c r="I2996" s="2" t="s">
        <v>64</v>
      </c>
      <c r="J2996" s="2">
        <v>21030185</v>
      </c>
      <c r="K2996">
        <v>20</v>
      </c>
      <c r="L2996">
        <v>20</v>
      </c>
      <c r="M2996">
        <v>20</v>
      </c>
    </row>
    <row r="2997" spans="1:13" x14ac:dyDescent="0.25">
      <c r="A2997" t="s">
        <v>6628</v>
      </c>
      <c r="B2997" t="s">
        <v>6629</v>
      </c>
      <c r="F2997">
        <v>52</v>
      </c>
      <c r="G2997" t="s">
        <v>16</v>
      </c>
      <c r="H2997">
        <v>0</v>
      </c>
      <c r="I2997" s="2" t="s">
        <v>389</v>
      </c>
      <c r="J2997" s="2">
        <v>1680355880</v>
      </c>
      <c r="K2997">
        <v>20</v>
      </c>
      <c r="L2997">
        <v>20</v>
      </c>
      <c r="M2997">
        <v>20</v>
      </c>
    </row>
    <row r="2998" spans="1:13" x14ac:dyDescent="0.25">
      <c r="A2998">
        <v>1680357680</v>
      </c>
      <c r="B2998" t="s">
        <v>6630</v>
      </c>
      <c r="C2998" t="s">
        <v>20</v>
      </c>
      <c r="F2998">
        <v>5</v>
      </c>
      <c r="G2998" t="s">
        <v>16</v>
      </c>
      <c r="H2998">
        <v>0</v>
      </c>
      <c r="I2998" s="2" t="s">
        <v>392</v>
      </c>
      <c r="J2998" s="2">
        <v>1680357680</v>
      </c>
      <c r="K2998">
        <v>20</v>
      </c>
      <c r="L2998">
        <v>20</v>
      </c>
      <c r="M2998">
        <v>20</v>
      </c>
    </row>
    <row r="2999" spans="1:13" x14ac:dyDescent="0.25">
      <c r="A2999" t="s">
        <v>6631</v>
      </c>
      <c r="B2999" t="s">
        <v>6632</v>
      </c>
      <c r="C2999" t="s">
        <v>20</v>
      </c>
      <c r="F2999">
        <v>3</v>
      </c>
      <c r="G2999" t="s">
        <v>16</v>
      </c>
      <c r="H2999">
        <v>0</v>
      </c>
      <c r="I2999" s="2" t="s">
        <v>392</v>
      </c>
      <c r="J2999" s="2">
        <v>1680359980</v>
      </c>
      <c r="K2999">
        <v>20</v>
      </c>
      <c r="L2999">
        <v>20</v>
      </c>
      <c r="M2999">
        <v>20</v>
      </c>
    </row>
    <row r="3000" spans="1:13" x14ac:dyDescent="0.25">
      <c r="A3000">
        <v>1680361880</v>
      </c>
      <c r="B3000" t="s">
        <v>6633</v>
      </c>
      <c r="C3000" t="s">
        <v>20</v>
      </c>
      <c r="F3000">
        <v>1</v>
      </c>
      <c r="G3000" t="s">
        <v>16</v>
      </c>
      <c r="H3000">
        <v>0</v>
      </c>
      <c r="I3000" s="2" t="s">
        <v>389</v>
      </c>
      <c r="J3000" s="2">
        <v>1680361880</v>
      </c>
      <c r="K3000">
        <v>20</v>
      </c>
      <c r="L3000">
        <v>20</v>
      </c>
      <c r="M3000">
        <v>20</v>
      </c>
    </row>
    <row r="3001" spans="1:13" x14ac:dyDescent="0.25">
      <c r="A3001">
        <v>1680682480</v>
      </c>
      <c r="B3001" t="s">
        <v>6634</v>
      </c>
      <c r="C3001" t="s">
        <v>14</v>
      </c>
      <c r="D3001" t="s">
        <v>293</v>
      </c>
      <c r="F3001">
        <v>0</v>
      </c>
      <c r="G3001" t="s">
        <v>16</v>
      </c>
      <c r="H3001">
        <v>0</v>
      </c>
      <c r="I3001" s="2" t="s">
        <v>51</v>
      </c>
      <c r="J3001" s="2">
        <v>1680682480</v>
      </c>
      <c r="K3001">
        <v>20</v>
      </c>
      <c r="L3001">
        <v>20</v>
      </c>
      <c r="M3001">
        <v>20</v>
      </c>
    </row>
    <row r="3002" spans="1:13" x14ac:dyDescent="0.25">
      <c r="A3002" t="s">
        <v>6635</v>
      </c>
      <c r="B3002" t="s">
        <v>6634</v>
      </c>
      <c r="C3002" t="s">
        <v>14</v>
      </c>
      <c r="D3002" t="s">
        <v>293</v>
      </c>
      <c r="F3002">
        <v>40</v>
      </c>
      <c r="G3002" t="s">
        <v>16</v>
      </c>
      <c r="H3002">
        <v>0</v>
      </c>
      <c r="I3002" s="2" t="s">
        <v>383</v>
      </c>
      <c r="J3002" s="2" t="s">
        <v>6636</v>
      </c>
      <c r="K3002">
        <v>20</v>
      </c>
      <c r="L3002">
        <v>20</v>
      </c>
      <c r="M3002">
        <v>20</v>
      </c>
    </row>
    <row r="3003" spans="1:13" x14ac:dyDescent="0.25">
      <c r="A3003" t="s">
        <v>6637</v>
      </c>
      <c r="B3003" t="s">
        <v>6634</v>
      </c>
      <c r="C3003" t="s">
        <v>14</v>
      </c>
      <c r="D3003" t="s">
        <v>2620</v>
      </c>
      <c r="F3003">
        <v>0</v>
      </c>
      <c r="G3003" t="s">
        <v>16</v>
      </c>
      <c r="H3003">
        <v>0</v>
      </c>
      <c r="I3003" s="2" t="s">
        <v>392</v>
      </c>
      <c r="J3003" s="2">
        <v>1682953780</v>
      </c>
      <c r="K3003">
        <v>20</v>
      </c>
      <c r="L3003">
        <v>20</v>
      </c>
      <c r="M3003">
        <v>20</v>
      </c>
    </row>
    <row r="3004" spans="1:13" x14ac:dyDescent="0.25">
      <c r="A3004" t="s">
        <v>6638</v>
      </c>
      <c r="B3004" t="s">
        <v>6634</v>
      </c>
      <c r="C3004" t="s">
        <v>14</v>
      </c>
      <c r="D3004" t="s">
        <v>293</v>
      </c>
      <c r="F3004">
        <v>0</v>
      </c>
      <c r="G3004" t="s">
        <v>16</v>
      </c>
      <c r="H3004">
        <v>0</v>
      </c>
      <c r="I3004" s="2" t="s">
        <v>290</v>
      </c>
      <c r="J3004" s="2" t="s">
        <v>6639</v>
      </c>
      <c r="K3004">
        <v>20</v>
      </c>
      <c r="L3004">
        <v>20</v>
      </c>
      <c r="M3004">
        <v>20</v>
      </c>
    </row>
    <row r="3005" spans="1:13" x14ac:dyDescent="0.25">
      <c r="A3005" t="s">
        <v>6640</v>
      </c>
      <c r="B3005" t="s">
        <v>6634</v>
      </c>
      <c r="C3005" t="s">
        <v>14</v>
      </c>
      <c r="D3005" t="s">
        <v>293</v>
      </c>
      <c r="F3005">
        <v>0</v>
      </c>
      <c r="G3005" t="s">
        <v>16</v>
      </c>
      <c r="H3005">
        <v>0</v>
      </c>
      <c r="I3005" s="2" t="s">
        <v>669</v>
      </c>
      <c r="J3005" s="2" t="s">
        <v>6641</v>
      </c>
      <c r="K3005">
        <v>20</v>
      </c>
      <c r="L3005">
        <v>20</v>
      </c>
      <c r="M3005">
        <v>20</v>
      </c>
    </row>
    <row r="3006" spans="1:13" x14ac:dyDescent="0.25">
      <c r="A3006" t="s">
        <v>6642</v>
      </c>
      <c r="B3006" t="s">
        <v>6634</v>
      </c>
      <c r="C3006" t="s">
        <v>14</v>
      </c>
      <c r="D3006" t="s">
        <v>293</v>
      </c>
      <c r="G3006" t="s">
        <v>16</v>
      </c>
      <c r="H3006">
        <v>0</v>
      </c>
      <c r="I3006" s="2" t="s">
        <v>4748</v>
      </c>
      <c r="J3006" s="2" t="s">
        <v>6643</v>
      </c>
      <c r="K3006">
        <v>20</v>
      </c>
      <c r="L3006">
        <v>20</v>
      </c>
      <c r="M3006">
        <v>20</v>
      </c>
    </row>
    <row r="3007" spans="1:13" x14ac:dyDescent="0.25">
      <c r="A3007" t="s">
        <v>6644</v>
      </c>
      <c r="B3007" t="s">
        <v>6645</v>
      </c>
      <c r="C3007" t="s">
        <v>362</v>
      </c>
      <c r="D3007" t="s">
        <v>4091</v>
      </c>
      <c r="F3007">
        <v>1</v>
      </c>
      <c r="G3007" t="s">
        <v>16</v>
      </c>
      <c r="H3007">
        <v>0</v>
      </c>
      <c r="I3007" s="2" t="s">
        <v>707</v>
      </c>
      <c r="J3007" s="2" t="s">
        <v>6646</v>
      </c>
      <c r="K3007">
        <v>20</v>
      </c>
      <c r="L3007">
        <v>20</v>
      </c>
      <c r="M3007">
        <v>20</v>
      </c>
    </row>
    <row r="3008" spans="1:13" x14ac:dyDescent="0.25">
      <c r="A3008" t="s">
        <v>6647</v>
      </c>
      <c r="B3008" t="s">
        <v>6645</v>
      </c>
      <c r="C3008" t="s">
        <v>362</v>
      </c>
      <c r="D3008" t="s">
        <v>4091</v>
      </c>
      <c r="F3008">
        <v>1</v>
      </c>
      <c r="G3008" t="s">
        <v>16</v>
      </c>
      <c r="H3008">
        <v>0</v>
      </c>
      <c r="I3008" s="2" t="s">
        <v>248</v>
      </c>
      <c r="J3008" s="2">
        <v>199954</v>
      </c>
      <c r="K3008">
        <v>20</v>
      </c>
      <c r="L3008">
        <v>20</v>
      </c>
      <c r="M3008">
        <v>20</v>
      </c>
    </row>
    <row r="3009" spans="1:13" x14ac:dyDescent="0.25">
      <c r="A3009" t="s">
        <v>6648</v>
      </c>
      <c r="B3009" t="s">
        <v>6649</v>
      </c>
      <c r="C3009" t="s">
        <v>362</v>
      </c>
      <c r="D3009" t="s">
        <v>4091</v>
      </c>
      <c r="G3009" t="s">
        <v>16</v>
      </c>
      <c r="H3009">
        <v>0</v>
      </c>
      <c r="I3009" s="2" t="s">
        <v>108</v>
      </c>
      <c r="J3009" s="3">
        <v>2881101001</v>
      </c>
      <c r="K3009">
        <v>20</v>
      </c>
      <c r="L3009">
        <v>20</v>
      </c>
      <c r="M3009">
        <v>20</v>
      </c>
    </row>
    <row r="3010" spans="1:13" x14ac:dyDescent="0.25">
      <c r="A3010" t="s">
        <v>6650</v>
      </c>
      <c r="B3010" t="s">
        <v>6651</v>
      </c>
      <c r="C3010" t="s">
        <v>1736</v>
      </c>
      <c r="F3010">
        <v>1</v>
      </c>
      <c r="G3010" t="s">
        <v>16</v>
      </c>
      <c r="H3010">
        <v>0</v>
      </c>
      <c r="I3010" s="2" t="s">
        <v>1748</v>
      </c>
      <c r="J3010" s="2" t="s">
        <v>6652</v>
      </c>
      <c r="K3010">
        <v>20</v>
      </c>
      <c r="L3010">
        <v>20</v>
      </c>
      <c r="M3010">
        <v>20</v>
      </c>
    </row>
    <row r="3011" spans="1:13" x14ac:dyDescent="0.25">
      <c r="A3011" t="s">
        <v>6653</v>
      </c>
      <c r="B3011" t="s">
        <v>6654</v>
      </c>
      <c r="C3011" t="s">
        <v>1736</v>
      </c>
      <c r="F3011">
        <v>1</v>
      </c>
      <c r="G3011" t="s">
        <v>16</v>
      </c>
      <c r="H3011">
        <v>0</v>
      </c>
      <c r="I3011" s="2" t="s">
        <v>6655</v>
      </c>
      <c r="J3011" s="2">
        <v>119378</v>
      </c>
      <c r="K3011">
        <v>20</v>
      </c>
      <c r="L3011">
        <v>20</v>
      </c>
      <c r="M3011">
        <v>20</v>
      </c>
    </row>
    <row r="3012" spans="1:13" x14ac:dyDescent="0.25">
      <c r="A3012">
        <v>1682800780</v>
      </c>
      <c r="B3012" t="s">
        <v>6656</v>
      </c>
      <c r="C3012" t="s">
        <v>20</v>
      </c>
      <c r="F3012">
        <v>2</v>
      </c>
      <c r="G3012" t="s">
        <v>16</v>
      </c>
      <c r="H3012">
        <v>0</v>
      </c>
      <c r="I3012" s="2" t="s">
        <v>55</v>
      </c>
      <c r="J3012" s="2">
        <v>1682800780</v>
      </c>
      <c r="K3012">
        <v>20</v>
      </c>
      <c r="L3012">
        <v>20</v>
      </c>
      <c r="M3012">
        <v>20</v>
      </c>
    </row>
    <row r="3013" spans="1:13" x14ac:dyDescent="0.25">
      <c r="A3013">
        <v>1682800880</v>
      </c>
      <c r="B3013" t="s">
        <v>6657</v>
      </c>
      <c r="C3013" t="s">
        <v>20</v>
      </c>
      <c r="F3013">
        <v>-1</v>
      </c>
      <c r="G3013" t="s">
        <v>16</v>
      </c>
      <c r="H3013">
        <v>0</v>
      </c>
      <c r="I3013" s="2" t="s">
        <v>55</v>
      </c>
      <c r="J3013" s="2">
        <v>1682800880</v>
      </c>
      <c r="K3013">
        <v>20</v>
      </c>
      <c r="L3013">
        <v>20</v>
      </c>
      <c r="M3013">
        <v>20</v>
      </c>
    </row>
    <row r="3014" spans="1:13" x14ac:dyDescent="0.25">
      <c r="A3014" t="s">
        <v>6658</v>
      </c>
      <c r="B3014" t="s">
        <v>6657</v>
      </c>
      <c r="C3014" t="s">
        <v>20</v>
      </c>
      <c r="F3014">
        <v>1</v>
      </c>
      <c r="G3014" t="s">
        <v>22</v>
      </c>
      <c r="H3014">
        <v>0</v>
      </c>
      <c r="I3014" s="2" t="s">
        <v>6659</v>
      </c>
      <c r="J3014" s="2" t="s">
        <v>6660</v>
      </c>
      <c r="K3014">
        <v>20</v>
      </c>
      <c r="L3014">
        <v>20</v>
      </c>
      <c r="M3014">
        <v>20</v>
      </c>
    </row>
    <row r="3015" spans="1:13" x14ac:dyDescent="0.25">
      <c r="A3015">
        <v>1682801980</v>
      </c>
      <c r="B3015" t="s">
        <v>6661</v>
      </c>
      <c r="C3015" t="s">
        <v>20</v>
      </c>
      <c r="F3015">
        <v>2</v>
      </c>
      <c r="G3015" t="s">
        <v>16</v>
      </c>
      <c r="H3015">
        <v>0</v>
      </c>
      <c r="I3015" s="2" t="s">
        <v>51</v>
      </c>
      <c r="J3015" s="2">
        <v>1682801980</v>
      </c>
      <c r="K3015">
        <v>20</v>
      </c>
      <c r="L3015">
        <v>20</v>
      </c>
      <c r="M3015">
        <v>20</v>
      </c>
    </row>
    <row r="3016" spans="1:13" x14ac:dyDescent="0.25">
      <c r="A3016">
        <v>1682802580</v>
      </c>
      <c r="B3016" t="s">
        <v>6662</v>
      </c>
      <c r="C3016" t="s">
        <v>20</v>
      </c>
      <c r="D3016" t="s">
        <v>161</v>
      </c>
      <c r="G3016" t="s">
        <v>16</v>
      </c>
      <c r="H3016">
        <v>0</v>
      </c>
      <c r="I3016" s="2" t="s">
        <v>55</v>
      </c>
      <c r="J3016" s="2">
        <v>1682802580</v>
      </c>
      <c r="K3016">
        <v>20</v>
      </c>
      <c r="L3016">
        <v>20</v>
      </c>
      <c r="M3016">
        <v>20</v>
      </c>
    </row>
    <row r="3017" spans="1:13" x14ac:dyDescent="0.25">
      <c r="A3017" t="s">
        <v>6663</v>
      </c>
      <c r="B3017" t="s">
        <v>6664</v>
      </c>
      <c r="C3017" t="s">
        <v>20</v>
      </c>
      <c r="D3017" t="s">
        <v>296</v>
      </c>
      <c r="F3017">
        <v>1</v>
      </c>
      <c r="G3017" t="s">
        <v>16</v>
      </c>
      <c r="H3017">
        <v>0</v>
      </c>
      <c r="I3017" s="2" t="s">
        <v>383</v>
      </c>
      <c r="J3017" s="2">
        <v>1987946985</v>
      </c>
      <c r="K3017">
        <v>20</v>
      </c>
      <c r="L3017">
        <v>20</v>
      </c>
      <c r="M3017">
        <v>20</v>
      </c>
    </row>
    <row r="3018" spans="1:13" x14ac:dyDescent="0.25">
      <c r="A3018">
        <v>1684449680</v>
      </c>
      <c r="B3018" t="s">
        <v>6665</v>
      </c>
      <c r="C3018" t="s">
        <v>20</v>
      </c>
      <c r="D3018" t="s">
        <v>26</v>
      </c>
      <c r="F3018">
        <v>2</v>
      </c>
      <c r="G3018" t="s">
        <v>16</v>
      </c>
      <c r="H3018">
        <v>0</v>
      </c>
      <c r="I3018" s="2" t="s">
        <v>51</v>
      </c>
      <c r="J3018" s="2">
        <v>1684449680</v>
      </c>
      <c r="K3018">
        <v>20</v>
      </c>
      <c r="L3018">
        <v>20</v>
      </c>
      <c r="M3018">
        <v>20</v>
      </c>
    </row>
    <row r="3019" spans="1:13" x14ac:dyDescent="0.25">
      <c r="A3019">
        <v>1684449980</v>
      </c>
      <c r="B3019" t="s">
        <v>6666</v>
      </c>
      <c r="C3019" t="s">
        <v>20</v>
      </c>
      <c r="D3019" t="s">
        <v>26</v>
      </c>
      <c r="F3019">
        <v>10</v>
      </c>
      <c r="G3019" t="s">
        <v>16</v>
      </c>
      <c r="H3019">
        <v>0</v>
      </c>
      <c r="I3019" s="2" t="s">
        <v>51</v>
      </c>
      <c r="J3019" s="2">
        <v>1684449980</v>
      </c>
      <c r="K3019">
        <v>20</v>
      </c>
      <c r="L3019">
        <v>20</v>
      </c>
      <c r="M3019">
        <v>20</v>
      </c>
    </row>
    <row r="3020" spans="1:13" x14ac:dyDescent="0.25">
      <c r="A3020">
        <v>1686511180</v>
      </c>
      <c r="B3020" t="s">
        <v>6667</v>
      </c>
      <c r="C3020" t="s">
        <v>14</v>
      </c>
      <c r="D3020" t="s">
        <v>293</v>
      </c>
      <c r="F3020">
        <v>0</v>
      </c>
      <c r="G3020" t="s">
        <v>16</v>
      </c>
      <c r="H3020">
        <v>0</v>
      </c>
      <c r="I3020" s="2" t="s">
        <v>55</v>
      </c>
      <c r="J3020" s="2">
        <v>1686511180</v>
      </c>
      <c r="K3020">
        <v>20</v>
      </c>
      <c r="L3020">
        <v>20</v>
      </c>
      <c r="M3020">
        <v>20</v>
      </c>
    </row>
    <row r="3021" spans="1:13" x14ac:dyDescent="0.25">
      <c r="A3021">
        <v>1686521980</v>
      </c>
      <c r="B3021" t="s">
        <v>6668</v>
      </c>
      <c r="C3021" t="s">
        <v>14</v>
      </c>
      <c r="D3021" t="s">
        <v>2620</v>
      </c>
      <c r="F3021">
        <v>0</v>
      </c>
      <c r="G3021" t="s">
        <v>16</v>
      </c>
      <c r="H3021">
        <v>0</v>
      </c>
      <c r="I3021" s="2" t="s">
        <v>51</v>
      </c>
      <c r="J3021" s="2">
        <v>1686521980</v>
      </c>
      <c r="K3021">
        <v>20</v>
      </c>
      <c r="L3021">
        <v>20</v>
      </c>
      <c r="M3021">
        <v>20</v>
      </c>
    </row>
    <row r="3022" spans="1:13" x14ac:dyDescent="0.25">
      <c r="A3022">
        <v>1688534980</v>
      </c>
      <c r="B3022" t="s">
        <v>6669</v>
      </c>
      <c r="C3022" t="s">
        <v>540</v>
      </c>
      <c r="F3022">
        <v>1</v>
      </c>
      <c r="G3022" t="s">
        <v>16</v>
      </c>
      <c r="H3022">
        <v>0</v>
      </c>
      <c r="I3022" s="2" t="s">
        <v>51</v>
      </c>
      <c r="J3022" s="2">
        <v>1688534980</v>
      </c>
      <c r="K3022">
        <v>20</v>
      </c>
      <c r="L3022">
        <v>20</v>
      </c>
      <c r="M3022">
        <v>20</v>
      </c>
    </row>
    <row r="3023" spans="1:13" x14ac:dyDescent="0.25">
      <c r="A3023">
        <v>1688580280</v>
      </c>
      <c r="B3023" t="s">
        <v>6670</v>
      </c>
      <c r="C3023" t="s">
        <v>540</v>
      </c>
      <c r="F3023">
        <v>1</v>
      </c>
      <c r="G3023" t="s">
        <v>16</v>
      </c>
      <c r="H3023">
        <v>0</v>
      </c>
      <c r="I3023" s="2" t="s">
        <v>51</v>
      </c>
      <c r="J3023" s="2">
        <v>1688580280</v>
      </c>
      <c r="K3023">
        <v>20</v>
      </c>
      <c r="L3023">
        <v>20</v>
      </c>
      <c r="M3023">
        <v>20</v>
      </c>
    </row>
    <row r="3024" spans="1:13" x14ac:dyDescent="0.25">
      <c r="A3024">
        <v>1689838580</v>
      </c>
      <c r="B3024" t="s">
        <v>6671</v>
      </c>
      <c r="C3024" t="s">
        <v>1432</v>
      </c>
      <c r="F3024">
        <v>0</v>
      </c>
      <c r="G3024" t="s">
        <v>16</v>
      </c>
      <c r="H3024">
        <v>0</v>
      </c>
      <c r="I3024" s="2" t="s">
        <v>51</v>
      </c>
      <c r="J3024" s="2">
        <v>1689838580</v>
      </c>
      <c r="K3024">
        <v>20</v>
      </c>
      <c r="L3024">
        <v>20</v>
      </c>
      <c r="M3024">
        <v>20</v>
      </c>
    </row>
    <row r="3025" spans="1:13" x14ac:dyDescent="0.25">
      <c r="A3025">
        <v>1689839180</v>
      </c>
      <c r="B3025" t="s">
        <v>6672</v>
      </c>
      <c r="C3025" t="s">
        <v>1432</v>
      </c>
      <c r="D3025" t="s">
        <v>6673</v>
      </c>
      <c r="F3025">
        <v>0</v>
      </c>
      <c r="G3025" t="s">
        <v>16</v>
      </c>
      <c r="H3025">
        <v>0</v>
      </c>
      <c r="I3025" s="2" t="s">
        <v>51</v>
      </c>
      <c r="J3025" s="2">
        <v>1689839180</v>
      </c>
      <c r="K3025">
        <v>20</v>
      </c>
      <c r="L3025">
        <v>20</v>
      </c>
      <c r="M3025">
        <v>20</v>
      </c>
    </row>
    <row r="3026" spans="1:13" x14ac:dyDescent="0.25">
      <c r="A3026">
        <v>1689839980</v>
      </c>
      <c r="B3026" t="s">
        <v>6674</v>
      </c>
      <c r="C3026" t="s">
        <v>1432</v>
      </c>
      <c r="D3026" t="s">
        <v>5993</v>
      </c>
      <c r="F3026">
        <v>0</v>
      </c>
      <c r="G3026" t="s">
        <v>16</v>
      </c>
      <c r="H3026">
        <v>0</v>
      </c>
      <c r="I3026" s="2" t="s">
        <v>51</v>
      </c>
      <c r="J3026" s="2">
        <v>1689839980</v>
      </c>
      <c r="K3026">
        <v>20</v>
      </c>
      <c r="L3026">
        <v>20</v>
      </c>
      <c r="M3026">
        <v>20</v>
      </c>
    </row>
    <row r="3027" spans="1:13" x14ac:dyDescent="0.25">
      <c r="A3027">
        <v>1690271180</v>
      </c>
      <c r="B3027" t="s">
        <v>6675</v>
      </c>
      <c r="C3027" t="s">
        <v>540</v>
      </c>
      <c r="F3027">
        <v>1</v>
      </c>
      <c r="G3027" t="s">
        <v>16</v>
      </c>
      <c r="H3027">
        <v>0</v>
      </c>
      <c r="I3027" s="2" t="s">
        <v>51</v>
      </c>
      <c r="J3027" s="2">
        <v>1690271180</v>
      </c>
      <c r="K3027">
        <v>20</v>
      </c>
      <c r="L3027">
        <v>20</v>
      </c>
      <c r="M3027">
        <v>20</v>
      </c>
    </row>
    <row r="3028" spans="1:13" x14ac:dyDescent="0.25">
      <c r="A3028">
        <v>1690921280</v>
      </c>
      <c r="B3028" t="s">
        <v>6676</v>
      </c>
      <c r="C3028" t="s">
        <v>20</v>
      </c>
      <c r="F3028">
        <v>12</v>
      </c>
      <c r="G3028" t="s">
        <v>16</v>
      </c>
      <c r="H3028">
        <v>0</v>
      </c>
      <c r="I3028" s="2" t="s">
        <v>389</v>
      </c>
      <c r="J3028" s="2">
        <v>1690921280</v>
      </c>
      <c r="K3028">
        <v>20</v>
      </c>
      <c r="L3028">
        <v>20</v>
      </c>
      <c r="M3028">
        <v>20</v>
      </c>
    </row>
    <row r="3029" spans="1:13" x14ac:dyDescent="0.25">
      <c r="A3029">
        <v>1691083480</v>
      </c>
      <c r="B3029" t="s">
        <v>6677</v>
      </c>
      <c r="C3029" t="s">
        <v>540</v>
      </c>
      <c r="F3029">
        <v>0</v>
      </c>
      <c r="G3029" t="s">
        <v>16</v>
      </c>
      <c r="H3029">
        <v>0</v>
      </c>
      <c r="I3029" s="2" t="s">
        <v>497</v>
      </c>
      <c r="J3029" s="2">
        <v>1691083480</v>
      </c>
      <c r="K3029">
        <v>20</v>
      </c>
      <c r="L3029">
        <v>20</v>
      </c>
      <c r="M3029">
        <v>20</v>
      </c>
    </row>
    <row r="3030" spans="1:13" x14ac:dyDescent="0.25">
      <c r="A3030">
        <v>1692287080</v>
      </c>
      <c r="B3030" t="s">
        <v>6678</v>
      </c>
      <c r="C3030" t="s">
        <v>20</v>
      </c>
      <c r="D3030" t="s">
        <v>133</v>
      </c>
      <c r="F3030">
        <v>16</v>
      </c>
      <c r="G3030" t="s">
        <v>16</v>
      </c>
      <c r="H3030">
        <v>0</v>
      </c>
      <c r="I3030" s="2" t="s">
        <v>51</v>
      </c>
      <c r="J3030" s="2">
        <v>1692287080</v>
      </c>
      <c r="K3030">
        <v>20</v>
      </c>
      <c r="L3030">
        <v>20</v>
      </c>
      <c r="M3030">
        <v>20</v>
      </c>
    </row>
    <row r="3031" spans="1:13" x14ac:dyDescent="0.25">
      <c r="A3031">
        <v>1692647680</v>
      </c>
      <c r="B3031" t="s">
        <v>6679</v>
      </c>
      <c r="C3031" t="s">
        <v>496</v>
      </c>
      <c r="G3031" t="s">
        <v>16</v>
      </c>
      <c r="H3031">
        <v>0</v>
      </c>
      <c r="I3031" s="2" t="s">
        <v>55</v>
      </c>
      <c r="J3031" s="2">
        <v>9817024580</v>
      </c>
      <c r="K3031">
        <v>20</v>
      </c>
      <c r="L3031">
        <v>20</v>
      </c>
      <c r="M3031">
        <v>20</v>
      </c>
    </row>
    <row r="3032" spans="1:13" x14ac:dyDescent="0.25">
      <c r="A3032" t="s">
        <v>6680</v>
      </c>
      <c r="B3032" t="s">
        <v>6681</v>
      </c>
      <c r="C3032" t="s">
        <v>496</v>
      </c>
      <c r="F3032">
        <v>11</v>
      </c>
      <c r="G3032" t="s">
        <v>16</v>
      </c>
      <c r="H3032">
        <v>0</v>
      </c>
      <c r="I3032" s="2" t="s">
        <v>6682</v>
      </c>
      <c r="J3032" s="2" t="s">
        <v>6683</v>
      </c>
      <c r="K3032">
        <v>20</v>
      </c>
      <c r="L3032">
        <v>20</v>
      </c>
      <c r="M3032">
        <v>20</v>
      </c>
    </row>
    <row r="3033" spans="1:13" x14ac:dyDescent="0.25">
      <c r="A3033">
        <v>1692660080</v>
      </c>
      <c r="B3033" t="s">
        <v>2179</v>
      </c>
      <c r="C3033" t="s">
        <v>357</v>
      </c>
      <c r="D3033" t="s">
        <v>2026</v>
      </c>
      <c r="F3033">
        <v>4</v>
      </c>
      <c r="G3033" t="s">
        <v>16</v>
      </c>
      <c r="H3033">
        <v>0</v>
      </c>
      <c r="I3033" s="2" t="s">
        <v>51</v>
      </c>
      <c r="J3033" s="2">
        <v>1692660080</v>
      </c>
      <c r="K3033">
        <v>20</v>
      </c>
      <c r="L3033">
        <v>20</v>
      </c>
      <c r="M3033">
        <v>20</v>
      </c>
    </row>
    <row r="3034" spans="1:13" x14ac:dyDescent="0.25">
      <c r="A3034">
        <v>1692660180</v>
      </c>
      <c r="B3034" t="s">
        <v>6684</v>
      </c>
      <c r="C3034" t="s">
        <v>20</v>
      </c>
      <c r="F3034">
        <v>1</v>
      </c>
      <c r="G3034" t="s">
        <v>16</v>
      </c>
      <c r="H3034">
        <v>0</v>
      </c>
      <c r="I3034" s="2" t="s">
        <v>51</v>
      </c>
      <c r="J3034" s="2">
        <v>1692660180</v>
      </c>
      <c r="K3034">
        <v>20</v>
      </c>
      <c r="L3034">
        <v>20</v>
      </c>
      <c r="M3034">
        <v>20</v>
      </c>
    </row>
    <row r="3035" spans="1:13" x14ac:dyDescent="0.25">
      <c r="A3035">
        <v>1692660480</v>
      </c>
      <c r="B3035" t="s">
        <v>6685</v>
      </c>
      <c r="C3035" t="s">
        <v>20</v>
      </c>
      <c r="D3035" t="s">
        <v>899</v>
      </c>
      <c r="F3035">
        <v>2</v>
      </c>
      <c r="G3035" t="s">
        <v>16</v>
      </c>
      <c r="H3035">
        <v>0</v>
      </c>
      <c r="I3035" s="2" t="s">
        <v>51</v>
      </c>
      <c r="J3035" s="2">
        <v>1692660480</v>
      </c>
      <c r="K3035">
        <v>20</v>
      </c>
      <c r="L3035">
        <v>20</v>
      </c>
      <c r="M3035">
        <v>20</v>
      </c>
    </row>
    <row r="3036" spans="1:13" x14ac:dyDescent="0.25">
      <c r="A3036">
        <v>1695012180</v>
      </c>
      <c r="B3036" t="s">
        <v>6686</v>
      </c>
      <c r="C3036" t="s">
        <v>14</v>
      </c>
      <c r="D3036" t="s">
        <v>191</v>
      </c>
      <c r="F3036">
        <v>0</v>
      </c>
      <c r="G3036" t="s">
        <v>16</v>
      </c>
      <c r="H3036">
        <v>0</v>
      </c>
      <c r="I3036" s="2" t="s">
        <v>51</v>
      </c>
      <c r="J3036" s="2">
        <v>1695012180</v>
      </c>
      <c r="K3036">
        <v>20</v>
      </c>
      <c r="L3036">
        <v>20</v>
      </c>
      <c r="M3036">
        <v>20</v>
      </c>
    </row>
    <row r="3037" spans="1:13" x14ac:dyDescent="0.25">
      <c r="A3037" t="s">
        <v>6687</v>
      </c>
      <c r="B3037" t="s">
        <v>6686</v>
      </c>
      <c r="C3037" t="s">
        <v>14</v>
      </c>
      <c r="D3037" t="s">
        <v>191</v>
      </c>
      <c r="F3037">
        <v>0</v>
      </c>
      <c r="G3037" t="s">
        <v>16</v>
      </c>
      <c r="H3037">
        <v>0</v>
      </c>
      <c r="I3037" s="2" t="s">
        <v>87</v>
      </c>
      <c r="J3037" s="2" t="s">
        <v>6688</v>
      </c>
      <c r="K3037">
        <v>20</v>
      </c>
      <c r="L3037">
        <v>20</v>
      </c>
      <c r="M3037">
        <v>20</v>
      </c>
    </row>
    <row r="3038" spans="1:13" x14ac:dyDescent="0.25">
      <c r="A3038" t="s">
        <v>6689</v>
      </c>
      <c r="B3038" t="s">
        <v>6686</v>
      </c>
      <c r="C3038" t="s">
        <v>14</v>
      </c>
      <c r="D3038" t="s">
        <v>191</v>
      </c>
      <c r="F3038">
        <v>1</v>
      </c>
      <c r="G3038" t="s">
        <v>16</v>
      </c>
      <c r="H3038">
        <v>0</v>
      </c>
      <c r="I3038" s="2" t="s">
        <v>4711</v>
      </c>
      <c r="J3038" s="2" t="s">
        <v>6690</v>
      </c>
      <c r="K3038">
        <v>20</v>
      </c>
      <c r="L3038">
        <v>20</v>
      </c>
      <c r="M3038">
        <v>20</v>
      </c>
    </row>
    <row r="3039" spans="1:13" x14ac:dyDescent="0.25">
      <c r="A3039">
        <v>1697054780</v>
      </c>
      <c r="B3039" t="s">
        <v>6691</v>
      </c>
      <c r="C3039" t="s">
        <v>20</v>
      </c>
      <c r="D3039" t="s">
        <v>161</v>
      </c>
      <c r="F3039">
        <v>2</v>
      </c>
      <c r="G3039" t="s">
        <v>16</v>
      </c>
      <c r="H3039">
        <v>0</v>
      </c>
      <c r="I3039" s="2" t="s">
        <v>51</v>
      </c>
      <c r="J3039" s="2">
        <v>1697054780</v>
      </c>
      <c r="K3039">
        <v>20</v>
      </c>
      <c r="L3039">
        <v>20</v>
      </c>
      <c r="M3039">
        <v>20</v>
      </c>
    </row>
    <row r="3040" spans="1:13" x14ac:dyDescent="0.25">
      <c r="A3040" t="s">
        <v>6692</v>
      </c>
      <c r="B3040" t="s">
        <v>6693</v>
      </c>
      <c r="C3040" t="s">
        <v>20</v>
      </c>
      <c r="D3040" t="s">
        <v>161</v>
      </c>
      <c r="G3040" t="s">
        <v>16</v>
      </c>
      <c r="H3040">
        <v>0</v>
      </c>
      <c r="I3040" s="2" t="s">
        <v>3421</v>
      </c>
      <c r="J3040" s="2" t="s">
        <v>6694</v>
      </c>
      <c r="K3040">
        <v>20</v>
      </c>
      <c r="L3040">
        <v>20</v>
      </c>
      <c r="M3040">
        <v>20</v>
      </c>
    </row>
    <row r="3041" spans="1:13" x14ac:dyDescent="0.25">
      <c r="A3041">
        <v>1699666580</v>
      </c>
      <c r="B3041" t="s">
        <v>6695</v>
      </c>
      <c r="C3041" t="s">
        <v>20</v>
      </c>
      <c r="D3041" t="s">
        <v>296</v>
      </c>
      <c r="F3041">
        <v>1</v>
      </c>
      <c r="G3041" t="s">
        <v>16</v>
      </c>
      <c r="H3041">
        <v>0</v>
      </c>
      <c r="I3041" s="2" t="s">
        <v>6696</v>
      </c>
      <c r="J3041" s="2">
        <v>1699666580</v>
      </c>
      <c r="K3041">
        <v>20</v>
      </c>
      <c r="L3041">
        <v>20</v>
      </c>
      <c r="M3041">
        <v>20</v>
      </c>
    </row>
    <row r="3042" spans="1:13" x14ac:dyDescent="0.25">
      <c r="A3042" t="s">
        <v>6697</v>
      </c>
      <c r="B3042" t="s">
        <v>6698</v>
      </c>
      <c r="C3042" t="s">
        <v>20</v>
      </c>
      <c r="D3042" t="s">
        <v>26</v>
      </c>
      <c r="G3042" t="s">
        <v>16</v>
      </c>
      <c r="H3042">
        <v>0</v>
      </c>
      <c r="I3042" s="2" t="s">
        <v>55</v>
      </c>
      <c r="J3042" s="2" t="s">
        <v>6697</v>
      </c>
      <c r="K3042">
        <v>20</v>
      </c>
      <c r="L3042">
        <v>20</v>
      </c>
      <c r="M3042">
        <v>20</v>
      </c>
    </row>
    <row r="3043" spans="1:13" x14ac:dyDescent="0.25">
      <c r="A3043" t="s">
        <v>6699</v>
      </c>
      <c r="B3043" t="s">
        <v>6700</v>
      </c>
      <c r="C3043" t="s">
        <v>20</v>
      </c>
      <c r="D3043" t="s">
        <v>26</v>
      </c>
      <c r="F3043">
        <v>0</v>
      </c>
      <c r="G3043" t="s">
        <v>16</v>
      </c>
      <c r="H3043">
        <v>0</v>
      </c>
      <c r="I3043" s="2" t="s">
        <v>51</v>
      </c>
      <c r="J3043" s="2" t="s">
        <v>6699</v>
      </c>
      <c r="K3043">
        <v>20</v>
      </c>
      <c r="L3043">
        <v>20</v>
      </c>
      <c r="M3043">
        <v>20</v>
      </c>
    </row>
    <row r="3044" spans="1:13" x14ac:dyDescent="0.25">
      <c r="A3044" t="s">
        <v>6701</v>
      </c>
      <c r="B3044" t="s">
        <v>6702</v>
      </c>
      <c r="C3044" t="s">
        <v>151</v>
      </c>
      <c r="D3044" t="s">
        <v>1092</v>
      </c>
      <c r="G3044" t="s">
        <v>16</v>
      </c>
      <c r="H3044">
        <v>0</v>
      </c>
      <c r="K3044">
        <v>20</v>
      </c>
      <c r="L3044">
        <v>20</v>
      </c>
      <c r="M3044">
        <v>20</v>
      </c>
    </row>
    <row r="3045" spans="1:13" x14ac:dyDescent="0.25">
      <c r="A3045" t="s">
        <v>6703</v>
      </c>
      <c r="B3045" t="s">
        <v>6704</v>
      </c>
      <c r="C3045" t="s">
        <v>151</v>
      </c>
      <c r="D3045" t="s">
        <v>1092</v>
      </c>
      <c r="F3045">
        <v>1</v>
      </c>
      <c r="G3045" t="s">
        <v>16</v>
      </c>
      <c r="H3045">
        <v>0</v>
      </c>
      <c r="I3045" s="2" t="s">
        <v>1175</v>
      </c>
      <c r="J3045" s="2" t="s">
        <v>6705</v>
      </c>
      <c r="K3045">
        <v>20</v>
      </c>
      <c r="L3045">
        <v>20</v>
      </c>
      <c r="M3045">
        <v>20</v>
      </c>
    </row>
    <row r="3046" spans="1:13" x14ac:dyDescent="0.25">
      <c r="A3046" t="s">
        <v>6706</v>
      </c>
      <c r="B3046" t="s">
        <v>6702</v>
      </c>
      <c r="C3046" t="s">
        <v>151</v>
      </c>
      <c r="D3046" t="s">
        <v>1092</v>
      </c>
      <c r="F3046">
        <v>1</v>
      </c>
      <c r="G3046" t="s">
        <v>16</v>
      </c>
      <c r="H3046">
        <v>0</v>
      </c>
      <c r="I3046" s="2" t="s">
        <v>6707</v>
      </c>
      <c r="J3046" s="2" t="s">
        <v>6708</v>
      </c>
      <c r="K3046">
        <v>20</v>
      </c>
      <c r="L3046">
        <v>20</v>
      </c>
      <c r="M3046">
        <v>20</v>
      </c>
    </row>
    <row r="3047" spans="1:13" x14ac:dyDescent="0.25">
      <c r="A3047" t="s">
        <v>6709</v>
      </c>
      <c r="B3047" t="s">
        <v>6710</v>
      </c>
      <c r="C3047" t="s">
        <v>151</v>
      </c>
      <c r="D3047" t="s">
        <v>1092</v>
      </c>
      <c r="F3047">
        <v>2</v>
      </c>
      <c r="G3047" t="s">
        <v>16</v>
      </c>
      <c r="H3047">
        <v>0</v>
      </c>
      <c r="I3047" s="2" t="s">
        <v>500</v>
      </c>
      <c r="J3047" s="2" t="s">
        <v>6711</v>
      </c>
      <c r="K3047">
        <v>20</v>
      </c>
      <c r="L3047">
        <v>20</v>
      </c>
      <c r="M3047">
        <v>20</v>
      </c>
    </row>
    <row r="3048" spans="1:13" x14ac:dyDescent="0.25">
      <c r="A3048" t="s">
        <v>6712</v>
      </c>
      <c r="B3048" t="s">
        <v>6713</v>
      </c>
      <c r="C3048" t="s">
        <v>151</v>
      </c>
      <c r="D3048" t="s">
        <v>1092</v>
      </c>
      <c r="G3048" t="s">
        <v>16</v>
      </c>
      <c r="H3048">
        <v>0</v>
      </c>
      <c r="I3048" s="2" t="s">
        <v>1107</v>
      </c>
      <c r="J3048" s="2" t="s">
        <v>6714</v>
      </c>
      <c r="K3048">
        <v>20</v>
      </c>
      <c r="L3048">
        <v>20</v>
      </c>
      <c r="M3048">
        <v>20</v>
      </c>
    </row>
    <row r="3049" spans="1:13" x14ac:dyDescent="0.25">
      <c r="A3049" t="s">
        <v>6715</v>
      </c>
      <c r="B3049" t="s">
        <v>6716</v>
      </c>
      <c r="C3049" t="s">
        <v>151</v>
      </c>
      <c r="D3049" t="s">
        <v>1092</v>
      </c>
      <c r="F3049">
        <v>1</v>
      </c>
      <c r="G3049" t="s">
        <v>16</v>
      </c>
      <c r="H3049">
        <v>0</v>
      </c>
      <c r="I3049" s="2" t="s">
        <v>500</v>
      </c>
      <c r="J3049" s="2" t="s">
        <v>6717</v>
      </c>
      <c r="K3049">
        <v>20</v>
      </c>
      <c r="L3049">
        <v>20</v>
      </c>
      <c r="M3049">
        <v>20</v>
      </c>
    </row>
    <row r="3050" spans="1:13" x14ac:dyDescent="0.25">
      <c r="A3050" t="s">
        <v>6718</v>
      </c>
      <c r="B3050" t="s">
        <v>6719</v>
      </c>
      <c r="C3050" t="s">
        <v>151</v>
      </c>
      <c r="D3050" t="s">
        <v>1092</v>
      </c>
      <c r="F3050">
        <v>1</v>
      </c>
      <c r="G3050" t="s">
        <v>16</v>
      </c>
      <c r="H3050">
        <v>0</v>
      </c>
      <c r="I3050" s="2" t="s">
        <v>1145</v>
      </c>
      <c r="J3050" s="2" t="s">
        <v>6720</v>
      </c>
      <c r="K3050">
        <v>20</v>
      </c>
      <c r="L3050">
        <v>20</v>
      </c>
      <c r="M3050">
        <v>20</v>
      </c>
    </row>
    <row r="3051" spans="1:13" x14ac:dyDescent="0.25">
      <c r="A3051" t="s">
        <v>6721</v>
      </c>
      <c r="B3051" t="s">
        <v>6722</v>
      </c>
      <c r="C3051" t="s">
        <v>151</v>
      </c>
      <c r="D3051" t="s">
        <v>1092</v>
      </c>
      <c r="F3051">
        <v>1</v>
      </c>
      <c r="G3051" t="s">
        <v>16</v>
      </c>
      <c r="H3051">
        <v>0</v>
      </c>
      <c r="I3051" s="2" t="s">
        <v>1179</v>
      </c>
      <c r="J3051" s="2" t="s">
        <v>6723</v>
      </c>
      <c r="K3051">
        <v>20</v>
      </c>
      <c r="L3051">
        <v>20</v>
      </c>
      <c r="M3051">
        <v>20</v>
      </c>
    </row>
    <row r="3052" spans="1:13" x14ac:dyDescent="0.25">
      <c r="A3052" t="s">
        <v>6724</v>
      </c>
      <c r="B3052" t="s">
        <v>6725</v>
      </c>
      <c r="C3052" t="s">
        <v>151</v>
      </c>
      <c r="D3052" t="s">
        <v>1092</v>
      </c>
      <c r="G3052" t="s">
        <v>16</v>
      </c>
      <c r="H3052">
        <v>0</v>
      </c>
      <c r="I3052" s="2" t="s">
        <v>500</v>
      </c>
      <c r="J3052" s="2" t="s">
        <v>6726</v>
      </c>
      <c r="K3052">
        <v>20</v>
      </c>
      <c r="L3052">
        <v>20</v>
      </c>
      <c r="M3052">
        <v>20</v>
      </c>
    </row>
    <row r="3053" spans="1:13" x14ac:dyDescent="0.25">
      <c r="A3053" t="s">
        <v>6727</v>
      </c>
      <c r="B3053" t="s">
        <v>6728</v>
      </c>
      <c r="C3053" t="s">
        <v>151</v>
      </c>
      <c r="D3053" t="s">
        <v>1092</v>
      </c>
      <c r="F3053">
        <v>1</v>
      </c>
      <c r="G3053" t="s">
        <v>16</v>
      </c>
      <c r="H3053">
        <v>0</v>
      </c>
      <c r="I3053" s="2" t="s">
        <v>500</v>
      </c>
      <c r="J3053" s="2" t="s">
        <v>6729</v>
      </c>
      <c r="K3053">
        <v>20</v>
      </c>
      <c r="L3053">
        <v>20</v>
      </c>
      <c r="M3053">
        <v>20</v>
      </c>
    </row>
    <row r="3054" spans="1:13" x14ac:dyDescent="0.25">
      <c r="A3054" t="s">
        <v>6730</v>
      </c>
      <c r="B3054" t="s">
        <v>6731</v>
      </c>
      <c r="C3054" t="s">
        <v>357</v>
      </c>
      <c r="D3054" t="s">
        <v>241</v>
      </c>
      <c r="G3054" t="s">
        <v>16</v>
      </c>
      <c r="H3054">
        <v>0</v>
      </c>
      <c r="I3054" s="2" t="s">
        <v>245</v>
      </c>
      <c r="J3054" s="2" t="s">
        <v>6732</v>
      </c>
      <c r="K3054">
        <v>20</v>
      </c>
      <c r="L3054">
        <v>20</v>
      </c>
      <c r="M3054">
        <v>20</v>
      </c>
    </row>
    <row r="3055" spans="1:13" x14ac:dyDescent="0.25">
      <c r="A3055" t="s">
        <v>6733</v>
      </c>
      <c r="B3055" t="s">
        <v>6734</v>
      </c>
      <c r="C3055" t="s">
        <v>151</v>
      </c>
      <c r="D3055" t="s">
        <v>1092</v>
      </c>
      <c r="F3055">
        <v>2</v>
      </c>
      <c r="G3055" t="s">
        <v>16</v>
      </c>
      <c r="H3055">
        <v>0</v>
      </c>
      <c r="I3055" s="2" t="s">
        <v>6735</v>
      </c>
      <c r="J3055" s="2">
        <v>576013</v>
      </c>
      <c r="K3055">
        <v>20</v>
      </c>
      <c r="L3055">
        <v>20</v>
      </c>
      <c r="M3055">
        <v>20</v>
      </c>
    </row>
    <row r="3056" spans="1:13" x14ac:dyDescent="0.25">
      <c r="A3056" t="s">
        <v>6736</v>
      </c>
      <c r="B3056" t="s">
        <v>6734</v>
      </c>
      <c r="C3056" t="s">
        <v>151</v>
      </c>
      <c r="D3056" t="s">
        <v>1092</v>
      </c>
      <c r="F3056">
        <v>4</v>
      </c>
      <c r="G3056" t="s">
        <v>16</v>
      </c>
      <c r="H3056">
        <v>0</v>
      </c>
      <c r="I3056" s="2" t="s">
        <v>1137</v>
      </c>
      <c r="J3056" s="2" t="s">
        <v>6737</v>
      </c>
      <c r="K3056">
        <v>20</v>
      </c>
      <c r="L3056">
        <v>20</v>
      </c>
      <c r="M3056">
        <v>20</v>
      </c>
    </row>
    <row r="3057" spans="1:13" x14ac:dyDescent="0.25">
      <c r="A3057" t="s">
        <v>6738</v>
      </c>
      <c r="B3057" t="s">
        <v>6734</v>
      </c>
      <c r="C3057" t="s">
        <v>151</v>
      </c>
      <c r="D3057" t="s">
        <v>1092</v>
      </c>
      <c r="G3057" t="s">
        <v>16</v>
      </c>
      <c r="H3057">
        <v>0</v>
      </c>
      <c r="K3057">
        <v>20</v>
      </c>
      <c r="L3057">
        <v>20</v>
      </c>
      <c r="M3057">
        <v>20</v>
      </c>
    </row>
    <row r="3058" spans="1:13" x14ac:dyDescent="0.25">
      <c r="A3058" t="s">
        <v>6739</v>
      </c>
      <c r="B3058" t="s">
        <v>6740</v>
      </c>
      <c r="C3058" t="s">
        <v>151</v>
      </c>
      <c r="D3058" t="s">
        <v>1092</v>
      </c>
      <c r="F3058">
        <v>1</v>
      </c>
      <c r="G3058" t="s">
        <v>16</v>
      </c>
      <c r="H3058">
        <v>0</v>
      </c>
      <c r="I3058" s="2" t="s">
        <v>1137</v>
      </c>
      <c r="J3058" s="2" t="s">
        <v>6741</v>
      </c>
      <c r="K3058">
        <v>20</v>
      </c>
      <c r="L3058">
        <v>20</v>
      </c>
      <c r="M3058">
        <v>20</v>
      </c>
    </row>
    <row r="3059" spans="1:13" x14ac:dyDescent="0.25">
      <c r="A3059" t="s">
        <v>6742</v>
      </c>
      <c r="B3059" t="s">
        <v>6740</v>
      </c>
      <c r="C3059" t="s">
        <v>151</v>
      </c>
      <c r="D3059" t="s">
        <v>1092</v>
      </c>
      <c r="G3059" t="s">
        <v>16</v>
      </c>
      <c r="H3059">
        <v>0</v>
      </c>
      <c r="K3059">
        <v>20</v>
      </c>
      <c r="L3059">
        <v>20</v>
      </c>
      <c r="M3059">
        <v>20</v>
      </c>
    </row>
    <row r="3060" spans="1:13" x14ac:dyDescent="0.25">
      <c r="A3060" t="s">
        <v>6743</v>
      </c>
      <c r="B3060" t="s">
        <v>6744</v>
      </c>
      <c r="C3060" t="s">
        <v>151</v>
      </c>
      <c r="D3060" t="s">
        <v>1092</v>
      </c>
      <c r="F3060">
        <v>4</v>
      </c>
      <c r="G3060" t="s">
        <v>16</v>
      </c>
      <c r="H3060">
        <v>0</v>
      </c>
      <c r="I3060" s="2" t="s">
        <v>1200</v>
      </c>
      <c r="J3060" s="2">
        <v>2243108</v>
      </c>
      <c r="K3060">
        <v>20</v>
      </c>
      <c r="L3060">
        <v>20</v>
      </c>
      <c r="M3060">
        <v>20</v>
      </c>
    </row>
    <row r="3061" spans="1:13" x14ac:dyDescent="0.25">
      <c r="A3061" t="s">
        <v>6745</v>
      </c>
      <c r="B3061" t="s">
        <v>6744</v>
      </c>
      <c r="C3061" t="s">
        <v>151</v>
      </c>
      <c r="D3061" t="s">
        <v>1092</v>
      </c>
      <c r="G3061" t="s">
        <v>16</v>
      </c>
      <c r="H3061">
        <v>0</v>
      </c>
      <c r="K3061">
        <v>20</v>
      </c>
      <c r="L3061">
        <v>20</v>
      </c>
      <c r="M3061">
        <v>20</v>
      </c>
    </row>
    <row r="3062" spans="1:13" x14ac:dyDescent="0.25">
      <c r="A3062" t="s">
        <v>6746</v>
      </c>
      <c r="B3062" t="s">
        <v>6747</v>
      </c>
      <c r="C3062" t="s">
        <v>151</v>
      </c>
      <c r="D3062" t="s">
        <v>1092</v>
      </c>
      <c r="F3062">
        <v>11</v>
      </c>
      <c r="G3062" t="s">
        <v>16</v>
      </c>
      <c r="H3062">
        <v>0</v>
      </c>
      <c r="I3062" s="2" t="s">
        <v>500</v>
      </c>
      <c r="J3062" s="2" t="s">
        <v>6748</v>
      </c>
      <c r="K3062">
        <v>20</v>
      </c>
      <c r="L3062">
        <v>20</v>
      </c>
      <c r="M3062">
        <v>20</v>
      </c>
    </row>
    <row r="3063" spans="1:13" x14ac:dyDescent="0.25">
      <c r="A3063" t="s">
        <v>6749</v>
      </c>
      <c r="B3063" t="s">
        <v>6747</v>
      </c>
      <c r="C3063" t="s">
        <v>151</v>
      </c>
      <c r="D3063" t="s">
        <v>1092</v>
      </c>
      <c r="G3063" t="s">
        <v>16</v>
      </c>
      <c r="H3063">
        <v>0</v>
      </c>
      <c r="I3063" s="2" t="s">
        <v>500</v>
      </c>
      <c r="J3063" s="2" t="s">
        <v>6750</v>
      </c>
      <c r="K3063">
        <v>20</v>
      </c>
      <c r="L3063">
        <v>20</v>
      </c>
      <c r="M3063">
        <v>20</v>
      </c>
    </row>
    <row r="3064" spans="1:13" x14ac:dyDescent="0.25">
      <c r="A3064" t="s">
        <v>6751</v>
      </c>
      <c r="B3064" t="s">
        <v>6752</v>
      </c>
      <c r="C3064" t="s">
        <v>151</v>
      </c>
      <c r="D3064" t="s">
        <v>1092</v>
      </c>
      <c r="F3064">
        <v>2</v>
      </c>
      <c r="G3064" t="s">
        <v>16</v>
      </c>
      <c r="H3064">
        <v>0</v>
      </c>
      <c r="I3064" s="2" t="s">
        <v>1175</v>
      </c>
      <c r="J3064" s="2" t="s">
        <v>6753</v>
      </c>
      <c r="K3064">
        <v>20</v>
      </c>
      <c r="L3064">
        <v>20</v>
      </c>
      <c r="M3064">
        <v>20</v>
      </c>
    </row>
    <row r="3065" spans="1:13" x14ac:dyDescent="0.25">
      <c r="A3065" t="s">
        <v>6754</v>
      </c>
      <c r="B3065" t="s">
        <v>6752</v>
      </c>
      <c r="C3065" t="s">
        <v>151</v>
      </c>
      <c r="D3065" t="s">
        <v>1092</v>
      </c>
      <c r="F3065">
        <v>2</v>
      </c>
      <c r="G3065" t="s">
        <v>16</v>
      </c>
      <c r="H3065">
        <v>0</v>
      </c>
      <c r="I3065" s="2" t="s">
        <v>504</v>
      </c>
      <c r="J3065" s="2" t="s">
        <v>6755</v>
      </c>
      <c r="K3065">
        <v>20</v>
      </c>
      <c r="L3065">
        <v>20</v>
      </c>
      <c r="M3065">
        <v>20</v>
      </c>
    </row>
    <row r="3066" spans="1:13" x14ac:dyDescent="0.25">
      <c r="A3066" t="s">
        <v>6756</v>
      </c>
      <c r="B3066" t="s">
        <v>6757</v>
      </c>
      <c r="C3066" t="s">
        <v>151</v>
      </c>
      <c r="D3066" t="s">
        <v>1092</v>
      </c>
      <c r="G3066" t="s">
        <v>16</v>
      </c>
      <c r="H3066">
        <v>0</v>
      </c>
      <c r="I3066" s="2" t="s">
        <v>500</v>
      </c>
      <c r="J3066" s="2" t="s">
        <v>6758</v>
      </c>
      <c r="K3066">
        <v>20</v>
      </c>
      <c r="L3066">
        <v>20</v>
      </c>
      <c r="M3066">
        <v>20</v>
      </c>
    </row>
    <row r="3067" spans="1:13" x14ac:dyDescent="0.25">
      <c r="A3067" t="s">
        <v>6759</v>
      </c>
      <c r="B3067" t="s">
        <v>6760</v>
      </c>
      <c r="C3067" t="s">
        <v>151</v>
      </c>
      <c r="D3067" t="s">
        <v>1092</v>
      </c>
      <c r="F3067">
        <v>12</v>
      </c>
      <c r="G3067" t="s">
        <v>16</v>
      </c>
      <c r="H3067">
        <v>0</v>
      </c>
      <c r="I3067" s="2" t="s">
        <v>6761</v>
      </c>
      <c r="J3067" s="2">
        <v>576011</v>
      </c>
      <c r="K3067">
        <v>20</v>
      </c>
      <c r="L3067">
        <v>20</v>
      </c>
      <c r="M3067">
        <v>20</v>
      </c>
    </row>
    <row r="3068" spans="1:13" x14ac:dyDescent="0.25">
      <c r="A3068" t="s">
        <v>6762</v>
      </c>
      <c r="B3068" t="s">
        <v>6760</v>
      </c>
      <c r="C3068" t="s">
        <v>151</v>
      </c>
      <c r="D3068" t="s">
        <v>1092</v>
      </c>
      <c r="G3068" t="s">
        <v>16</v>
      </c>
      <c r="H3068">
        <v>0</v>
      </c>
      <c r="I3068" s="2" t="s">
        <v>500</v>
      </c>
      <c r="J3068" s="2" t="s">
        <v>6763</v>
      </c>
      <c r="K3068">
        <v>20</v>
      </c>
      <c r="L3068">
        <v>20</v>
      </c>
      <c r="M3068">
        <v>20</v>
      </c>
    </row>
    <row r="3069" spans="1:13" x14ac:dyDescent="0.25">
      <c r="A3069" t="s">
        <v>6764</v>
      </c>
      <c r="B3069" t="s">
        <v>6760</v>
      </c>
      <c r="C3069" t="s">
        <v>151</v>
      </c>
      <c r="D3069" t="s">
        <v>1092</v>
      </c>
      <c r="F3069">
        <v>5</v>
      </c>
      <c r="G3069" t="s">
        <v>16</v>
      </c>
      <c r="H3069">
        <v>0</v>
      </c>
      <c r="I3069" s="2" t="s">
        <v>1137</v>
      </c>
      <c r="J3069" s="2" t="s">
        <v>6765</v>
      </c>
      <c r="K3069">
        <v>20</v>
      </c>
      <c r="L3069">
        <v>20</v>
      </c>
      <c r="M3069">
        <v>20</v>
      </c>
    </row>
    <row r="3070" spans="1:13" x14ac:dyDescent="0.25">
      <c r="A3070" t="s">
        <v>6766</v>
      </c>
      <c r="B3070" t="s">
        <v>6767</v>
      </c>
      <c r="C3070" t="s">
        <v>151</v>
      </c>
      <c r="D3070" t="s">
        <v>1092</v>
      </c>
      <c r="F3070">
        <v>11</v>
      </c>
      <c r="G3070" t="s">
        <v>16</v>
      </c>
      <c r="H3070">
        <v>0</v>
      </c>
      <c r="I3070" s="2" t="s">
        <v>6761</v>
      </c>
      <c r="J3070" s="2">
        <v>576012</v>
      </c>
      <c r="K3070">
        <v>20</v>
      </c>
      <c r="L3070">
        <v>20</v>
      </c>
      <c r="M3070">
        <v>20</v>
      </c>
    </row>
    <row r="3071" spans="1:13" x14ac:dyDescent="0.25">
      <c r="A3071" t="s">
        <v>6768</v>
      </c>
      <c r="B3071" t="s">
        <v>6767</v>
      </c>
      <c r="C3071" t="s">
        <v>151</v>
      </c>
      <c r="D3071" t="s">
        <v>1092</v>
      </c>
      <c r="G3071" t="s">
        <v>16</v>
      </c>
      <c r="H3071">
        <v>0</v>
      </c>
      <c r="I3071" s="2" t="s">
        <v>500</v>
      </c>
      <c r="J3071" s="2" t="s">
        <v>6769</v>
      </c>
      <c r="K3071">
        <v>20</v>
      </c>
      <c r="L3071">
        <v>20</v>
      </c>
      <c r="M3071">
        <v>20</v>
      </c>
    </row>
    <row r="3072" spans="1:13" x14ac:dyDescent="0.25">
      <c r="A3072" t="s">
        <v>6770</v>
      </c>
      <c r="B3072" t="s">
        <v>6771</v>
      </c>
      <c r="C3072" t="s">
        <v>540</v>
      </c>
      <c r="F3072">
        <v>100</v>
      </c>
      <c r="G3072" t="s">
        <v>16</v>
      </c>
      <c r="H3072">
        <v>0</v>
      </c>
      <c r="I3072" s="2" t="s">
        <v>759</v>
      </c>
      <c r="J3072" s="2" t="s">
        <v>6772</v>
      </c>
      <c r="K3072">
        <v>20</v>
      </c>
      <c r="L3072">
        <v>20</v>
      </c>
      <c r="M3072">
        <v>20</v>
      </c>
    </row>
    <row r="3073" spans="1:13" x14ac:dyDescent="0.25">
      <c r="A3073" t="s">
        <v>6773</v>
      </c>
      <c r="B3073" t="s">
        <v>6774</v>
      </c>
      <c r="C3073" t="s">
        <v>20</v>
      </c>
      <c r="F3073">
        <v>0</v>
      </c>
      <c r="G3073" t="s">
        <v>16</v>
      </c>
      <c r="H3073">
        <v>0</v>
      </c>
      <c r="I3073" s="2" t="s">
        <v>51</v>
      </c>
      <c r="J3073" s="2" t="s">
        <v>6773</v>
      </c>
      <c r="K3073">
        <v>20</v>
      </c>
      <c r="L3073">
        <v>20</v>
      </c>
      <c r="M3073">
        <v>20</v>
      </c>
    </row>
    <row r="3074" spans="1:13" x14ac:dyDescent="0.25">
      <c r="A3074" t="s">
        <v>6775</v>
      </c>
      <c r="B3074" t="s">
        <v>6776</v>
      </c>
      <c r="C3074" t="s">
        <v>20</v>
      </c>
      <c r="F3074">
        <v>0</v>
      </c>
      <c r="G3074" t="s">
        <v>16</v>
      </c>
      <c r="H3074">
        <v>0</v>
      </c>
      <c r="I3074" s="2" t="s">
        <v>55</v>
      </c>
      <c r="J3074" s="2" t="s">
        <v>6775</v>
      </c>
      <c r="K3074">
        <v>20</v>
      </c>
      <c r="L3074">
        <v>20</v>
      </c>
      <c r="M3074">
        <v>20</v>
      </c>
    </row>
    <row r="3075" spans="1:13" x14ac:dyDescent="0.25">
      <c r="A3075" t="s">
        <v>6777</v>
      </c>
      <c r="B3075" t="s">
        <v>6778</v>
      </c>
      <c r="C3075" t="s">
        <v>540</v>
      </c>
      <c r="F3075">
        <v>1</v>
      </c>
      <c r="G3075" t="s">
        <v>16</v>
      </c>
      <c r="H3075">
        <v>0</v>
      </c>
      <c r="I3075" s="2" t="s">
        <v>4417</v>
      </c>
      <c r="J3075" s="2" t="s">
        <v>6779</v>
      </c>
      <c r="K3075">
        <v>20</v>
      </c>
      <c r="L3075">
        <v>20</v>
      </c>
      <c r="M3075">
        <v>20</v>
      </c>
    </row>
    <row r="3076" spans="1:13" x14ac:dyDescent="0.25">
      <c r="A3076" t="s">
        <v>6780</v>
      </c>
      <c r="B3076" t="s">
        <v>6778</v>
      </c>
      <c r="C3076" t="s">
        <v>540</v>
      </c>
      <c r="F3076">
        <v>2</v>
      </c>
      <c r="G3076" t="s">
        <v>16</v>
      </c>
      <c r="H3076">
        <v>0</v>
      </c>
      <c r="I3076" s="2" t="s">
        <v>643</v>
      </c>
      <c r="J3076" s="2">
        <v>111252</v>
      </c>
      <c r="K3076">
        <v>20</v>
      </c>
      <c r="L3076">
        <v>20</v>
      </c>
      <c r="M3076">
        <v>20</v>
      </c>
    </row>
    <row r="3077" spans="1:13" x14ac:dyDescent="0.25">
      <c r="A3077" t="s">
        <v>6781</v>
      </c>
      <c r="B3077" t="s">
        <v>6782</v>
      </c>
      <c r="C3077" t="s">
        <v>540</v>
      </c>
      <c r="F3077">
        <v>2</v>
      </c>
      <c r="G3077" t="s">
        <v>16</v>
      </c>
      <c r="H3077">
        <v>0</v>
      </c>
      <c r="I3077" s="2" t="s">
        <v>4417</v>
      </c>
      <c r="J3077" s="2" t="s">
        <v>6783</v>
      </c>
      <c r="K3077">
        <v>20</v>
      </c>
      <c r="L3077">
        <v>20</v>
      </c>
      <c r="M3077">
        <v>20</v>
      </c>
    </row>
    <row r="3078" spans="1:13" x14ac:dyDescent="0.25">
      <c r="A3078" t="s">
        <v>6784</v>
      </c>
      <c r="B3078" t="s">
        <v>6782</v>
      </c>
      <c r="C3078" t="s">
        <v>540</v>
      </c>
      <c r="F3078">
        <v>0</v>
      </c>
      <c r="G3078" t="s">
        <v>16</v>
      </c>
      <c r="H3078">
        <v>0</v>
      </c>
      <c r="I3078" s="2" t="s">
        <v>643</v>
      </c>
      <c r="J3078" s="2">
        <v>111253</v>
      </c>
      <c r="K3078">
        <v>20</v>
      </c>
      <c r="L3078">
        <v>20</v>
      </c>
      <c r="M3078">
        <v>20</v>
      </c>
    </row>
    <row r="3079" spans="1:13" x14ac:dyDescent="0.25">
      <c r="A3079" t="s">
        <v>6785</v>
      </c>
      <c r="B3079" t="s">
        <v>6786</v>
      </c>
      <c r="C3079" t="s">
        <v>540</v>
      </c>
      <c r="F3079">
        <v>1</v>
      </c>
      <c r="G3079" t="s">
        <v>16</v>
      </c>
      <c r="H3079">
        <v>0</v>
      </c>
      <c r="I3079" s="2" t="s">
        <v>734</v>
      </c>
      <c r="J3079" s="2">
        <v>111293</v>
      </c>
      <c r="K3079">
        <v>20</v>
      </c>
      <c r="L3079">
        <v>20</v>
      </c>
      <c r="M3079">
        <v>20</v>
      </c>
    </row>
    <row r="3080" spans="1:13" x14ac:dyDescent="0.25">
      <c r="A3080" t="s">
        <v>6787</v>
      </c>
      <c r="B3080" t="s">
        <v>6788</v>
      </c>
      <c r="C3080" t="s">
        <v>540</v>
      </c>
      <c r="G3080" t="s">
        <v>16</v>
      </c>
      <c r="H3080">
        <v>0</v>
      </c>
      <c r="I3080" s="2" t="s">
        <v>734</v>
      </c>
      <c r="J3080" s="2">
        <v>111254</v>
      </c>
      <c r="K3080">
        <v>20</v>
      </c>
      <c r="L3080">
        <v>20</v>
      </c>
      <c r="M3080">
        <v>20</v>
      </c>
    </row>
    <row r="3081" spans="1:13" x14ac:dyDescent="0.25">
      <c r="A3081" t="s">
        <v>6789</v>
      </c>
      <c r="B3081" t="s">
        <v>6790</v>
      </c>
      <c r="C3081" t="s">
        <v>540</v>
      </c>
      <c r="G3081" t="s">
        <v>16</v>
      </c>
      <c r="H3081">
        <v>0</v>
      </c>
      <c r="I3081" s="2" t="s">
        <v>734</v>
      </c>
      <c r="J3081" s="2">
        <v>111255</v>
      </c>
      <c r="K3081">
        <v>20</v>
      </c>
      <c r="L3081">
        <v>20</v>
      </c>
      <c r="M3081">
        <v>20</v>
      </c>
    </row>
    <row r="3082" spans="1:13" x14ac:dyDescent="0.25">
      <c r="A3082" t="s">
        <v>6791</v>
      </c>
      <c r="B3082" t="s">
        <v>6792</v>
      </c>
      <c r="C3082" t="s">
        <v>540</v>
      </c>
      <c r="F3082">
        <v>0</v>
      </c>
      <c r="G3082" t="s">
        <v>16</v>
      </c>
      <c r="H3082">
        <v>0</v>
      </c>
      <c r="I3082" s="2" t="s">
        <v>643</v>
      </c>
      <c r="J3082" s="2">
        <v>111212</v>
      </c>
      <c r="K3082">
        <v>20</v>
      </c>
      <c r="L3082">
        <v>20</v>
      </c>
      <c r="M3082">
        <v>20</v>
      </c>
    </row>
    <row r="3083" spans="1:13" x14ac:dyDescent="0.25">
      <c r="A3083" t="s">
        <v>6793</v>
      </c>
      <c r="B3083" t="s">
        <v>6794</v>
      </c>
      <c r="C3083" t="s">
        <v>540</v>
      </c>
      <c r="F3083">
        <v>1</v>
      </c>
      <c r="G3083" t="s">
        <v>16</v>
      </c>
      <c r="H3083">
        <v>0</v>
      </c>
      <c r="I3083" s="2" t="s">
        <v>643</v>
      </c>
      <c r="J3083" s="2">
        <v>111256</v>
      </c>
      <c r="K3083">
        <v>20</v>
      </c>
      <c r="L3083">
        <v>20</v>
      </c>
      <c r="M3083">
        <v>20</v>
      </c>
    </row>
    <row r="3084" spans="1:13" x14ac:dyDescent="0.25">
      <c r="A3084" t="s">
        <v>6795</v>
      </c>
      <c r="B3084" t="s">
        <v>6796</v>
      </c>
      <c r="C3084" t="s">
        <v>540</v>
      </c>
      <c r="F3084">
        <v>1</v>
      </c>
      <c r="G3084" t="s">
        <v>16</v>
      </c>
      <c r="H3084">
        <v>0</v>
      </c>
      <c r="I3084" s="2" t="s">
        <v>500</v>
      </c>
      <c r="J3084" s="2" t="s">
        <v>6797</v>
      </c>
      <c r="K3084">
        <v>20</v>
      </c>
      <c r="L3084">
        <v>20</v>
      </c>
      <c r="M3084">
        <v>20</v>
      </c>
    </row>
    <row r="3085" spans="1:13" x14ac:dyDescent="0.25">
      <c r="A3085" t="s">
        <v>6798</v>
      </c>
      <c r="B3085" t="s">
        <v>6799</v>
      </c>
      <c r="C3085" t="s">
        <v>540</v>
      </c>
      <c r="F3085">
        <v>1</v>
      </c>
      <c r="G3085" t="s">
        <v>16</v>
      </c>
      <c r="H3085">
        <v>0</v>
      </c>
      <c r="I3085" s="2" t="s">
        <v>500</v>
      </c>
      <c r="J3085" s="2" t="s">
        <v>6800</v>
      </c>
      <c r="K3085">
        <v>20</v>
      </c>
      <c r="L3085">
        <v>20</v>
      </c>
      <c r="M3085">
        <v>20</v>
      </c>
    </row>
    <row r="3086" spans="1:13" x14ac:dyDescent="0.25">
      <c r="A3086" t="s">
        <v>6801</v>
      </c>
      <c r="B3086" t="s">
        <v>6802</v>
      </c>
      <c r="C3086" t="s">
        <v>540</v>
      </c>
      <c r="G3086" t="s">
        <v>16</v>
      </c>
      <c r="H3086">
        <v>0</v>
      </c>
      <c r="I3086" s="2" t="s">
        <v>643</v>
      </c>
      <c r="J3086" s="2">
        <v>111258</v>
      </c>
      <c r="K3086">
        <v>20</v>
      </c>
      <c r="L3086">
        <v>20</v>
      </c>
      <c r="M3086">
        <v>20</v>
      </c>
    </row>
    <row r="3087" spans="1:13" x14ac:dyDescent="0.25">
      <c r="A3087" t="s">
        <v>6803</v>
      </c>
      <c r="B3087" t="s">
        <v>6804</v>
      </c>
      <c r="C3087" t="s">
        <v>540</v>
      </c>
      <c r="G3087" t="s">
        <v>16</v>
      </c>
      <c r="H3087">
        <v>0</v>
      </c>
      <c r="I3087" s="2" t="s">
        <v>643</v>
      </c>
      <c r="J3087" s="2">
        <v>111259</v>
      </c>
      <c r="K3087">
        <v>20</v>
      </c>
      <c r="L3087">
        <v>20</v>
      </c>
      <c r="M3087">
        <v>20</v>
      </c>
    </row>
    <row r="3088" spans="1:13" x14ac:dyDescent="0.25">
      <c r="A3088" t="s">
        <v>6805</v>
      </c>
      <c r="B3088" t="s">
        <v>6806</v>
      </c>
      <c r="C3088" t="s">
        <v>540</v>
      </c>
      <c r="G3088" t="s">
        <v>16</v>
      </c>
      <c r="H3088">
        <v>0</v>
      </c>
      <c r="I3088" s="2" t="s">
        <v>734</v>
      </c>
      <c r="J3088" s="2">
        <v>111031</v>
      </c>
      <c r="K3088">
        <v>20</v>
      </c>
      <c r="L3088">
        <v>20</v>
      </c>
      <c r="M3088">
        <v>20</v>
      </c>
    </row>
    <row r="3089" spans="1:13" x14ac:dyDescent="0.25">
      <c r="A3089" t="s">
        <v>6807</v>
      </c>
      <c r="B3089" t="s">
        <v>6808</v>
      </c>
      <c r="C3089" t="s">
        <v>540</v>
      </c>
      <c r="G3089" t="s">
        <v>16</v>
      </c>
      <c r="H3089">
        <v>0</v>
      </c>
      <c r="I3089" s="2" t="s">
        <v>734</v>
      </c>
      <c r="J3089" s="2">
        <v>111033</v>
      </c>
      <c r="K3089">
        <v>20</v>
      </c>
      <c r="L3089">
        <v>20</v>
      </c>
      <c r="M3089">
        <v>20</v>
      </c>
    </row>
    <row r="3090" spans="1:13" x14ac:dyDescent="0.25">
      <c r="A3090" t="s">
        <v>6809</v>
      </c>
      <c r="B3090" t="s">
        <v>6810</v>
      </c>
      <c r="C3090" t="s">
        <v>540</v>
      </c>
      <c r="G3090" t="s">
        <v>16</v>
      </c>
      <c r="H3090">
        <v>0</v>
      </c>
      <c r="I3090" s="2" t="s">
        <v>734</v>
      </c>
      <c r="J3090" s="2">
        <v>111034</v>
      </c>
      <c r="K3090">
        <v>20</v>
      </c>
      <c r="L3090">
        <v>20</v>
      </c>
      <c r="M3090">
        <v>20</v>
      </c>
    </row>
    <row r="3091" spans="1:13" x14ac:dyDescent="0.25">
      <c r="A3091" t="s">
        <v>6811</v>
      </c>
      <c r="B3091" t="s">
        <v>6812</v>
      </c>
      <c r="C3091" t="s">
        <v>540</v>
      </c>
      <c r="G3091" t="s">
        <v>16</v>
      </c>
      <c r="H3091">
        <v>0</v>
      </c>
      <c r="I3091" s="2" t="s">
        <v>734</v>
      </c>
      <c r="J3091" s="2">
        <v>111036</v>
      </c>
      <c r="K3091">
        <v>20</v>
      </c>
      <c r="L3091">
        <v>20</v>
      </c>
      <c r="M3091">
        <v>20</v>
      </c>
    </row>
    <row r="3092" spans="1:13" x14ac:dyDescent="0.25">
      <c r="A3092" t="s">
        <v>6813</v>
      </c>
      <c r="B3092" t="s">
        <v>6815</v>
      </c>
      <c r="C3092" t="s">
        <v>540</v>
      </c>
      <c r="G3092" t="s">
        <v>16</v>
      </c>
      <c r="H3092">
        <v>0</v>
      </c>
      <c r="I3092" s="2" t="s">
        <v>288</v>
      </c>
      <c r="J3092" s="2" t="s">
        <v>6814</v>
      </c>
      <c r="K3092">
        <v>20</v>
      </c>
      <c r="L3092">
        <v>20</v>
      </c>
      <c r="M3092">
        <v>20</v>
      </c>
    </row>
    <row r="3093" spans="1:13" x14ac:dyDescent="0.25">
      <c r="A3093" t="s">
        <v>6816</v>
      </c>
      <c r="B3093" t="s">
        <v>6818</v>
      </c>
      <c r="C3093" t="s">
        <v>540</v>
      </c>
      <c r="G3093" t="s">
        <v>16</v>
      </c>
      <c r="H3093">
        <v>0</v>
      </c>
      <c r="I3093" s="2" t="s">
        <v>765</v>
      </c>
      <c r="J3093" s="2" t="s">
        <v>6817</v>
      </c>
      <c r="K3093">
        <v>20</v>
      </c>
      <c r="L3093">
        <v>20</v>
      </c>
      <c r="M3093">
        <v>20</v>
      </c>
    </row>
    <row r="3094" spans="1:13" x14ac:dyDescent="0.25">
      <c r="A3094" t="s">
        <v>6819</v>
      </c>
      <c r="B3094" t="s">
        <v>6820</v>
      </c>
      <c r="C3094" t="s">
        <v>540</v>
      </c>
      <c r="F3094">
        <v>4</v>
      </c>
      <c r="G3094" t="s">
        <v>16</v>
      </c>
      <c r="H3094">
        <v>0</v>
      </c>
      <c r="I3094" s="2" t="s">
        <v>6821</v>
      </c>
      <c r="J3094" s="2" t="s">
        <v>6822</v>
      </c>
      <c r="K3094">
        <v>20</v>
      </c>
      <c r="L3094">
        <v>20</v>
      </c>
      <c r="M3094">
        <v>20</v>
      </c>
    </row>
    <row r="3095" spans="1:13" x14ac:dyDescent="0.25">
      <c r="A3095" t="s">
        <v>6823</v>
      </c>
      <c r="B3095" t="s">
        <v>6824</v>
      </c>
      <c r="C3095" t="s">
        <v>540</v>
      </c>
      <c r="G3095" t="s">
        <v>16</v>
      </c>
      <c r="H3095">
        <v>0</v>
      </c>
      <c r="K3095">
        <v>20</v>
      </c>
      <c r="L3095">
        <v>20</v>
      </c>
      <c r="M3095">
        <v>20</v>
      </c>
    </row>
    <row r="3096" spans="1:13" x14ac:dyDescent="0.25">
      <c r="A3096" t="s">
        <v>6825</v>
      </c>
      <c r="B3096" t="s">
        <v>6826</v>
      </c>
      <c r="C3096" t="s">
        <v>540</v>
      </c>
      <c r="F3096">
        <v>1</v>
      </c>
      <c r="G3096" t="s">
        <v>16</v>
      </c>
      <c r="H3096">
        <v>0</v>
      </c>
      <c r="K3096">
        <v>20</v>
      </c>
      <c r="L3096">
        <v>20</v>
      </c>
      <c r="M3096">
        <v>20</v>
      </c>
    </row>
    <row r="3097" spans="1:13" x14ac:dyDescent="0.25">
      <c r="A3097" t="s">
        <v>6827</v>
      </c>
      <c r="B3097" t="s">
        <v>6828</v>
      </c>
      <c r="C3097" t="s">
        <v>540</v>
      </c>
      <c r="F3097">
        <v>5</v>
      </c>
      <c r="G3097" t="s">
        <v>16</v>
      </c>
      <c r="H3097">
        <v>0</v>
      </c>
      <c r="I3097" s="2" t="s">
        <v>6829</v>
      </c>
      <c r="J3097" s="2">
        <v>7701</v>
      </c>
      <c r="K3097">
        <v>20</v>
      </c>
      <c r="L3097">
        <v>20</v>
      </c>
      <c r="M3097">
        <v>20</v>
      </c>
    </row>
    <row r="3098" spans="1:13" x14ac:dyDescent="0.25">
      <c r="A3098" t="s">
        <v>6830</v>
      </c>
      <c r="B3098" t="s">
        <v>6831</v>
      </c>
      <c r="C3098" t="s">
        <v>1426</v>
      </c>
      <c r="F3098">
        <v>2</v>
      </c>
      <c r="G3098" t="s">
        <v>16</v>
      </c>
      <c r="H3098">
        <v>0</v>
      </c>
      <c r="I3098" s="2" t="s">
        <v>500</v>
      </c>
      <c r="J3098" s="2" t="s">
        <v>6832</v>
      </c>
      <c r="K3098">
        <v>20</v>
      </c>
      <c r="L3098">
        <v>20</v>
      </c>
      <c r="M3098">
        <v>20</v>
      </c>
    </row>
    <row r="3099" spans="1:13" x14ac:dyDescent="0.25">
      <c r="A3099" t="s">
        <v>6833</v>
      </c>
      <c r="B3099" t="s">
        <v>6834</v>
      </c>
      <c r="C3099" t="s">
        <v>1426</v>
      </c>
      <c r="F3099">
        <v>2</v>
      </c>
      <c r="G3099" t="s">
        <v>16</v>
      </c>
      <c r="H3099">
        <v>0</v>
      </c>
      <c r="I3099" s="2" t="s">
        <v>500</v>
      </c>
      <c r="J3099" s="2" t="s">
        <v>6835</v>
      </c>
      <c r="K3099">
        <v>20</v>
      </c>
      <c r="L3099">
        <v>20</v>
      </c>
      <c r="M3099">
        <v>20</v>
      </c>
    </row>
    <row r="3100" spans="1:13" x14ac:dyDescent="0.25">
      <c r="A3100" t="s">
        <v>6836</v>
      </c>
      <c r="B3100" t="s">
        <v>6838</v>
      </c>
      <c r="C3100" t="s">
        <v>20</v>
      </c>
      <c r="D3100" t="s">
        <v>2477</v>
      </c>
      <c r="F3100">
        <v>1</v>
      </c>
      <c r="G3100" t="s">
        <v>16</v>
      </c>
      <c r="H3100">
        <v>0</v>
      </c>
      <c r="I3100" s="2" t="s">
        <v>2881</v>
      </c>
      <c r="J3100" s="2" t="s">
        <v>6837</v>
      </c>
      <c r="K3100">
        <v>20</v>
      </c>
      <c r="L3100">
        <v>20</v>
      </c>
      <c r="M3100">
        <v>20</v>
      </c>
    </row>
    <row r="3101" spans="1:13" x14ac:dyDescent="0.25">
      <c r="A3101" t="s">
        <v>6839</v>
      </c>
      <c r="B3101" t="s">
        <v>6840</v>
      </c>
      <c r="C3101" t="s">
        <v>20</v>
      </c>
      <c r="D3101" t="s">
        <v>2477</v>
      </c>
      <c r="G3101" t="s">
        <v>16</v>
      </c>
      <c r="H3101">
        <v>0</v>
      </c>
      <c r="I3101" s="2" t="s">
        <v>2932</v>
      </c>
      <c r="J3101" s="2" t="s">
        <v>6841</v>
      </c>
      <c r="K3101">
        <v>20</v>
      </c>
      <c r="L3101">
        <v>20</v>
      </c>
      <c r="M3101">
        <v>20</v>
      </c>
    </row>
    <row r="3102" spans="1:13" x14ac:dyDescent="0.25">
      <c r="A3102" t="s">
        <v>6842</v>
      </c>
      <c r="B3102" t="s">
        <v>6843</v>
      </c>
      <c r="C3102" t="s">
        <v>20</v>
      </c>
      <c r="D3102" t="s">
        <v>2477</v>
      </c>
      <c r="F3102">
        <v>1</v>
      </c>
      <c r="G3102" t="s">
        <v>16</v>
      </c>
      <c r="H3102">
        <v>0</v>
      </c>
      <c r="I3102" s="2" t="s">
        <v>87</v>
      </c>
      <c r="J3102" s="2" t="s">
        <v>6844</v>
      </c>
      <c r="K3102">
        <v>20</v>
      </c>
      <c r="L3102">
        <v>20</v>
      </c>
      <c r="M3102">
        <v>20</v>
      </c>
    </row>
    <row r="3103" spans="1:13" x14ac:dyDescent="0.25">
      <c r="A3103" t="s">
        <v>6845</v>
      </c>
      <c r="B3103" t="s">
        <v>6846</v>
      </c>
      <c r="C3103" t="s">
        <v>20</v>
      </c>
      <c r="D3103" t="s">
        <v>2477</v>
      </c>
      <c r="F3103">
        <v>1</v>
      </c>
      <c r="G3103" t="s">
        <v>16</v>
      </c>
      <c r="H3103">
        <v>0</v>
      </c>
      <c r="I3103" s="2" t="s">
        <v>6847</v>
      </c>
      <c r="J3103" s="2">
        <v>15317</v>
      </c>
      <c r="K3103">
        <v>20</v>
      </c>
      <c r="L3103">
        <v>20</v>
      </c>
      <c r="M3103">
        <v>20</v>
      </c>
    </row>
    <row r="3104" spans="1:13" x14ac:dyDescent="0.25">
      <c r="A3104" t="s">
        <v>6848</v>
      </c>
      <c r="B3104" t="s">
        <v>6849</v>
      </c>
      <c r="C3104" t="s">
        <v>20</v>
      </c>
      <c r="D3104" t="s">
        <v>2477</v>
      </c>
      <c r="F3104">
        <v>1</v>
      </c>
      <c r="G3104" t="s">
        <v>16</v>
      </c>
      <c r="H3104">
        <v>0</v>
      </c>
      <c r="I3104" s="2" t="s">
        <v>64</v>
      </c>
      <c r="J3104" s="2">
        <v>10010580</v>
      </c>
      <c r="K3104">
        <v>20</v>
      </c>
      <c r="L3104">
        <v>20</v>
      </c>
      <c r="M3104">
        <v>20</v>
      </c>
    </row>
    <row r="3105" spans="1:13" x14ac:dyDescent="0.25">
      <c r="A3105" t="s">
        <v>6850</v>
      </c>
      <c r="B3105" t="s">
        <v>6846</v>
      </c>
      <c r="C3105" t="s">
        <v>20</v>
      </c>
      <c r="D3105" t="s">
        <v>2477</v>
      </c>
      <c r="G3105" t="s">
        <v>16</v>
      </c>
      <c r="H3105">
        <v>0</v>
      </c>
      <c r="I3105" s="2" t="s">
        <v>277</v>
      </c>
      <c r="J3105" s="2">
        <v>41580</v>
      </c>
      <c r="K3105">
        <v>20</v>
      </c>
      <c r="L3105">
        <v>20</v>
      </c>
      <c r="M3105">
        <v>20</v>
      </c>
    </row>
    <row r="3106" spans="1:13" x14ac:dyDescent="0.25">
      <c r="A3106" t="s">
        <v>6851</v>
      </c>
      <c r="B3106" t="s">
        <v>6843</v>
      </c>
      <c r="C3106" t="s">
        <v>20</v>
      </c>
      <c r="D3106" t="s">
        <v>2477</v>
      </c>
      <c r="F3106">
        <v>1</v>
      </c>
      <c r="G3106" t="s">
        <v>16</v>
      </c>
      <c r="H3106">
        <v>0</v>
      </c>
      <c r="I3106" s="2" t="s">
        <v>737</v>
      </c>
      <c r="J3106" s="2" t="s">
        <v>6852</v>
      </c>
      <c r="K3106">
        <v>20</v>
      </c>
      <c r="L3106">
        <v>20</v>
      </c>
      <c r="M3106">
        <v>20</v>
      </c>
    </row>
    <row r="3107" spans="1:13" x14ac:dyDescent="0.25">
      <c r="A3107" t="s">
        <v>6853</v>
      </c>
      <c r="B3107" t="s">
        <v>6854</v>
      </c>
      <c r="C3107" t="s">
        <v>20</v>
      </c>
      <c r="D3107" t="s">
        <v>2477</v>
      </c>
      <c r="F3107">
        <v>2</v>
      </c>
      <c r="G3107" t="s">
        <v>16</v>
      </c>
      <c r="H3107">
        <v>0</v>
      </c>
      <c r="I3107" s="2" t="s">
        <v>6855</v>
      </c>
      <c r="J3107" s="2">
        <v>14037</v>
      </c>
      <c r="K3107">
        <v>20</v>
      </c>
      <c r="L3107">
        <v>20</v>
      </c>
      <c r="M3107">
        <v>20</v>
      </c>
    </row>
    <row r="3108" spans="1:13" x14ac:dyDescent="0.25">
      <c r="A3108" t="s">
        <v>6856</v>
      </c>
      <c r="B3108" t="s">
        <v>6854</v>
      </c>
      <c r="C3108" t="s">
        <v>20</v>
      </c>
      <c r="D3108" t="s">
        <v>2477</v>
      </c>
      <c r="F3108">
        <v>0</v>
      </c>
      <c r="G3108" t="s">
        <v>16</v>
      </c>
      <c r="H3108">
        <v>0</v>
      </c>
      <c r="I3108" s="2" t="s">
        <v>314</v>
      </c>
      <c r="J3108" s="2" t="s">
        <v>6857</v>
      </c>
      <c r="K3108">
        <v>20</v>
      </c>
      <c r="L3108">
        <v>20</v>
      </c>
      <c r="M3108">
        <v>20</v>
      </c>
    </row>
    <row r="3109" spans="1:13" x14ac:dyDescent="0.25">
      <c r="A3109" t="s">
        <v>6858</v>
      </c>
      <c r="B3109" t="s">
        <v>6854</v>
      </c>
      <c r="C3109" t="s">
        <v>20</v>
      </c>
      <c r="D3109" t="s">
        <v>2477</v>
      </c>
      <c r="F3109">
        <v>7</v>
      </c>
      <c r="G3109" t="s">
        <v>16</v>
      </c>
      <c r="H3109">
        <v>0</v>
      </c>
      <c r="I3109" s="2" t="s">
        <v>64</v>
      </c>
      <c r="J3109" s="2">
        <v>10010501</v>
      </c>
      <c r="K3109">
        <v>20</v>
      </c>
      <c r="L3109">
        <v>20</v>
      </c>
      <c r="M3109">
        <v>20</v>
      </c>
    </row>
    <row r="3110" spans="1:13" x14ac:dyDescent="0.25">
      <c r="A3110" t="s">
        <v>6859</v>
      </c>
      <c r="B3110" t="s">
        <v>6854</v>
      </c>
      <c r="C3110" t="s">
        <v>20</v>
      </c>
      <c r="D3110" t="s">
        <v>2477</v>
      </c>
      <c r="F3110">
        <v>0</v>
      </c>
      <c r="G3110" t="s">
        <v>16</v>
      </c>
      <c r="H3110">
        <v>0</v>
      </c>
      <c r="I3110" s="2" t="s">
        <v>6861</v>
      </c>
      <c r="J3110" s="2" t="s">
        <v>6860</v>
      </c>
      <c r="K3110">
        <v>20</v>
      </c>
      <c r="L3110">
        <v>20</v>
      </c>
      <c r="M3110">
        <v>20</v>
      </c>
    </row>
    <row r="3111" spans="1:13" x14ac:dyDescent="0.25">
      <c r="A3111" t="s">
        <v>6862</v>
      </c>
      <c r="B3111" t="s">
        <v>6854</v>
      </c>
      <c r="C3111" t="s">
        <v>20</v>
      </c>
      <c r="D3111" t="s">
        <v>2477</v>
      </c>
      <c r="F3111">
        <v>1</v>
      </c>
      <c r="G3111" t="s">
        <v>16</v>
      </c>
      <c r="H3111">
        <v>0</v>
      </c>
      <c r="I3111" s="2" t="s">
        <v>245</v>
      </c>
      <c r="J3111" s="2" t="s">
        <v>6863</v>
      </c>
      <c r="K3111">
        <v>20</v>
      </c>
      <c r="L3111">
        <v>20</v>
      </c>
      <c r="M3111">
        <v>20</v>
      </c>
    </row>
    <row r="3112" spans="1:13" x14ac:dyDescent="0.25">
      <c r="A3112" t="s">
        <v>6864</v>
      </c>
      <c r="B3112" t="s">
        <v>6854</v>
      </c>
      <c r="C3112" t="s">
        <v>20</v>
      </c>
      <c r="D3112" t="s">
        <v>2477</v>
      </c>
      <c r="F3112">
        <v>3</v>
      </c>
      <c r="G3112" t="s">
        <v>16</v>
      </c>
      <c r="H3112">
        <v>0</v>
      </c>
      <c r="I3112" s="2" t="s">
        <v>266</v>
      </c>
      <c r="J3112" s="2">
        <v>55520</v>
      </c>
      <c r="K3112">
        <v>20</v>
      </c>
      <c r="L3112">
        <v>20</v>
      </c>
      <c r="M3112">
        <v>20</v>
      </c>
    </row>
    <row r="3113" spans="1:13" x14ac:dyDescent="0.25">
      <c r="A3113" t="s">
        <v>6865</v>
      </c>
      <c r="B3113" t="s">
        <v>6854</v>
      </c>
      <c r="C3113" t="s">
        <v>20</v>
      </c>
      <c r="D3113" t="s">
        <v>2477</v>
      </c>
      <c r="F3113">
        <v>1</v>
      </c>
      <c r="G3113" t="s">
        <v>16</v>
      </c>
      <c r="H3113">
        <v>0</v>
      </c>
      <c r="K3113">
        <v>20</v>
      </c>
      <c r="L3113">
        <v>20</v>
      </c>
      <c r="M3113">
        <v>20</v>
      </c>
    </row>
    <row r="3114" spans="1:13" x14ac:dyDescent="0.25">
      <c r="A3114" t="s">
        <v>6866</v>
      </c>
      <c r="B3114" t="s">
        <v>6854</v>
      </c>
      <c r="C3114" t="s">
        <v>20</v>
      </c>
      <c r="D3114" t="s">
        <v>2477</v>
      </c>
      <c r="F3114">
        <v>0</v>
      </c>
      <c r="G3114" t="s">
        <v>16</v>
      </c>
      <c r="H3114">
        <v>0</v>
      </c>
      <c r="I3114" s="2" t="s">
        <v>737</v>
      </c>
      <c r="J3114" s="2" t="s">
        <v>6867</v>
      </c>
      <c r="K3114">
        <v>20</v>
      </c>
      <c r="L3114">
        <v>20</v>
      </c>
      <c r="M3114">
        <v>20</v>
      </c>
    </row>
    <row r="3115" spans="1:13" x14ac:dyDescent="0.25">
      <c r="A3115" t="s">
        <v>6868</v>
      </c>
      <c r="B3115" t="s">
        <v>6869</v>
      </c>
      <c r="C3115" t="s">
        <v>20</v>
      </c>
      <c r="D3115" t="s">
        <v>2477</v>
      </c>
      <c r="F3115">
        <v>1</v>
      </c>
      <c r="G3115" t="s">
        <v>16</v>
      </c>
      <c r="H3115">
        <v>0</v>
      </c>
      <c r="I3115" s="2" t="s">
        <v>245</v>
      </c>
      <c r="J3115" s="2" t="s">
        <v>6870</v>
      </c>
      <c r="K3115">
        <v>20</v>
      </c>
      <c r="L3115">
        <v>20</v>
      </c>
      <c r="M3115">
        <v>20</v>
      </c>
    </row>
    <row r="3116" spans="1:13" x14ac:dyDescent="0.25">
      <c r="A3116" t="s">
        <v>6871</v>
      </c>
      <c r="B3116" t="s">
        <v>6872</v>
      </c>
      <c r="C3116" t="s">
        <v>20</v>
      </c>
      <c r="D3116" t="s">
        <v>2477</v>
      </c>
      <c r="G3116" t="s">
        <v>16</v>
      </c>
      <c r="H3116">
        <v>0</v>
      </c>
      <c r="I3116" s="2" t="s">
        <v>245</v>
      </c>
      <c r="J3116" s="2" t="s">
        <v>6873</v>
      </c>
      <c r="K3116">
        <v>20</v>
      </c>
      <c r="L3116">
        <v>20</v>
      </c>
      <c r="M3116">
        <v>20</v>
      </c>
    </row>
    <row r="3117" spans="1:13" x14ac:dyDescent="0.25">
      <c r="A3117" t="s">
        <v>6874</v>
      </c>
      <c r="B3117" t="s">
        <v>6875</v>
      </c>
      <c r="C3117" t="s">
        <v>151</v>
      </c>
      <c r="D3117" t="s">
        <v>6328</v>
      </c>
      <c r="G3117" t="s">
        <v>16</v>
      </c>
      <c r="H3117">
        <v>0</v>
      </c>
      <c r="I3117" s="2" t="s">
        <v>598</v>
      </c>
      <c r="J3117" s="2">
        <v>347085</v>
      </c>
      <c r="K3117">
        <v>20</v>
      </c>
      <c r="L3117">
        <v>20</v>
      </c>
      <c r="M3117">
        <v>20</v>
      </c>
    </row>
    <row r="3118" spans="1:13" x14ac:dyDescent="0.25">
      <c r="A3118" t="s">
        <v>6876</v>
      </c>
      <c r="B3118" t="s">
        <v>6877</v>
      </c>
      <c r="C3118" t="s">
        <v>151</v>
      </c>
      <c r="D3118" t="s">
        <v>6328</v>
      </c>
      <c r="G3118" t="s">
        <v>16</v>
      </c>
      <c r="H3118">
        <v>0</v>
      </c>
      <c r="I3118" s="2" t="s">
        <v>1933</v>
      </c>
      <c r="J3118" s="2">
        <v>726531</v>
      </c>
      <c r="K3118">
        <v>20</v>
      </c>
      <c r="L3118">
        <v>20</v>
      </c>
      <c r="M3118">
        <v>20</v>
      </c>
    </row>
    <row r="3119" spans="1:13" x14ac:dyDescent="0.25">
      <c r="A3119" t="s">
        <v>6878</v>
      </c>
      <c r="B3119" t="s">
        <v>6879</v>
      </c>
      <c r="C3119" t="s">
        <v>20</v>
      </c>
      <c r="D3119" t="s">
        <v>2477</v>
      </c>
      <c r="F3119">
        <v>2</v>
      </c>
      <c r="G3119" t="s">
        <v>16</v>
      </c>
      <c r="H3119">
        <v>0</v>
      </c>
      <c r="I3119" s="2" t="s">
        <v>87</v>
      </c>
      <c r="J3119" s="2" t="s">
        <v>6880</v>
      </c>
      <c r="K3119">
        <v>20</v>
      </c>
      <c r="L3119">
        <v>20</v>
      </c>
      <c r="M3119">
        <v>20</v>
      </c>
    </row>
    <row r="3120" spans="1:13" x14ac:dyDescent="0.25">
      <c r="A3120" t="s">
        <v>6881</v>
      </c>
      <c r="B3120" t="s">
        <v>6879</v>
      </c>
      <c r="C3120" t="s">
        <v>20</v>
      </c>
      <c r="D3120" t="s">
        <v>2477</v>
      </c>
      <c r="F3120">
        <v>1</v>
      </c>
      <c r="G3120" t="s">
        <v>16</v>
      </c>
      <c r="H3120">
        <v>0</v>
      </c>
      <c r="I3120" s="2" t="s">
        <v>277</v>
      </c>
      <c r="J3120" s="2">
        <v>41535</v>
      </c>
      <c r="K3120">
        <v>20</v>
      </c>
      <c r="L3120">
        <v>20</v>
      </c>
      <c r="M3120">
        <v>20</v>
      </c>
    </row>
    <row r="3121" spans="1:13" x14ac:dyDescent="0.25">
      <c r="A3121" t="s">
        <v>6882</v>
      </c>
      <c r="B3121" t="s">
        <v>6883</v>
      </c>
      <c r="C3121" t="s">
        <v>20</v>
      </c>
      <c r="D3121" t="s">
        <v>2477</v>
      </c>
      <c r="G3121" t="s">
        <v>16</v>
      </c>
      <c r="H3121">
        <v>0</v>
      </c>
      <c r="I3121" s="2" t="s">
        <v>64</v>
      </c>
      <c r="J3121" s="2">
        <v>10010499</v>
      </c>
      <c r="K3121">
        <v>20</v>
      </c>
      <c r="L3121">
        <v>20</v>
      </c>
      <c r="M3121">
        <v>20</v>
      </c>
    </row>
    <row r="3122" spans="1:13" x14ac:dyDescent="0.25">
      <c r="A3122" t="s">
        <v>6884</v>
      </c>
      <c r="B3122" t="s">
        <v>6883</v>
      </c>
      <c r="C3122" t="s">
        <v>20</v>
      </c>
      <c r="D3122" t="s">
        <v>2477</v>
      </c>
      <c r="F3122">
        <v>1</v>
      </c>
      <c r="G3122" t="s">
        <v>16</v>
      </c>
      <c r="H3122">
        <v>0</v>
      </c>
      <c r="I3122" s="2" t="s">
        <v>6861</v>
      </c>
      <c r="J3122" s="2" t="s">
        <v>6885</v>
      </c>
      <c r="K3122">
        <v>20</v>
      </c>
      <c r="L3122">
        <v>20</v>
      </c>
      <c r="M3122">
        <v>20</v>
      </c>
    </row>
    <row r="3123" spans="1:13" x14ac:dyDescent="0.25">
      <c r="A3123" t="s">
        <v>6886</v>
      </c>
      <c r="B3123" t="s">
        <v>6887</v>
      </c>
      <c r="C3123" t="s">
        <v>20</v>
      </c>
      <c r="D3123" t="s">
        <v>2477</v>
      </c>
      <c r="G3123" t="s">
        <v>16</v>
      </c>
      <c r="H3123">
        <v>0</v>
      </c>
      <c r="I3123" s="2" t="s">
        <v>245</v>
      </c>
      <c r="J3123" s="2" t="s">
        <v>6888</v>
      </c>
      <c r="K3123">
        <v>20</v>
      </c>
      <c r="L3123">
        <v>20</v>
      </c>
      <c r="M3123">
        <v>20</v>
      </c>
    </row>
    <row r="3124" spans="1:13" x14ac:dyDescent="0.25">
      <c r="A3124" t="s">
        <v>6889</v>
      </c>
      <c r="B3124" t="s">
        <v>6883</v>
      </c>
      <c r="C3124" t="s">
        <v>20</v>
      </c>
      <c r="D3124" t="s">
        <v>2477</v>
      </c>
      <c r="G3124" t="s">
        <v>16</v>
      </c>
      <c r="H3124">
        <v>0</v>
      </c>
      <c r="I3124" s="2" t="s">
        <v>245</v>
      </c>
      <c r="J3124" s="2" t="s">
        <v>6890</v>
      </c>
      <c r="K3124">
        <v>20</v>
      </c>
      <c r="L3124">
        <v>20</v>
      </c>
      <c r="M3124">
        <v>20</v>
      </c>
    </row>
    <row r="3125" spans="1:13" x14ac:dyDescent="0.25">
      <c r="A3125" t="s">
        <v>6891</v>
      </c>
      <c r="B3125" t="s">
        <v>6893</v>
      </c>
      <c r="C3125" t="s">
        <v>20</v>
      </c>
      <c r="D3125" t="s">
        <v>2477</v>
      </c>
      <c r="F3125">
        <v>2</v>
      </c>
      <c r="G3125" t="s">
        <v>16</v>
      </c>
      <c r="H3125">
        <v>0</v>
      </c>
      <c r="I3125" s="2" t="s">
        <v>2881</v>
      </c>
      <c r="J3125" s="2" t="s">
        <v>6892</v>
      </c>
      <c r="K3125">
        <v>20</v>
      </c>
      <c r="L3125">
        <v>20</v>
      </c>
      <c r="M3125">
        <v>20</v>
      </c>
    </row>
    <row r="3126" spans="1:13" x14ac:dyDescent="0.25">
      <c r="A3126" t="s">
        <v>6894</v>
      </c>
      <c r="B3126" t="s">
        <v>6895</v>
      </c>
      <c r="C3126" t="s">
        <v>20</v>
      </c>
      <c r="D3126" t="s">
        <v>2477</v>
      </c>
      <c r="F3126">
        <v>1</v>
      </c>
      <c r="G3126" t="s">
        <v>16</v>
      </c>
      <c r="H3126">
        <v>0</v>
      </c>
      <c r="I3126" s="2" t="s">
        <v>64</v>
      </c>
      <c r="J3126" s="2">
        <v>10010498</v>
      </c>
      <c r="K3126">
        <v>20</v>
      </c>
      <c r="L3126">
        <v>20</v>
      </c>
      <c r="M3126">
        <v>20</v>
      </c>
    </row>
    <row r="3127" spans="1:13" x14ac:dyDescent="0.25">
      <c r="A3127" t="s">
        <v>6896</v>
      </c>
      <c r="B3127" t="s">
        <v>6898</v>
      </c>
      <c r="C3127" t="s">
        <v>20</v>
      </c>
      <c r="D3127" t="s">
        <v>2477</v>
      </c>
      <c r="F3127">
        <v>1</v>
      </c>
      <c r="G3127" t="s">
        <v>16</v>
      </c>
      <c r="H3127">
        <v>0</v>
      </c>
      <c r="I3127" s="2" t="s">
        <v>6861</v>
      </c>
      <c r="J3127" s="2" t="s">
        <v>6897</v>
      </c>
      <c r="K3127">
        <v>20</v>
      </c>
      <c r="L3127">
        <v>20</v>
      </c>
      <c r="M3127">
        <v>20</v>
      </c>
    </row>
    <row r="3128" spans="1:13" x14ac:dyDescent="0.25">
      <c r="A3128" t="s">
        <v>6899</v>
      </c>
      <c r="B3128" t="s">
        <v>6900</v>
      </c>
      <c r="C3128" t="s">
        <v>20</v>
      </c>
      <c r="D3128" t="s">
        <v>2477</v>
      </c>
      <c r="F3128">
        <v>1</v>
      </c>
      <c r="G3128" t="s">
        <v>16</v>
      </c>
      <c r="H3128">
        <v>0</v>
      </c>
      <c r="I3128" s="2" t="s">
        <v>6901</v>
      </c>
      <c r="J3128" s="2" t="s">
        <v>6902</v>
      </c>
      <c r="K3128">
        <v>20</v>
      </c>
      <c r="L3128">
        <v>20</v>
      </c>
      <c r="M3128">
        <v>20</v>
      </c>
    </row>
    <row r="3129" spans="1:13" x14ac:dyDescent="0.25">
      <c r="A3129" t="s">
        <v>6903</v>
      </c>
      <c r="B3129" t="s">
        <v>6900</v>
      </c>
      <c r="C3129" t="s">
        <v>20</v>
      </c>
      <c r="D3129" t="s">
        <v>2477</v>
      </c>
      <c r="F3129">
        <v>1</v>
      </c>
      <c r="G3129" t="s">
        <v>16</v>
      </c>
      <c r="H3129">
        <v>0</v>
      </c>
      <c r="I3129" s="2" t="s">
        <v>64</v>
      </c>
      <c r="J3129" s="2">
        <v>10010549</v>
      </c>
      <c r="K3129">
        <v>20</v>
      </c>
      <c r="L3129">
        <v>20</v>
      </c>
      <c r="M3129">
        <v>20</v>
      </c>
    </row>
    <row r="3130" spans="1:13" x14ac:dyDescent="0.25">
      <c r="A3130" t="s">
        <v>6904</v>
      </c>
      <c r="B3130" t="s">
        <v>6905</v>
      </c>
      <c r="C3130" t="s">
        <v>20</v>
      </c>
      <c r="D3130" t="s">
        <v>2477</v>
      </c>
      <c r="G3130" t="s">
        <v>16</v>
      </c>
      <c r="H3130">
        <v>0</v>
      </c>
      <c r="I3130" s="2" t="s">
        <v>6847</v>
      </c>
      <c r="J3130" s="2">
        <v>301116</v>
      </c>
      <c r="K3130">
        <v>20</v>
      </c>
      <c r="L3130">
        <v>20</v>
      </c>
      <c r="M3130">
        <v>20</v>
      </c>
    </row>
    <row r="3131" spans="1:13" x14ac:dyDescent="0.25">
      <c r="A3131" t="s">
        <v>6906</v>
      </c>
      <c r="B3131" t="s">
        <v>6905</v>
      </c>
      <c r="C3131" t="s">
        <v>20</v>
      </c>
      <c r="D3131" t="s">
        <v>2477</v>
      </c>
      <c r="F3131">
        <v>1</v>
      </c>
      <c r="G3131" t="s">
        <v>16</v>
      </c>
      <c r="H3131">
        <v>0</v>
      </c>
      <c r="I3131" s="2" t="s">
        <v>6907</v>
      </c>
      <c r="J3131" s="2">
        <v>312001</v>
      </c>
      <c r="K3131">
        <v>20</v>
      </c>
      <c r="L3131">
        <v>20</v>
      </c>
      <c r="M3131">
        <v>20</v>
      </c>
    </row>
    <row r="3132" spans="1:13" x14ac:dyDescent="0.25">
      <c r="A3132" t="s">
        <v>6908</v>
      </c>
      <c r="B3132" t="s">
        <v>6905</v>
      </c>
      <c r="C3132" t="s">
        <v>20</v>
      </c>
      <c r="D3132" t="s">
        <v>2477</v>
      </c>
      <c r="G3132" t="s">
        <v>16</v>
      </c>
      <c r="H3132">
        <v>0</v>
      </c>
      <c r="I3132" s="2" t="s">
        <v>6861</v>
      </c>
      <c r="J3132" s="2" t="s">
        <v>6909</v>
      </c>
      <c r="K3132">
        <v>20</v>
      </c>
      <c r="L3132">
        <v>20</v>
      </c>
      <c r="M3132">
        <v>20</v>
      </c>
    </row>
    <row r="3133" spans="1:13" x14ac:dyDescent="0.25">
      <c r="A3133" t="s">
        <v>6910</v>
      </c>
      <c r="B3133" t="s">
        <v>6905</v>
      </c>
      <c r="C3133" t="s">
        <v>20</v>
      </c>
      <c r="D3133" t="s">
        <v>2477</v>
      </c>
      <c r="F3133">
        <v>0</v>
      </c>
      <c r="G3133" t="s">
        <v>16</v>
      </c>
      <c r="H3133">
        <v>0</v>
      </c>
      <c r="I3133" s="2" t="s">
        <v>2932</v>
      </c>
      <c r="J3133" s="2" t="s">
        <v>6911</v>
      </c>
      <c r="K3133">
        <v>20</v>
      </c>
      <c r="L3133">
        <v>20</v>
      </c>
      <c r="M3133">
        <v>20</v>
      </c>
    </row>
    <row r="3134" spans="1:13" x14ac:dyDescent="0.25">
      <c r="A3134" t="s">
        <v>6912</v>
      </c>
      <c r="B3134" t="s">
        <v>6913</v>
      </c>
      <c r="C3134" t="s">
        <v>20</v>
      </c>
      <c r="D3134" t="s">
        <v>2477</v>
      </c>
      <c r="F3134">
        <v>1</v>
      </c>
      <c r="G3134" t="s">
        <v>16</v>
      </c>
      <c r="H3134">
        <v>0</v>
      </c>
      <c r="I3134" s="2" t="s">
        <v>6914</v>
      </c>
      <c r="J3134" s="2" t="s">
        <v>6915</v>
      </c>
      <c r="K3134">
        <v>20</v>
      </c>
      <c r="L3134">
        <v>20</v>
      </c>
      <c r="M3134">
        <v>20</v>
      </c>
    </row>
    <row r="3135" spans="1:13" x14ac:dyDescent="0.25">
      <c r="A3135" t="s">
        <v>6916</v>
      </c>
      <c r="B3135" t="s">
        <v>6917</v>
      </c>
      <c r="C3135" t="s">
        <v>20</v>
      </c>
      <c r="D3135" t="s">
        <v>2477</v>
      </c>
      <c r="F3135">
        <v>1</v>
      </c>
      <c r="G3135" t="s">
        <v>16</v>
      </c>
      <c r="H3135">
        <v>0</v>
      </c>
      <c r="I3135" s="2" t="s">
        <v>245</v>
      </c>
      <c r="J3135" s="2" t="s">
        <v>6918</v>
      </c>
      <c r="K3135">
        <v>20</v>
      </c>
      <c r="L3135">
        <v>20</v>
      </c>
      <c r="M3135">
        <v>20</v>
      </c>
    </row>
    <row r="3136" spans="1:13" x14ac:dyDescent="0.25">
      <c r="A3136" t="s">
        <v>6919</v>
      </c>
      <c r="B3136" t="s">
        <v>6917</v>
      </c>
      <c r="C3136" t="s">
        <v>20</v>
      </c>
      <c r="D3136" t="s">
        <v>2477</v>
      </c>
      <c r="F3136">
        <v>1</v>
      </c>
      <c r="G3136" t="s">
        <v>16</v>
      </c>
      <c r="H3136">
        <v>0</v>
      </c>
      <c r="I3136" s="2" t="s">
        <v>486</v>
      </c>
      <c r="J3136" s="2">
        <v>62936866</v>
      </c>
      <c r="K3136">
        <v>20</v>
      </c>
      <c r="L3136">
        <v>20</v>
      </c>
      <c r="M3136">
        <v>20</v>
      </c>
    </row>
    <row r="3137" spans="1:13" x14ac:dyDescent="0.25">
      <c r="A3137" t="s">
        <v>6920</v>
      </c>
      <c r="B3137" t="s">
        <v>6921</v>
      </c>
      <c r="C3137" t="s">
        <v>20</v>
      </c>
      <c r="D3137" t="s">
        <v>2477</v>
      </c>
      <c r="F3137">
        <v>2</v>
      </c>
      <c r="G3137" t="s">
        <v>16</v>
      </c>
      <c r="H3137">
        <v>0</v>
      </c>
      <c r="I3137" s="2" t="s">
        <v>64</v>
      </c>
      <c r="J3137" s="2">
        <v>10010505</v>
      </c>
      <c r="K3137">
        <v>20</v>
      </c>
      <c r="L3137">
        <v>20</v>
      </c>
      <c r="M3137">
        <v>20</v>
      </c>
    </row>
    <row r="3138" spans="1:13" x14ac:dyDescent="0.25">
      <c r="A3138" t="s">
        <v>6922</v>
      </c>
      <c r="B3138" t="s">
        <v>6921</v>
      </c>
      <c r="C3138" t="s">
        <v>20</v>
      </c>
      <c r="D3138" t="s">
        <v>2477</v>
      </c>
      <c r="G3138" t="s">
        <v>16</v>
      </c>
      <c r="H3138">
        <v>0</v>
      </c>
      <c r="I3138" s="2" t="s">
        <v>6907</v>
      </c>
      <c r="J3138" s="2">
        <v>312004</v>
      </c>
      <c r="K3138">
        <v>20</v>
      </c>
      <c r="L3138">
        <v>20</v>
      </c>
      <c r="M3138">
        <v>20</v>
      </c>
    </row>
    <row r="3139" spans="1:13" x14ac:dyDescent="0.25">
      <c r="A3139" t="s">
        <v>6923</v>
      </c>
      <c r="B3139" t="s">
        <v>6921</v>
      </c>
      <c r="C3139" t="s">
        <v>20</v>
      </c>
      <c r="D3139" t="s">
        <v>2477</v>
      </c>
      <c r="F3139">
        <v>1</v>
      </c>
      <c r="G3139" t="s">
        <v>16</v>
      </c>
      <c r="H3139">
        <v>0</v>
      </c>
      <c r="I3139" s="2" t="s">
        <v>245</v>
      </c>
      <c r="J3139" s="2" t="s">
        <v>6924</v>
      </c>
      <c r="K3139">
        <v>20</v>
      </c>
      <c r="L3139">
        <v>20</v>
      </c>
      <c r="M3139">
        <v>20</v>
      </c>
    </row>
    <row r="3140" spans="1:13" x14ac:dyDescent="0.25">
      <c r="A3140" t="s">
        <v>6925</v>
      </c>
      <c r="B3140" t="s">
        <v>6926</v>
      </c>
      <c r="C3140" t="s">
        <v>14</v>
      </c>
      <c r="D3140" t="s">
        <v>15</v>
      </c>
      <c r="F3140">
        <v>1</v>
      </c>
      <c r="G3140" t="s">
        <v>16</v>
      </c>
      <c r="H3140">
        <v>0</v>
      </c>
      <c r="I3140" s="2" t="s">
        <v>389</v>
      </c>
      <c r="J3140" s="2">
        <v>1689027280</v>
      </c>
      <c r="K3140">
        <v>20</v>
      </c>
      <c r="L3140">
        <v>20</v>
      </c>
      <c r="M3140">
        <v>20</v>
      </c>
    </row>
    <row r="3141" spans="1:13" x14ac:dyDescent="0.25">
      <c r="A3141" t="s">
        <v>6927</v>
      </c>
      <c r="B3141" t="s">
        <v>6926</v>
      </c>
      <c r="C3141" t="s">
        <v>14</v>
      </c>
      <c r="D3141" t="s">
        <v>15</v>
      </c>
      <c r="F3141">
        <v>1</v>
      </c>
      <c r="G3141" t="s">
        <v>16</v>
      </c>
      <c r="H3141">
        <v>0</v>
      </c>
      <c r="I3141" s="2" t="s">
        <v>6928</v>
      </c>
      <c r="J3141" s="2" t="s">
        <v>6929</v>
      </c>
      <c r="K3141">
        <v>20</v>
      </c>
      <c r="L3141">
        <v>20</v>
      </c>
      <c r="M3141">
        <v>20</v>
      </c>
    </row>
    <row r="3142" spans="1:13" x14ac:dyDescent="0.25">
      <c r="A3142" t="s">
        <v>6930</v>
      </c>
      <c r="B3142" t="s">
        <v>6931</v>
      </c>
      <c r="C3142" t="s">
        <v>14</v>
      </c>
      <c r="D3142" t="s">
        <v>15</v>
      </c>
      <c r="F3142">
        <v>-1</v>
      </c>
      <c r="G3142" t="s">
        <v>16</v>
      </c>
      <c r="H3142">
        <v>0</v>
      </c>
      <c r="K3142">
        <v>20</v>
      </c>
      <c r="L3142">
        <v>20</v>
      </c>
      <c r="M3142">
        <v>20</v>
      </c>
    </row>
    <row r="3143" spans="1:13" x14ac:dyDescent="0.25">
      <c r="A3143" t="s">
        <v>6932</v>
      </c>
      <c r="B3143" t="s">
        <v>6933</v>
      </c>
      <c r="C3143" t="s">
        <v>14</v>
      </c>
      <c r="D3143" t="s">
        <v>15</v>
      </c>
      <c r="F3143">
        <v>0</v>
      </c>
      <c r="G3143" t="s">
        <v>16</v>
      </c>
      <c r="H3143">
        <v>0</v>
      </c>
      <c r="K3143">
        <v>20</v>
      </c>
      <c r="L3143">
        <v>20</v>
      </c>
      <c r="M3143">
        <v>20</v>
      </c>
    </row>
    <row r="3144" spans="1:13" x14ac:dyDescent="0.25">
      <c r="A3144" t="s">
        <v>6934</v>
      </c>
      <c r="B3144" t="s">
        <v>6935</v>
      </c>
      <c r="C3144" t="s">
        <v>151</v>
      </c>
      <c r="D3144" t="s">
        <v>6936</v>
      </c>
      <c r="F3144">
        <v>1</v>
      </c>
      <c r="G3144" t="s">
        <v>16</v>
      </c>
      <c r="H3144">
        <v>0</v>
      </c>
      <c r="I3144" s="2" t="s">
        <v>598</v>
      </c>
      <c r="J3144" s="2">
        <v>343455</v>
      </c>
      <c r="K3144">
        <v>20</v>
      </c>
      <c r="L3144">
        <v>20</v>
      </c>
      <c r="M3144">
        <v>20</v>
      </c>
    </row>
    <row r="3145" spans="1:13" x14ac:dyDescent="0.25">
      <c r="A3145" t="s">
        <v>6937</v>
      </c>
      <c r="B3145" t="s">
        <v>6938</v>
      </c>
      <c r="C3145" t="s">
        <v>14</v>
      </c>
      <c r="D3145" t="s">
        <v>15</v>
      </c>
      <c r="F3145">
        <v>49</v>
      </c>
      <c r="G3145" t="s">
        <v>16</v>
      </c>
      <c r="H3145">
        <v>0</v>
      </c>
      <c r="I3145" s="2" t="s">
        <v>6939</v>
      </c>
      <c r="J3145" s="2" t="s">
        <v>6940</v>
      </c>
      <c r="K3145">
        <v>20</v>
      </c>
      <c r="L3145">
        <v>20</v>
      </c>
      <c r="M3145">
        <v>20</v>
      </c>
    </row>
    <row r="3146" spans="1:13" x14ac:dyDescent="0.25">
      <c r="A3146" t="s">
        <v>6941</v>
      </c>
      <c r="B3146" t="s">
        <v>6942</v>
      </c>
      <c r="C3146" t="s">
        <v>14</v>
      </c>
      <c r="D3146" t="s">
        <v>15</v>
      </c>
      <c r="F3146">
        <v>1</v>
      </c>
      <c r="G3146" t="s">
        <v>16</v>
      </c>
      <c r="H3146">
        <v>0</v>
      </c>
      <c r="I3146" s="2" t="s">
        <v>6943</v>
      </c>
      <c r="J3146" s="2" t="s">
        <v>6944</v>
      </c>
      <c r="K3146">
        <v>20</v>
      </c>
      <c r="L3146">
        <v>20</v>
      </c>
      <c r="M3146">
        <v>20</v>
      </c>
    </row>
    <row r="3147" spans="1:13" x14ac:dyDescent="0.25">
      <c r="A3147" t="s">
        <v>6945</v>
      </c>
      <c r="B3147" t="s">
        <v>6946</v>
      </c>
      <c r="C3147" t="s">
        <v>14</v>
      </c>
      <c r="D3147" t="s">
        <v>15</v>
      </c>
      <c r="F3147">
        <v>9</v>
      </c>
      <c r="G3147" t="s">
        <v>16</v>
      </c>
      <c r="H3147">
        <v>0</v>
      </c>
      <c r="K3147">
        <v>20</v>
      </c>
      <c r="L3147">
        <v>20</v>
      </c>
      <c r="M3147">
        <v>20</v>
      </c>
    </row>
    <row r="3148" spans="1:13" x14ac:dyDescent="0.25">
      <c r="A3148" t="s">
        <v>6947</v>
      </c>
      <c r="B3148" t="s">
        <v>6948</v>
      </c>
      <c r="C3148" t="s">
        <v>14</v>
      </c>
      <c r="D3148" t="s">
        <v>15</v>
      </c>
      <c r="F3148">
        <v>1</v>
      </c>
      <c r="G3148" t="s">
        <v>16</v>
      </c>
      <c r="H3148">
        <v>0</v>
      </c>
      <c r="K3148">
        <v>20</v>
      </c>
      <c r="L3148">
        <v>20</v>
      </c>
      <c r="M3148">
        <v>20</v>
      </c>
    </row>
    <row r="3149" spans="1:13" x14ac:dyDescent="0.25">
      <c r="A3149" t="s">
        <v>6949</v>
      </c>
      <c r="B3149" t="s">
        <v>6950</v>
      </c>
      <c r="C3149" t="s">
        <v>14</v>
      </c>
      <c r="D3149" t="s">
        <v>15</v>
      </c>
      <c r="F3149">
        <v>32</v>
      </c>
      <c r="G3149" t="s">
        <v>16</v>
      </c>
      <c r="H3149">
        <v>0</v>
      </c>
      <c r="I3149" s="2" t="s">
        <v>6939</v>
      </c>
      <c r="J3149" s="2" t="s">
        <v>6951</v>
      </c>
      <c r="K3149">
        <v>20</v>
      </c>
      <c r="L3149">
        <v>20</v>
      </c>
      <c r="M3149">
        <v>20</v>
      </c>
    </row>
    <row r="3150" spans="1:13" x14ac:dyDescent="0.25">
      <c r="A3150" t="s">
        <v>6952</v>
      </c>
      <c r="B3150" t="s">
        <v>6953</v>
      </c>
      <c r="C3150" t="s">
        <v>14</v>
      </c>
      <c r="D3150" t="s">
        <v>15</v>
      </c>
      <c r="F3150">
        <v>10</v>
      </c>
      <c r="G3150" t="s">
        <v>16</v>
      </c>
      <c r="H3150">
        <v>0</v>
      </c>
      <c r="I3150" s="2" t="s">
        <v>6939</v>
      </c>
      <c r="J3150" s="2" t="s">
        <v>6954</v>
      </c>
      <c r="K3150">
        <v>20</v>
      </c>
      <c r="L3150">
        <v>20</v>
      </c>
      <c r="M3150">
        <v>20</v>
      </c>
    </row>
    <row r="3151" spans="1:13" x14ac:dyDescent="0.25">
      <c r="A3151" t="s">
        <v>6955</v>
      </c>
      <c r="B3151" t="s">
        <v>6956</v>
      </c>
      <c r="C3151" t="s">
        <v>14</v>
      </c>
      <c r="D3151" t="s">
        <v>15</v>
      </c>
      <c r="F3151">
        <v>1</v>
      </c>
      <c r="G3151" t="s">
        <v>16</v>
      </c>
      <c r="H3151">
        <v>0</v>
      </c>
      <c r="I3151" s="2" t="s">
        <v>64</v>
      </c>
      <c r="J3151" s="2" t="str">
        <f>"06040049"</f>
        <v>06040049</v>
      </c>
      <c r="K3151">
        <v>20</v>
      </c>
      <c r="L3151">
        <v>20</v>
      </c>
      <c r="M3151">
        <v>20</v>
      </c>
    </row>
    <row r="3152" spans="1:13" x14ac:dyDescent="0.25">
      <c r="A3152" t="s">
        <v>6957</v>
      </c>
      <c r="B3152" t="s">
        <v>6956</v>
      </c>
      <c r="C3152" t="s">
        <v>14</v>
      </c>
      <c r="D3152" t="s">
        <v>15</v>
      </c>
      <c r="F3152">
        <v>19</v>
      </c>
      <c r="G3152" t="s">
        <v>16</v>
      </c>
      <c r="H3152">
        <v>0</v>
      </c>
      <c r="I3152" s="2" t="s">
        <v>6939</v>
      </c>
      <c r="J3152" s="2" t="s">
        <v>6958</v>
      </c>
      <c r="K3152">
        <v>20</v>
      </c>
      <c r="L3152">
        <v>20</v>
      </c>
      <c r="M3152">
        <v>20</v>
      </c>
    </row>
    <row r="3153" spans="1:13" x14ac:dyDescent="0.25">
      <c r="A3153" t="s">
        <v>6959</v>
      </c>
      <c r="B3153" t="s">
        <v>6960</v>
      </c>
      <c r="C3153" t="s">
        <v>20</v>
      </c>
      <c r="D3153" t="s">
        <v>2477</v>
      </c>
      <c r="F3153">
        <v>5</v>
      </c>
      <c r="G3153" t="s">
        <v>16</v>
      </c>
      <c r="H3153">
        <v>0</v>
      </c>
      <c r="I3153" s="2" t="s">
        <v>277</v>
      </c>
      <c r="J3153" s="2">
        <v>41554</v>
      </c>
      <c r="K3153">
        <v>20</v>
      </c>
      <c r="L3153">
        <v>20</v>
      </c>
      <c r="M3153">
        <v>20</v>
      </c>
    </row>
    <row r="3154" spans="1:13" x14ac:dyDescent="0.25">
      <c r="A3154" t="s">
        <v>6961</v>
      </c>
      <c r="B3154" t="s">
        <v>6963</v>
      </c>
      <c r="C3154" t="s">
        <v>20</v>
      </c>
      <c r="D3154" t="s">
        <v>2477</v>
      </c>
      <c r="F3154">
        <v>1</v>
      </c>
      <c r="G3154" t="s">
        <v>16</v>
      </c>
      <c r="H3154">
        <v>0</v>
      </c>
      <c r="I3154" s="2" t="s">
        <v>6861</v>
      </c>
      <c r="J3154" s="2" t="s">
        <v>6962</v>
      </c>
      <c r="K3154">
        <v>20</v>
      </c>
      <c r="L3154">
        <v>20</v>
      </c>
      <c r="M3154">
        <v>20</v>
      </c>
    </row>
    <row r="3155" spans="1:13" x14ac:dyDescent="0.25">
      <c r="A3155" t="s">
        <v>6964</v>
      </c>
      <c r="B3155" t="s">
        <v>6963</v>
      </c>
      <c r="C3155" t="s">
        <v>20</v>
      </c>
      <c r="D3155" t="s">
        <v>2477</v>
      </c>
      <c r="F3155">
        <v>2</v>
      </c>
      <c r="G3155" t="s">
        <v>16</v>
      </c>
      <c r="H3155">
        <v>0</v>
      </c>
      <c r="I3155" s="2" t="s">
        <v>6147</v>
      </c>
      <c r="J3155" s="2" t="str">
        <f>"01002"</f>
        <v>01002</v>
      </c>
      <c r="K3155">
        <v>20</v>
      </c>
      <c r="L3155">
        <v>20</v>
      </c>
      <c r="M3155">
        <v>20</v>
      </c>
    </row>
    <row r="3156" spans="1:13" x14ac:dyDescent="0.25">
      <c r="A3156" t="s">
        <v>6965</v>
      </c>
      <c r="B3156" t="s">
        <v>6963</v>
      </c>
      <c r="C3156" t="s">
        <v>540</v>
      </c>
      <c r="D3156" t="s">
        <v>2477</v>
      </c>
      <c r="F3156">
        <v>1</v>
      </c>
      <c r="G3156" t="s">
        <v>16</v>
      </c>
      <c r="H3156">
        <v>0</v>
      </c>
      <c r="I3156" s="2" t="s">
        <v>245</v>
      </c>
      <c r="J3156" s="2" t="s">
        <v>6966</v>
      </c>
      <c r="K3156">
        <v>20</v>
      </c>
      <c r="L3156">
        <v>20</v>
      </c>
      <c r="M3156">
        <v>20</v>
      </c>
    </row>
    <row r="3157" spans="1:13" x14ac:dyDescent="0.25">
      <c r="A3157" t="s">
        <v>6967</v>
      </c>
      <c r="B3157" t="s">
        <v>6963</v>
      </c>
      <c r="C3157" t="s">
        <v>20</v>
      </c>
      <c r="D3157" t="s">
        <v>2477</v>
      </c>
      <c r="F3157">
        <v>2</v>
      </c>
      <c r="G3157" t="s">
        <v>16</v>
      </c>
      <c r="H3157">
        <v>0</v>
      </c>
      <c r="I3157" s="2" t="s">
        <v>2300</v>
      </c>
      <c r="J3157" s="2">
        <v>41536</v>
      </c>
      <c r="K3157">
        <v>20</v>
      </c>
      <c r="L3157">
        <v>20</v>
      </c>
      <c r="M3157">
        <v>20</v>
      </c>
    </row>
    <row r="3158" spans="1:13" x14ac:dyDescent="0.25">
      <c r="A3158" t="s">
        <v>6968</v>
      </c>
      <c r="B3158" t="s">
        <v>6963</v>
      </c>
      <c r="C3158" t="s">
        <v>20</v>
      </c>
      <c r="D3158" t="s">
        <v>2477</v>
      </c>
      <c r="F3158">
        <v>2</v>
      </c>
      <c r="G3158" t="s">
        <v>16</v>
      </c>
      <c r="H3158">
        <v>0</v>
      </c>
      <c r="I3158" s="2" t="s">
        <v>737</v>
      </c>
      <c r="J3158" s="2" t="s">
        <v>6969</v>
      </c>
      <c r="K3158">
        <v>20</v>
      </c>
      <c r="L3158">
        <v>20</v>
      </c>
      <c r="M3158">
        <v>20</v>
      </c>
    </row>
    <row r="3159" spans="1:13" x14ac:dyDescent="0.25">
      <c r="A3159" t="s">
        <v>6970</v>
      </c>
      <c r="B3159" t="s">
        <v>6971</v>
      </c>
      <c r="C3159" t="s">
        <v>20</v>
      </c>
      <c r="D3159" t="s">
        <v>2477</v>
      </c>
      <c r="F3159">
        <v>1</v>
      </c>
      <c r="G3159" t="s">
        <v>16</v>
      </c>
      <c r="H3159">
        <v>0</v>
      </c>
      <c r="I3159" s="2" t="s">
        <v>245</v>
      </c>
      <c r="J3159" s="2" t="s">
        <v>6972</v>
      </c>
      <c r="K3159">
        <v>20</v>
      </c>
      <c r="L3159">
        <v>20</v>
      </c>
      <c r="M3159">
        <v>20</v>
      </c>
    </row>
    <row r="3160" spans="1:13" x14ac:dyDescent="0.25">
      <c r="A3160" t="s">
        <v>6973</v>
      </c>
      <c r="B3160" t="s">
        <v>6974</v>
      </c>
      <c r="C3160" t="s">
        <v>20</v>
      </c>
      <c r="D3160" t="s">
        <v>2477</v>
      </c>
      <c r="F3160">
        <v>1</v>
      </c>
      <c r="G3160" t="s">
        <v>16</v>
      </c>
      <c r="H3160">
        <v>0</v>
      </c>
      <c r="I3160" s="2" t="s">
        <v>6222</v>
      </c>
      <c r="J3160" s="2" t="s">
        <v>6975</v>
      </c>
      <c r="K3160">
        <v>20</v>
      </c>
      <c r="L3160">
        <v>20</v>
      </c>
      <c r="M3160">
        <v>20</v>
      </c>
    </row>
    <row r="3161" spans="1:13" x14ac:dyDescent="0.25">
      <c r="A3161" t="s">
        <v>6976</v>
      </c>
      <c r="B3161" t="s">
        <v>6977</v>
      </c>
      <c r="C3161" t="s">
        <v>20</v>
      </c>
      <c r="D3161" t="s">
        <v>2477</v>
      </c>
      <c r="F3161">
        <v>1</v>
      </c>
      <c r="G3161" t="s">
        <v>16</v>
      </c>
      <c r="H3161">
        <v>0</v>
      </c>
      <c r="I3161" s="2" t="s">
        <v>245</v>
      </c>
      <c r="J3161" s="2" t="s">
        <v>6978</v>
      </c>
      <c r="K3161">
        <v>20</v>
      </c>
      <c r="L3161">
        <v>20</v>
      </c>
      <c r="M3161">
        <v>20</v>
      </c>
    </row>
    <row r="3162" spans="1:13" x14ac:dyDescent="0.25">
      <c r="A3162" t="s">
        <v>6979</v>
      </c>
      <c r="B3162" t="s">
        <v>6974</v>
      </c>
      <c r="C3162" t="s">
        <v>20</v>
      </c>
      <c r="D3162" t="s">
        <v>2477</v>
      </c>
      <c r="F3162">
        <v>2</v>
      </c>
      <c r="G3162" t="s">
        <v>16</v>
      </c>
      <c r="H3162">
        <v>0</v>
      </c>
      <c r="I3162" s="2" t="s">
        <v>737</v>
      </c>
      <c r="J3162" s="2" t="s">
        <v>6980</v>
      </c>
      <c r="K3162">
        <v>20</v>
      </c>
      <c r="L3162">
        <v>20</v>
      </c>
      <c r="M3162">
        <v>20</v>
      </c>
    </row>
    <row r="3163" spans="1:13" x14ac:dyDescent="0.25">
      <c r="A3163" t="s">
        <v>6981</v>
      </c>
      <c r="B3163" t="s">
        <v>6983</v>
      </c>
      <c r="C3163" t="s">
        <v>20</v>
      </c>
      <c r="D3163" t="s">
        <v>2477</v>
      </c>
      <c r="F3163">
        <v>1</v>
      </c>
      <c r="G3163" t="s">
        <v>16</v>
      </c>
      <c r="H3163">
        <v>0</v>
      </c>
      <c r="I3163" s="2" t="s">
        <v>2881</v>
      </c>
      <c r="J3163" s="2" t="s">
        <v>6982</v>
      </c>
      <c r="K3163">
        <v>20</v>
      </c>
      <c r="L3163">
        <v>20</v>
      </c>
      <c r="M3163">
        <v>20</v>
      </c>
    </row>
    <row r="3164" spans="1:13" x14ac:dyDescent="0.25">
      <c r="A3164" t="s">
        <v>6984</v>
      </c>
      <c r="B3164" t="s">
        <v>6985</v>
      </c>
      <c r="C3164" t="s">
        <v>20</v>
      </c>
      <c r="D3164" t="s">
        <v>2477</v>
      </c>
      <c r="G3164" t="s">
        <v>16</v>
      </c>
      <c r="H3164">
        <v>0</v>
      </c>
      <c r="I3164" s="2" t="s">
        <v>1513</v>
      </c>
      <c r="J3164" s="2">
        <v>62103341</v>
      </c>
      <c r="K3164">
        <v>20</v>
      </c>
      <c r="L3164">
        <v>20</v>
      </c>
      <c r="M3164">
        <v>20</v>
      </c>
    </row>
    <row r="3165" spans="1:13" x14ac:dyDescent="0.25">
      <c r="A3165" t="s">
        <v>6986</v>
      </c>
      <c r="B3165" t="s">
        <v>6987</v>
      </c>
      <c r="C3165" t="s">
        <v>540</v>
      </c>
      <c r="F3165">
        <v>1</v>
      </c>
      <c r="G3165" t="s">
        <v>16</v>
      </c>
      <c r="H3165">
        <v>0</v>
      </c>
      <c r="I3165" s="2" t="s">
        <v>64</v>
      </c>
      <c r="J3165" s="2">
        <v>21030936</v>
      </c>
      <c r="K3165">
        <v>20</v>
      </c>
      <c r="L3165">
        <v>20</v>
      </c>
      <c r="M3165">
        <v>20</v>
      </c>
    </row>
    <row r="3166" spans="1:13" x14ac:dyDescent="0.25">
      <c r="A3166" t="s">
        <v>6988</v>
      </c>
      <c r="B3166" t="s">
        <v>6987</v>
      </c>
      <c r="C3166" t="s">
        <v>540</v>
      </c>
      <c r="G3166" t="s">
        <v>16</v>
      </c>
      <c r="H3166">
        <v>0</v>
      </c>
      <c r="I3166" s="2" t="s">
        <v>500</v>
      </c>
      <c r="J3166" s="2" t="s">
        <v>6989</v>
      </c>
      <c r="K3166">
        <v>20</v>
      </c>
      <c r="L3166">
        <v>20</v>
      </c>
      <c r="M3166">
        <v>20</v>
      </c>
    </row>
    <row r="3167" spans="1:13" x14ac:dyDescent="0.25">
      <c r="A3167" t="s">
        <v>6990</v>
      </c>
      <c r="B3167" t="s">
        <v>6991</v>
      </c>
      <c r="C3167" t="s">
        <v>540</v>
      </c>
      <c r="G3167" t="s">
        <v>16</v>
      </c>
      <c r="H3167">
        <v>0</v>
      </c>
      <c r="I3167" s="2" t="s">
        <v>500</v>
      </c>
      <c r="J3167" s="2" t="s">
        <v>6992</v>
      </c>
      <c r="K3167">
        <v>20</v>
      </c>
      <c r="L3167">
        <v>20</v>
      </c>
      <c r="M3167">
        <v>20</v>
      </c>
    </row>
    <row r="3168" spans="1:13" x14ac:dyDescent="0.25">
      <c r="A3168" t="s">
        <v>6993</v>
      </c>
      <c r="B3168" t="s">
        <v>6994</v>
      </c>
      <c r="C3168" t="s">
        <v>1426</v>
      </c>
      <c r="F3168">
        <v>2</v>
      </c>
      <c r="G3168" t="s">
        <v>16</v>
      </c>
      <c r="H3168">
        <v>0</v>
      </c>
      <c r="I3168" s="2" t="s">
        <v>511</v>
      </c>
      <c r="J3168" s="2">
        <v>220811</v>
      </c>
      <c r="K3168">
        <v>20</v>
      </c>
      <c r="L3168">
        <v>20</v>
      </c>
      <c r="M3168">
        <v>20</v>
      </c>
    </row>
    <row r="3169" spans="1:13" x14ac:dyDescent="0.25">
      <c r="A3169" t="s">
        <v>6995</v>
      </c>
      <c r="B3169" t="s">
        <v>6996</v>
      </c>
      <c r="C3169" t="s">
        <v>1426</v>
      </c>
      <c r="G3169" t="s">
        <v>16</v>
      </c>
      <c r="H3169">
        <v>0</v>
      </c>
      <c r="I3169" s="2" t="s">
        <v>1175</v>
      </c>
      <c r="J3169" s="2" t="s">
        <v>6997</v>
      </c>
      <c r="K3169">
        <v>20</v>
      </c>
      <c r="L3169">
        <v>20</v>
      </c>
      <c r="M3169">
        <v>20</v>
      </c>
    </row>
    <row r="3170" spans="1:13" x14ac:dyDescent="0.25">
      <c r="A3170" t="s">
        <v>6998</v>
      </c>
      <c r="B3170" t="s">
        <v>6999</v>
      </c>
      <c r="C3170" t="s">
        <v>1426</v>
      </c>
      <c r="G3170" t="s">
        <v>16</v>
      </c>
      <c r="H3170">
        <v>0</v>
      </c>
      <c r="I3170" s="2" t="s">
        <v>1175</v>
      </c>
      <c r="J3170" s="2" t="s">
        <v>7000</v>
      </c>
      <c r="K3170">
        <v>20</v>
      </c>
      <c r="L3170">
        <v>20</v>
      </c>
      <c r="M3170">
        <v>20</v>
      </c>
    </row>
    <row r="3171" spans="1:13" x14ac:dyDescent="0.25">
      <c r="A3171" t="s">
        <v>7001</v>
      </c>
      <c r="B3171" t="s">
        <v>7002</v>
      </c>
      <c r="C3171" t="s">
        <v>357</v>
      </c>
      <c r="D3171" t="s">
        <v>241</v>
      </c>
      <c r="F3171">
        <v>1</v>
      </c>
      <c r="G3171" t="s">
        <v>16</v>
      </c>
      <c r="H3171">
        <v>0</v>
      </c>
      <c r="I3171" s="2" t="s">
        <v>3253</v>
      </c>
      <c r="J3171" s="2" t="s">
        <v>7003</v>
      </c>
      <c r="K3171">
        <v>20</v>
      </c>
      <c r="L3171">
        <v>20</v>
      </c>
      <c r="M3171">
        <v>20</v>
      </c>
    </row>
    <row r="3172" spans="1:13" x14ac:dyDescent="0.25">
      <c r="A3172" t="s">
        <v>7004</v>
      </c>
      <c r="B3172" t="s">
        <v>7005</v>
      </c>
      <c r="C3172" t="s">
        <v>357</v>
      </c>
      <c r="D3172" t="s">
        <v>241</v>
      </c>
      <c r="G3172" t="s">
        <v>16</v>
      </c>
      <c r="H3172">
        <v>0</v>
      </c>
      <c r="I3172" s="2" t="s">
        <v>737</v>
      </c>
      <c r="J3172" s="2" t="s">
        <v>7006</v>
      </c>
      <c r="K3172">
        <v>20</v>
      </c>
      <c r="L3172">
        <v>20</v>
      </c>
      <c r="M3172">
        <v>20</v>
      </c>
    </row>
    <row r="3173" spans="1:13" x14ac:dyDescent="0.25">
      <c r="A3173" t="s">
        <v>7007</v>
      </c>
      <c r="B3173" t="s">
        <v>7008</v>
      </c>
      <c r="C3173" t="s">
        <v>241</v>
      </c>
      <c r="D3173" t="s">
        <v>2216</v>
      </c>
      <c r="F3173">
        <v>1</v>
      </c>
      <c r="G3173" t="s">
        <v>16</v>
      </c>
      <c r="H3173">
        <v>0</v>
      </c>
      <c r="I3173" s="2" t="s">
        <v>243</v>
      </c>
      <c r="J3173" s="2">
        <v>21194</v>
      </c>
      <c r="K3173">
        <v>20</v>
      </c>
      <c r="L3173">
        <v>20</v>
      </c>
      <c r="M3173">
        <v>20</v>
      </c>
    </row>
    <row r="3174" spans="1:13" x14ac:dyDescent="0.25">
      <c r="A3174" t="s">
        <v>7009</v>
      </c>
      <c r="B3174" t="s">
        <v>7010</v>
      </c>
      <c r="C3174" t="s">
        <v>357</v>
      </c>
      <c r="D3174" t="s">
        <v>241</v>
      </c>
      <c r="G3174" t="s">
        <v>16</v>
      </c>
      <c r="H3174">
        <v>0</v>
      </c>
      <c r="I3174" s="2" t="s">
        <v>243</v>
      </c>
      <c r="J3174" s="2">
        <v>21317</v>
      </c>
      <c r="K3174">
        <v>20</v>
      </c>
      <c r="L3174">
        <v>20</v>
      </c>
      <c r="M3174">
        <v>20</v>
      </c>
    </row>
    <row r="3175" spans="1:13" x14ac:dyDescent="0.25">
      <c r="A3175" t="s">
        <v>7011</v>
      </c>
      <c r="B3175" t="s">
        <v>7012</v>
      </c>
      <c r="C3175" t="s">
        <v>357</v>
      </c>
      <c r="D3175" t="s">
        <v>241</v>
      </c>
      <c r="F3175">
        <v>1</v>
      </c>
      <c r="G3175" t="s">
        <v>16</v>
      </c>
      <c r="H3175">
        <v>0</v>
      </c>
      <c r="I3175" s="2" t="s">
        <v>737</v>
      </c>
      <c r="J3175" s="2" t="s">
        <v>7013</v>
      </c>
      <c r="K3175">
        <v>20</v>
      </c>
      <c r="L3175">
        <v>20</v>
      </c>
      <c r="M3175">
        <v>20</v>
      </c>
    </row>
    <row r="3176" spans="1:13" x14ac:dyDescent="0.25">
      <c r="A3176" t="s">
        <v>7014</v>
      </c>
      <c r="B3176" t="s">
        <v>7015</v>
      </c>
      <c r="C3176" t="s">
        <v>241</v>
      </c>
      <c r="D3176" t="s">
        <v>2216</v>
      </c>
      <c r="G3176" t="s">
        <v>16</v>
      </c>
      <c r="H3176">
        <v>0</v>
      </c>
      <c r="I3176" s="2" t="s">
        <v>2233</v>
      </c>
      <c r="J3176" s="2">
        <v>21300</v>
      </c>
      <c r="K3176">
        <v>20</v>
      </c>
      <c r="L3176">
        <v>20</v>
      </c>
      <c r="M3176">
        <v>20</v>
      </c>
    </row>
    <row r="3177" spans="1:13" x14ac:dyDescent="0.25">
      <c r="A3177" t="s">
        <v>7016</v>
      </c>
      <c r="B3177" t="s">
        <v>7017</v>
      </c>
      <c r="C3177" t="s">
        <v>357</v>
      </c>
      <c r="D3177" t="s">
        <v>241</v>
      </c>
      <c r="F3177">
        <v>2</v>
      </c>
      <c r="G3177" t="s">
        <v>16</v>
      </c>
      <c r="H3177">
        <v>0</v>
      </c>
      <c r="I3177" s="2" t="s">
        <v>2233</v>
      </c>
      <c r="J3177" s="2">
        <v>21215</v>
      </c>
      <c r="K3177">
        <v>20</v>
      </c>
      <c r="L3177">
        <v>20</v>
      </c>
      <c r="M3177">
        <v>20</v>
      </c>
    </row>
    <row r="3178" spans="1:13" x14ac:dyDescent="0.25">
      <c r="A3178" t="s">
        <v>7018</v>
      </c>
      <c r="B3178" t="s">
        <v>7017</v>
      </c>
      <c r="C3178" t="s">
        <v>357</v>
      </c>
      <c r="D3178" t="s">
        <v>241</v>
      </c>
      <c r="F3178">
        <v>1</v>
      </c>
      <c r="G3178" t="s">
        <v>16</v>
      </c>
      <c r="H3178">
        <v>0</v>
      </c>
      <c r="I3178" s="2" t="s">
        <v>64</v>
      </c>
      <c r="J3178" s="2">
        <v>10031565</v>
      </c>
      <c r="K3178">
        <v>20</v>
      </c>
      <c r="L3178">
        <v>20</v>
      </c>
      <c r="M3178">
        <v>20</v>
      </c>
    </row>
    <row r="3179" spans="1:13" x14ac:dyDescent="0.25">
      <c r="A3179" t="s">
        <v>7019</v>
      </c>
      <c r="B3179" t="s">
        <v>7017</v>
      </c>
      <c r="C3179" t="s">
        <v>357</v>
      </c>
      <c r="D3179" t="s">
        <v>241</v>
      </c>
      <c r="F3179">
        <v>2</v>
      </c>
      <c r="G3179" t="s">
        <v>16</v>
      </c>
      <c r="H3179">
        <v>0</v>
      </c>
      <c r="I3179" s="2" t="s">
        <v>221</v>
      </c>
      <c r="J3179" s="2">
        <v>21215</v>
      </c>
      <c r="K3179">
        <v>20</v>
      </c>
      <c r="L3179">
        <v>20</v>
      </c>
      <c r="M3179">
        <v>20</v>
      </c>
    </row>
    <row r="3180" spans="1:13" x14ac:dyDescent="0.25">
      <c r="A3180" t="s">
        <v>7020</v>
      </c>
      <c r="B3180" t="s">
        <v>7022</v>
      </c>
      <c r="C3180" t="s">
        <v>357</v>
      </c>
      <c r="D3180" t="s">
        <v>241</v>
      </c>
      <c r="F3180">
        <v>1</v>
      </c>
      <c r="G3180" t="s">
        <v>16</v>
      </c>
      <c r="H3180">
        <v>0</v>
      </c>
      <c r="I3180" s="2" t="s">
        <v>288</v>
      </c>
      <c r="J3180" s="2" t="s">
        <v>7021</v>
      </c>
      <c r="K3180">
        <v>20</v>
      </c>
      <c r="L3180">
        <v>20</v>
      </c>
      <c r="M3180">
        <v>20</v>
      </c>
    </row>
    <row r="3181" spans="1:13" x14ac:dyDescent="0.25">
      <c r="A3181" t="s">
        <v>7023</v>
      </c>
      <c r="B3181" t="s">
        <v>7022</v>
      </c>
      <c r="C3181" t="s">
        <v>357</v>
      </c>
      <c r="D3181" t="s">
        <v>241</v>
      </c>
      <c r="F3181">
        <v>1</v>
      </c>
      <c r="G3181" t="s">
        <v>16</v>
      </c>
      <c r="H3181">
        <v>0</v>
      </c>
      <c r="I3181" s="2" t="s">
        <v>245</v>
      </c>
      <c r="J3181" s="2" t="s">
        <v>7024</v>
      </c>
      <c r="K3181">
        <v>20</v>
      </c>
      <c r="L3181">
        <v>20</v>
      </c>
      <c r="M3181">
        <v>20</v>
      </c>
    </row>
    <row r="3182" spans="1:13" x14ac:dyDescent="0.25">
      <c r="A3182">
        <v>1818499</v>
      </c>
      <c r="B3182" t="s">
        <v>7025</v>
      </c>
      <c r="C3182" t="s">
        <v>357</v>
      </c>
      <c r="D3182" t="s">
        <v>241</v>
      </c>
      <c r="F3182">
        <v>1</v>
      </c>
      <c r="G3182" t="s">
        <v>16</v>
      </c>
      <c r="H3182">
        <v>0</v>
      </c>
      <c r="I3182" s="2" t="s">
        <v>497</v>
      </c>
      <c r="J3182" s="2">
        <v>13251465</v>
      </c>
      <c r="K3182">
        <v>20</v>
      </c>
      <c r="L3182">
        <v>20</v>
      </c>
      <c r="M3182">
        <v>20</v>
      </c>
    </row>
    <row r="3183" spans="1:13" x14ac:dyDescent="0.25">
      <c r="A3183" t="s">
        <v>7026</v>
      </c>
      <c r="B3183" t="s">
        <v>7025</v>
      </c>
      <c r="C3183" t="s">
        <v>357</v>
      </c>
      <c r="D3183" t="s">
        <v>241</v>
      </c>
      <c r="F3183">
        <v>1</v>
      </c>
      <c r="G3183" t="s">
        <v>16</v>
      </c>
      <c r="H3183">
        <v>0</v>
      </c>
      <c r="I3183" s="2" t="s">
        <v>245</v>
      </c>
      <c r="J3183" s="2" t="s">
        <v>7027</v>
      </c>
      <c r="K3183">
        <v>20</v>
      </c>
      <c r="L3183">
        <v>20</v>
      </c>
      <c r="M3183">
        <v>20</v>
      </c>
    </row>
    <row r="3184" spans="1:13" x14ac:dyDescent="0.25">
      <c r="A3184" t="s">
        <v>7028</v>
      </c>
      <c r="B3184" t="s">
        <v>7029</v>
      </c>
      <c r="C3184" t="s">
        <v>357</v>
      </c>
      <c r="D3184" t="s">
        <v>241</v>
      </c>
      <c r="G3184" t="s">
        <v>16</v>
      </c>
      <c r="H3184">
        <v>0</v>
      </c>
      <c r="I3184" s="2" t="s">
        <v>243</v>
      </c>
      <c r="J3184" s="2">
        <v>21164</v>
      </c>
      <c r="K3184">
        <v>20</v>
      </c>
      <c r="L3184">
        <v>20</v>
      </c>
      <c r="M3184">
        <v>20</v>
      </c>
    </row>
    <row r="3185" spans="1:13" x14ac:dyDescent="0.25">
      <c r="A3185" t="s">
        <v>7030</v>
      </c>
      <c r="B3185" t="s">
        <v>7029</v>
      </c>
      <c r="C3185" t="s">
        <v>241</v>
      </c>
      <c r="D3185" t="s">
        <v>2216</v>
      </c>
      <c r="G3185" t="s">
        <v>16</v>
      </c>
      <c r="H3185">
        <v>0</v>
      </c>
      <c r="I3185" s="2" t="s">
        <v>245</v>
      </c>
      <c r="J3185" s="2" t="s">
        <v>7031</v>
      </c>
      <c r="K3185">
        <v>20</v>
      </c>
      <c r="L3185">
        <v>20</v>
      </c>
      <c r="M3185">
        <v>20</v>
      </c>
    </row>
    <row r="3186" spans="1:13" x14ac:dyDescent="0.25">
      <c r="A3186" t="s">
        <v>7032</v>
      </c>
      <c r="B3186" t="s">
        <v>7033</v>
      </c>
      <c r="C3186" t="s">
        <v>357</v>
      </c>
      <c r="D3186" t="s">
        <v>241</v>
      </c>
      <c r="F3186">
        <v>2</v>
      </c>
      <c r="G3186" t="s">
        <v>16</v>
      </c>
      <c r="H3186">
        <v>0</v>
      </c>
      <c r="I3186" s="2" t="s">
        <v>2233</v>
      </c>
      <c r="J3186" s="2">
        <v>21224</v>
      </c>
      <c r="K3186">
        <v>20</v>
      </c>
      <c r="L3186">
        <v>20</v>
      </c>
      <c r="M3186">
        <v>20</v>
      </c>
    </row>
    <row r="3187" spans="1:13" x14ac:dyDescent="0.25">
      <c r="A3187" t="s">
        <v>7034</v>
      </c>
      <c r="B3187" t="s">
        <v>7033</v>
      </c>
      <c r="C3187" t="s">
        <v>357</v>
      </c>
      <c r="D3187" t="s">
        <v>241</v>
      </c>
      <c r="F3187">
        <v>1</v>
      </c>
      <c r="G3187" t="s">
        <v>16</v>
      </c>
      <c r="H3187">
        <v>0</v>
      </c>
      <c r="I3187" s="2" t="s">
        <v>64</v>
      </c>
      <c r="J3187" s="2">
        <v>10031537</v>
      </c>
      <c r="K3187">
        <v>20</v>
      </c>
      <c r="L3187">
        <v>20</v>
      </c>
      <c r="M3187">
        <v>20</v>
      </c>
    </row>
    <row r="3188" spans="1:13" x14ac:dyDescent="0.25">
      <c r="A3188" t="s">
        <v>7035</v>
      </c>
      <c r="B3188" t="s">
        <v>7033</v>
      </c>
      <c r="C3188" t="s">
        <v>357</v>
      </c>
      <c r="D3188" t="s">
        <v>241</v>
      </c>
      <c r="F3188">
        <v>1</v>
      </c>
      <c r="G3188" t="s">
        <v>16</v>
      </c>
      <c r="H3188">
        <v>0</v>
      </c>
      <c r="I3188" s="2" t="s">
        <v>221</v>
      </c>
      <c r="J3188" s="2">
        <v>21224</v>
      </c>
      <c r="K3188">
        <v>20</v>
      </c>
      <c r="L3188">
        <v>20</v>
      </c>
      <c r="M3188">
        <v>20</v>
      </c>
    </row>
    <row r="3189" spans="1:13" x14ac:dyDescent="0.25">
      <c r="A3189" t="s">
        <v>7036</v>
      </c>
      <c r="B3189" t="s">
        <v>7037</v>
      </c>
      <c r="C3189" t="s">
        <v>357</v>
      </c>
      <c r="D3189" t="s">
        <v>241</v>
      </c>
      <c r="G3189" t="s">
        <v>16</v>
      </c>
      <c r="H3189">
        <v>0</v>
      </c>
      <c r="I3189" s="2" t="s">
        <v>243</v>
      </c>
      <c r="J3189" s="2">
        <v>21459</v>
      </c>
      <c r="K3189">
        <v>20</v>
      </c>
      <c r="L3189">
        <v>20</v>
      </c>
      <c r="M3189">
        <v>20</v>
      </c>
    </row>
    <row r="3190" spans="1:13" x14ac:dyDescent="0.25">
      <c r="A3190" t="s">
        <v>7038</v>
      </c>
      <c r="B3190" t="s">
        <v>7037</v>
      </c>
      <c r="C3190" t="s">
        <v>241</v>
      </c>
      <c r="D3190" t="s">
        <v>2216</v>
      </c>
      <c r="G3190" t="s">
        <v>16</v>
      </c>
      <c r="H3190">
        <v>0</v>
      </c>
      <c r="I3190" s="2" t="s">
        <v>245</v>
      </c>
      <c r="J3190" s="2" t="s">
        <v>7039</v>
      </c>
      <c r="K3190">
        <v>20</v>
      </c>
      <c r="L3190">
        <v>20</v>
      </c>
      <c r="M3190">
        <v>20</v>
      </c>
    </row>
    <row r="3191" spans="1:13" x14ac:dyDescent="0.25">
      <c r="A3191" t="s">
        <v>7040</v>
      </c>
      <c r="B3191" t="s">
        <v>7037</v>
      </c>
      <c r="C3191" t="s">
        <v>241</v>
      </c>
      <c r="D3191" t="s">
        <v>2216</v>
      </c>
      <c r="G3191" t="s">
        <v>16</v>
      </c>
      <c r="H3191">
        <v>0</v>
      </c>
      <c r="I3191" s="2" t="s">
        <v>737</v>
      </c>
      <c r="J3191" s="2" t="s">
        <v>7041</v>
      </c>
      <c r="K3191">
        <v>20</v>
      </c>
      <c r="L3191">
        <v>20</v>
      </c>
      <c r="M3191">
        <v>20</v>
      </c>
    </row>
    <row r="3192" spans="1:13" x14ac:dyDescent="0.25">
      <c r="A3192" t="s">
        <v>7042</v>
      </c>
      <c r="B3192" t="s">
        <v>7043</v>
      </c>
      <c r="C3192" t="s">
        <v>357</v>
      </c>
      <c r="D3192" t="s">
        <v>241</v>
      </c>
      <c r="G3192" t="s">
        <v>16</v>
      </c>
      <c r="H3192">
        <v>0</v>
      </c>
      <c r="I3192" s="2" t="s">
        <v>245</v>
      </c>
      <c r="J3192" s="2" t="s">
        <v>7044</v>
      </c>
      <c r="K3192">
        <v>20</v>
      </c>
      <c r="L3192">
        <v>20</v>
      </c>
      <c r="M3192">
        <v>20</v>
      </c>
    </row>
    <row r="3193" spans="1:13" x14ac:dyDescent="0.25">
      <c r="A3193" t="s">
        <v>7045</v>
      </c>
      <c r="B3193" t="s">
        <v>7043</v>
      </c>
      <c r="C3193" t="s">
        <v>241</v>
      </c>
      <c r="D3193" t="s">
        <v>2216</v>
      </c>
      <c r="F3193">
        <v>2</v>
      </c>
      <c r="G3193" t="s">
        <v>16</v>
      </c>
      <c r="H3193">
        <v>0</v>
      </c>
      <c r="I3193" s="2" t="s">
        <v>737</v>
      </c>
      <c r="J3193" s="2" t="s">
        <v>7046</v>
      </c>
      <c r="K3193">
        <v>20</v>
      </c>
      <c r="L3193">
        <v>20</v>
      </c>
      <c r="M3193">
        <v>20</v>
      </c>
    </row>
    <row r="3194" spans="1:13" x14ac:dyDescent="0.25">
      <c r="A3194">
        <v>1818589</v>
      </c>
      <c r="B3194" t="s">
        <v>7047</v>
      </c>
      <c r="C3194" t="s">
        <v>241</v>
      </c>
      <c r="D3194" t="s">
        <v>2216</v>
      </c>
      <c r="F3194">
        <v>1</v>
      </c>
      <c r="G3194" t="s">
        <v>16</v>
      </c>
      <c r="H3194">
        <v>0</v>
      </c>
      <c r="I3194" s="2" t="s">
        <v>497</v>
      </c>
      <c r="J3194" s="2">
        <v>13220135</v>
      </c>
      <c r="K3194">
        <v>20</v>
      </c>
      <c r="L3194">
        <v>20</v>
      </c>
      <c r="M3194">
        <v>20</v>
      </c>
    </row>
    <row r="3195" spans="1:13" x14ac:dyDescent="0.25">
      <c r="A3195" t="s">
        <v>7048</v>
      </c>
      <c r="B3195" t="s">
        <v>7049</v>
      </c>
      <c r="C3195" t="s">
        <v>357</v>
      </c>
      <c r="D3195" t="s">
        <v>241</v>
      </c>
      <c r="F3195">
        <v>1</v>
      </c>
      <c r="G3195" t="s">
        <v>16</v>
      </c>
      <c r="H3195">
        <v>0</v>
      </c>
      <c r="I3195" s="2" t="s">
        <v>2987</v>
      </c>
      <c r="J3195" s="2" t="s">
        <v>7050</v>
      </c>
      <c r="K3195">
        <v>20</v>
      </c>
      <c r="L3195">
        <v>20</v>
      </c>
      <c r="M3195">
        <v>20</v>
      </c>
    </row>
    <row r="3196" spans="1:13" x14ac:dyDescent="0.25">
      <c r="A3196">
        <v>1818593</v>
      </c>
      <c r="B3196" t="s">
        <v>7051</v>
      </c>
      <c r="C3196" t="s">
        <v>241</v>
      </c>
      <c r="D3196" t="s">
        <v>2216</v>
      </c>
      <c r="F3196">
        <v>1</v>
      </c>
      <c r="G3196" t="s">
        <v>16</v>
      </c>
      <c r="H3196">
        <v>0</v>
      </c>
      <c r="I3196" s="2" t="s">
        <v>497</v>
      </c>
      <c r="J3196" s="2">
        <v>13220140</v>
      </c>
      <c r="K3196">
        <v>20</v>
      </c>
      <c r="L3196">
        <v>20</v>
      </c>
      <c r="M3196">
        <v>20</v>
      </c>
    </row>
    <row r="3197" spans="1:13" x14ac:dyDescent="0.25">
      <c r="A3197">
        <v>1818600</v>
      </c>
      <c r="B3197" t="s">
        <v>7052</v>
      </c>
      <c r="C3197" t="s">
        <v>357</v>
      </c>
      <c r="D3197" t="s">
        <v>241</v>
      </c>
      <c r="F3197">
        <v>4</v>
      </c>
      <c r="G3197" t="s">
        <v>16</v>
      </c>
      <c r="H3197">
        <v>0</v>
      </c>
      <c r="I3197" s="2" t="s">
        <v>1444</v>
      </c>
      <c r="J3197" s="2">
        <v>13338426</v>
      </c>
      <c r="K3197">
        <v>20</v>
      </c>
      <c r="L3197">
        <v>20</v>
      </c>
      <c r="M3197">
        <v>20</v>
      </c>
    </row>
    <row r="3198" spans="1:13" x14ac:dyDescent="0.25">
      <c r="A3198" t="s">
        <v>7053</v>
      </c>
      <c r="B3198" t="s">
        <v>7052</v>
      </c>
      <c r="C3198" t="s">
        <v>357</v>
      </c>
      <c r="D3198" t="s">
        <v>241</v>
      </c>
      <c r="F3198">
        <v>1</v>
      </c>
      <c r="G3198" t="s">
        <v>16</v>
      </c>
      <c r="H3198">
        <v>0</v>
      </c>
      <c r="I3198" s="2" t="s">
        <v>243</v>
      </c>
      <c r="J3198" s="2">
        <v>21291</v>
      </c>
      <c r="K3198">
        <v>20</v>
      </c>
      <c r="L3198">
        <v>20</v>
      </c>
      <c r="M3198">
        <v>20</v>
      </c>
    </row>
    <row r="3199" spans="1:13" x14ac:dyDescent="0.25">
      <c r="A3199" t="s">
        <v>7054</v>
      </c>
      <c r="B3199" t="s">
        <v>7052</v>
      </c>
      <c r="C3199" t="s">
        <v>357</v>
      </c>
      <c r="D3199" t="s">
        <v>241</v>
      </c>
      <c r="F3199">
        <v>1</v>
      </c>
      <c r="G3199" t="s">
        <v>16</v>
      </c>
      <c r="H3199">
        <v>0</v>
      </c>
      <c r="I3199" s="2" t="s">
        <v>737</v>
      </c>
      <c r="J3199" s="2" t="s">
        <v>7055</v>
      </c>
      <c r="K3199">
        <v>20</v>
      </c>
      <c r="L3199">
        <v>20</v>
      </c>
      <c r="M3199">
        <v>20</v>
      </c>
    </row>
    <row r="3200" spans="1:13" x14ac:dyDescent="0.25">
      <c r="A3200" t="s">
        <v>7056</v>
      </c>
      <c r="B3200" t="s">
        <v>7057</v>
      </c>
      <c r="C3200" t="s">
        <v>357</v>
      </c>
      <c r="D3200" t="s">
        <v>241</v>
      </c>
      <c r="F3200">
        <v>1</v>
      </c>
      <c r="G3200" t="s">
        <v>16</v>
      </c>
      <c r="H3200">
        <v>0</v>
      </c>
      <c r="I3200" s="2" t="s">
        <v>2233</v>
      </c>
      <c r="J3200" s="2">
        <v>21241</v>
      </c>
      <c r="K3200">
        <v>20</v>
      </c>
      <c r="L3200">
        <v>20</v>
      </c>
      <c r="M3200">
        <v>20</v>
      </c>
    </row>
    <row r="3201" spans="1:13" x14ac:dyDescent="0.25">
      <c r="A3201" t="s">
        <v>7058</v>
      </c>
      <c r="B3201" t="s">
        <v>7059</v>
      </c>
      <c r="C3201" t="s">
        <v>357</v>
      </c>
      <c r="D3201" t="s">
        <v>241</v>
      </c>
      <c r="F3201">
        <v>2</v>
      </c>
      <c r="G3201" t="s">
        <v>16</v>
      </c>
      <c r="H3201">
        <v>0</v>
      </c>
      <c r="I3201" s="2" t="s">
        <v>64</v>
      </c>
      <c r="J3201" s="2">
        <v>10031182</v>
      </c>
      <c r="K3201">
        <v>20</v>
      </c>
      <c r="L3201">
        <v>20</v>
      </c>
      <c r="M3201">
        <v>20</v>
      </c>
    </row>
    <row r="3202" spans="1:13" x14ac:dyDescent="0.25">
      <c r="A3202" t="s">
        <v>7060</v>
      </c>
      <c r="B3202" t="s">
        <v>7061</v>
      </c>
      <c r="C3202" t="s">
        <v>151</v>
      </c>
      <c r="D3202" t="s">
        <v>6936</v>
      </c>
      <c r="G3202" t="s">
        <v>16</v>
      </c>
      <c r="H3202">
        <v>0</v>
      </c>
      <c r="I3202" s="2" t="s">
        <v>1137</v>
      </c>
      <c r="J3202" s="2">
        <v>1453002009</v>
      </c>
      <c r="K3202">
        <v>20</v>
      </c>
      <c r="L3202">
        <v>20</v>
      </c>
      <c r="M3202">
        <v>20</v>
      </c>
    </row>
    <row r="3203" spans="1:13" x14ac:dyDescent="0.25">
      <c r="A3203" t="s">
        <v>7062</v>
      </c>
      <c r="B3203" t="s">
        <v>7063</v>
      </c>
      <c r="C3203" t="s">
        <v>357</v>
      </c>
      <c r="F3203">
        <v>2</v>
      </c>
      <c r="G3203" t="s">
        <v>16</v>
      </c>
      <c r="H3203">
        <v>0</v>
      </c>
      <c r="I3203" s="2" t="s">
        <v>142</v>
      </c>
      <c r="J3203" s="2" t="s">
        <v>7064</v>
      </c>
      <c r="K3203">
        <v>20</v>
      </c>
      <c r="L3203">
        <v>20</v>
      </c>
      <c r="M3203">
        <v>20</v>
      </c>
    </row>
    <row r="3204" spans="1:13" x14ac:dyDescent="0.25">
      <c r="A3204" t="s">
        <v>7065</v>
      </c>
      <c r="B3204" t="s">
        <v>7063</v>
      </c>
      <c r="C3204" t="s">
        <v>357</v>
      </c>
      <c r="G3204" t="s">
        <v>16</v>
      </c>
      <c r="H3204">
        <v>0</v>
      </c>
      <c r="I3204" s="2" t="s">
        <v>165</v>
      </c>
      <c r="J3204" s="2">
        <v>206241</v>
      </c>
      <c r="K3204">
        <v>20</v>
      </c>
      <c r="L3204">
        <v>20</v>
      </c>
      <c r="M3204">
        <v>20</v>
      </c>
    </row>
    <row r="3205" spans="1:13" x14ac:dyDescent="0.25">
      <c r="A3205" t="s">
        <v>7066</v>
      </c>
      <c r="B3205" t="s">
        <v>7067</v>
      </c>
      <c r="G3205" t="s">
        <v>16</v>
      </c>
      <c r="H3205">
        <v>0</v>
      </c>
      <c r="I3205" s="2" t="s">
        <v>500</v>
      </c>
      <c r="J3205" s="2" t="s">
        <v>7068</v>
      </c>
      <c r="K3205">
        <v>20</v>
      </c>
      <c r="L3205">
        <v>20</v>
      </c>
      <c r="M3205">
        <v>20</v>
      </c>
    </row>
    <row r="3206" spans="1:13" x14ac:dyDescent="0.25">
      <c r="A3206" t="s">
        <v>7069</v>
      </c>
      <c r="B3206" t="s">
        <v>7070</v>
      </c>
      <c r="C3206" t="s">
        <v>926</v>
      </c>
      <c r="F3206">
        <v>0</v>
      </c>
      <c r="G3206" t="s">
        <v>16</v>
      </c>
      <c r="H3206">
        <v>0</v>
      </c>
      <c r="I3206" s="2" t="s">
        <v>389</v>
      </c>
      <c r="J3206" s="2">
        <v>1686230480</v>
      </c>
      <c r="K3206">
        <v>20</v>
      </c>
      <c r="L3206">
        <v>20</v>
      </c>
      <c r="M3206">
        <v>20</v>
      </c>
    </row>
    <row r="3207" spans="1:13" x14ac:dyDescent="0.25">
      <c r="A3207" t="s">
        <v>7071</v>
      </c>
      <c r="B3207" t="s">
        <v>7070</v>
      </c>
      <c r="C3207" t="s">
        <v>926</v>
      </c>
      <c r="F3207">
        <v>10</v>
      </c>
      <c r="G3207" t="s">
        <v>16</v>
      </c>
      <c r="H3207">
        <v>0</v>
      </c>
      <c r="I3207" s="2" t="s">
        <v>1067</v>
      </c>
      <c r="J3207" s="2" t="s">
        <v>7072</v>
      </c>
      <c r="K3207">
        <v>20</v>
      </c>
      <c r="L3207">
        <v>20</v>
      </c>
      <c r="M3207">
        <v>20</v>
      </c>
    </row>
    <row r="3208" spans="1:13" x14ac:dyDescent="0.25">
      <c r="A3208" t="s">
        <v>7073</v>
      </c>
      <c r="B3208" t="s">
        <v>7074</v>
      </c>
      <c r="C3208" t="s">
        <v>540</v>
      </c>
      <c r="F3208">
        <v>1</v>
      </c>
      <c r="G3208" t="s">
        <v>16</v>
      </c>
      <c r="H3208">
        <v>0</v>
      </c>
      <c r="I3208" s="2" t="s">
        <v>643</v>
      </c>
      <c r="J3208" s="2">
        <v>111302</v>
      </c>
      <c r="K3208">
        <v>20</v>
      </c>
      <c r="L3208">
        <v>20</v>
      </c>
      <c r="M3208">
        <v>20</v>
      </c>
    </row>
    <row r="3209" spans="1:13" x14ac:dyDescent="0.25">
      <c r="A3209" t="s">
        <v>7075</v>
      </c>
      <c r="B3209" t="s">
        <v>7076</v>
      </c>
      <c r="C3209" t="s">
        <v>20</v>
      </c>
      <c r="F3209">
        <v>0</v>
      </c>
      <c r="G3209" t="s">
        <v>16</v>
      </c>
      <c r="H3209">
        <v>0</v>
      </c>
      <c r="K3209">
        <v>20</v>
      </c>
      <c r="L3209">
        <v>20</v>
      </c>
      <c r="M3209">
        <v>20</v>
      </c>
    </row>
    <row r="3210" spans="1:13" x14ac:dyDescent="0.25">
      <c r="A3210" t="s">
        <v>7077</v>
      </c>
      <c r="B3210" t="s">
        <v>7079</v>
      </c>
      <c r="C3210" t="s">
        <v>20</v>
      </c>
      <c r="D3210" t="s">
        <v>2477</v>
      </c>
      <c r="F3210">
        <v>1</v>
      </c>
      <c r="G3210" t="s">
        <v>16</v>
      </c>
      <c r="H3210">
        <v>0</v>
      </c>
      <c r="I3210" s="2" t="s">
        <v>2881</v>
      </c>
      <c r="J3210" s="2" t="s">
        <v>7078</v>
      </c>
      <c r="K3210">
        <v>20</v>
      </c>
      <c r="L3210">
        <v>20</v>
      </c>
      <c r="M3210">
        <v>20</v>
      </c>
    </row>
    <row r="3211" spans="1:13" x14ac:dyDescent="0.25">
      <c r="A3211" t="s">
        <v>7080</v>
      </c>
      <c r="B3211" t="s">
        <v>7081</v>
      </c>
      <c r="C3211" t="s">
        <v>20</v>
      </c>
      <c r="D3211" t="s">
        <v>2477</v>
      </c>
      <c r="F3211">
        <v>1</v>
      </c>
      <c r="G3211" t="s">
        <v>16</v>
      </c>
      <c r="H3211">
        <v>0</v>
      </c>
      <c r="I3211" s="2" t="s">
        <v>277</v>
      </c>
      <c r="J3211" s="2">
        <v>41549</v>
      </c>
      <c r="K3211">
        <v>20</v>
      </c>
      <c r="L3211">
        <v>20</v>
      </c>
      <c r="M3211">
        <v>20</v>
      </c>
    </row>
    <row r="3212" spans="1:13" x14ac:dyDescent="0.25">
      <c r="A3212" t="s">
        <v>7082</v>
      </c>
      <c r="B3212" t="s">
        <v>7083</v>
      </c>
      <c r="C3212" t="s">
        <v>20</v>
      </c>
      <c r="D3212" t="s">
        <v>2477</v>
      </c>
      <c r="F3212">
        <v>1</v>
      </c>
      <c r="G3212" t="s">
        <v>16</v>
      </c>
      <c r="H3212">
        <v>0</v>
      </c>
      <c r="I3212" s="2" t="s">
        <v>486</v>
      </c>
      <c r="J3212" s="2">
        <v>64130006</v>
      </c>
      <c r="K3212">
        <v>20</v>
      </c>
      <c r="L3212">
        <v>20</v>
      </c>
      <c r="M3212">
        <v>20</v>
      </c>
    </row>
    <row r="3213" spans="1:13" x14ac:dyDescent="0.25">
      <c r="A3213" t="s">
        <v>7084</v>
      </c>
      <c r="B3213" t="s">
        <v>7083</v>
      </c>
      <c r="C3213" t="s">
        <v>20</v>
      </c>
      <c r="D3213" t="s">
        <v>2477</v>
      </c>
      <c r="F3213">
        <v>1</v>
      </c>
      <c r="G3213" t="s">
        <v>16</v>
      </c>
      <c r="H3213">
        <v>0</v>
      </c>
      <c r="I3213" s="2" t="s">
        <v>737</v>
      </c>
      <c r="J3213" s="2" t="s">
        <v>7085</v>
      </c>
      <c r="K3213">
        <v>20</v>
      </c>
      <c r="L3213">
        <v>20</v>
      </c>
      <c r="M3213">
        <v>20</v>
      </c>
    </row>
    <row r="3214" spans="1:13" x14ac:dyDescent="0.25">
      <c r="A3214" t="s">
        <v>7086</v>
      </c>
      <c r="B3214" t="s">
        <v>7087</v>
      </c>
      <c r="C3214" t="s">
        <v>20</v>
      </c>
      <c r="D3214" t="s">
        <v>2477</v>
      </c>
      <c r="F3214">
        <v>1</v>
      </c>
      <c r="G3214" t="s">
        <v>16</v>
      </c>
      <c r="H3214">
        <v>0</v>
      </c>
      <c r="I3214" s="2" t="s">
        <v>245</v>
      </c>
      <c r="J3214" s="2" t="s">
        <v>7088</v>
      </c>
      <c r="K3214">
        <v>20</v>
      </c>
      <c r="L3214">
        <v>20</v>
      </c>
      <c r="M3214">
        <v>20</v>
      </c>
    </row>
    <row r="3215" spans="1:13" x14ac:dyDescent="0.25">
      <c r="A3215" t="s">
        <v>7089</v>
      </c>
      <c r="B3215" t="s">
        <v>7090</v>
      </c>
      <c r="C3215" t="s">
        <v>20</v>
      </c>
      <c r="D3215" t="s">
        <v>2477</v>
      </c>
      <c r="F3215">
        <v>1</v>
      </c>
      <c r="G3215" t="s">
        <v>16</v>
      </c>
      <c r="H3215">
        <v>0</v>
      </c>
      <c r="I3215" s="2" t="s">
        <v>6855</v>
      </c>
      <c r="J3215" s="2">
        <v>14050</v>
      </c>
      <c r="K3215">
        <v>20</v>
      </c>
      <c r="L3215">
        <v>20</v>
      </c>
      <c r="M3215">
        <v>20</v>
      </c>
    </row>
    <row r="3216" spans="1:13" x14ac:dyDescent="0.25">
      <c r="A3216" t="s">
        <v>7091</v>
      </c>
      <c r="B3216" t="s">
        <v>7090</v>
      </c>
      <c r="C3216" t="s">
        <v>20</v>
      </c>
      <c r="D3216" t="s">
        <v>2477</v>
      </c>
      <c r="F3216">
        <v>2</v>
      </c>
      <c r="G3216" t="s">
        <v>16</v>
      </c>
      <c r="H3216">
        <v>0</v>
      </c>
      <c r="I3216" s="2" t="s">
        <v>737</v>
      </c>
      <c r="J3216" s="2" t="s">
        <v>7092</v>
      </c>
      <c r="K3216">
        <v>20</v>
      </c>
      <c r="L3216">
        <v>20</v>
      </c>
      <c r="M3216">
        <v>20</v>
      </c>
    </row>
    <row r="3217" spans="1:13" x14ac:dyDescent="0.25">
      <c r="A3217" t="s">
        <v>7093</v>
      </c>
      <c r="B3217" t="s">
        <v>6879</v>
      </c>
      <c r="C3217" t="s">
        <v>20</v>
      </c>
      <c r="D3217" t="s">
        <v>2477</v>
      </c>
      <c r="F3217">
        <v>2</v>
      </c>
      <c r="G3217" t="s">
        <v>16</v>
      </c>
      <c r="H3217">
        <v>0</v>
      </c>
      <c r="I3217" s="2" t="s">
        <v>245</v>
      </c>
      <c r="J3217" s="2" t="s">
        <v>7094</v>
      </c>
      <c r="K3217">
        <v>20</v>
      </c>
      <c r="L3217">
        <v>20</v>
      </c>
      <c r="M3217">
        <v>20</v>
      </c>
    </row>
    <row r="3218" spans="1:13" x14ac:dyDescent="0.25">
      <c r="A3218" t="s">
        <v>7095</v>
      </c>
      <c r="B3218" t="s">
        <v>7096</v>
      </c>
      <c r="C3218" t="s">
        <v>20</v>
      </c>
      <c r="D3218" t="s">
        <v>2477</v>
      </c>
      <c r="F3218">
        <v>1</v>
      </c>
      <c r="G3218" t="s">
        <v>16</v>
      </c>
      <c r="H3218">
        <v>0</v>
      </c>
      <c r="I3218" s="2" t="s">
        <v>245</v>
      </c>
      <c r="J3218" s="2" t="s">
        <v>7097</v>
      </c>
      <c r="K3218">
        <v>20</v>
      </c>
      <c r="L3218">
        <v>20</v>
      </c>
      <c r="M3218">
        <v>20</v>
      </c>
    </row>
    <row r="3219" spans="1:13" x14ac:dyDescent="0.25">
      <c r="A3219" t="s">
        <v>7098</v>
      </c>
      <c r="B3219" t="s">
        <v>7099</v>
      </c>
      <c r="C3219" t="s">
        <v>20</v>
      </c>
      <c r="D3219" t="s">
        <v>2477</v>
      </c>
      <c r="F3219">
        <v>1</v>
      </c>
      <c r="G3219" t="s">
        <v>16</v>
      </c>
      <c r="H3219">
        <v>0</v>
      </c>
      <c r="I3219" s="2" t="s">
        <v>277</v>
      </c>
      <c r="J3219" s="2">
        <v>41555</v>
      </c>
      <c r="K3219">
        <v>20</v>
      </c>
      <c r="L3219">
        <v>20</v>
      </c>
      <c r="M3219">
        <v>20</v>
      </c>
    </row>
    <row r="3220" spans="1:13" x14ac:dyDescent="0.25">
      <c r="A3220" t="s">
        <v>7100</v>
      </c>
      <c r="B3220" t="s">
        <v>7101</v>
      </c>
      <c r="C3220" t="s">
        <v>20</v>
      </c>
      <c r="D3220" t="s">
        <v>2477</v>
      </c>
      <c r="F3220">
        <v>2</v>
      </c>
      <c r="G3220" t="s">
        <v>16</v>
      </c>
      <c r="H3220">
        <v>0</v>
      </c>
      <c r="I3220" s="2" t="s">
        <v>7102</v>
      </c>
      <c r="J3220" s="2">
        <v>20021</v>
      </c>
      <c r="K3220">
        <v>20</v>
      </c>
      <c r="L3220">
        <v>20</v>
      </c>
      <c r="M3220">
        <v>20</v>
      </c>
    </row>
    <row r="3221" spans="1:13" x14ac:dyDescent="0.25">
      <c r="A3221" t="s">
        <v>7103</v>
      </c>
      <c r="B3221" t="s">
        <v>7101</v>
      </c>
      <c r="C3221" t="s">
        <v>20</v>
      </c>
      <c r="D3221" t="s">
        <v>2477</v>
      </c>
      <c r="G3221" t="s">
        <v>16</v>
      </c>
      <c r="H3221">
        <v>0</v>
      </c>
      <c r="I3221" s="2" t="s">
        <v>6228</v>
      </c>
      <c r="J3221" s="2" t="s">
        <v>7104</v>
      </c>
      <c r="K3221">
        <v>20</v>
      </c>
      <c r="L3221">
        <v>20</v>
      </c>
      <c r="M3221">
        <v>20</v>
      </c>
    </row>
    <row r="3222" spans="1:13" x14ac:dyDescent="0.25">
      <c r="A3222" t="s">
        <v>7105</v>
      </c>
      <c r="B3222" t="s">
        <v>7101</v>
      </c>
      <c r="C3222" t="s">
        <v>20</v>
      </c>
      <c r="D3222" t="s">
        <v>2477</v>
      </c>
      <c r="F3222">
        <v>3</v>
      </c>
      <c r="G3222" t="s">
        <v>16</v>
      </c>
      <c r="H3222">
        <v>0</v>
      </c>
      <c r="I3222" s="2" t="s">
        <v>245</v>
      </c>
      <c r="J3222" s="2" t="s">
        <v>7106</v>
      </c>
      <c r="K3222">
        <v>20</v>
      </c>
      <c r="L3222">
        <v>20</v>
      </c>
      <c r="M3222">
        <v>20</v>
      </c>
    </row>
    <row r="3223" spans="1:13" x14ac:dyDescent="0.25">
      <c r="A3223" t="s">
        <v>7107</v>
      </c>
      <c r="B3223" t="s">
        <v>7108</v>
      </c>
      <c r="C3223" t="s">
        <v>20</v>
      </c>
      <c r="D3223" t="s">
        <v>2477</v>
      </c>
      <c r="F3223">
        <v>1</v>
      </c>
      <c r="G3223" t="s">
        <v>16</v>
      </c>
      <c r="H3223">
        <v>0</v>
      </c>
      <c r="I3223" s="2" t="s">
        <v>238</v>
      </c>
      <c r="J3223" s="2">
        <v>37527</v>
      </c>
      <c r="K3223">
        <v>20</v>
      </c>
      <c r="L3223">
        <v>20</v>
      </c>
      <c r="M3223">
        <v>20</v>
      </c>
    </row>
    <row r="3224" spans="1:13" x14ac:dyDescent="0.25">
      <c r="A3224" t="s">
        <v>7109</v>
      </c>
      <c r="B3224" t="s">
        <v>7110</v>
      </c>
      <c r="C3224" t="s">
        <v>20</v>
      </c>
      <c r="D3224" t="s">
        <v>2477</v>
      </c>
      <c r="F3224">
        <v>1</v>
      </c>
      <c r="G3224" t="s">
        <v>16</v>
      </c>
      <c r="H3224">
        <v>0</v>
      </c>
      <c r="I3224" s="2" t="s">
        <v>737</v>
      </c>
      <c r="J3224" s="2" t="s">
        <v>7111</v>
      </c>
      <c r="K3224">
        <v>20</v>
      </c>
      <c r="L3224">
        <v>20</v>
      </c>
      <c r="M3224">
        <v>20</v>
      </c>
    </row>
    <row r="3225" spans="1:13" x14ac:dyDescent="0.25">
      <c r="A3225" t="s">
        <v>7112</v>
      </c>
      <c r="B3225" t="s">
        <v>7113</v>
      </c>
      <c r="C3225" t="s">
        <v>20</v>
      </c>
      <c r="D3225" t="s">
        <v>2477</v>
      </c>
      <c r="F3225">
        <v>1</v>
      </c>
      <c r="G3225" t="s">
        <v>16</v>
      </c>
      <c r="H3225">
        <v>0</v>
      </c>
      <c r="I3225" s="2" t="s">
        <v>7114</v>
      </c>
      <c r="J3225" s="2">
        <v>2044</v>
      </c>
      <c r="K3225">
        <v>20</v>
      </c>
      <c r="L3225">
        <v>20</v>
      </c>
      <c r="M3225">
        <v>20</v>
      </c>
    </row>
    <row r="3226" spans="1:13" x14ac:dyDescent="0.25">
      <c r="A3226" t="s">
        <v>7115</v>
      </c>
      <c r="B3226" t="s">
        <v>7116</v>
      </c>
      <c r="C3226" t="s">
        <v>20</v>
      </c>
      <c r="D3226" t="s">
        <v>2477</v>
      </c>
      <c r="F3226">
        <v>0</v>
      </c>
      <c r="G3226" t="s">
        <v>16</v>
      </c>
      <c r="H3226">
        <v>0</v>
      </c>
      <c r="I3226" s="2" t="s">
        <v>51</v>
      </c>
      <c r="J3226" s="2" t="s">
        <v>7115</v>
      </c>
      <c r="K3226">
        <v>20</v>
      </c>
      <c r="L3226">
        <v>20</v>
      </c>
      <c r="M3226">
        <v>20</v>
      </c>
    </row>
    <row r="3227" spans="1:13" x14ac:dyDescent="0.25">
      <c r="A3227" t="s">
        <v>7117</v>
      </c>
      <c r="B3227" t="s">
        <v>7116</v>
      </c>
      <c r="C3227" t="s">
        <v>20</v>
      </c>
      <c r="D3227" t="s">
        <v>2477</v>
      </c>
      <c r="G3227" t="s">
        <v>16</v>
      </c>
      <c r="H3227">
        <v>0</v>
      </c>
      <c r="I3227" s="2" t="s">
        <v>737</v>
      </c>
      <c r="J3227" s="2" t="s">
        <v>7118</v>
      </c>
      <c r="K3227">
        <v>20</v>
      </c>
      <c r="L3227">
        <v>20</v>
      </c>
      <c r="M3227">
        <v>20</v>
      </c>
    </row>
    <row r="3228" spans="1:13" x14ac:dyDescent="0.25">
      <c r="A3228" t="s">
        <v>7119</v>
      </c>
      <c r="B3228" t="s">
        <v>7120</v>
      </c>
      <c r="C3228" t="s">
        <v>151</v>
      </c>
      <c r="D3228" t="s">
        <v>6936</v>
      </c>
      <c r="F3228">
        <v>1</v>
      </c>
      <c r="G3228" t="s">
        <v>16</v>
      </c>
      <c r="H3228">
        <v>0</v>
      </c>
      <c r="I3228" s="2" t="s">
        <v>64</v>
      </c>
      <c r="J3228" s="2" t="str">
        <f>"08130015"</f>
        <v>08130015</v>
      </c>
      <c r="K3228">
        <v>20</v>
      </c>
      <c r="L3228">
        <v>20</v>
      </c>
      <c r="M3228">
        <v>20</v>
      </c>
    </row>
    <row r="3229" spans="1:13" x14ac:dyDescent="0.25">
      <c r="A3229" t="s">
        <v>7121</v>
      </c>
      <c r="B3229" t="s">
        <v>7122</v>
      </c>
      <c r="C3229" t="s">
        <v>151</v>
      </c>
      <c r="D3229" t="s">
        <v>6936</v>
      </c>
      <c r="F3229">
        <v>1</v>
      </c>
      <c r="G3229" t="s">
        <v>16</v>
      </c>
      <c r="H3229">
        <v>0</v>
      </c>
      <c r="K3229">
        <v>20</v>
      </c>
      <c r="L3229">
        <v>20</v>
      </c>
      <c r="M3229">
        <v>20</v>
      </c>
    </row>
    <row r="3230" spans="1:13" x14ac:dyDescent="0.25">
      <c r="A3230" t="s">
        <v>7123</v>
      </c>
      <c r="B3230" t="s">
        <v>7124</v>
      </c>
      <c r="C3230" t="s">
        <v>151</v>
      </c>
      <c r="D3230" t="s">
        <v>6936</v>
      </c>
      <c r="G3230" t="s">
        <v>16</v>
      </c>
      <c r="H3230">
        <v>0</v>
      </c>
      <c r="I3230" s="2" t="s">
        <v>7125</v>
      </c>
      <c r="J3230" s="2">
        <v>33207105</v>
      </c>
      <c r="K3230">
        <v>20</v>
      </c>
      <c r="L3230">
        <v>20</v>
      </c>
      <c r="M3230">
        <v>20</v>
      </c>
    </row>
    <row r="3231" spans="1:13" x14ac:dyDescent="0.25">
      <c r="A3231" t="s">
        <v>7126</v>
      </c>
      <c r="B3231" t="s">
        <v>7127</v>
      </c>
      <c r="C3231" t="s">
        <v>151</v>
      </c>
      <c r="D3231" t="s">
        <v>6936</v>
      </c>
      <c r="G3231" t="s">
        <v>16</v>
      </c>
      <c r="H3231">
        <v>0</v>
      </c>
      <c r="I3231" s="2" t="s">
        <v>7128</v>
      </c>
      <c r="J3231" s="2">
        <v>33205871</v>
      </c>
      <c r="K3231">
        <v>20</v>
      </c>
      <c r="L3231">
        <v>20</v>
      </c>
      <c r="M3231">
        <v>20</v>
      </c>
    </row>
    <row r="3232" spans="1:13" x14ac:dyDescent="0.25">
      <c r="A3232" t="s">
        <v>7129</v>
      </c>
      <c r="B3232" t="s">
        <v>7127</v>
      </c>
      <c r="C3232" t="s">
        <v>151</v>
      </c>
      <c r="D3232" t="s">
        <v>6936</v>
      </c>
      <c r="G3232" t="s">
        <v>16</v>
      </c>
      <c r="H3232">
        <v>0</v>
      </c>
      <c r="I3232" s="2" t="s">
        <v>7128</v>
      </c>
      <c r="J3232" s="2">
        <v>33205856</v>
      </c>
      <c r="K3232">
        <v>20</v>
      </c>
      <c r="L3232">
        <v>20</v>
      </c>
      <c r="M3232">
        <v>20</v>
      </c>
    </row>
    <row r="3233" spans="1:13" x14ac:dyDescent="0.25">
      <c r="A3233" t="s">
        <v>7130</v>
      </c>
      <c r="B3233" t="s">
        <v>7131</v>
      </c>
      <c r="C3233" t="s">
        <v>151</v>
      </c>
      <c r="G3233" t="s">
        <v>16</v>
      </c>
      <c r="H3233">
        <v>0</v>
      </c>
      <c r="I3233" s="2" t="s">
        <v>491</v>
      </c>
      <c r="J3233" s="2">
        <v>359003410060</v>
      </c>
      <c r="K3233">
        <v>20</v>
      </c>
      <c r="L3233">
        <v>20</v>
      </c>
      <c r="M3233">
        <v>20</v>
      </c>
    </row>
    <row r="3234" spans="1:13" x14ac:dyDescent="0.25">
      <c r="A3234" t="s">
        <v>7132</v>
      </c>
      <c r="B3234" t="s">
        <v>7133</v>
      </c>
      <c r="C3234" t="s">
        <v>151</v>
      </c>
      <c r="G3234" t="s">
        <v>16</v>
      </c>
      <c r="H3234">
        <v>0</v>
      </c>
      <c r="I3234" s="2" t="s">
        <v>500</v>
      </c>
      <c r="J3234" s="2" t="s">
        <v>7134</v>
      </c>
      <c r="K3234">
        <v>20</v>
      </c>
      <c r="L3234">
        <v>20</v>
      </c>
      <c r="M3234">
        <v>20</v>
      </c>
    </row>
    <row r="3235" spans="1:13" x14ac:dyDescent="0.25">
      <c r="A3235" t="s">
        <v>7135</v>
      </c>
      <c r="B3235" t="s">
        <v>7136</v>
      </c>
      <c r="C3235" t="s">
        <v>151</v>
      </c>
      <c r="G3235" t="s">
        <v>16</v>
      </c>
      <c r="H3235">
        <v>0</v>
      </c>
      <c r="I3235" s="2" t="s">
        <v>491</v>
      </c>
      <c r="J3235" s="2">
        <v>359000603300</v>
      </c>
      <c r="K3235">
        <v>20</v>
      </c>
      <c r="L3235">
        <v>20</v>
      </c>
      <c r="M3235">
        <v>20</v>
      </c>
    </row>
    <row r="3236" spans="1:13" x14ac:dyDescent="0.25">
      <c r="A3236" t="s">
        <v>7137</v>
      </c>
      <c r="B3236" t="s">
        <v>7138</v>
      </c>
      <c r="C3236" t="s">
        <v>151</v>
      </c>
      <c r="F3236">
        <v>3</v>
      </c>
      <c r="G3236" t="s">
        <v>16</v>
      </c>
      <c r="H3236">
        <v>0</v>
      </c>
      <c r="I3236" s="2" t="s">
        <v>142</v>
      </c>
      <c r="J3236" s="2" t="s">
        <v>7139</v>
      </c>
      <c r="K3236">
        <v>20</v>
      </c>
      <c r="L3236">
        <v>20</v>
      </c>
      <c r="M3236">
        <v>20</v>
      </c>
    </row>
    <row r="3237" spans="1:13" x14ac:dyDescent="0.25">
      <c r="A3237" t="s">
        <v>7140</v>
      </c>
      <c r="B3237" t="s">
        <v>7138</v>
      </c>
      <c r="C3237" t="s">
        <v>151</v>
      </c>
      <c r="G3237" t="s">
        <v>16</v>
      </c>
      <c r="H3237">
        <v>0</v>
      </c>
      <c r="I3237" s="2" t="s">
        <v>988</v>
      </c>
      <c r="J3237" s="2" t="s">
        <v>7141</v>
      </c>
      <c r="K3237">
        <v>20</v>
      </c>
      <c r="L3237">
        <v>20</v>
      </c>
      <c r="M3237">
        <v>20</v>
      </c>
    </row>
    <row r="3238" spans="1:13" x14ac:dyDescent="0.25">
      <c r="A3238" t="s">
        <v>7142</v>
      </c>
      <c r="B3238" t="s">
        <v>7143</v>
      </c>
      <c r="C3238" t="s">
        <v>151</v>
      </c>
      <c r="G3238" t="s">
        <v>16</v>
      </c>
      <c r="H3238">
        <v>0</v>
      </c>
      <c r="I3238" s="2" t="s">
        <v>2896</v>
      </c>
      <c r="J3238" s="2">
        <v>210199</v>
      </c>
      <c r="K3238">
        <v>20</v>
      </c>
      <c r="L3238">
        <v>20</v>
      </c>
      <c r="M3238">
        <v>20</v>
      </c>
    </row>
    <row r="3239" spans="1:13" x14ac:dyDescent="0.25">
      <c r="A3239" t="s">
        <v>7144</v>
      </c>
      <c r="B3239" t="s">
        <v>7145</v>
      </c>
      <c r="C3239" t="s">
        <v>151</v>
      </c>
      <c r="F3239">
        <v>1</v>
      </c>
      <c r="G3239" t="s">
        <v>16</v>
      </c>
      <c r="H3239">
        <v>0</v>
      </c>
      <c r="I3239" s="2" t="s">
        <v>500</v>
      </c>
      <c r="J3239" s="2" t="s">
        <v>7146</v>
      </c>
      <c r="K3239">
        <v>20</v>
      </c>
      <c r="L3239">
        <v>20</v>
      </c>
      <c r="M3239">
        <v>20</v>
      </c>
    </row>
    <row r="3240" spans="1:13" x14ac:dyDescent="0.25">
      <c r="A3240" t="s">
        <v>7147</v>
      </c>
      <c r="B3240" t="s">
        <v>7148</v>
      </c>
      <c r="C3240" t="s">
        <v>151</v>
      </c>
      <c r="D3240" t="s">
        <v>3551</v>
      </c>
      <c r="G3240" t="s">
        <v>16</v>
      </c>
      <c r="H3240">
        <v>0</v>
      </c>
      <c r="I3240" s="2" t="s">
        <v>953</v>
      </c>
      <c r="J3240" s="2">
        <v>38220</v>
      </c>
      <c r="K3240">
        <v>20</v>
      </c>
      <c r="L3240">
        <v>20</v>
      </c>
      <c r="M3240">
        <v>20</v>
      </c>
    </row>
    <row r="3241" spans="1:13" x14ac:dyDescent="0.25">
      <c r="A3241" t="s">
        <v>7149</v>
      </c>
      <c r="B3241" t="s">
        <v>7150</v>
      </c>
      <c r="C3241" t="s">
        <v>151</v>
      </c>
      <c r="D3241" t="s">
        <v>6347</v>
      </c>
      <c r="F3241">
        <v>0</v>
      </c>
      <c r="G3241" t="s">
        <v>16</v>
      </c>
      <c r="H3241">
        <v>0</v>
      </c>
      <c r="I3241" s="2" t="s">
        <v>598</v>
      </c>
      <c r="J3241" s="2">
        <v>393300</v>
      </c>
      <c r="K3241">
        <v>20</v>
      </c>
      <c r="L3241">
        <v>20</v>
      </c>
      <c r="M3241">
        <v>20</v>
      </c>
    </row>
    <row r="3242" spans="1:13" x14ac:dyDescent="0.25">
      <c r="A3242" t="s">
        <v>7151</v>
      </c>
      <c r="B3242" t="s">
        <v>7152</v>
      </c>
      <c r="C3242" t="s">
        <v>151</v>
      </c>
      <c r="D3242" t="s">
        <v>6347</v>
      </c>
      <c r="G3242" t="s">
        <v>16</v>
      </c>
      <c r="H3242">
        <v>0</v>
      </c>
      <c r="I3242" s="2" t="s">
        <v>1861</v>
      </c>
      <c r="J3242" s="2" t="s">
        <v>7153</v>
      </c>
      <c r="K3242">
        <v>20</v>
      </c>
      <c r="L3242">
        <v>20</v>
      </c>
      <c r="M3242">
        <v>20</v>
      </c>
    </row>
    <row r="3243" spans="1:13" x14ac:dyDescent="0.25">
      <c r="A3243" t="s">
        <v>7154</v>
      </c>
      <c r="B3243" t="s">
        <v>7155</v>
      </c>
      <c r="C3243" t="s">
        <v>151</v>
      </c>
      <c r="D3243" t="s">
        <v>6347</v>
      </c>
      <c r="F3243">
        <v>1</v>
      </c>
      <c r="G3243" t="s">
        <v>16</v>
      </c>
      <c r="H3243">
        <v>0</v>
      </c>
      <c r="I3243" s="2" t="s">
        <v>598</v>
      </c>
      <c r="J3243" s="2">
        <v>342915</v>
      </c>
      <c r="K3243">
        <v>20</v>
      </c>
      <c r="L3243">
        <v>20</v>
      </c>
      <c r="M3243">
        <v>20</v>
      </c>
    </row>
    <row r="3244" spans="1:13" x14ac:dyDescent="0.25">
      <c r="A3244" t="s">
        <v>7156</v>
      </c>
      <c r="B3244" t="s">
        <v>7157</v>
      </c>
      <c r="C3244" t="s">
        <v>151</v>
      </c>
      <c r="D3244" t="s">
        <v>6347</v>
      </c>
      <c r="F3244">
        <v>1</v>
      </c>
      <c r="G3244" t="s">
        <v>16</v>
      </c>
      <c r="H3244">
        <v>0</v>
      </c>
      <c r="I3244" s="2" t="s">
        <v>389</v>
      </c>
      <c r="J3244" s="2">
        <v>1682226680</v>
      </c>
      <c r="K3244">
        <v>20</v>
      </c>
      <c r="L3244">
        <v>20</v>
      </c>
      <c r="M3244">
        <v>20</v>
      </c>
    </row>
    <row r="3245" spans="1:13" x14ac:dyDescent="0.25">
      <c r="A3245" t="s">
        <v>7158</v>
      </c>
      <c r="B3245" t="s">
        <v>7160</v>
      </c>
      <c r="C3245" t="s">
        <v>151</v>
      </c>
      <c r="D3245" t="s">
        <v>6347</v>
      </c>
      <c r="F3245">
        <v>1</v>
      </c>
      <c r="G3245" t="s">
        <v>16</v>
      </c>
      <c r="H3245">
        <v>0</v>
      </c>
      <c r="I3245" s="2" t="s">
        <v>288</v>
      </c>
      <c r="J3245" s="2" t="s">
        <v>7159</v>
      </c>
      <c r="K3245">
        <v>20</v>
      </c>
      <c r="L3245">
        <v>20</v>
      </c>
      <c r="M3245">
        <v>20</v>
      </c>
    </row>
    <row r="3246" spans="1:13" x14ac:dyDescent="0.25">
      <c r="A3246" t="s">
        <v>7161</v>
      </c>
      <c r="B3246" t="s">
        <v>7162</v>
      </c>
      <c r="C3246" t="s">
        <v>151</v>
      </c>
      <c r="D3246" t="s">
        <v>6347</v>
      </c>
      <c r="F3246">
        <v>1</v>
      </c>
      <c r="G3246" t="s">
        <v>16</v>
      </c>
      <c r="H3246">
        <v>0</v>
      </c>
      <c r="I3246" s="2" t="s">
        <v>389</v>
      </c>
      <c r="J3246" s="2">
        <v>1682220980</v>
      </c>
      <c r="K3246">
        <v>20</v>
      </c>
      <c r="L3246">
        <v>20</v>
      </c>
      <c r="M3246">
        <v>20</v>
      </c>
    </row>
    <row r="3247" spans="1:13" x14ac:dyDescent="0.25">
      <c r="A3247" t="s">
        <v>7163</v>
      </c>
      <c r="B3247" t="s">
        <v>7165</v>
      </c>
      <c r="C3247" t="s">
        <v>151</v>
      </c>
      <c r="D3247" t="s">
        <v>6347</v>
      </c>
      <c r="F3247">
        <v>3</v>
      </c>
      <c r="G3247" t="s">
        <v>16</v>
      </c>
      <c r="H3247">
        <v>0</v>
      </c>
      <c r="I3247" s="2" t="s">
        <v>288</v>
      </c>
      <c r="J3247" s="2" t="s">
        <v>7164</v>
      </c>
      <c r="K3247">
        <v>20</v>
      </c>
      <c r="L3247">
        <v>20</v>
      </c>
      <c r="M3247">
        <v>20</v>
      </c>
    </row>
    <row r="3248" spans="1:13" x14ac:dyDescent="0.25">
      <c r="A3248" t="s">
        <v>7166</v>
      </c>
      <c r="B3248" t="s">
        <v>7167</v>
      </c>
      <c r="C3248" t="s">
        <v>151</v>
      </c>
      <c r="D3248" t="s">
        <v>6347</v>
      </c>
      <c r="F3248">
        <v>1</v>
      </c>
      <c r="G3248" t="s">
        <v>16</v>
      </c>
      <c r="H3248">
        <v>0</v>
      </c>
      <c r="I3248" s="2" t="s">
        <v>389</v>
      </c>
      <c r="J3248" s="2">
        <v>1682220780</v>
      </c>
      <c r="K3248">
        <v>20</v>
      </c>
      <c r="L3248">
        <v>20</v>
      </c>
      <c r="M3248">
        <v>20</v>
      </c>
    </row>
    <row r="3249" spans="1:13" x14ac:dyDescent="0.25">
      <c r="A3249" t="s">
        <v>7168</v>
      </c>
      <c r="B3249" t="s">
        <v>7170</v>
      </c>
      <c r="C3249" t="s">
        <v>151</v>
      </c>
      <c r="D3249" t="s">
        <v>6347</v>
      </c>
      <c r="F3249">
        <v>1</v>
      </c>
      <c r="G3249" t="s">
        <v>16</v>
      </c>
      <c r="H3249">
        <v>0</v>
      </c>
      <c r="I3249" s="2" t="s">
        <v>288</v>
      </c>
      <c r="J3249" s="2" t="s">
        <v>7169</v>
      </c>
      <c r="K3249">
        <v>20</v>
      </c>
      <c r="L3249">
        <v>20</v>
      </c>
      <c r="M3249">
        <v>20</v>
      </c>
    </row>
    <row r="3250" spans="1:13" x14ac:dyDescent="0.25">
      <c r="A3250" t="s">
        <v>7171</v>
      </c>
      <c r="B3250" t="s">
        <v>7170</v>
      </c>
      <c r="C3250" t="s">
        <v>151</v>
      </c>
      <c r="D3250" t="s">
        <v>6347</v>
      </c>
      <c r="G3250" t="s">
        <v>16</v>
      </c>
      <c r="H3250">
        <v>0</v>
      </c>
      <c r="I3250" s="2" t="s">
        <v>3724</v>
      </c>
      <c r="J3250" s="2" t="s">
        <v>7172</v>
      </c>
      <c r="K3250">
        <v>20</v>
      </c>
      <c r="L3250">
        <v>20</v>
      </c>
      <c r="M3250">
        <v>20</v>
      </c>
    </row>
    <row r="3251" spans="1:13" x14ac:dyDescent="0.25">
      <c r="A3251" t="s">
        <v>7173</v>
      </c>
      <c r="B3251" t="s">
        <v>7170</v>
      </c>
      <c r="C3251" t="s">
        <v>151</v>
      </c>
      <c r="D3251" t="s">
        <v>6347</v>
      </c>
      <c r="G3251" t="s">
        <v>16</v>
      </c>
      <c r="H3251">
        <v>0</v>
      </c>
      <c r="I3251" s="2" t="s">
        <v>1909</v>
      </c>
      <c r="J3251" s="2">
        <v>940134</v>
      </c>
      <c r="K3251">
        <v>20</v>
      </c>
      <c r="L3251">
        <v>20</v>
      </c>
      <c r="M3251">
        <v>20</v>
      </c>
    </row>
    <row r="3252" spans="1:13" x14ac:dyDescent="0.25">
      <c r="A3252" t="s">
        <v>7174</v>
      </c>
      <c r="B3252" t="s">
        <v>7175</v>
      </c>
      <c r="C3252" t="s">
        <v>151</v>
      </c>
      <c r="D3252" t="s">
        <v>6936</v>
      </c>
      <c r="F3252">
        <v>1</v>
      </c>
      <c r="G3252" t="s">
        <v>16</v>
      </c>
      <c r="H3252">
        <v>0</v>
      </c>
      <c r="I3252" s="2" t="s">
        <v>389</v>
      </c>
      <c r="J3252" s="2">
        <v>1682218380</v>
      </c>
      <c r="K3252">
        <v>20</v>
      </c>
      <c r="L3252">
        <v>20</v>
      </c>
      <c r="M3252">
        <v>20</v>
      </c>
    </row>
    <row r="3253" spans="1:13" x14ac:dyDescent="0.25">
      <c r="A3253" t="s">
        <v>7176</v>
      </c>
      <c r="B3253" t="s">
        <v>7177</v>
      </c>
      <c r="C3253" t="s">
        <v>151</v>
      </c>
      <c r="D3253" t="s">
        <v>6347</v>
      </c>
      <c r="F3253">
        <v>1</v>
      </c>
      <c r="G3253" t="s">
        <v>16</v>
      </c>
      <c r="H3253">
        <v>0</v>
      </c>
      <c r="I3253" s="2" t="s">
        <v>389</v>
      </c>
      <c r="J3253" s="2">
        <v>1682214980</v>
      </c>
      <c r="K3253">
        <v>20</v>
      </c>
      <c r="L3253">
        <v>20</v>
      </c>
      <c r="M3253">
        <v>20</v>
      </c>
    </row>
    <row r="3254" spans="1:13" x14ac:dyDescent="0.25">
      <c r="A3254" t="s">
        <v>7178</v>
      </c>
      <c r="B3254" t="s">
        <v>7177</v>
      </c>
      <c r="C3254" t="s">
        <v>151</v>
      </c>
      <c r="D3254" t="s">
        <v>6347</v>
      </c>
      <c r="F3254">
        <v>1</v>
      </c>
      <c r="G3254" t="s">
        <v>16</v>
      </c>
      <c r="H3254">
        <v>0</v>
      </c>
      <c r="I3254" s="2" t="s">
        <v>162</v>
      </c>
      <c r="J3254" s="2">
        <v>82140</v>
      </c>
      <c r="K3254">
        <v>20</v>
      </c>
      <c r="L3254">
        <v>20</v>
      </c>
      <c r="M3254">
        <v>20</v>
      </c>
    </row>
    <row r="3255" spans="1:13" x14ac:dyDescent="0.25">
      <c r="A3255" t="s">
        <v>7179</v>
      </c>
      <c r="B3255" t="s">
        <v>7180</v>
      </c>
      <c r="C3255" t="s">
        <v>151</v>
      </c>
      <c r="D3255" t="s">
        <v>6347</v>
      </c>
      <c r="F3255">
        <v>1</v>
      </c>
      <c r="G3255" t="s">
        <v>16</v>
      </c>
      <c r="H3255">
        <v>0</v>
      </c>
      <c r="I3255" s="2" t="s">
        <v>389</v>
      </c>
      <c r="J3255" s="2">
        <v>1682231280</v>
      </c>
      <c r="K3255">
        <v>20</v>
      </c>
      <c r="L3255">
        <v>20</v>
      </c>
      <c r="M3255">
        <v>20</v>
      </c>
    </row>
    <row r="3256" spans="1:13" x14ac:dyDescent="0.25">
      <c r="A3256" t="s">
        <v>7181</v>
      </c>
      <c r="B3256" t="s">
        <v>7182</v>
      </c>
      <c r="C3256" t="s">
        <v>151</v>
      </c>
      <c r="D3256" t="s">
        <v>6347</v>
      </c>
      <c r="F3256">
        <v>1</v>
      </c>
      <c r="G3256" t="s">
        <v>16</v>
      </c>
      <c r="H3256">
        <v>0</v>
      </c>
      <c r="I3256" s="2" t="s">
        <v>707</v>
      </c>
      <c r="J3256" s="2" t="s">
        <v>7183</v>
      </c>
      <c r="K3256">
        <v>20</v>
      </c>
      <c r="L3256">
        <v>20</v>
      </c>
      <c r="M3256">
        <v>20</v>
      </c>
    </row>
    <row r="3257" spans="1:13" x14ac:dyDescent="0.25">
      <c r="A3257" t="s">
        <v>7184</v>
      </c>
      <c r="B3257" t="s">
        <v>7186</v>
      </c>
      <c r="C3257" t="s">
        <v>20</v>
      </c>
      <c r="D3257" t="s">
        <v>894</v>
      </c>
      <c r="G3257" t="s">
        <v>16</v>
      </c>
      <c r="H3257">
        <v>0</v>
      </c>
      <c r="I3257" s="2" t="s">
        <v>288</v>
      </c>
      <c r="J3257" s="2" t="s">
        <v>7185</v>
      </c>
      <c r="K3257">
        <v>20</v>
      </c>
      <c r="L3257">
        <v>20</v>
      </c>
      <c r="M3257">
        <v>20</v>
      </c>
    </row>
    <row r="3258" spans="1:13" x14ac:dyDescent="0.25">
      <c r="A3258" t="s">
        <v>7187</v>
      </c>
      <c r="B3258" t="s">
        <v>7188</v>
      </c>
      <c r="C3258" t="s">
        <v>20</v>
      </c>
      <c r="D3258" t="s">
        <v>894</v>
      </c>
      <c r="F3258">
        <v>2</v>
      </c>
      <c r="G3258" t="s">
        <v>16</v>
      </c>
      <c r="H3258">
        <v>0</v>
      </c>
      <c r="I3258" s="2" t="s">
        <v>7189</v>
      </c>
      <c r="J3258" s="2" t="s">
        <v>7190</v>
      </c>
      <c r="K3258">
        <v>20</v>
      </c>
      <c r="L3258">
        <v>20</v>
      </c>
      <c r="M3258">
        <v>20</v>
      </c>
    </row>
    <row r="3259" spans="1:13" x14ac:dyDescent="0.25">
      <c r="A3259" t="s">
        <v>7191</v>
      </c>
      <c r="B3259" t="s">
        <v>7188</v>
      </c>
      <c r="C3259" t="s">
        <v>20</v>
      </c>
      <c r="D3259" t="s">
        <v>894</v>
      </c>
      <c r="G3259" t="s">
        <v>16</v>
      </c>
      <c r="H3259">
        <v>0</v>
      </c>
      <c r="I3259" s="2" t="s">
        <v>900</v>
      </c>
      <c r="J3259" s="2" t="s">
        <v>7192</v>
      </c>
      <c r="K3259">
        <v>20</v>
      </c>
      <c r="L3259">
        <v>20</v>
      </c>
      <c r="M3259">
        <v>20</v>
      </c>
    </row>
    <row r="3260" spans="1:13" x14ac:dyDescent="0.25">
      <c r="A3260" t="s">
        <v>7193</v>
      </c>
      <c r="B3260" t="s">
        <v>7195</v>
      </c>
      <c r="C3260" t="s">
        <v>20</v>
      </c>
      <c r="D3260" t="s">
        <v>894</v>
      </c>
      <c r="F3260">
        <v>2</v>
      </c>
      <c r="G3260" t="s">
        <v>16</v>
      </c>
      <c r="H3260">
        <v>0</v>
      </c>
      <c r="I3260" s="2" t="s">
        <v>765</v>
      </c>
      <c r="J3260" s="2" t="s">
        <v>7194</v>
      </c>
      <c r="K3260">
        <v>20</v>
      </c>
      <c r="L3260">
        <v>20</v>
      </c>
      <c r="M3260">
        <v>20</v>
      </c>
    </row>
    <row r="3261" spans="1:13" x14ac:dyDescent="0.25">
      <c r="A3261" t="s">
        <v>7196</v>
      </c>
      <c r="B3261" t="s">
        <v>7197</v>
      </c>
      <c r="C3261" t="s">
        <v>20</v>
      </c>
      <c r="D3261" t="s">
        <v>894</v>
      </c>
      <c r="G3261" t="s">
        <v>16</v>
      </c>
      <c r="H3261">
        <v>0</v>
      </c>
      <c r="I3261" s="2" t="s">
        <v>900</v>
      </c>
      <c r="J3261" s="2">
        <v>518</v>
      </c>
      <c r="K3261">
        <v>20</v>
      </c>
      <c r="L3261">
        <v>20</v>
      </c>
      <c r="M3261">
        <v>20</v>
      </c>
    </row>
    <row r="3262" spans="1:13" x14ac:dyDescent="0.25">
      <c r="A3262" t="s">
        <v>7198</v>
      </c>
      <c r="B3262" t="s">
        <v>7199</v>
      </c>
      <c r="C3262" t="s">
        <v>14</v>
      </c>
      <c r="D3262" t="s">
        <v>2620</v>
      </c>
      <c r="F3262">
        <v>1</v>
      </c>
      <c r="G3262" t="s">
        <v>16</v>
      </c>
      <c r="H3262">
        <v>0</v>
      </c>
      <c r="I3262" s="2" t="s">
        <v>7200</v>
      </c>
      <c r="J3262" s="2">
        <v>2434300</v>
      </c>
      <c r="K3262">
        <v>20</v>
      </c>
      <c r="L3262">
        <v>20</v>
      </c>
      <c r="M3262">
        <v>20</v>
      </c>
    </row>
    <row r="3263" spans="1:13" x14ac:dyDescent="0.25">
      <c r="A3263" t="s">
        <v>7201</v>
      </c>
      <c r="B3263" t="s">
        <v>7202</v>
      </c>
      <c r="C3263" t="s">
        <v>14</v>
      </c>
      <c r="D3263" t="s">
        <v>2620</v>
      </c>
      <c r="F3263">
        <v>12</v>
      </c>
      <c r="G3263" t="s">
        <v>16</v>
      </c>
      <c r="H3263">
        <v>0</v>
      </c>
      <c r="I3263" s="2" t="s">
        <v>51</v>
      </c>
      <c r="J3263" s="2">
        <v>190195</v>
      </c>
      <c r="K3263">
        <v>20</v>
      </c>
      <c r="L3263">
        <v>20</v>
      </c>
      <c r="M3263">
        <v>20</v>
      </c>
    </row>
    <row r="3264" spans="1:13" x14ac:dyDescent="0.25">
      <c r="A3264" t="s">
        <v>7203</v>
      </c>
      <c r="B3264" t="s">
        <v>7202</v>
      </c>
      <c r="C3264" t="s">
        <v>14</v>
      </c>
      <c r="D3264" t="s">
        <v>2620</v>
      </c>
      <c r="F3264">
        <v>4</v>
      </c>
      <c r="G3264" t="s">
        <v>16</v>
      </c>
      <c r="H3264">
        <v>0</v>
      </c>
      <c r="I3264" s="2" t="s">
        <v>941</v>
      </c>
      <c r="J3264" s="2" t="s">
        <v>7204</v>
      </c>
      <c r="K3264">
        <v>20</v>
      </c>
      <c r="L3264">
        <v>20</v>
      </c>
      <c r="M3264">
        <v>20</v>
      </c>
    </row>
    <row r="3265" spans="1:13" x14ac:dyDescent="0.25">
      <c r="A3265" t="s">
        <v>7205</v>
      </c>
      <c r="B3265" t="s">
        <v>7202</v>
      </c>
      <c r="C3265" t="s">
        <v>14</v>
      </c>
      <c r="D3265" t="s">
        <v>2620</v>
      </c>
      <c r="G3265" t="s">
        <v>16</v>
      </c>
      <c r="H3265">
        <v>0</v>
      </c>
      <c r="I3265" s="2" t="s">
        <v>392</v>
      </c>
      <c r="J3265" s="2" t="s">
        <v>7206</v>
      </c>
      <c r="K3265">
        <v>20</v>
      </c>
      <c r="L3265">
        <v>20</v>
      </c>
      <c r="M3265">
        <v>20</v>
      </c>
    </row>
    <row r="3266" spans="1:13" x14ac:dyDescent="0.25">
      <c r="A3266" t="s">
        <v>7207</v>
      </c>
      <c r="B3266" t="s">
        <v>7202</v>
      </c>
      <c r="C3266" t="s">
        <v>14</v>
      </c>
      <c r="D3266" t="s">
        <v>2620</v>
      </c>
      <c r="F3266">
        <v>4</v>
      </c>
      <c r="G3266" t="s">
        <v>16</v>
      </c>
      <c r="H3266">
        <v>0</v>
      </c>
      <c r="I3266" s="2" t="s">
        <v>669</v>
      </c>
      <c r="J3266" s="2" t="s">
        <v>7208</v>
      </c>
      <c r="K3266">
        <v>20</v>
      </c>
      <c r="L3266">
        <v>20</v>
      </c>
      <c r="M3266">
        <v>20</v>
      </c>
    </row>
    <row r="3267" spans="1:13" x14ac:dyDescent="0.25">
      <c r="A3267" t="s">
        <v>7209</v>
      </c>
      <c r="B3267" t="s">
        <v>7202</v>
      </c>
      <c r="C3267" t="s">
        <v>14</v>
      </c>
      <c r="D3267" t="s">
        <v>2620</v>
      </c>
      <c r="F3267">
        <v>3</v>
      </c>
      <c r="G3267" t="s">
        <v>16</v>
      </c>
      <c r="H3267">
        <v>0</v>
      </c>
      <c r="I3267" s="2" t="s">
        <v>6943</v>
      </c>
      <c r="J3267" s="2" t="s">
        <v>7210</v>
      </c>
      <c r="K3267">
        <v>20</v>
      </c>
      <c r="L3267">
        <v>20</v>
      </c>
      <c r="M3267">
        <v>20</v>
      </c>
    </row>
    <row r="3268" spans="1:13" x14ac:dyDescent="0.25">
      <c r="A3268" t="s">
        <v>7211</v>
      </c>
      <c r="B3268" t="s">
        <v>7202</v>
      </c>
      <c r="C3268" t="s">
        <v>14</v>
      </c>
      <c r="D3268" t="s">
        <v>2620</v>
      </c>
      <c r="G3268" t="s">
        <v>16</v>
      </c>
      <c r="H3268">
        <v>0</v>
      </c>
      <c r="I3268" s="2" t="s">
        <v>17</v>
      </c>
      <c r="J3268" s="2" t="s">
        <v>7212</v>
      </c>
      <c r="K3268">
        <v>20</v>
      </c>
      <c r="L3268">
        <v>20</v>
      </c>
      <c r="M3268">
        <v>20</v>
      </c>
    </row>
    <row r="3269" spans="1:13" x14ac:dyDescent="0.25">
      <c r="A3269" t="s">
        <v>7213</v>
      </c>
      <c r="B3269" t="s">
        <v>7202</v>
      </c>
      <c r="C3269" t="s">
        <v>14</v>
      </c>
      <c r="D3269" t="s">
        <v>2620</v>
      </c>
      <c r="F3269">
        <v>2</v>
      </c>
      <c r="G3269" t="s">
        <v>16</v>
      </c>
      <c r="H3269">
        <v>0</v>
      </c>
      <c r="I3269" s="2" t="s">
        <v>4810</v>
      </c>
      <c r="J3269" s="2" t="s">
        <v>7214</v>
      </c>
      <c r="K3269">
        <v>20</v>
      </c>
      <c r="L3269">
        <v>20</v>
      </c>
      <c r="M3269">
        <v>20</v>
      </c>
    </row>
    <row r="3270" spans="1:13" x14ac:dyDescent="0.25">
      <c r="A3270" t="s">
        <v>7215</v>
      </c>
      <c r="B3270" t="s">
        <v>7216</v>
      </c>
      <c r="C3270" t="s">
        <v>14</v>
      </c>
      <c r="D3270" t="s">
        <v>2620</v>
      </c>
      <c r="F3270">
        <v>1</v>
      </c>
      <c r="G3270" t="s">
        <v>16</v>
      </c>
      <c r="H3270">
        <v>0</v>
      </c>
      <c r="I3270" s="2" t="s">
        <v>55</v>
      </c>
      <c r="J3270" s="2" t="s">
        <v>7215</v>
      </c>
      <c r="K3270">
        <v>20</v>
      </c>
      <c r="L3270">
        <v>20</v>
      </c>
      <c r="M3270">
        <v>20</v>
      </c>
    </row>
    <row r="3271" spans="1:13" x14ac:dyDescent="0.25">
      <c r="A3271" t="s">
        <v>7217</v>
      </c>
      <c r="B3271" t="s">
        <v>7218</v>
      </c>
      <c r="C3271" t="s">
        <v>14</v>
      </c>
      <c r="D3271" t="s">
        <v>2620</v>
      </c>
      <c r="F3271">
        <v>2</v>
      </c>
      <c r="G3271" t="s">
        <v>16</v>
      </c>
      <c r="H3271">
        <v>0</v>
      </c>
      <c r="I3271" s="2" t="s">
        <v>87</v>
      </c>
      <c r="J3271" s="2" t="s">
        <v>7219</v>
      </c>
      <c r="K3271">
        <v>20</v>
      </c>
      <c r="L3271">
        <v>20</v>
      </c>
      <c r="M3271">
        <v>20</v>
      </c>
    </row>
    <row r="3272" spans="1:13" x14ac:dyDescent="0.25">
      <c r="A3272" t="s">
        <v>7220</v>
      </c>
      <c r="B3272" t="s">
        <v>7221</v>
      </c>
      <c r="C3272" t="s">
        <v>14</v>
      </c>
      <c r="D3272" t="s">
        <v>2620</v>
      </c>
      <c r="F3272">
        <v>-1</v>
      </c>
      <c r="G3272" t="s">
        <v>16</v>
      </c>
      <c r="H3272">
        <v>0</v>
      </c>
      <c r="I3272" s="2" t="s">
        <v>51</v>
      </c>
      <c r="J3272" s="2" t="s">
        <v>7220</v>
      </c>
      <c r="K3272">
        <v>20</v>
      </c>
      <c r="L3272">
        <v>20</v>
      </c>
      <c r="M3272">
        <v>20</v>
      </c>
    </row>
    <row r="3273" spans="1:13" x14ac:dyDescent="0.25">
      <c r="A3273" t="s">
        <v>7222</v>
      </c>
      <c r="B3273" t="s">
        <v>7221</v>
      </c>
      <c r="C3273" t="s">
        <v>14</v>
      </c>
      <c r="D3273" t="s">
        <v>2620</v>
      </c>
      <c r="G3273" t="s">
        <v>16</v>
      </c>
      <c r="H3273">
        <v>0</v>
      </c>
      <c r="I3273" s="2" t="s">
        <v>392</v>
      </c>
      <c r="J3273" s="2" t="s">
        <v>7223</v>
      </c>
      <c r="K3273">
        <v>20</v>
      </c>
      <c r="L3273">
        <v>20</v>
      </c>
      <c r="M3273">
        <v>20</v>
      </c>
    </row>
    <row r="3274" spans="1:13" x14ac:dyDescent="0.25">
      <c r="A3274" t="s">
        <v>7224</v>
      </c>
      <c r="B3274" t="s">
        <v>7225</v>
      </c>
      <c r="C3274" t="s">
        <v>14</v>
      </c>
      <c r="D3274" t="s">
        <v>2620</v>
      </c>
      <c r="F3274">
        <v>2</v>
      </c>
      <c r="G3274" t="s">
        <v>16</v>
      </c>
      <c r="H3274">
        <v>0</v>
      </c>
      <c r="I3274" s="2" t="s">
        <v>192</v>
      </c>
      <c r="J3274" s="2" t="s">
        <v>7226</v>
      </c>
      <c r="K3274">
        <v>20</v>
      </c>
      <c r="L3274">
        <v>20</v>
      </c>
      <c r="M3274">
        <v>20</v>
      </c>
    </row>
    <row r="3275" spans="1:13" x14ac:dyDescent="0.25">
      <c r="A3275" t="s">
        <v>7227</v>
      </c>
      <c r="B3275" t="s">
        <v>7221</v>
      </c>
      <c r="C3275" t="s">
        <v>14</v>
      </c>
      <c r="D3275" t="s">
        <v>2620</v>
      </c>
      <c r="F3275">
        <v>1</v>
      </c>
      <c r="G3275" t="s">
        <v>16</v>
      </c>
      <c r="H3275">
        <v>0</v>
      </c>
      <c r="I3275" s="2" t="s">
        <v>108</v>
      </c>
      <c r="J3275" s="3">
        <v>2542003002</v>
      </c>
      <c r="K3275">
        <v>20</v>
      </c>
      <c r="L3275">
        <v>20</v>
      </c>
      <c r="M3275">
        <v>20</v>
      </c>
    </row>
    <row r="3276" spans="1:13" x14ac:dyDescent="0.25">
      <c r="A3276" t="s">
        <v>7228</v>
      </c>
      <c r="B3276" t="s">
        <v>7221</v>
      </c>
      <c r="C3276" t="s">
        <v>14</v>
      </c>
      <c r="D3276" t="s">
        <v>2620</v>
      </c>
      <c r="F3276">
        <v>5</v>
      </c>
      <c r="G3276" t="s">
        <v>16</v>
      </c>
      <c r="H3276">
        <v>0</v>
      </c>
      <c r="I3276" s="2" t="s">
        <v>479</v>
      </c>
      <c r="J3276" s="2" t="s">
        <v>7229</v>
      </c>
      <c r="K3276">
        <v>20</v>
      </c>
      <c r="L3276">
        <v>20</v>
      </c>
      <c r="M3276">
        <v>20</v>
      </c>
    </row>
    <row r="3277" spans="1:13" x14ac:dyDescent="0.25">
      <c r="A3277" t="s">
        <v>7230</v>
      </c>
      <c r="B3277" t="s">
        <v>7221</v>
      </c>
      <c r="C3277" t="s">
        <v>14</v>
      </c>
      <c r="D3277" t="s">
        <v>2620</v>
      </c>
      <c r="F3277">
        <v>3</v>
      </c>
      <c r="G3277" t="s">
        <v>16</v>
      </c>
      <c r="H3277">
        <v>0</v>
      </c>
      <c r="I3277" s="2" t="s">
        <v>4748</v>
      </c>
      <c r="J3277" s="2" t="s">
        <v>7231</v>
      </c>
      <c r="K3277">
        <v>20</v>
      </c>
      <c r="L3277">
        <v>20</v>
      </c>
      <c r="M3277">
        <v>20</v>
      </c>
    </row>
    <row r="3278" spans="1:13" x14ac:dyDescent="0.25">
      <c r="A3278" t="s">
        <v>7232</v>
      </c>
      <c r="B3278" t="s">
        <v>7221</v>
      </c>
      <c r="C3278" t="s">
        <v>14</v>
      </c>
      <c r="D3278" t="s">
        <v>2620</v>
      </c>
      <c r="F3278">
        <v>3</v>
      </c>
      <c r="G3278" t="s">
        <v>16</v>
      </c>
      <c r="H3278">
        <v>0</v>
      </c>
      <c r="I3278" s="2" t="s">
        <v>7233</v>
      </c>
      <c r="J3278" s="2">
        <v>2401500</v>
      </c>
      <c r="K3278">
        <v>20</v>
      </c>
      <c r="L3278">
        <v>20</v>
      </c>
      <c r="M3278">
        <v>20</v>
      </c>
    </row>
    <row r="3279" spans="1:13" x14ac:dyDescent="0.25">
      <c r="A3279" t="s">
        <v>7234</v>
      </c>
      <c r="B3279" t="s">
        <v>7236</v>
      </c>
      <c r="C3279" t="s">
        <v>14</v>
      </c>
      <c r="D3279" t="s">
        <v>2620</v>
      </c>
      <c r="F3279">
        <v>5</v>
      </c>
      <c r="G3279" t="s">
        <v>16</v>
      </c>
      <c r="H3279">
        <v>0</v>
      </c>
      <c r="I3279" s="2" t="s">
        <v>69</v>
      </c>
      <c r="J3279" s="2" t="s">
        <v>7235</v>
      </c>
      <c r="K3279">
        <v>20</v>
      </c>
      <c r="L3279">
        <v>20</v>
      </c>
      <c r="M3279">
        <v>20</v>
      </c>
    </row>
    <row r="3280" spans="1:13" x14ac:dyDescent="0.25">
      <c r="A3280" t="s">
        <v>7237</v>
      </c>
      <c r="B3280" t="s">
        <v>7239</v>
      </c>
      <c r="C3280" t="s">
        <v>14</v>
      </c>
      <c r="D3280" t="s">
        <v>2620</v>
      </c>
      <c r="F3280">
        <v>1</v>
      </c>
      <c r="G3280" t="s">
        <v>16</v>
      </c>
      <c r="H3280">
        <v>0</v>
      </c>
      <c r="I3280" s="2" t="s">
        <v>4748</v>
      </c>
      <c r="J3280" s="2" t="s">
        <v>7238</v>
      </c>
      <c r="K3280">
        <v>20</v>
      </c>
      <c r="L3280">
        <v>20</v>
      </c>
      <c r="M3280">
        <v>20</v>
      </c>
    </row>
    <row r="3281" spans="1:13" x14ac:dyDescent="0.25">
      <c r="A3281" t="s">
        <v>7240</v>
      </c>
      <c r="B3281" t="s">
        <v>7241</v>
      </c>
      <c r="C3281" t="s">
        <v>14</v>
      </c>
      <c r="D3281" t="s">
        <v>2620</v>
      </c>
      <c r="G3281" t="s">
        <v>16</v>
      </c>
      <c r="H3281">
        <v>0</v>
      </c>
      <c r="I3281" s="2" t="s">
        <v>389</v>
      </c>
      <c r="J3281" s="2" t="s">
        <v>7242</v>
      </c>
      <c r="K3281">
        <v>20</v>
      </c>
      <c r="L3281">
        <v>20</v>
      </c>
      <c r="M3281">
        <v>20</v>
      </c>
    </row>
    <row r="3282" spans="1:13" x14ac:dyDescent="0.25">
      <c r="A3282" t="s">
        <v>7243</v>
      </c>
      <c r="B3282" t="s">
        <v>7241</v>
      </c>
      <c r="C3282" t="s">
        <v>14</v>
      </c>
      <c r="D3282" t="s">
        <v>2620</v>
      </c>
      <c r="F3282">
        <v>1</v>
      </c>
      <c r="G3282" t="s">
        <v>16</v>
      </c>
      <c r="H3282">
        <v>0</v>
      </c>
      <c r="I3282" s="2" t="s">
        <v>4748</v>
      </c>
      <c r="J3282" s="2" t="s">
        <v>7244</v>
      </c>
      <c r="K3282">
        <v>20</v>
      </c>
      <c r="L3282">
        <v>20</v>
      </c>
      <c r="M3282">
        <v>20</v>
      </c>
    </row>
    <row r="3283" spans="1:13" x14ac:dyDescent="0.25">
      <c r="A3283" t="s">
        <v>7245</v>
      </c>
      <c r="B3283" t="s">
        <v>7246</v>
      </c>
      <c r="C3283" t="s">
        <v>14</v>
      </c>
      <c r="D3283" t="s">
        <v>2620</v>
      </c>
      <c r="F3283">
        <v>5</v>
      </c>
      <c r="G3283" t="s">
        <v>16</v>
      </c>
      <c r="H3283">
        <v>0</v>
      </c>
      <c r="I3283" s="2" t="s">
        <v>383</v>
      </c>
      <c r="J3283" s="2">
        <v>1457431703</v>
      </c>
      <c r="K3283">
        <v>20</v>
      </c>
      <c r="L3283">
        <v>20</v>
      </c>
      <c r="M3283">
        <v>20</v>
      </c>
    </row>
    <row r="3284" spans="1:13" x14ac:dyDescent="0.25">
      <c r="A3284" t="s">
        <v>7247</v>
      </c>
      <c r="B3284" t="s">
        <v>7246</v>
      </c>
      <c r="C3284" t="s">
        <v>14</v>
      </c>
      <c r="D3284" t="s">
        <v>2620</v>
      </c>
      <c r="F3284">
        <v>3</v>
      </c>
      <c r="G3284" t="s">
        <v>16</v>
      </c>
      <c r="H3284">
        <v>0</v>
      </c>
      <c r="I3284" s="2" t="s">
        <v>707</v>
      </c>
      <c r="J3284" s="2" t="s">
        <v>7248</v>
      </c>
      <c r="K3284">
        <v>20</v>
      </c>
      <c r="L3284">
        <v>20</v>
      </c>
      <c r="M3284">
        <v>20</v>
      </c>
    </row>
    <row r="3285" spans="1:13" x14ac:dyDescent="0.25">
      <c r="A3285" t="s">
        <v>7249</v>
      </c>
      <c r="B3285" t="s">
        <v>7246</v>
      </c>
      <c r="C3285" t="s">
        <v>14</v>
      </c>
      <c r="D3285" t="s">
        <v>2620</v>
      </c>
      <c r="G3285" t="s">
        <v>16</v>
      </c>
      <c r="H3285">
        <v>0</v>
      </c>
      <c r="I3285" s="2" t="s">
        <v>7250</v>
      </c>
      <c r="J3285" s="2" t="s">
        <v>7251</v>
      </c>
      <c r="K3285">
        <v>20</v>
      </c>
      <c r="L3285">
        <v>20</v>
      </c>
      <c r="M3285">
        <v>20</v>
      </c>
    </row>
    <row r="3286" spans="1:13" x14ac:dyDescent="0.25">
      <c r="A3286" t="s">
        <v>7252</v>
      </c>
      <c r="B3286" t="s">
        <v>7253</v>
      </c>
      <c r="C3286" t="s">
        <v>14</v>
      </c>
      <c r="D3286" t="s">
        <v>2620</v>
      </c>
      <c r="F3286">
        <v>1</v>
      </c>
      <c r="G3286" t="s">
        <v>16</v>
      </c>
      <c r="H3286">
        <v>0</v>
      </c>
      <c r="I3286" s="2" t="s">
        <v>51</v>
      </c>
      <c r="J3286" s="2" t="s">
        <v>7254</v>
      </c>
      <c r="K3286">
        <v>20</v>
      </c>
      <c r="L3286">
        <v>20</v>
      </c>
      <c r="M3286">
        <v>20</v>
      </c>
    </row>
    <row r="3287" spans="1:13" x14ac:dyDescent="0.25">
      <c r="A3287" t="s">
        <v>7255</v>
      </c>
      <c r="B3287" t="s">
        <v>7256</v>
      </c>
      <c r="C3287" t="s">
        <v>14</v>
      </c>
      <c r="D3287" t="s">
        <v>2620</v>
      </c>
      <c r="F3287">
        <v>1</v>
      </c>
      <c r="G3287" t="s">
        <v>16</v>
      </c>
      <c r="H3287">
        <v>0</v>
      </c>
      <c r="I3287" s="2" t="s">
        <v>55</v>
      </c>
      <c r="J3287" s="2" t="s">
        <v>7255</v>
      </c>
      <c r="K3287">
        <v>20</v>
      </c>
      <c r="L3287">
        <v>20</v>
      </c>
      <c r="M3287">
        <v>20</v>
      </c>
    </row>
    <row r="3288" spans="1:13" x14ac:dyDescent="0.25">
      <c r="A3288" t="s">
        <v>7257</v>
      </c>
      <c r="B3288" t="s">
        <v>7256</v>
      </c>
      <c r="C3288" t="s">
        <v>14</v>
      </c>
      <c r="D3288" t="s">
        <v>2620</v>
      </c>
      <c r="G3288" t="s">
        <v>16</v>
      </c>
      <c r="H3288">
        <v>0</v>
      </c>
      <c r="I3288" s="2" t="s">
        <v>707</v>
      </c>
      <c r="J3288" s="2" t="s">
        <v>7258</v>
      </c>
      <c r="K3288">
        <v>20</v>
      </c>
      <c r="L3288">
        <v>20</v>
      </c>
      <c r="M3288">
        <v>20</v>
      </c>
    </row>
    <row r="3289" spans="1:13" x14ac:dyDescent="0.25">
      <c r="A3289" t="s">
        <v>7259</v>
      </c>
      <c r="B3289" t="s">
        <v>7256</v>
      </c>
      <c r="C3289" t="s">
        <v>14</v>
      </c>
      <c r="D3289" t="s">
        <v>2620</v>
      </c>
      <c r="F3289">
        <v>2</v>
      </c>
      <c r="G3289" t="s">
        <v>16</v>
      </c>
      <c r="H3289">
        <v>0</v>
      </c>
      <c r="I3289" s="2" t="s">
        <v>389</v>
      </c>
      <c r="J3289" s="2">
        <v>1611659480</v>
      </c>
      <c r="K3289">
        <v>20</v>
      </c>
      <c r="L3289">
        <v>20</v>
      </c>
      <c r="M3289">
        <v>20</v>
      </c>
    </row>
    <row r="3290" spans="1:13" x14ac:dyDescent="0.25">
      <c r="A3290" t="s">
        <v>7260</v>
      </c>
      <c r="B3290" t="s">
        <v>7256</v>
      </c>
      <c r="C3290" t="s">
        <v>14</v>
      </c>
      <c r="D3290" t="s">
        <v>2620</v>
      </c>
      <c r="F3290">
        <v>1</v>
      </c>
      <c r="G3290" t="s">
        <v>16</v>
      </c>
      <c r="H3290">
        <v>0</v>
      </c>
      <c r="I3290" s="2" t="s">
        <v>4708</v>
      </c>
      <c r="J3290" s="2" t="s">
        <v>7261</v>
      </c>
      <c r="K3290">
        <v>20</v>
      </c>
      <c r="L3290">
        <v>20</v>
      </c>
      <c r="M3290">
        <v>20</v>
      </c>
    </row>
    <row r="3291" spans="1:13" x14ac:dyDescent="0.25">
      <c r="A3291" t="s">
        <v>7262</v>
      </c>
      <c r="B3291" t="s">
        <v>7256</v>
      </c>
      <c r="C3291" t="s">
        <v>14</v>
      </c>
      <c r="D3291" t="s">
        <v>2620</v>
      </c>
      <c r="F3291">
        <v>7</v>
      </c>
      <c r="G3291" t="s">
        <v>16</v>
      </c>
      <c r="H3291">
        <v>0</v>
      </c>
      <c r="I3291" s="2" t="s">
        <v>479</v>
      </c>
      <c r="J3291" s="2" t="s">
        <v>7263</v>
      </c>
      <c r="K3291">
        <v>20</v>
      </c>
      <c r="L3291">
        <v>20</v>
      </c>
      <c r="M3291">
        <v>20</v>
      </c>
    </row>
    <row r="3292" spans="1:13" x14ac:dyDescent="0.25">
      <c r="A3292" t="s">
        <v>7264</v>
      </c>
      <c r="B3292" t="s">
        <v>7256</v>
      </c>
      <c r="C3292" t="s">
        <v>14</v>
      </c>
      <c r="D3292" t="s">
        <v>2620</v>
      </c>
      <c r="F3292">
        <v>3</v>
      </c>
      <c r="G3292" t="s">
        <v>16</v>
      </c>
      <c r="H3292">
        <v>0</v>
      </c>
      <c r="I3292" s="2" t="s">
        <v>522</v>
      </c>
      <c r="J3292" s="2" t="s">
        <v>7265</v>
      </c>
      <c r="K3292">
        <v>20</v>
      </c>
      <c r="L3292">
        <v>20</v>
      </c>
      <c r="M3292">
        <v>20</v>
      </c>
    </row>
    <row r="3293" spans="1:13" x14ac:dyDescent="0.25">
      <c r="A3293" t="s">
        <v>7266</v>
      </c>
      <c r="B3293" t="s">
        <v>7256</v>
      </c>
      <c r="C3293" t="s">
        <v>14</v>
      </c>
      <c r="D3293" t="s">
        <v>2620</v>
      </c>
      <c r="F3293">
        <v>3</v>
      </c>
      <c r="G3293" t="s">
        <v>16</v>
      </c>
      <c r="H3293">
        <v>0</v>
      </c>
      <c r="I3293" s="2" t="s">
        <v>6943</v>
      </c>
      <c r="J3293" s="2" t="s">
        <v>7267</v>
      </c>
      <c r="K3293">
        <v>20</v>
      </c>
      <c r="L3293">
        <v>20</v>
      </c>
      <c r="M3293">
        <v>20</v>
      </c>
    </row>
    <row r="3294" spans="1:13" x14ac:dyDescent="0.25">
      <c r="A3294" t="s">
        <v>7268</v>
      </c>
      <c r="B3294" t="s">
        <v>7256</v>
      </c>
      <c r="C3294" t="s">
        <v>14</v>
      </c>
      <c r="D3294" t="s">
        <v>2620</v>
      </c>
      <c r="F3294">
        <v>5</v>
      </c>
      <c r="G3294" t="s">
        <v>16</v>
      </c>
      <c r="H3294">
        <v>0</v>
      </c>
      <c r="I3294" s="2" t="s">
        <v>4753</v>
      </c>
      <c r="J3294" s="2" t="s">
        <v>7269</v>
      </c>
      <c r="K3294">
        <v>20</v>
      </c>
      <c r="L3294">
        <v>20</v>
      </c>
      <c r="M3294">
        <v>20</v>
      </c>
    </row>
    <row r="3295" spans="1:13" x14ac:dyDescent="0.25">
      <c r="A3295" t="s">
        <v>7270</v>
      </c>
      <c r="B3295" t="s">
        <v>7271</v>
      </c>
      <c r="C3295" t="s">
        <v>14</v>
      </c>
      <c r="D3295" t="s">
        <v>2620</v>
      </c>
      <c r="F3295">
        <v>4</v>
      </c>
      <c r="G3295" t="s">
        <v>16</v>
      </c>
      <c r="H3295">
        <v>0</v>
      </c>
      <c r="I3295" s="2" t="s">
        <v>6943</v>
      </c>
      <c r="J3295" s="2" t="s">
        <v>7272</v>
      </c>
      <c r="K3295">
        <v>20</v>
      </c>
      <c r="L3295">
        <v>20</v>
      </c>
      <c r="M3295">
        <v>20</v>
      </c>
    </row>
    <row r="3296" spans="1:13" x14ac:dyDescent="0.25">
      <c r="A3296" t="s">
        <v>7273</v>
      </c>
      <c r="B3296" t="s">
        <v>7274</v>
      </c>
      <c r="C3296" t="s">
        <v>151</v>
      </c>
      <c r="G3296" t="s">
        <v>16</v>
      </c>
      <c r="H3296">
        <v>0</v>
      </c>
      <c r="I3296" s="2" t="s">
        <v>491</v>
      </c>
      <c r="J3296" s="2">
        <v>359000603600</v>
      </c>
      <c r="K3296">
        <v>20</v>
      </c>
      <c r="L3296">
        <v>20</v>
      </c>
      <c r="M3296">
        <v>20</v>
      </c>
    </row>
    <row r="3297" spans="1:13" x14ac:dyDescent="0.25">
      <c r="A3297" t="s">
        <v>7275</v>
      </c>
      <c r="B3297" t="s">
        <v>7276</v>
      </c>
      <c r="C3297" t="s">
        <v>151</v>
      </c>
      <c r="D3297" t="s">
        <v>152</v>
      </c>
      <c r="G3297" t="s">
        <v>16</v>
      </c>
      <c r="H3297">
        <v>0</v>
      </c>
      <c r="I3297" s="2" t="s">
        <v>953</v>
      </c>
      <c r="J3297" s="2">
        <v>33600</v>
      </c>
      <c r="K3297">
        <v>20</v>
      </c>
      <c r="L3297">
        <v>20</v>
      </c>
      <c r="M3297">
        <v>20</v>
      </c>
    </row>
    <row r="3298" spans="1:13" x14ac:dyDescent="0.25">
      <c r="A3298" t="s">
        <v>7277</v>
      </c>
      <c r="B3298" t="s">
        <v>7278</v>
      </c>
      <c r="C3298" t="s">
        <v>151</v>
      </c>
      <c r="G3298" t="s">
        <v>16</v>
      </c>
      <c r="H3298">
        <v>0</v>
      </c>
      <c r="I3298" s="2" t="s">
        <v>953</v>
      </c>
      <c r="J3298" s="2">
        <v>33510</v>
      </c>
      <c r="K3298">
        <v>20</v>
      </c>
      <c r="L3298">
        <v>20</v>
      </c>
      <c r="M3298">
        <v>20</v>
      </c>
    </row>
    <row r="3299" spans="1:13" x14ac:dyDescent="0.25">
      <c r="A3299" t="s">
        <v>7279</v>
      </c>
      <c r="B3299" t="s">
        <v>7280</v>
      </c>
      <c r="C3299" t="s">
        <v>151</v>
      </c>
      <c r="D3299" t="s">
        <v>215</v>
      </c>
      <c r="G3299" t="s">
        <v>16</v>
      </c>
      <c r="H3299">
        <v>0</v>
      </c>
      <c r="I3299" s="2" t="s">
        <v>285</v>
      </c>
      <c r="J3299" s="2">
        <v>33608</v>
      </c>
      <c r="K3299">
        <v>20</v>
      </c>
      <c r="L3299">
        <v>20</v>
      </c>
      <c r="M3299">
        <v>20</v>
      </c>
    </row>
    <row r="3300" spans="1:13" x14ac:dyDescent="0.25">
      <c r="A3300" t="s">
        <v>7281</v>
      </c>
      <c r="B3300" t="s">
        <v>7280</v>
      </c>
      <c r="C3300" t="s">
        <v>151</v>
      </c>
      <c r="D3300" t="s">
        <v>215</v>
      </c>
      <c r="G3300" t="s">
        <v>16</v>
      </c>
      <c r="H3300">
        <v>0</v>
      </c>
      <c r="I3300" s="2" t="s">
        <v>1463</v>
      </c>
      <c r="J3300" s="2">
        <v>80122</v>
      </c>
      <c r="K3300">
        <v>20</v>
      </c>
      <c r="L3300">
        <v>20</v>
      </c>
      <c r="M3300">
        <v>20</v>
      </c>
    </row>
    <row r="3301" spans="1:13" x14ac:dyDescent="0.25">
      <c r="A3301" t="s">
        <v>7282</v>
      </c>
      <c r="B3301" t="s">
        <v>7283</v>
      </c>
      <c r="C3301" t="s">
        <v>151</v>
      </c>
      <c r="D3301" t="s">
        <v>1476</v>
      </c>
      <c r="G3301" t="s">
        <v>16</v>
      </c>
      <c r="H3301">
        <v>0</v>
      </c>
      <c r="I3301" s="2" t="s">
        <v>685</v>
      </c>
      <c r="J3301" s="2" t="str">
        <f>"0986280416"</f>
        <v>0986280416</v>
      </c>
      <c r="K3301">
        <v>20</v>
      </c>
      <c r="L3301">
        <v>20</v>
      </c>
      <c r="M3301">
        <v>20</v>
      </c>
    </row>
    <row r="3302" spans="1:13" x14ac:dyDescent="0.25">
      <c r="A3302" t="s">
        <v>7284</v>
      </c>
      <c r="B3302" t="s">
        <v>7285</v>
      </c>
      <c r="C3302" t="s">
        <v>151</v>
      </c>
      <c r="F3302">
        <v>1</v>
      </c>
      <c r="G3302" t="s">
        <v>16</v>
      </c>
      <c r="H3302">
        <v>0</v>
      </c>
      <c r="I3302" s="2" t="s">
        <v>707</v>
      </c>
      <c r="J3302" s="2" t="s">
        <v>7286</v>
      </c>
      <c r="K3302">
        <v>20</v>
      </c>
      <c r="L3302">
        <v>20</v>
      </c>
      <c r="M3302">
        <v>20</v>
      </c>
    </row>
    <row r="3303" spans="1:13" x14ac:dyDescent="0.25">
      <c r="A3303" t="s">
        <v>7287</v>
      </c>
      <c r="B3303" t="s">
        <v>7285</v>
      </c>
      <c r="C3303" t="s">
        <v>151</v>
      </c>
      <c r="D3303" t="s">
        <v>1476</v>
      </c>
      <c r="F3303">
        <v>1</v>
      </c>
      <c r="G3303" t="s">
        <v>16</v>
      </c>
      <c r="H3303">
        <v>0</v>
      </c>
      <c r="I3303" s="2" t="s">
        <v>1477</v>
      </c>
      <c r="J3303" s="2">
        <v>79119</v>
      </c>
      <c r="K3303">
        <v>20</v>
      </c>
      <c r="L3303">
        <v>20</v>
      </c>
      <c r="M3303">
        <v>20</v>
      </c>
    </row>
    <row r="3304" spans="1:13" x14ac:dyDescent="0.25">
      <c r="A3304" t="s">
        <v>7288</v>
      </c>
      <c r="B3304" t="s">
        <v>7289</v>
      </c>
      <c r="C3304" t="s">
        <v>151</v>
      </c>
      <c r="D3304" t="s">
        <v>1476</v>
      </c>
      <c r="F3304">
        <v>3</v>
      </c>
      <c r="G3304" t="s">
        <v>16</v>
      </c>
      <c r="H3304">
        <v>0</v>
      </c>
      <c r="I3304" s="2" t="s">
        <v>707</v>
      </c>
      <c r="J3304" s="2" t="s">
        <v>7290</v>
      </c>
      <c r="K3304">
        <v>20</v>
      </c>
      <c r="L3304">
        <v>20</v>
      </c>
      <c r="M3304">
        <v>20</v>
      </c>
    </row>
    <row r="3305" spans="1:13" x14ac:dyDescent="0.25">
      <c r="A3305" t="s">
        <v>7291</v>
      </c>
      <c r="B3305" t="s">
        <v>7292</v>
      </c>
      <c r="C3305" t="s">
        <v>151</v>
      </c>
      <c r="D3305" t="s">
        <v>1476</v>
      </c>
      <c r="G3305" t="s">
        <v>16</v>
      </c>
      <c r="H3305">
        <v>0</v>
      </c>
      <c r="I3305" s="2" t="s">
        <v>707</v>
      </c>
      <c r="J3305" s="2" t="s">
        <v>7293</v>
      </c>
      <c r="K3305">
        <v>20</v>
      </c>
      <c r="L3305">
        <v>20</v>
      </c>
      <c r="M3305">
        <v>20</v>
      </c>
    </row>
    <row r="3306" spans="1:13" x14ac:dyDescent="0.25">
      <c r="A3306" t="s">
        <v>7294</v>
      </c>
      <c r="B3306" t="s">
        <v>7292</v>
      </c>
      <c r="C3306" t="s">
        <v>151</v>
      </c>
      <c r="D3306" t="s">
        <v>1476</v>
      </c>
      <c r="F3306">
        <v>2</v>
      </c>
      <c r="G3306" t="s">
        <v>16</v>
      </c>
      <c r="H3306">
        <v>0</v>
      </c>
      <c r="I3306" s="2" t="s">
        <v>710</v>
      </c>
      <c r="J3306" s="3">
        <v>90458</v>
      </c>
      <c r="K3306">
        <v>20</v>
      </c>
      <c r="L3306">
        <v>20</v>
      </c>
      <c r="M3306">
        <v>20</v>
      </c>
    </row>
    <row r="3307" spans="1:13" x14ac:dyDescent="0.25">
      <c r="A3307" t="s">
        <v>7295</v>
      </c>
      <c r="B3307" t="s">
        <v>7292</v>
      </c>
      <c r="C3307" t="s">
        <v>151</v>
      </c>
      <c r="D3307" t="s">
        <v>1476</v>
      </c>
      <c r="F3307">
        <v>1</v>
      </c>
      <c r="G3307" t="s">
        <v>16</v>
      </c>
      <c r="H3307">
        <v>0</v>
      </c>
      <c r="I3307" s="2" t="s">
        <v>1477</v>
      </c>
      <c r="J3307" s="2">
        <v>79148</v>
      </c>
      <c r="K3307">
        <v>20</v>
      </c>
      <c r="L3307">
        <v>20</v>
      </c>
      <c r="M3307">
        <v>20</v>
      </c>
    </row>
    <row r="3308" spans="1:13" x14ac:dyDescent="0.25">
      <c r="A3308" t="s">
        <v>7296</v>
      </c>
      <c r="B3308" t="s">
        <v>7297</v>
      </c>
      <c r="C3308" t="s">
        <v>151</v>
      </c>
      <c r="D3308" t="s">
        <v>1524</v>
      </c>
      <c r="F3308">
        <v>1</v>
      </c>
      <c r="G3308" t="s">
        <v>16</v>
      </c>
      <c r="H3308">
        <v>0</v>
      </c>
      <c r="I3308" s="2" t="s">
        <v>1488</v>
      </c>
      <c r="J3308" s="3">
        <v>90463</v>
      </c>
      <c r="K3308">
        <v>20</v>
      </c>
      <c r="L3308">
        <v>20</v>
      </c>
      <c r="M3308">
        <v>20</v>
      </c>
    </row>
    <row r="3309" spans="1:13" x14ac:dyDescent="0.25">
      <c r="A3309" t="s">
        <v>7298</v>
      </c>
      <c r="B3309" t="s">
        <v>7297</v>
      </c>
      <c r="C3309" t="s">
        <v>151</v>
      </c>
      <c r="D3309" t="s">
        <v>1524</v>
      </c>
      <c r="F3309">
        <v>0</v>
      </c>
      <c r="G3309" t="s">
        <v>16</v>
      </c>
      <c r="H3309">
        <v>0</v>
      </c>
      <c r="I3309" s="2" t="s">
        <v>712</v>
      </c>
      <c r="J3309" s="2">
        <v>70630011</v>
      </c>
      <c r="K3309">
        <v>20</v>
      </c>
      <c r="L3309">
        <v>20</v>
      </c>
      <c r="M3309">
        <v>20</v>
      </c>
    </row>
    <row r="3310" spans="1:13" x14ac:dyDescent="0.25">
      <c r="A3310" t="s">
        <v>7299</v>
      </c>
      <c r="B3310" t="s">
        <v>7300</v>
      </c>
      <c r="C3310" t="s">
        <v>151</v>
      </c>
      <c r="D3310" t="s">
        <v>1476</v>
      </c>
      <c r="F3310">
        <v>1</v>
      </c>
      <c r="G3310" t="s">
        <v>16</v>
      </c>
      <c r="H3310">
        <v>0</v>
      </c>
      <c r="I3310" s="2" t="s">
        <v>383</v>
      </c>
      <c r="J3310" s="2" t="str">
        <f>"0986280440"</f>
        <v>0986280440</v>
      </c>
      <c r="K3310">
        <v>20</v>
      </c>
      <c r="L3310">
        <v>20</v>
      </c>
      <c r="M3310">
        <v>20</v>
      </c>
    </row>
    <row r="3311" spans="1:13" x14ac:dyDescent="0.25">
      <c r="A3311" t="s">
        <v>7301</v>
      </c>
      <c r="B3311" t="s">
        <v>7302</v>
      </c>
      <c r="C3311" t="s">
        <v>151</v>
      </c>
      <c r="F3311">
        <v>1</v>
      </c>
      <c r="G3311" t="s">
        <v>16</v>
      </c>
      <c r="H3311">
        <v>0</v>
      </c>
      <c r="I3311" s="2" t="s">
        <v>953</v>
      </c>
      <c r="J3311" s="2">
        <v>33509</v>
      </c>
      <c r="K3311">
        <v>20</v>
      </c>
      <c r="L3311">
        <v>20</v>
      </c>
      <c r="M3311">
        <v>20</v>
      </c>
    </row>
    <row r="3312" spans="1:13" x14ac:dyDescent="0.25">
      <c r="A3312" t="s">
        <v>7303</v>
      </c>
      <c r="B3312" t="s">
        <v>7304</v>
      </c>
      <c r="C3312" t="s">
        <v>151</v>
      </c>
      <c r="F3312">
        <v>0</v>
      </c>
      <c r="G3312" t="s">
        <v>16</v>
      </c>
      <c r="H3312">
        <v>0</v>
      </c>
      <c r="I3312" s="2" t="s">
        <v>639</v>
      </c>
      <c r="J3312" s="2" t="s">
        <v>7305</v>
      </c>
      <c r="K3312">
        <v>20</v>
      </c>
      <c r="L3312">
        <v>20</v>
      </c>
      <c r="M3312">
        <v>20</v>
      </c>
    </row>
    <row r="3313" spans="1:13" x14ac:dyDescent="0.25">
      <c r="A3313" t="s">
        <v>7306</v>
      </c>
      <c r="B3313" t="s">
        <v>7307</v>
      </c>
      <c r="C3313" t="s">
        <v>151</v>
      </c>
      <c r="F3313">
        <v>1</v>
      </c>
      <c r="G3313" t="s">
        <v>16</v>
      </c>
      <c r="H3313">
        <v>0</v>
      </c>
      <c r="I3313" s="2" t="s">
        <v>710</v>
      </c>
      <c r="J3313" s="3">
        <v>103113</v>
      </c>
      <c r="K3313">
        <v>20</v>
      </c>
      <c r="L3313">
        <v>20</v>
      </c>
      <c r="M3313">
        <v>20</v>
      </c>
    </row>
    <row r="3314" spans="1:13" x14ac:dyDescent="0.25">
      <c r="A3314" t="s">
        <v>7308</v>
      </c>
      <c r="B3314" t="s">
        <v>7309</v>
      </c>
      <c r="C3314" t="s">
        <v>151</v>
      </c>
      <c r="D3314" t="s">
        <v>152</v>
      </c>
      <c r="F3314">
        <v>1</v>
      </c>
      <c r="G3314" t="s">
        <v>16</v>
      </c>
      <c r="H3314">
        <v>0</v>
      </c>
      <c r="I3314" s="2" t="s">
        <v>51</v>
      </c>
      <c r="J3314" s="2" t="s">
        <v>7308</v>
      </c>
      <c r="K3314">
        <v>20</v>
      </c>
      <c r="L3314">
        <v>20</v>
      </c>
      <c r="M3314">
        <v>20</v>
      </c>
    </row>
    <row r="3315" spans="1:13" x14ac:dyDescent="0.25">
      <c r="A3315" t="s">
        <v>7310</v>
      </c>
      <c r="B3315" t="s">
        <v>7311</v>
      </c>
      <c r="C3315" t="s">
        <v>151</v>
      </c>
      <c r="D3315" t="s">
        <v>1476</v>
      </c>
      <c r="F3315">
        <v>0</v>
      </c>
      <c r="G3315" t="s">
        <v>16</v>
      </c>
      <c r="H3315">
        <v>0</v>
      </c>
      <c r="I3315" s="2" t="s">
        <v>55</v>
      </c>
      <c r="J3315" s="2" t="s">
        <v>7310</v>
      </c>
      <c r="K3315">
        <v>20</v>
      </c>
      <c r="L3315">
        <v>20</v>
      </c>
      <c r="M3315">
        <v>20</v>
      </c>
    </row>
    <row r="3316" spans="1:13" x14ac:dyDescent="0.25">
      <c r="A3316" t="s">
        <v>7312</v>
      </c>
      <c r="B3316" t="s">
        <v>7313</v>
      </c>
      <c r="C3316" t="s">
        <v>20</v>
      </c>
      <c r="F3316">
        <v>1</v>
      </c>
      <c r="G3316" t="s">
        <v>16</v>
      </c>
      <c r="H3316">
        <v>0</v>
      </c>
      <c r="I3316" s="2" t="s">
        <v>1488</v>
      </c>
      <c r="J3316" s="3">
        <v>104021</v>
      </c>
      <c r="K3316">
        <v>20</v>
      </c>
      <c r="L3316">
        <v>20</v>
      </c>
      <c r="M3316">
        <v>20</v>
      </c>
    </row>
    <row r="3317" spans="1:13" x14ac:dyDescent="0.25">
      <c r="A3317" t="s">
        <v>7314</v>
      </c>
      <c r="B3317" t="s">
        <v>7315</v>
      </c>
      <c r="C3317" t="s">
        <v>151</v>
      </c>
      <c r="D3317" t="s">
        <v>1476</v>
      </c>
      <c r="G3317" t="s">
        <v>16</v>
      </c>
      <c r="H3317">
        <v>0</v>
      </c>
      <c r="I3317" s="2" t="s">
        <v>383</v>
      </c>
      <c r="J3317" s="2" t="str">
        <f>"0986280438"</f>
        <v>0986280438</v>
      </c>
      <c r="K3317">
        <v>20</v>
      </c>
      <c r="L3317">
        <v>20</v>
      </c>
      <c r="M3317">
        <v>20</v>
      </c>
    </row>
    <row r="3318" spans="1:13" x14ac:dyDescent="0.25">
      <c r="A3318" t="s">
        <v>7316</v>
      </c>
      <c r="B3318" t="s">
        <v>7315</v>
      </c>
      <c r="C3318" t="s">
        <v>151</v>
      </c>
      <c r="D3318" t="s">
        <v>1476</v>
      </c>
      <c r="F3318">
        <v>2</v>
      </c>
      <c r="G3318" t="s">
        <v>16</v>
      </c>
      <c r="H3318">
        <v>0</v>
      </c>
      <c r="I3318" s="2" t="s">
        <v>1488</v>
      </c>
      <c r="J3318" s="3">
        <v>90602</v>
      </c>
      <c r="K3318">
        <v>20</v>
      </c>
      <c r="L3318">
        <v>20</v>
      </c>
      <c r="M3318">
        <v>20</v>
      </c>
    </row>
    <row r="3319" spans="1:13" x14ac:dyDescent="0.25">
      <c r="A3319" t="s">
        <v>7317</v>
      </c>
      <c r="B3319" t="s">
        <v>7318</v>
      </c>
      <c r="C3319" t="s">
        <v>151</v>
      </c>
      <c r="D3319" t="s">
        <v>1476</v>
      </c>
      <c r="F3319">
        <v>1</v>
      </c>
      <c r="G3319" t="s">
        <v>16</v>
      </c>
      <c r="H3319">
        <v>0</v>
      </c>
      <c r="I3319" s="2" t="s">
        <v>941</v>
      </c>
      <c r="J3319" s="2" t="s">
        <v>7319</v>
      </c>
      <c r="K3319">
        <v>20</v>
      </c>
      <c r="L3319">
        <v>20</v>
      </c>
      <c r="M3319">
        <v>20</v>
      </c>
    </row>
    <row r="3320" spans="1:13" x14ac:dyDescent="0.25">
      <c r="A3320" t="s">
        <v>7320</v>
      </c>
      <c r="B3320" t="s">
        <v>7321</v>
      </c>
      <c r="C3320" t="s">
        <v>1432</v>
      </c>
      <c r="F3320">
        <v>1</v>
      </c>
      <c r="G3320" t="s">
        <v>16</v>
      </c>
      <c r="H3320">
        <v>0</v>
      </c>
      <c r="I3320" s="2" t="s">
        <v>514</v>
      </c>
      <c r="J3320" s="2" t="s">
        <v>7322</v>
      </c>
      <c r="K3320">
        <v>20</v>
      </c>
      <c r="L3320">
        <v>20</v>
      </c>
      <c r="M3320">
        <v>20</v>
      </c>
    </row>
    <row r="3321" spans="1:13" x14ac:dyDescent="0.25">
      <c r="A3321" t="s">
        <v>7323</v>
      </c>
      <c r="B3321" t="s">
        <v>7325</v>
      </c>
      <c r="F3321">
        <v>16</v>
      </c>
      <c r="G3321" t="s">
        <v>16</v>
      </c>
      <c r="H3321">
        <v>0</v>
      </c>
      <c r="I3321" s="2" t="s">
        <v>288</v>
      </c>
      <c r="J3321" s="2" t="s">
        <v>7324</v>
      </c>
      <c r="K3321">
        <v>20</v>
      </c>
      <c r="L3321">
        <v>20</v>
      </c>
      <c r="M3321">
        <v>20</v>
      </c>
    </row>
    <row r="3322" spans="1:13" x14ac:dyDescent="0.25">
      <c r="A3322" t="s">
        <v>7326</v>
      </c>
      <c r="B3322" t="s">
        <v>7325</v>
      </c>
      <c r="C3322" t="s">
        <v>20</v>
      </c>
      <c r="F3322">
        <v>27</v>
      </c>
      <c r="G3322" t="s">
        <v>16</v>
      </c>
      <c r="H3322">
        <v>0</v>
      </c>
      <c r="K3322">
        <v>20</v>
      </c>
      <c r="L3322">
        <v>20</v>
      </c>
      <c r="M3322">
        <v>20</v>
      </c>
    </row>
    <row r="3323" spans="1:13" x14ac:dyDescent="0.25">
      <c r="A3323" t="s">
        <v>7327</v>
      </c>
      <c r="B3323" t="s">
        <v>7328</v>
      </c>
      <c r="C3323" t="s">
        <v>362</v>
      </c>
      <c r="F3323">
        <v>8</v>
      </c>
      <c r="G3323" t="s">
        <v>16</v>
      </c>
      <c r="H3323">
        <v>0</v>
      </c>
      <c r="I3323" s="2" t="s">
        <v>383</v>
      </c>
      <c r="J3323" s="2">
        <v>1987479106</v>
      </c>
      <c r="K3323">
        <v>20</v>
      </c>
      <c r="L3323">
        <v>20</v>
      </c>
      <c r="M3323">
        <v>20</v>
      </c>
    </row>
    <row r="3324" spans="1:13" x14ac:dyDescent="0.25">
      <c r="A3324" t="s">
        <v>7329</v>
      </c>
      <c r="B3324" t="s">
        <v>7331</v>
      </c>
      <c r="C3324" t="s">
        <v>20</v>
      </c>
      <c r="D3324" t="s">
        <v>26</v>
      </c>
      <c r="G3324" t="s">
        <v>16</v>
      </c>
      <c r="H3324">
        <v>0</v>
      </c>
      <c r="I3324" s="2" t="s">
        <v>51</v>
      </c>
      <c r="J3324" s="2" t="s">
        <v>7330</v>
      </c>
      <c r="K3324">
        <v>20</v>
      </c>
      <c r="L3324">
        <v>20</v>
      </c>
      <c r="M3324">
        <v>20</v>
      </c>
    </row>
    <row r="3325" spans="1:13" x14ac:dyDescent="0.25">
      <c r="A3325" t="s">
        <v>7332</v>
      </c>
      <c r="B3325" t="s">
        <v>7333</v>
      </c>
      <c r="C3325" t="s">
        <v>20</v>
      </c>
      <c r="F3325">
        <v>5</v>
      </c>
      <c r="G3325" t="s">
        <v>16</v>
      </c>
      <c r="H3325">
        <v>0</v>
      </c>
      <c r="I3325" s="2" t="s">
        <v>51</v>
      </c>
      <c r="J3325" s="2" t="s">
        <v>7332</v>
      </c>
      <c r="K3325">
        <v>20</v>
      </c>
      <c r="L3325">
        <v>20</v>
      </c>
      <c r="M3325">
        <v>20</v>
      </c>
    </row>
    <row r="3326" spans="1:13" x14ac:dyDescent="0.25">
      <c r="A3326" t="s">
        <v>7334</v>
      </c>
      <c r="B3326" t="s">
        <v>7333</v>
      </c>
      <c r="C3326" t="s">
        <v>20</v>
      </c>
      <c r="F3326">
        <v>5</v>
      </c>
      <c r="G3326" t="s">
        <v>16</v>
      </c>
      <c r="H3326">
        <v>0</v>
      </c>
      <c r="I3326" s="2" t="s">
        <v>6682</v>
      </c>
      <c r="J3326" s="2" t="s">
        <v>7335</v>
      </c>
      <c r="K3326">
        <v>20</v>
      </c>
      <c r="L3326">
        <v>20</v>
      </c>
      <c r="M3326">
        <v>20</v>
      </c>
    </row>
    <row r="3327" spans="1:13" x14ac:dyDescent="0.25">
      <c r="A3327" t="s">
        <v>7336</v>
      </c>
      <c r="B3327" t="s">
        <v>7338</v>
      </c>
      <c r="C3327" t="s">
        <v>20</v>
      </c>
      <c r="F3327">
        <v>32</v>
      </c>
      <c r="G3327" t="s">
        <v>16</v>
      </c>
      <c r="H3327">
        <v>0</v>
      </c>
      <c r="I3327" s="2" t="s">
        <v>69</v>
      </c>
      <c r="J3327" s="2" t="s">
        <v>7337</v>
      </c>
      <c r="K3327">
        <v>20</v>
      </c>
      <c r="L3327">
        <v>20</v>
      </c>
      <c r="M3327">
        <v>20</v>
      </c>
    </row>
    <row r="3328" spans="1:13" x14ac:dyDescent="0.25">
      <c r="A3328" t="s">
        <v>7339</v>
      </c>
      <c r="B3328" t="s">
        <v>7341</v>
      </c>
      <c r="C3328" t="s">
        <v>20</v>
      </c>
      <c r="D3328" t="s">
        <v>26</v>
      </c>
      <c r="F3328">
        <v>2</v>
      </c>
      <c r="G3328" t="s">
        <v>16</v>
      </c>
      <c r="H3328">
        <v>0</v>
      </c>
      <c r="I3328" s="2" t="s">
        <v>69</v>
      </c>
      <c r="J3328" s="2" t="s">
        <v>7340</v>
      </c>
      <c r="K3328">
        <v>20</v>
      </c>
      <c r="L3328">
        <v>20</v>
      </c>
      <c r="M3328">
        <v>20</v>
      </c>
    </row>
    <row r="3329" spans="1:13" x14ac:dyDescent="0.25">
      <c r="A3329" t="s">
        <v>7342</v>
      </c>
      <c r="B3329" t="s">
        <v>7343</v>
      </c>
      <c r="C3329" t="s">
        <v>20</v>
      </c>
      <c r="D3329" t="s">
        <v>26</v>
      </c>
      <c r="F3329">
        <v>1</v>
      </c>
      <c r="G3329" t="s">
        <v>22</v>
      </c>
      <c r="H3329">
        <v>0</v>
      </c>
      <c r="I3329" s="2" t="s">
        <v>7344</v>
      </c>
      <c r="J3329" s="2" t="s">
        <v>7345</v>
      </c>
      <c r="K3329">
        <v>20</v>
      </c>
      <c r="L3329">
        <v>20</v>
      </c>
      <c r="M3329">
        <v>20</v>
      </c>
    </row>
    <row r="3330" spans="1:13" x14ac:dyDescent="0.25">
      <c r="A3330" t="s">
        <v>7346</v>
      </c>
      <c r="B3330" t="s">
        <v>7347</v>
      </c>
      <c r="C3330" t="s">
        <v>20</v>
      </c>
      <c r="F3330">
        <v>4</v>
      </c>
      <c r="G3330" t="s">
        <v>16</v>
      </c>
      <c r="H3330">
        <v>0</v>
      </c>
      <c r="I3330" s="2" t="s">
        <v>51</v>
      </c>
      <c r="J3330" s="2" t="s">
        <v>7346</v>
      </c>
      <c r="K3330">
        <v>20</v>
      </c>
      <c r="L3330">
        <v>20</v>
      </c>
      <c r="M3330">
        <v>20</v>
      </c>
    </row>
    <row r="3331" spans="1:13" x14ac:dyDescent="0.25">
      <c r="A3331" t="s">
        <v>7348</v>
      </c>
      <c r="B3331" t="s">
        <v>7350</v>
      </c>
      <c r="C3331" t="s">
        <v>20</v>
      </c>
      <c r="D3331" t="s">
        <v>26</v>
      </c>
      <c r="F3331">
        <v>1</v>
      </c>
      <c r="G3331" t="s">
        <v>16</v>
      </c>
      <c r="H3331">
        <v>0</v>
      </c>
      <c r="I3331" s="2" t="s">
        <v>69</v>
      </c>
      <c r="J3331" s="2" t="s">
        <v>7349</v>
      </c>
      <c r="K3331">
        <v>20</v>
      </c>
      <c r="L3331">
        <v>20</v>
      </c>
      <c r="M3331">
        <v>20</v>
      </c>
    </row>
    <row r="3332" spans="1:13" x14ac:dyDescent="0.25">
      <c r="A3332" t="s">
        <v>7351</v>
      </c>
      <c r="B3332" t="s">
        <v>7352</v>
      </c>
      <c r="C3332" t="s">
        <v>20</v>
      </c>
      <c r="F3332">
        <v>1</v>
      </c>
      <c r="G3332" t="s">
        <v>16</v>
      </c>
      <c r="H3332">
        <v>0</v>
      </c>
      <c r="I3332" s="2" t="s">
        <v>491</v>
      </c>
      <c r="J3332" s="2">
        <v>359000604710</v>
      </c>
      <c r="K3332">
        <v>20</v>
      </c>
      <c r="L3332">
        <v>20</v>
      </c>
      <c r="M3332">
        <v>20</v>
      </c>
    </row>
    <row r="3333" spans="1:13" x14ac:dyDescent="0.25">
      <c r="A3333" t="s">
        <v>7353</v>
      </c>
      <c r="B3333" t="s">
        <v>7354</v>
      </c>
      <c r="C3333" t="s">
        <v>1436</v>
      </c>
      <c r="F3333">
        <v>8</v>
      </c>
      <c r="G3333" t="s">
        <v>16</v>
      </c>
      <c r="H3333">
        <v>0</v>
      </c>
      <c r="I3333" s="2" t="s">
        <v>108</v>
      </c>
      <c r="J3333" s="3">
        <v>2551554002</v>
      </c>
      <c r="K3333">
        <v>20</v>
      </c>
      <c r="L3333">
        <v>20</v>
      </c>
      <c r="M3333">
        <v>20</v>
      </c>
    </row>
    <row r="3334" spans="1:13" x14ac:dyDescent="0.25">
      <c r="A3334" t="s">
        <v>7355</v>
      </c>
      <c r="B3334" t="s">
        <v>7356</v>
      </c>
      <c r="C3334" t="s">
        <v>151</v>
      </c>
      <c r="F3334">
        <v>0</v>
      </c>
      <c r="G3334" t="s">
        <v>16</v>
      </c>
      <c r="H3334">
        <v>0</v>
      </c>
      <c r="I3334" s="2" t="s">
        <v>500</v>
      </c>
      <c r="J3334" s="2" t="s">
        <v>7357</v>
      </c>
      <c r="K3334">
        <v>20</v>
      </c>
      <c r="L3334">
        <v>20</v>
      </c>
      <c r="M3334">
        <v>20</v>
      </c>
    </row>
    <row r="3335" spans="1:13" x14ac:dyDescent="0.25">
      <c r="A3335" t="s">
        <v>7358</v>
      </c>
      <c r="B3335" t="s">
        <v>7359</v>
      </c>
      <c r="C3335" t="s">
        <v>1426</v>
      </c>
      <c r="F3335">
        <v>4</v>
      </c>
      <c r="G3335" t="s">
        <v>16</v>
      </c>
      <c r="H3335">
        <v>0</v>
      </c>
      <c r="I3335" s="2" t="s">
        <v>500</v>
      </c>
      <c r="J3335" s="2" t="s">
        <v>7360</v>
      </c>
      <c r="K3335">
        <v>20</v>
      </c>
      <c r="L3335">
        <v>20</v>
      </c>
      <c r="M3335">
        <v>20</v>
      </c>
    </row>
    <row r="3336" spans="1:13" x14ac:dyDescent="0.25">
      <c r="A3336" t="s">
        <v>7361</v>
      </c>
      <c r="B3336" t="s">
        <v>7362</v>
      </c>
      <c r="C3336" t="s">
        <v>20</v>
      </c>
      <c r="D3336" t="s">
        <v>2477</v>
      </c>
      <c r="F3336">
        <v>0</v>
      </c>
      <c r="G3336" t="s">
        <v>16</v>
      </c>
      <c r="H3336">
        <v>0</v>
      </c>
      <c r="I3336" s="2" t="s">
        <v>162</v>
      </c>
      <c r="J3336" s="2">
        <v>952696</v>
      </c>
      <c r="K3336">
        <v>20</v>
      </c>
      <c r="L3336">
        <v>20</v>
      </c>
      <c r="M3336">
        <v>20</v>
      </c>
    </row>
    <row r="3337" spans="1:13" x14ac:dyDescent="0.25">
      <c r="A3337" t="s">
        <v>7363</v>
      </c>
      <c r="B3337" t="s">
        <v>7364</v>
      </c>
      <c r="C3337" t="s">
        <v>20</v>
      </c>
      <c r="D3337" t="s">
        <v>2477</v>
      </c>
      <c r="F3337">
        <v>0</v>
      </c>
      <c r="G3337" t="s">
        <v>16</v>
      </c>
      <c r="H3337">
        <v>0</v>
      </c>
      <c r="I3337" s="2" t="s">
        <v>64</v>
      </c>
      <c r="J3337" s="2">
        <v>10010349</v>
      </c>
      <c r="K3337">
        <v>20</v>
      </c>
      <c r="L3337">
        <v>20</v>
      </c>
      <c r="M3337">
        <v>20</v>
      </c>
    </row>
    <row r="3338" spans="1:13" x14ac:dyDescent="0.25">
      <c r="A3338" t="s">
        <v>7365</v>
      </c>
      <c r="B3338" t="s">
        <v>7366</v>
      </c>
      <c r="C3338" t="s">
        <v>20</v>
      </c>
      <c r="D3338" t="s">
        <v>2477</v>
      </c>
      <c r="F3338">
        <v>0</v>
      </c>
      <c r="G3338" t="s">
        <v>16</v>
      </c>
      <c r="H3338">
        <v>0</v>
      </c>
      <c r="I3338" s="2" t="s">
        <v>64</v>
      </c>
      <c r="J3338" s="2">
        <v>10010345</v>
      </c>
      <c r="K3338">
        <v>20</v>
      </c>
      <c r="L3338">
        <v>20</v>
      </c>
      <c r="M3338">
        <v>20</v>
      </c>
    </row>
    <row r="3339" spans="1:13" x14ac:dyDescent="0.25">
      <c r="A3339" t="s">
        <v>7367</v>
      </c>
      <c r="B3339" t="s">
        <v>7368</v>
      </c>
      <c r="C3339" t="s">
        <v>20</v>
      </c>
      <c r="D3339" t="s">
        <v>2477</v>
      </c>
      <c r="F3339">
        <v>0</v>
      </c>
      <c r="G3339" t="s">
        <v>16</v>
      </c>
      <c r="H3339">
        <v>0</v>
      </c>
      <c r="I3339" s="2" t="s">
        <v>64</v>
      </c>
      <c r="J3339" s="2">
        <v>10010343</v>
      </c>
      <c r="K3339">
        <v>20</v>
      </c>
      <c r="L3339">
        <v>20</v>
      </c>
      <c r="M3339">
        <v>20</v>
      </c>
    </row>
    <row r="3340" spans="1:13" x14ac:dyDescent="0.25">
      <c r="A3340" t="s">
        <v>7369</v>
      </c>
      <c r="B3340" t="s">
        <v>7370</v>
      </c>
      <c r="C3340" t="s">
        <v>496</v>
      </c>
      <c r="D3340" t="s">
        <v>2360</v>
      </c>
      <c r="F3340">
        <v>0</v>
      </c>
      <c r="G3340" t="s">
        <v>16</v>
      </c>
      <c r="H3340">
        <v>0</v>
      </c>
      <c r="I3340" s="2" t="s">
        <v>5044</v>
      </c>
      <c r="J3340" s="2" t="s">
        <v>7371</v>
      </c>
      <c r="K3340">
        <v>20</v>
      </c>
      <c r="L3340">
        <v>20</v>
      </c>
      <c r="M3340">
        <v>20</v>
      </c>
    </row>
    <row r="3341" spans="1:13" x14ac:dyDescent="0.25">
      <c r="A3341" t="s">
        <v>7372</v>
      </c>
      <c r="B3341" t="s">
        <v>7373</v>
      </c>
      <c r="C3341" t="s">
        <v>362</v>
      </c>
      <c r="F3341">
        <v>1</v>
      </c>
      <c r="G3341" t="s">
        <v>16</v>
      </c>
      <c r="H3341">
        <v>0</v>
      </c>
      <c r="I3341" s="2" t="s">
        <v>2114</v>
      </c>
      <c r="J3341" s="2" t="s">
        <v>7374</v>
      </c>
      <c r="K3341">
        <v>20</v>
      </c>
      <c r="L3341">
        <v>20</v>
      </c>
      <c r="M3341">
        <v>20</v>
      </c>
    </row>
    <row r="3342" spans="1:13" x14ac:dyDescent="0.25">
      <c r="A3342" t="s">
        <v>7375</v>
      </c>
      <c r="B3342" t="s">
        <v>7376</v>
      </c>
      <c r="C3342" t="s">
        <v>362</v>
      </c>
      <c r="F3342">
        <v>1</v>
      </c>
      <c r="G3342" t="s">
        <v>16</v>
      </c>
      <c r="H3342">
        <v>0</v>
      </c>
      <c r="I3342" s="2" t="s">
        <v>7377</v>
      </c>
      <c r="J3342" s="2" t="str">
        <f>"03.7863-3232.4"</f>
        <v>03.7863-3232.4</v>
      </c>
      <c r="K3342">
        <v>20</v>
      </c>
      <c r="L3342">
        <v>20</v>
      </c>
      <c r="M3342">
        <v>20</v>
      </c>
    </row>
    <row r="3343" spans="1:13" x14ac:dyDescent="0.25">
      <c r="A3343" t="s">
        <v>7378</v>
      </c>
      <c r="B3343" t="s">
        <v>7379</v>
      </c>
      <c r="C3343" t="s">
        <v>1432</v>
      </c>
      <c r="D3343" t="s">
        <v>5993</v>
      </c>
      <c r="G3343" t="s">
        <v>16</v>
      </c>
      <c r="H3343">
        <v>0</v>
      </c>
      <c r="I3343" s="2" t="s">
        <v>400</v>
      </c>
      <c r="J3343" s="2" t="s">
        <v>7380</v>
      </c>
      <c r="K3343">
        <v>20</v>
      </c>
      <c r="L3343">
        <v>20</v>
      </c>
      <c r="M3343">
        <v>20</v>
      </c>
    </row>
    <row r="3344" spans="1:13" x14ac:dyDescent="0.25">
      <c r="A3344" t="s">
        <v>7381</v>
      </c>
      <c r="B3344" t="s">
        <v>7382</v>
      </c>
      <c r="C3344" t="s">
        <v>1432</v>
      </c>
      <c r="D3344" t="s">
        <v>5993</v>
      </c>
      <c r="F3344">
        <v>2</v>
      </c>
      <c r="G3344" t="s">
        <v>16</v>
      </c>
      <c r="H3344">
        <v>0</v>
      </c>
      <c r="I3344" s="2" t="s">
        <v>414</v>
      </c>
      <c r="J3344" s="2" t="s">
        <v>7383</v>
      </c>
      <c r="K3344">
        <v>20</v>
      </c>
      <c r="L3344">
        <v>20</v>
      </c>
      <c r="M3344">
        <v>20</v>
      </c>
    </row>
    <row r="3345" spans="1:13" x14ac:dyDescent="0.25">
      <c r="A3345" t="s">
        <v>7384</v>
      </c>
      <c r="B3345" t="s">
        <v>7385</v>
      </c>
      <c r="C3345" t="s">
        <v>1432</v>
      </c>
      <c r="D3345" t="s">
        <v>5993</v>
      </c>
      <c r="G3345" t="s">
        <v>16</v>
      </c>
      <c r="H3345">
        <v>0</v>
      </c>
      <c r="I3345" s="2" t="s">
        <v>55</v>
      </c>
      <c r="K3345">
        <v>20</v>
      </c>
      <c r="L3345">
        <v>20</v>
      </c>
      <c r="M3345">
        <v>20</v>
      </c>
    </row>
    <row r="3346" spans="1:13" x14ac:dyDescent="0.25">
      <c r="A3346" t="s">
        <v>7386</v>
      </c>
      <c r="B3346" t="s">
        <v>7387</v>
      </c>
      <c r="C3346" t="s">
        <v>1432</v>
      </c>
      <c r="F3346">
        <v>0</v>
      </c>
      <c r="G3346" t="s">
        <v>16</v>
      </c>
      <c r="H3346">
        <v>0</v>
      </c>
      <c r="I3346" s="2" t="s">
        <v>514</v>
      </c>
      <c r="J3346" s="2" t="s">
        <v>7388</v>
      </c>
      <c r="K3346">
        <v>20</v>
      </c>
      <c r="L3346">
        <v>20</v>
      </c>
      <c r="M3346">
        <v>20</v>
      </c>
    </row>
    <row r="3347" spans="1:13" x14ac:dyDescent="0.25">
      <c r="A3347" t="s">
        <v>7389</v>
      </c>
      <c r="B3347" t="s">
        <v>7390</v>
      </c>
      <c r="C3347" t="s">
        <v>1432</v>
      </c>
      <c r="F3347">
        <v>0</v>
      </c>
      <c r="G3347" t="s">
        <v>16</v>
      </c>
      <c r="H3347">
        <v>0</v>
      </c>
      <c r="I3347" s="2" t="s">
        <v>5227</v>
      </c>
      <c r="J3347" s="2" t="str">
        <f>"006200300"</f>
        <v>006200300</v>
      </c>
      <c r="K3347">
        <v>20</v>
      </c>
      <c r="L3347">
        <v>20</v>
      </c>
      <c r="M3347">
        <v>20</v>
      </c>
    </row>
    <row r="3348" spans="1:13" x14ac:dyDescent="0.25">
      <c r="A3348" t="s">
        <v>7391</v>
      </c>
      <c r="B3348" t="s">
        <v>7392</v>
      </c>
      <c r="C3348" t="s">
        <v>1432</v>
      </c>
      <c r="F3348">
        <v>1</v>
      </c>
      <c r="G3348" t="s">
        <v>16</v>
      </c>
      <c r="H3348">
        <v>0</v>
      </c>
      <c r="I3348" s="2" t="s">
        <v>5677</v>
      </c>
      <c r="J3348" s="2">
        <v>620308600</v>
      </c>
      <c r="K3348">
        <v>20</v>
      </c>
      <c r="L3348">
        <v>20</v>
      </c>
      <c r="M3348">
        <v>20</v>
      </c>
    </row>
    <row r="3349" spans="1:13" x14ac:dyDescent="0.25">
      <c r="A3349" t="s">
        <v>7393</v>
      </c>
      <c r="B3349" t="s">
        <v>7394</v>
      </c>
      <c r="C3349" t="s">
        <v>1432</v>
      </c>
      <c r="G3349" t="s">
        <v>16</v>
      </c>
      <c r="H3349">
        <v>0</v>
      </c>
      <c r="I3349" s="2" t="s">
        <v>854</v>
      </c>
      <c r="J3349" s="2">
        <v>877211</v>
      </c>
      <c r="K3349">
        <v>20</v>
      </c>
      <c r="L3349">
        <v>20</v>
      </c>
      <c r="M3349">
        <v>20</v>
      </c>
    </row>
    <row r="3350" spans="1:13" x14ac:dyDescent="0.25">
      <c r="A3350" t="s">
        <v>7395</v>
      </c>
      <c r="B3350" t="s">
        <v>7396</v>
      </c>
      <c r="C3350" t="s">
        <v>1432</v>
      </c>
      <c r="G3350" t="s">
        <v>16</v>
      </c>
      <c r="H3350">
        <v>0</v>
      </c>
      <c r="I3350" s="2" t="s">
        <v>1433</v>
      </c>
      <c r="J3350" s="2">
        <v>587984</v>
      </c>
      <c r="K3350">
        <v>20</v>
      </c>
      <c r="L3350">
        <v>20</v>
      </c>
      <c r="M3350">
        <v>20</v>
      </c>
    </row>
    <row r="3351" spans="1:13" x14ac:dyDescent="0.25">
      <c r="A3351" t="s">
        <v>7397</v>
      </c>
      <c r="B3351" t="s">
        <v>7398</v>
      </c>
      <c r="C3351" t="s">
        <v>1432</v>
      </c>
      <c r="F3351">
        <v>2</v>
      </c>
      <c r="G3351" t="s">
        <v>16</v>
      </c>
      <c r="H3351">
        <v>0</v>
      </c>
      <c r="I3351" s="2" t="s">
        <v>7399</v>
      </c>
      <c r="J3351" s="2">
        <v>3000950028</v>
      </c>
      <c r="K3351">
        <v>20</v>
      </c>
      <c r="L3351">
        <v>20</v>
      </c>
      <c r="M3351">
        <v>20</v>
      </c>
    </row>
    <row r="3352" spans="1:13" x14ac:dyDescent="0.25">
      <c r="A3352" t="s">
        <v>7400</v>
      </c>
      <c r="B3352" t="s">
        <v>7401</v>
      </c>
      <c r="C3352" t="s">
        <v>1432</v>
      </c>
      <c r="F3352">
        <v>1</v>
      </c>
      <c r="G3352" t="s">
        <v>16</v>
      </c>
      <c r="H3352">
        <v>0</v>
      </c>
      <c r="I3352" s="2" t="s">
        <v>392</v>
      </c>
      <c r="J3352" s="2">
        <v>1682292880</v>
      </c>
      <c r="K3352">
        <v>20</v>
      </c>
      <c r="L3352">
        <v>20</v>
      </c>
      <c r="M3352">
        <v>20</v>
      </c>
    </row>
    <row r="3353" spans="1:13" x14ac:dyDescent="0.25">
      <c r="A3353" t="s">
        <v>7402</v>
      </c>
      <c r="B3353" t="s">
        <v>7403</v>
      </c>
      <c r="C3353" t="s">
        <v>1432</v>
      </c>
      <c r="F3353">
        <v>1</v>
      </c>
      <c r="G3353" t="s">
        <v>16</v>
      </c>
      <c r="H3353">
        <v>0</v>
      </c>
      <c r="I3353" s="2" t="s">
        <v>389</v>
      </c>
      <c r="J3353" s="2">
        <v>1682291280</v>
      </c>
      <c r="K3353">
        <v>20</v>
      </c>
      <c r="L3353">
        <v>20</v>
      </c>
      <c r="M3353">
        <v>20</v>
      </c>
    </row>
    <row r="3354" spans="1:13" x14ac:dyDescent="0.25">
      <c r="A3354" t="s">
        <v>7404</v>
      </c>
      <c r="B3354" t="s">
        <v>7403</v>
      </c>
      <c r="C3354" t="s">
        <v>1432</v>
      </c>
      <c r="G3354" t="s">
        <v>16</v>
      </c>
      <c r="H3354">
        <v>0</v>
      </c>
      <c r="I3354" s="2" t="s">
        <v>854</v>
      </c>
      <c r="J3354" s="2">
        <v>828266</v>
      </c>
      <c r="K3354">
        <v>20</v>
      </c>
      <c r="L3354">
        <v>20</v>
      </c>
      <c r="M3354">
        <v>20</v>
      </c>
    </row>
    <row r="3355" spans="1:13" x14ac:dyDescent="0.25">
      <c r="A3355" t="s">
        <v>7405</v>
      </c>
      <c r="B3355" t="s">
        <v>7406</v>
      </c>
      <c r="C3355" t="s">
        <v>1432</v>
      </c>
      <c r="F3355">
        <v>1</v>
      </c>
      <c r="G3355" t="s">
        <v>16</v>
      </c>
      <c r="H3355">
        <v>0</v>
      </c>
      <c r="I3355" s="2" t="s">
        <v>854</v>
      </c>
      <c r="J3355" s="2">
        <v>801290</v>
      </c>
      <c r="K3355">
        <v>20</v>
      </c>
      <c r="L3355">
        <v>20</v>
      </c>
      <c r="M3355">
        <v>20</v>
      </c>
    </row>
    <row r="3356" spans="1:13" x14ac:dyDescent="0.25">
      <c r="A3356" t="s">
        <v>7407</v>
      </c>
      <c r="B3356" t="s">
        <v>7408</v>
      </c>
      <c r="C3356" t="s">
        <v>1432</v>
      </c>
      <c r="F3356">
        <v>1</v>
      </c>
      <c r="G3356" t="s">
        <v>16</v>
      </c>
      <c r="H3356">
        <v>0</v>
      </c>
      <c r="I3356" s="2" t="s">
        <v>389</v>
      </c>
      <c r="J3356" s="2">
        <v>1682291680</v>
      </c>
      <c r="K3356">
        <v>20</v>
      </c>
      <c r="L3356">
        <v>20</v>
      </c>
      <c r="M3356">
        <v>20</v>
      </c>
    </row>
    <row r="3357" spans="1:13" x14ac:dyDescent="0.25">
      <c r="A3357" t="s">
        <v>7409</v>
      </c>
      <c r="B3357" t="s">
        <v>7408</v>
      </c>
      <c r="C3357" t="s">
        <v>1432</v>
      </c>
      <c r="F3357">
        <v>1</v>
      </c>
      <c r="G3357" t="s">
        <v>16</v>
      </c>
      <c r="H3357">
        <v>0</v>
      </c>
      <c r="I3357" s="2" t="s">
        <v>7399</v>
      </c>
      <c r="J3357" s="2">
        <v>3000950090</v>
      </c>
      <c r="K3357">
        <v>20</v>
      </c>
      <c r="L3357">
        <v>20</v>
      </c>
      <c r="M3357">
        <v>20</v>
      </c>
    </row>
    <row r="3358" spans="1:13" x14ac:dyDescent="0.25">
      <c r="A3358" t="s">
        <v>7410</v>
      </c>
      <c r="B3358" t="s">
        <v>7411</v>
      </c>
      <c r="C3358" t="s">
        <v>1432</v>
      </c>
      <c r="F3358">
        <v>1</v>
      </c>
      <c r="G3358" t="s">
        <v>16</v>
      </c>
      <c r="H3358">
        <v>0</v>
      </c>
      <c r="I3358" s="2" t="s">
        <v>392</v>
      </c>
      <c r="J3358" s="2">
        <v>1682290680</v>
      </c>
      <c r="K3358">
        <v>20</v>
      </c>
      <c r="L3358">
        <v>20</v>
      </c>
      <c r="M3358">
        <v>20</v>
      </c>
    </row>
    <row r="3359" spans="1:13" x14ac:dyDescent="0.25">
      <c r="A3359" t="s">
        <v>7412</v>
      </c>
      <c r="B3359" t="s">
        <v>7413</v>
      </c>
      <c r="C3359" t="s">
        <v>1432</v>
      </c>
      <c r="F3359">
        <v>1</v>
      </c>
      <c r="G3359" t="s">
        <v>16</v>
      </c>
      <c r="H3359">
        <v>0</v>
      </c>
      <c r="I3359" s="2" t="s">
        <v>389</v>
      </c>
      <c r="J3359" s="2">
        <v>1682299780</v>
      </c>
      <c r="K3359">
        <v>20</v>
      </c>
      <c r="L3359">
        <v>20</v>
      </c>
      <c r="M3359">
        <v>20</v>
      </c>
    </row>
    <row r="3360" spans="1:13" x14ac:dyDescent="0.25">
      <c r="A3360" t="s">
        <v>7414</v>
      </c>
      <c r="B3360" t="s">
        <v>7415</v>
      </c>
      <c r="C3360" t="s">
        <v>1432</v>
      </c>
      <c r="F3360">
        <v>3</v>
      </c>
      <c r="G3360" t="s">
        <v>16</v>
      </c>
      <c r="H3360">
        <v>0</v>
      </c>
      <c r="I3360" s="2" t="s">
        <v>7399</v>
      </c>
      <c r="J3360" s="2">
        <v>3000951561</v>
      </c>
      <c r="K3360">
        <v>20</v>
      </c>
      <c r="L3360">
        <v>20</v>
      </c>
      <c r="M3360">
        <v>20</v>
      </c>
    </row>
    <row r="3361" spans="1:13" x14ac:dyDescent="0.25">
      <c r="A3361" t="s">
        <v>7416</v>
      </c>
      <c r="B3361" t="s">
        <v>7415</v>
      </c>
      <c r="C3361" t="s">
        <v>1432</v>
      </c>
      <c r="G3361" t="s">
        <v>16</v>
      </c>
      <c r="H3361">
        <v>0</v>
      </c>
      <c r="I3361" s="2" t="s">
        <v>854</v>
      </c>
      <c r="J3361" s="2">
        <v>877634</v>
      </c>
      <c r="K3361">
        <v>20</v>
      </c>
      <c r="L3361">
        <v>20</v>
      </c>
      <c r="M3361">
        <v>20</v>
      </c>
    </row>
    <row r="3362" spans="1:13" x14ac:dyDescent="0.25">
      <c r="A3362" t="s">
        <v>7417</v>
      </c>
      <c r="B3362" t="s">
        <v>7418</v>
      </c>
      <c r="C3362" t="s">
        <v>1432</v>
      </c>
      <c r="F3362">
        <v>1</v>
      </c>
      <c r="G3362" t="s">
        <v>16</v>
      </c>
      <c r="H3362">
        <v>0</v>
      </c>
      <c r="I3362" s="2" t="s">
        <v>392</v>
      </c>
      <c r="J3362" s="2">
        <v>1636264680</v>
      </c>
      <c r="K3362">
        <v>20</v>
      </c>
      <c r="L3362">
        <v>20</v>
      </c>
      <c r="M3362">
        <v>20</v>
      </c>
    </row>
    <row r="3363" spans="1:13" x14ac:dyDescent="0.25">
      <c r="A3363" t="s">
        <v>7419</v>
      </c>
      <c r="B3363" t="s">
        <v>7420</v>
      </c>
      <c r="C3363" t="s">
        <v>20</v>
      </c>
      <c r="F3363">
        <v>121</v>
      </c>
      <c r="G3363" t="s">
        <v>16</v>
      </c>
      <c r="H3363">
        <v>0</v>
      </c>
      <c r="I3363" s="2" t="s">
        <v>238</v>
      </c>
      <c r="J3363" s="2" t="str">
        <f>"02543"</f>
        <v>02543</v>
      </c>
      <c r="K3363">
        <v>20</v>
      </c>
      <c r="L3363">
        <v>20</v>
      </c>
      <c r="M3363">
        <v>20</v>
      </c>
    </row>
    <row r="3364" spans="1:13" x14ac:dyDescent="0.25">
      <c r="A3364" t="s">
        <v>7421</v>
      </c>
      <c r="B3364" t="s">
        <v>7422</v>
      </c>
      <c r="C3364" t="s">
        <v>20</v>
      </c>
      <c r="G3364" t="s">
        <v>16</v>
      </c>
      <c r="H3364">
        <v>0</v>
      </c>
      <c r="I3364" s="2" t="s">
        <v>165</v>
      </c>
      <c r="J3364" s="2">
        <v>206742</v>
      </c>
      <c r="K3364">
        <v>20</v>
      </c>
      <c r="L3364">
        <v>20</v>
      </c>
      <c r="M3364">
        <v>20</v>
      </c>
    </row>
    <row r="3365" spans="1:13" x14ac:dyDescent="0.25">
      <c r="A3365" t="s">
        <v>7423</v>
      </c>
      <c r="B3365" t="s">
        <v>7424</v>
      </c>
      <c r="C3365" t="s">
        <v>20</v>
      </c>
      <c r="F3365">
        <v>10</v>
      </c>
      <c r="G3365" t="s">
        <v>16</v>
      </c>
      <c r="H3365">
        <v>0</v>
      </c>
      <c r="I3365" s="2" t="s">
        <v>993</v>
      </c>
      <c r="J3365" s="2">
        <v>203185</v>
      </c>
      <c r="K3365">
        <v>20</v>
      </c>
      <c r="L3365">
        <v>20</v>
      </c>
      <c r="M3365">
        <v>20</v>
      </c>
    </row>
    <row r="3366" spans="1:13" x14ac:dyDescent="0.25">
      <c r="A3366">
        <v>2062506</v>
      </c>
      <c r="B3366" t="s">
        <v>7425</v>
      </c>
      <c r="C3366" t="s">
        <v>20</v>
      </c>
      <c r="F3366">
        <v>2</v>
      </c>
      <c r="G3366" t="s">
        <v>16</v>
      </c>
      <c r="H3366">
        <v>0</v>
      </c>
      <c r="I3366" s="2" t="s">
        <v>497</v>
      </c>
      <c r="J3366" s="2">
        <v>90531119</v>
      </c>
      <c r="K3366">
        <v>20</v>
      </c>
      <c r="L3366">
        <v>20</v>
      </c>
      <c r="M3366">
        <v>20</v>
      </c>
    </row>
    <row r="3367" spans="1:13" x14ac:dyDescent="0.25">
      <c r="A3367">
        <v>2066000</v>
      </c>
      <c r="B3367" t="s">
        <v>7426</v>
      </c>
      <c r="C3367" t="s">
        <v>496</v>
      </c>
      <c r="D3367" t="s">
        <v>2360</v>
      </c>
      <c r="G3367" t="s">
        <v>16</v>
      </c>
      <c r="H3367">
        <v>0</v>
      </c>
      <c r="I3367" s="2" t="s">
        <v>1444</v>
      </c>
      <c r="J3367" s="2">
        <v>11094488</v>
      </c>
      <c r="K3367">
        <v>20</v>
      </c>
      <c r="L3367">
        <v>20</v>
      </c>
      <c r="M3367">
        <v>20</v>
      </c>
    </row>
    <row r="3368" spans="1:13" x14ac:dyDescent="0.25">
      <c r="A3368" t="s">
        <v>7427</v>
      </c>
      <c r="B3368" t="s">
        <v>7428</v>
      </c>
      <c r="C3368" t="s">
        <v>357</v>
      </c>
      <c r="D3368" t="s">
        <v>1836</v>
      </c>
      <c r="G3368" t="s">
        <v>16</v>
      </c>
      <c r="H3368">
        <v>0</v>
      </c>
      <c r="I3368" s="2" t="s">
        <v>4108</v>
      </c>
      <c r="J3368" s="2">
        <v>1520017</v>
      </c>
      <c r="K3368">
        <v>20</v>
      </c>
      <c r="L3368">
        <v>20</v>
      </c>
      <c r="M3368">
        <v>20</v>
      </c>
    </row>
    <row r="3369" spans="1:13" x14ac:dyDescent="0.25">
      <c r="A3369" t="s">
        <v>7429</v>
      </c>
      <c r="B3369" t="s">
        <v>7431</v>
      </c>
      <c r="C3369" t="s">
        <v>357</v>
      </c>
      <c r="D3369" t="s">
        <v>1836</v>
      </c>
      <c r="F3369">
        <v>0</v>
      </c>
      <c r="G3369" t="s">
        <v>16</v>
      </c>
      <c r="H3369">
        <v>0</v>
      </c>
      <c r="I3369" s="2" t="s">
        <v>1849</v>
      </c>
      <c r="J3369" s="2" t="s">
        <v>7430</v>
      </c>
      <c r="K3369">
        <v>20</v>
      </c>
      <c r="L3369">
        <v>20</v>
      </c>
      <c r="M3369">
        <v>20</v>
      </c>
    </row>
    <row r="3370" spans="1:13" x14ac:dyDescent="0.25">
      <c r="A3370" t="s">
        <v>7432</v>
      </c>
      <c r="B3370" t="s">
        <v>7434</v>
      </c>
      <c r="C3370" t="s">
        <v>151</v>
      </c>
      <c r="D3370" t="s">
        <v>6347</v>
      </c>
      <c r="F3370">
        <v>1</v>
      </c>
      <c r="G3370" t="s">
        <v>16</v>
      </c>
      <c r="H3370">
        <v>0</v>
      </c>
      <c r="I3370" s="2" t="s">
        <v>288</v>
      </c>
      <c r="J3370" s="2" t="s">
        <v>7433</v>
      </c>
      <c r="K3370">
        <v>20</v>
      </c>
      <c r="L3370">
        <v>20</v>
      </c>
      <c r="M3370">
        <v>20</v>
      </c>
    </row>
    <row r="3371" spans="1:13" x14ac:dyDescent="0.25">
      <c r="A3371">
        <v>20905699</v>
      </c>
      <c r="B3371" t="s">
        <v>7435</v>
      </c>
      <c r="C3371" t="s">
        <v>151</v>
      </c>
      <c r="F3371">
        <v>1</v>
      </c>
      <c r="G3371" t="s">
        <v>16</v>
      </c>
      <c r="H3371">
        <v>0</v>
      </c>
      <c r="I3371" s="2" t="s">
        <v>497</v>
      </c>
      <c r="J3371" s="2">
        <v>20905699</v>
      </c>
      <c r="K3371">
        <v>20</v>
      </c>
      <c r="L3371">
        <v>20</v>
      </c>
      <c r="M3371">
        <v>20</v>
      </c>
    </row>
    <row r="3372" spans="1:13" x14ac:dyDescent="0.25">
      <c r="A3372" t="s">
        <v>7436</v>
      </c>
      <c r="B3372" t="s">
        <v>7437</v>
      </c>
      <c r="C3372" t="s">
        <v>20</v>
      </c>
      <c r="D3372" t="s">
        <v>26</v>
      </c>
      <c r="F3372">
        <v>3</v>
      </c>
      <c r="G3372" t="s">
        <v>16</v>
      </c>
      <c r="H3372">
        <v>0</v>
      </c>
      <c r="I3372" s="2" t="s">
        <v>1488</v>
      </c>
      <c r="J3372" s="3">
        <v>79553</v>
      </c>
      <c r="K3372">
        <v>20</v>
      </c>
      <c r="L3372">
        <v>20</v>
      </c>
      <c r="M3372">
        <v>20</v>
      </c>
    </row>
    <row r="3373" spans="1:13" x14ac:dyDescent="0.25">
      <c r="A3373" t="s">
        <v>7438</v>
      </c>
      <c r="B3373" t="s">
        <v>7439</v>
      </c>
      <c r="C3373" t="s">
        <v>151</v>
      </c>
      <c r="D3373" t="s">
        <v>1092</v>
      </c>
      <c r="F3373">
        <v>0</v>
      </c>
      <c r="G3373" t="s">
        <v>16</v>
      </c>
      <c r="H3373">
        <v>0</v>
      </c>
      <c r="I3373" s="2" t="s">
        <v>7440</v>
      </c>
      <c r="J3373" s="2" t="s">
        <v>7441</v>
      </c>
      <c r="K3373">
        <v>20</v>
      </c>
      <c r="L3373">
        <v>20</v>
      </c>
      <c r="M3373">
        <v>20</v>
      </c>
    </row>
    <row r="3374" spans="1:13" x14ac:dyDescent="0.25">
      <c r="A3374" t="s">
        <v>7442</v>
      </c>
      <c r="B3374" t="s">
        <v>7443</v>
      </c>
      <c r="C3374" t="s">
        <v>357</v>
      </c>
      <c r="D3374" t="s">
        <v>1836</v>
      </c>
      <c r="F3374">
        <v>1</v>
      </c>
      <c r="G3374" t="s">
        <v>16</v>
      </c>
      <c r="H3374">
        <v>0</v>
      </c>
      <c r="I3374" s="2" t="s">
        <v>598</v>
      </c>
      <c r="J3374" s="2">
        <v>354960</v>
      </c>
      <c r="K3374">
        <v>20</v>
      </c>
      <c r="L3374">
        <v>20</v>
      </c>
      <c r="M3374">
        <v>20</v>
      </c>
    </row>
    <row r="3375" spans="1:13" x14ac:dyDescent="0.25">
      <c r="A3375" t="s">
        <v>7444</v>
      </c>
      <c r="B3375" t="s">
        <v>7443</v>
      </c>
      <c r="C3375" t="s">
        <v>357</v>
      </c>
      <c r="D3375" t="s">
        <v>1836</v>
      </c>
      <c r="F3375">
        <v>1</v>
      </c>
      <c r="G3375" t="s">
        <v>16</v>
      </c>
      <c r="H3375">
        <v>0</v>
      </c>
      <c r="I3375" s="2" t="s">
        <v>1861</v>
      </c>
      <c r="J3375" s="2" t="s">
        <v>7445</v>
      </c>
      <c r="K3375">
        <v>20</v>
      </c>
      <c r="L3375">
        <v>20</v>
      </c>
      <c r="M3375">
        <v>20</v>
      </c>
    </row>
    <row r="3376" spans="1:13" x14ac:dyDescent="0.25">
      <c r="A3376" t="s">
        <v>7446</v>
      </c>
      <c r="B3376" t="s">
        <v>7447</v>
      </c>
      <c r="C3376" t="s">
        <v>1432</v>
      </c>
      <c r="F3376">
        <v>2</v>
      </c>
      <c r="G3376" t="s">
        <v>16</v>
      </c>
      <c r="H3376">
        <v>0</v>
      </c>
      <c r="I3376" s="2" t="s">
        <v>73</v>
      </c>
      <c r="J3376" s="2">
        <v>82034710</v>
      </c>
      <c r="K3376">
        <v>20</v>
      </c>
      <c r="L3376">
        <v>20</v>
      </c>
      <c r="M3376">
        <v>20</v>
      </c>
    </row>
    <row r="3377" spans="1:13" x14ac:dyDescent="0.25">
      <c r="A3377" t="s">
        <v>7448</v>
      </c>
      <c r="B3377" t="s">
        <v>7449</v>
      </c>
      <c r="C3377" t="s">
        <v>1432</v>
      </c>
      <c r="F3377">
        <v>1</v>
      </c>
      <c r="G3377" t="s">
        <v>16</v>
      </c>
      <c r="H3377">
        <v>0</v>
      </c>
      <c r="I3377" s="2" t="s">
        <v>57</v>
      </c>
      <c r="J3377" s="2" t="str">
        <f>"046322-VN"</f>
        <v>046322-VN</v>
      </c>
      <c r="K3377">
        <v>20</v>
      </c>
      <c r="L3377">
        <v>20</v>
      </c>
      <c r="M3377">
        <v>20</v>
      </c>
    </row>
    <row r="3378" spans="1:13" x14ac:dyDescent="0.25">
      <c r="A3378" t="s">
        <v>7450</v>
      </c>
      <c r="B3378" t="s">
        <v>7451</v>
      </c>
      <c r="C3378" t="s">
        <v>1432</v>
      </c>
      <c r="F3378">
        <v>2</v>
      </c>
      <c r="G3378" t="s">
        <v>16</v>
      </c>
      <c r="H3378">
        <v>0</v>
      </c>
      <c r="I3378" s="2" t="s">
        <v>55</v>
      </c>
      <c r="J3378" s="2" t="s">
        <v>7450</v>
      </c>
      <c r="K3378">
        <v>20</v>
      </c>
      <c r="L3378">
        <v>20</v>
      </c>
      <c r="M3378">
        <v>20</v>
      </c>
    </row>
    <row r="3379" spans="1:13" x14ac:dyDescent="0.25">
      <c r="A3379" t="s">
        <v>7452</v>
      </c>
      <c r="B3379" t="s">
        <v>7451</v>
      </c>
      <c r="C3379" t="s">
        <v>1432</v>
      </c>
      <c r="F3379">
        <v>2</v>
      </c>
      <c r="G3379" t="s">
        <v>16</v>
      </c>
      <c r="H3379">
        <v>0</v>
      </c>
      <c r="I3379" s="2" t="s">
        <v>73</v>
      </c>
      <c r="J3379" s="2" t="s">
        <v>7453</v>
      </c>
      <c r="K3379">
        <v>20</v>
      </c>
      <c r="L3379">
        <v>20</v>
      </c>
      <c r="M3379">
        <v>20</v>
      </c>
    </row>
    <row r="3380" spans="1:13" x14ac:dyDescent="0.25">
      <c r="A3380" t="s">
        <v>7454</v>
      </c>
      <c r="B3380" t="s">
        <v>7455</v>
      </c>
      <c r="C3380" t="s">
        <v>1432</v>
      </c>
      <c r="F3380">
        <v>1</v>
      </c>
      <c r="G3380" t="s">
        <v>16</v>
      </c>
      <c r="H3380">
        <v>0</v>
      </c>
      <c r="I3380" s="2" t="s">
        <v>51</v>
      </c>
      <c r="J3380" s="2" t="s">
        <v>7454</v>
      </c>
      <c r="K3380">
        <v>20</v>
      </c>
      <c r="L3380">
        <v>20</v>
      </c>
      <c r="M3380">
        <v>20</v>
      </c>
    </row>
    <row r="3381" spans="1:13" x14ac:dyDescent="0.25">
      <c r="A3381" t="s">
        <v>7456</v>
      </c>
      <c r="B3381" t="s">
        <v>7457</v>
      </c>
      <c r="C3381" t="s">
        <v>1432</v>
      </c>
      <c r="F3381">
        <v>1</v>
      </c>
      <c r="G3381" t="s">
        <v>16</v>
      </c>
      <c r="H3381">
        <v>0</v>
      </c>
      <c r="I3381" s="2" t="s">
        <v>55</v>
      </c>
      <c r="J3381" s="2" t="s">
        <v>7456</v>
      </c>
      <c r="K3381">
        <v>20</v>
      </c>
      <c r="L3381">
        <v>20</v>
      </c>
      <c r="M3381">
        <v>20</v>
      </c>
    </row>
    <row r="3382" spans="1:13" x14ac:dyDescent="0.25">
      <c r="A3382" t="s">
        <v>7458</v>
      </c>
      <c r="B3382" t="s">
        <v>7459</v>
      </c>
      <c r="C3382" t="s">
        <v>1432</v>
      </c>
      <c r="F3382">
        <v>1</v>
      </c>
      <c r="G3382" t="s">
        <v>16</v>
      </c>
      <c r="H3382">
        <v>0</v>
      </c>
      <c r="I3382" s="2" t="s">
        <v>87</v>
      </c>
      <c r="J3382" s="2" t="s">
        <v>7460</v>
      </c>
      <c r="K3382">
        <v>20</v>
      </c>
      <c r="L3382">
        <v>20</v>
      </c>
      <c r="M3382">
        <v>20</v>
      </c>
    </row>
    <row r="3383" spans="1:13" x14ac:dyDescent="0.25">
      <c r="A3383" t="s">
        <v>7461</v>
      </c>
      <c r="B3383" t="s">
        <v>7459</v>
      </c>
      <c r="C3383" t="s">
        <v>1432</v>
      </c>
      <c r="F3383">
        <v>1</v>
      </c>
      <c r="G3383" t="s">
        <v>16</v>
      </c>
      <c r="H3383">
        <v>0</v>
      </c>
      <c r="I3383" s="2" t="s">
        <v>6735</v>
      </c>
      <c r="J3383" s="2">
        <v>584061</v>
      </c>
      <c r="K3383">
        <v>20</v>
      </c>
      <c r="L3383">
        <v>20</v>
      </c>
      <c r="M3383">
        <v>20</v>
      </c>
    </row>
    <row r="3384" spans="1:13" x14ac:dyDescent="0.25">
      <c r="A3384" t="s">
        <v>7462</v>
      </c>
      <c r="B3384" t="s">
        <v>7463</v>
      </c>
      <c r="C3384" t="s">
        <v>1432</v>
      </c>
      <c r="F3384">
        <v>1</v>
      </c>
      <c r="G3384" t="s">
        <v>16</v>
      </c>
      <c r="H3384">
        <v>0</v>
      </c>
      <c r="I3384" s="2" t="s">
        <v>64</v>
      </c>
      <c r="J3384" s="2">
        <v>10010572</v>
      </c>
      <c r="K3384">
        <v>20</v>
      </c>
      <c r="L3384">
        <v>20</v>
      </c>
      <c r="M3384">
        <v>20</v>
      </c>
    </row>
    <row r="3385" spans="1:13" x14ac:dyDescent="0.25">
      <c r="A3385" t="s">
        <v>7464</v>
      </c>
      <c r="B3385" t="s">
        <v>7463</v>
      </c>
      <c r="C3385" t="s">
        <v>1432</v>
      </c>
      <c r="G3385" t="s">
        <v>16</v>
      </c>
      <c r="H3385">
        <v>0</v>
      </c>
      <c r="I3385" s="2" t="s">
        <v>2881</v>
      </c>
      <c r="J3385" s="2" t="s">
        <v>7465</v>
      </c>
      <c r="K3385">
        <v>20</v>
      </c>
      <c r="L3385">
        <v>20</v>
      </c>
      <c r="M3385">
        <v>20</v>
      </c>
    </row>
    <row r="3386" spans="1:13" x14ac:dyDescent="0.25">
      <c r="A3386" t="s">
        <v>7466</v>
      </c>
      <c r="B3386" t="s">
        <v>7467</v>
      </c>
      <c r="C3386" t="s">
        <v>1432</v>
      </c>
      <c r="F3386">
        <v>1</v>
      </c>
      <c r="G3386" t="s">
        <v>16</v>
      </c>
      <c r="H3386">
        <v>0</v>
      </c>
      <c r="I3386" s="2" t="s">
        <v>6735</v>
      </c>
      <c r="J3386" s="2">
        <v>584091</v>
      </c>
      <c r="K3386">
        <v>20</v>
      </c>
      <c r="L3386">
        <v>20</v>
      </c>
      <c r="M3386">
        <v>20</v>
      </c>
    </row>
    <row r="3387" spans="1:13" x14ac:dyDescent="0.25">
      <c r="A3387" t="s">
        <v>7468</v>
      </c>
      <c r="B3387" t="s">
        <v>7467</v>
      </c>
      <c r="C3387" t="s">
        <v>1432</v>
      </c>
      <c r="G3387" t="s">
        <v>16</v>
      </c>
      <c r="H3387">
        <v>0</v>
      </c>
      <c r="I3387" s="2" t="s">
        <v>6861</v>
      </c>
      <c r="J3387" s="2" t="s">
        <v>7469</v>
      </c>
      <c r="K3387">
        <v>20</v>
      </c>
      <c r="L3387">
        <v>20</v>
      </c>
      <c r="M3387">
        <v>20</v>
      </c>
    </row>
    <row r="3388" spans="1:13" x14ac:dyDescent="0.25">
      <c r="A3388" t="s">
        <v>7470</v>
      </c>
      <c r="B3388" t="s">
        <v>7467</v>
      </c>
      <c r="C3388" t="s">
        <v>1432</v>
      </c>
      <c r="F3388">
        <v>1</v>
      </c>
      <c r="G3388" t="s">
        <v>16</v>
      </c>
      <c r="H3388">
        <v>0</v>
      </c>
      <c r="I3388" s="2" t="s">
        <v>4086</v>
      </c>
      <c r="J3388" s="2" t="str">
        <f>"00998"</f>
        <v>00998</v>
      </c>
      <c r="K3388">
        <v>20</v>
      </c>
      <c r="L3388">
        <v>20</v>
      </c>
      <c r="M3388">
        <v>20</v>
      </c>
    </row>
    <row r="3389" spans="1:13" x14ac:dyDescent="0.25">
      <c r="A3389" t="s">
        <v>7471</v>
      </c>
      <c r="B3389" t="s">
        <v>7472</v>
      </c>
      <c r="C3389" t="s">
        <v>1432</v>
      </c>
      <c r="F3389">
        <v>1</v>
      </c>
      <c r="G3389" t="s">
        <v>16</v>
      </c>
      <c r="H3389">
        <v>0</v>
      </c>
      <c r="I3389" s="2" t="s">
        <v>4086</v>
      </c>
      <c r="J3389" s="2" t="str">
        <f>"04913"</f>
        <v>04913</v>
      </c>
      <c r="K3389">
        <v>20</v>
      </c>
      <c r="L3389">
        <v>20</v>
      </c>
      <c r="M3389">
        <v>20</v>
      </c>
    </row>
    <row r="3390" spans="1:13" x14ac:dyDescent="0.25">
      <c r="A3390" t="s">
        <v>7473</v>
      </c>
      <c r="B3390" t="s">
        <v>7474</v>
      </c>
      <c r="C3390" t="s">
        <v>1432</v>
      </c>
      <c r="F3390">
        <v>2</v>
      </c>
      <c r="G3390" t="s">
        <v>16</v>
      </c>
      <c r="H3390">
        <v>0</v>
      </c>
      <c r="I3390" s="2" t="s">
        <v>87</v>
      </c>
      <c r="J3390" s="2" t="s">
        <v>7475</v>
      </c>
      <c r="K3390">
        <v>20</v>
      </c>
      <c r="L3390">
        <v>20</v>
      </c>
      <c r="M3390">
        <v>20</v>
      </c>
    </row>
    <row r="3391" spans="1:13" x14ac:dyDescent="0.25">
      <c r="A3391" t="s">
        <v>7476</v>
      </c>
      <c r="B3391" t="s">
        <v>7474</v>
      </c>
      <c r="C3391" t="s">
        <v>1432</v>
      </c>
      <c r="F3391">
        <v>4</v>
      </c>
      <c r="G3391" t="s">
        <v>16</v>
      </c>
      <c r="H3391">
        <v>0</v>
      </c>
      <c r="I3391" s="2" t="s">
        <v>69</v>
      </c>
      <c r="J3391" s="2" t="s">
        <v>7477</v>
      </c>
      <c r="K3391">
        <v>20</v>
      </c>
      <c r="L3391">
        <v>20</v>
      </c>
      <c r="M3391">
        <v>20</v>
      </c>
    </row>
    <row r="3392" spans="1:13" x14ac:dyDescent="0.25">
      <c r="A3392" t="s">
        <v>7478</v>
      </c>
      <c r="B3392" t="s">
        <v>7474</v>
      </c>
      <c r="C3392" t="s">
        <v>1432</v>
      </c>
      <c r="F3392">
        <v>1</v>
      </c>
      <c r="G3392" t="s">
        <v>16</v>
      </c>
      <c r="H3392">
        <v>0</v>
      </c>
      <c r="I3392" s="2" t="s">
        <v>156</v>
      </c>
      <c r="J3392" s="2" t="s">
        <v>7479</v>
      </c>
      <c r="K3392">
        <v>20</v>
      </c>
      <c r="L3392">
        <v>20</v>
      </c>
      <c r="M3392">
        <v>20</v>
      </c>
    </row>
    <row r="3393" spans="1:13" x14ac:dyDescent="0.25">
      <c r="A3393" t="s">
        <v>7480</v>
      </c>
      <c r="B3393" t="s">
        <v>7474</v>
      </c>
      <c r="C3393" t="s">
        <v>1432</v>
      </c>
      <c r="F3393">
        <v>2</v>
      </c>
      <c r="G3393" t="s">
        <v>16</v>
      </c>
      <c r="H3393">
        <v>0</v>
      </c>
      <c r="I3393" s="2" t="s">
        <v>4086</v>
      </c>
      <c r="J3393" s="2" t="str">
        <f>"03806"</f>
        <v>03806</v>
      </c>
      <c r="K3393">
        <v>20</v>
      </c>
      <c r="L3393">
        <v>20</v>
      </c>
      <c r="M3393">
        <v>20</v>
      </c>
    </row>
    <row r="3394" spans="1:13" x14ac:dyDescent="0.25">
      <c r="A3394" t="s">
        <v>7481</v>
      </c>
      <c r="B3394" t="s">
        <v>7482</v>
      </c>
      <c r="C3394" t="s">
        <v>1432</v>
      </c>
      <c r="G3394" t="s">
        <v>16</v>
      </c>
      <c r="H3394">
        <v>0</v>
      </c>
      <c r="I3394" s="2" t="s">
        <v>51</v>
      </c>
      <c r="J3394" s="2" t="s">
        <v>7481</v>
      </c>
      <c r="K3394">
        <v>20</v>
      </c>
      <c r="L3394">
        <v>20</v>
      </c>
      <c r="M3394">
        <v>20</v>
      </c>
    </row>
    <row r="3395" spans="1:13" x14ac:dyDescent="0.25">
      <c r="A3395" t="s">
        <v>7483</v>
      </c>
      <c r="B3395" t="s">
        <v>7484</v>
      </c>
      <c r="C3395" t="s">
        <v>540</v>
      </c>
      <c r="G3395" t="s">
        <v>16</v>
      </c>
      <c r="H3395">
        <v>0</v>
      </c>
      <c r="I3395" s="2" t="s">
        <v>504</v>
      </c>
      <c r="J3395" s="2">
        <v>212158</v>
      </c>
      <c r="K3395">
        <v>20</v>
      </c>
      <c r="L3395">
        <v>20</v>
      </c>
      <c r="M3395">
        <v>20</v>
      </c>
    </row>
    <row r="3396" spans="1:13" x14ac:dyDescent="0.25">
      <c r="A3396" t="s">
        <v>7485</v>
      </c>
      <c r="B3396" t="s">
        <v>7487</v>
      </c>
      <c r="C3396" t="s">
        <v>540</v>
      </c>
      <c r="G3396" t="s">
        <v>16</v>
      </c>
      <c r="H3396">
        <v>0</v>
      </c>
      <c r="I3396" s="2" t="s">
        <v>288</v>
      </c>
      <c r="J3396" s="2" t="s">
        <v>7486</v>
      </c>
      <c r="K3396">
        <v>20</v>
      </c>
      <c r="L3396">
        <v>20</v>
      </c>
      <c r="M3396">
        <v>20</v>
      </c>
    </row>
    <row r="3397" spans="1:13" x14ac:dyDescent="0.25">
      <c r="A3397" t="s">
        <v>7488</v>
      </c>
      <c r="B3397" t="s">
        <v>7487</v>
      </c>
      <c r="C3397" t="s">
        <v>540</v>
      </c>
      <c r="F3397">
        <v>1</v>
      </c>
      <c r="G3397" t="s">
        <v>16</v>
      </c>
      <c r="H3397">
        <v>0</v>
      </c>
      <c r="I3397" s="2" t="s">
        <v>1175</v>
      </c>
      <c r="J3397" s="2" t="s">
        <v>7489</v>
      </c>
      <c r="K3397">
        <v>20</v>
      </c>
      <c r="L3397">
        <v>20</v>
      </c>
      <c r="M3397">
        <v>20</v>
      </c>
    </row>
    <row r="3398" spans="1:13" x14ac:dyDescent="0.25">
      <c r="A3398" t="s">
        <v>7490</v>
      </c>
      <c r="B3398" t="s">
        <v>7492</v>
      </c>
      <c r="C3398" t="s">
        <v>540</v>
      </c>
      <c r="F3398">
        <v>0</v>
      </c>
      <c r="G3398" t="s">
        <v>16</v>
      </c>
      <c r="H3398">
        <v>0</v>
      </c>
      <c r="I3398" s="2" t="s">
        <v>69</v>
      </c>
      <c r="J3398" s="2" t="s">
        <v>7491</v>
      </c>
      <c r="K3398">
        <v>20</v>
      </c>
      <c r="L3398">
        <v>20</v>
      </c>
      <c r="M3398">
        <v>20</v>
      </c>
    </row>
    <row r="3399" spans="1:13" x14ac:dyDescent="0.25">
      <c r="A3399" t="s">
        <v>7493</v>
      </c>
      <c r="B3399" t="s">
        <v>7494</v>
      </c>
      <c r="C3399" t="s">
        <v>540</v>
      </c>
      <c r="F3399">
        <v>1</v>
      </c>
      <c r="G3399" t="s">
        <v>16</v>
      </c>
      <c r="H3399">
        <v>0</v>
      </c>
      <c r="I3399" s="2" t="s">
        <v>2251</v>
      </c>
      <c r="J3399" s="2" t="s">
        <v>7495</v>
      </c>
      <c r="K3399">
        <v>20</v>
      </c>
      <c r="L3399">
        <v>20</v>
      </c>
      <c r="M3399">
        <v>20</v>
      </c>
    </row>
    <row r="3400" spans="1:13" x14ac:dyDescent="0.25">
      <c r="A3400" t="s">
        <v>7496</v>
      </c>
      <c r="B3400" t="s">
        <v>7492</v>
      </c>
      <c r="C3400" t="s">
        <v>540</v>
      </c>
      <c r="F3400">
        <v>1</v>
      </c>
      <c r="G3400" t="s">
        <v>16</v>
      </c>
      <c r="H3400">
        <v>0</v>
      </c>
      <c r="I3400" s="2" t="s">
        <v>7497</v>
      </c>
      <c r="J3400" s="2">
        <v>9910002</v>
      </c>
      <c r="K3400">
        <v>20</v>
      </c>
      <c r="L3400">
        <v>20</v>
      </c>
      <c r="M3400">
        <v>20</v>
      </c>
    </row>
    <row r="3401" spans="1:13" x14ac:dyDescent="0.25">
      <c r="A3401" t="s">
        <v>7498</v>
      </c>
      <c r="B3401" t="s">
        <v>7499</v>
      </c>
      <c r="C3401" t="s">
        <v>496</v>
      </c>
      <c r="F3401">
        <v>1</v>
      </c>
      <c r="G3401" t="s">
        <v>16</v>
      </c>
      <c r="H3401">
        <v>0</v>
      </c>
      <c r="K3401">
        <v>20</v>
      </c>
      <c r="L3401">
        <v>20</v>
      </c>
      <c r="M3401">
        <v>20</v>
      </c>
    </row>
    <row r="3402" spans="1:13" x14ac:dyDescent="0.25">
      <c r="A3402" t="s">
        <v>7500</v>
      </c>
      <c r="B3402" t="s">
        <v>7501</v>
      </c>
      <c r="C3402" t="s">
        <v>540</v>
      </c>
      <c r="F3402">
        <v>2</v>
      </c>
      <c r="G3402" t="s">
        <v>16</v>
      </c>
      <c r="H3402">
        <v>0</v>
      </c>
      <c r="I3402" s="2" t="s">
        <v>2251</v>
      </c>
      <c r="J3402" s="2" t="s">
        <v>7502</v>
      </c>
      <c r="K3402">
        <v>20</v>
      </c>
      <c r="L3402">
        <v>20</v>
      </c>
      <c r="M3402">
        <v>20</v>
      </c>
    </row>
    <row r="3403" spans="1:13" x14ac:dyDescent="0.25">
      <c r="A3403" t="s">
        <v>7503</v>
      </c>
      <c r="B3403" t="s">
        <v>7501</v>
      </c>
      <c r="C3403" t="s">
        <v>540</v>
      </c>
      <c r="F3403">
        <v>1</v>
      </c>
      <c r="G3403" t="s">
        <v>16</v>
      </c>
      <c r="H3403">
        <v>0</v>
      </c>
      <c r="I3403" s="2" t="s">
        <v>7497</v>
      </c>
      <c r="J3403" s="2">
        <v>9910008</v>
      </c>
      <c r="K3403">
        <v>20</v>
      </c>
      <c r="L3403">
        <v>20</v>
      </c>
      <c r="M3403">
        <v>20</v>
      </c>
    </row>
    <row r="3404" spans="1:13" x14ac:dyDescent="0.25">
      <c r="A3404" t="s">
        <v>7504</v>
      </c>
      <c r="B3404" t="s">
        <v>7505</v>
      </c>
      <c r="C3404" t="s">
        <v>1432</v>
      </c>
      <c r="G3404" t="s">
        <v>16</v>
      </c>
      <c r="H3404">
        <v>0</v>
      </c>
      <c r="I3404" s="2" t="s">
        <v>51</v>
      </c>
      <c r="J3404" s="2">
        <v>212822</v>
      </c>
      <c r="K3404">
        <v>20</v>
      </c>
      <c r="L3404">
        <v>20</v>
      </c>
      <c r="M3404">
        <v>20</v>
      </c>
    </row>
    <row r="3405" spans="1:13" x14ac:dyDescent="0.25">
      <c r="A3405" t="s">
        <v>7506</v>
      </c>
      <c r="B3405" t="s">
        <v>7505</v>
      </c>
      <c r="C3405" t="s">
        <v>1432</v>
      </c>
      <c r="F3405">
        <v>5</v>
      </c>
      <c r="G3405" t="s">
        <v>16</v>
      </c>
      <c r="H3405">
        <v>0</v>
      </c>
      <c r="I3405" s="2" t="s">
        <v>2881</v>
      </c>
      <c r="J3405" s="2" t="s">
        <v>7507</v>
      </c>
      <c r="K3405">
        <v>20</v>
      </c>
      <c r="L3405">
        <v>20</v>
      </c>
      <c r="M3405">
        <v>20</v>
      </c>
    </row>
    <row r="3406" spans="1:13" x14ac:dyDescent="0.25">
      <c r="A3406" t="s">
        <v>7508</v>
      </c>
      <c r="B3406" t="s">
        <v>7509</v>
      </c>
      <c r="C3406" t="s">
        <v>151</v>
      </c>
      <c r="D3406" t="s">
        <v>1092</v>
      </c>
      <c r="G3406" t="s">
        <v>16</v>
      </c>
      <c r="H3406">
        <v>0</v>
      </c>
      <c r="I3406" s="2" t="s">
        <v>1145</v>
      </c>
      <c r="J3406" s="2" t="s">
        <v>7510</v>
      </c>
      <c r="K3406">
        <v>20</v>
      </c>
      <c r="L3406">
        <v>20</v>
      </c>
      <c r="M3406">
        <v>20</v>
      </c>
    </row>
    <row r="3407" spans="1:13" x14ac:dyDescent="0.25">
      <c r="A3407" t="s">
        <v>7511</v>
      </c>
      <c r="B3407" t="s">
        <v>7512</v>
      </c>
      <c r="C3407" t="s">
        <v>1432</v>
      </c>
      <c r="G3407" t="s">
        <v>16</v>
      </c>
      <c r="H3407">
        <v>0</v>
      </c>
      <c r="I3407" s="2" t="s">
        <v>7513</v>
      </c>
      <c r="J3407" s="2" t="s">
        <v>7514</v>
      </c>
      <c r="K3407">
        <v>20</v>
      </c>
      <c r="L3407">
        <v>20</v>
      </c>
      <c r="M3407">
        <v>20</v>
      </c>
    </row>
    <row r="3408" spans="1:13" x14ac:dyDescent="0.25">
      <c r="A3408" t="s">
        <v>7515</v>
      </c>
      <c r="B3408" t="s">
        <v>7516</v>
      </c>
      <c r="C3408" t="s">
        <v>1432</v>
      </c>
      <c r="G3408" t="s">
        <v>16</v>
      </c>
      <c r="H3408">
        <v>0</v>
      </c>
      <c r="I3408" s="2" t="s">
        <v>7513</v>
      </c>
      <c r="J3408" s="2" t="s">
        <v>7517</v>
      </c>
      <c r="K3408">
        <v>20</v>
      </c>
      <c r="L3408">
        <v>20</v>
      </c>
      <c r="M3408">
        <v>20</v>
      </c>
    </row>
    <row r="3409" spans="1:13" x14ac:dyDescent="0.25">
      <c r="A3409" t="s">
        <v>7518</v>
      </c>
      <c r="B3409" t="s">
        <v>7519</v>
      </c>
      <c r="C3409" t="s">
        <v>1432</v>
      </c>
      <c r="F3409">
        <v>1</v>
      </c>
      <c r="G3409" t="s">
        <v>16</v>
      </c>
      <c r="H3409">
        <v>0</v>
      </c>
      <c r="I3409" s="2" t="s">
        <v>64</v>
      </c>
      <c r="J3409" s="2">
        <v>21031596</v>
      </c>
      <c r="K3409">
        <v>20</v>
      </c>
      <c r="L3409">
        <v>20</v>
      </c>
      <c r="M3409">
        <v>20</v>
      </c>
    </row>
    <row r="3410" spans="1:13" x14ac:dyDescent="0.25">
      <c r="A3410" t="s">
        <v>7520</v>
      </c>
      <c r="B3410" t="s">
        <v>7521</v>
      </c>
      <c r="C3410" t="s">
        <v>1432</v>
      </c>
      <c r="G3410" t="s">
        <v>16</v>
      </c>
      <c r="H3410">
        <v>0</v>
      </c>
      <c r="I3410" s="2" t="s">
        <v>7513</v>
      </c>
      <c r="J3410" s="2" t="s">
        <v>7522</v>
      </c>
      <c r="K3410">
        <v>20</v>
      </c>
      <c r="L3410">
        <v>20</v>
      </c>
      <c r="M3410">
        <v>20</v>
      </c>
    </row>
    <row r="3411" spans="1:13" x14ac:dyDescent="0.25">
      <c r="A3411" t="s">
        <v>7523</v>
      </c>
      <c r="B3411" t="s">
        <v>7524</v>
      </c>
      <c r="C3411" t="s">
        <v>1432</v>
      </c>
      <c r="F3411">
        <v>1</v>
      </c>
      <c r="G3411" t="s">
        <v>16</v>
      </c>
      <c r="H3411">
        <v>0</v>
      </c>
      <c r="I3411" s="2" t="s">
        <v>7525</v>
      </c>
      <c r="J3411" s="2" t="s">
        <v>7526</v>
      </c>
      <c r="K3411">
        <v>20</v>
      </c>
      <c r="L3411">
        <v>20</v>
      </c>
      <c r="M3411">
        <v>20</v>
      </c>
    </row>
    <row r="3412" spans="1:13" x14ac:dyDescent="0.25">
      <c r="A3412" t="s">
        <v>7527</v>
      </c>
      <c r="B3412" t="s">
        <v>7524</v>
      </c>
      <c r="C3412" t="s">
        <v>1432</v>
      </c>
      <c r="F3412">
        <v>1</v>
      </c>
      <c r="G3412" t="s">
        <v>16</v>
      </c>
      <c r="H3412">
        <v>0</v>
      </c>
      <c r="I3412" s="2" t="s">
        <v>64</v>
      </c>
      <c r="J3412" s="2">
        <v>21031595</v>
      </c>
      <c r="K3412">
        <v>20</v>
      </c>
      <c r="L3412">
        <v>20</v>
      </c>
      <c r="M3412">
        <v>20</v>
      </c>
    </row>
    <row r="3413" spans="1:13" x14ac:dyDescent="0.25">
      <c r="A3413" t="s">
        <v>7528</v>
      </c>
      <c r="B3413" t="s">
        <v>7529</v>
      </c>
      <c r="C3413" t="s">
        <v>1432</v>
      </c>
      <c r="D3413" t="s">
        <v>7530</v>
      </c>
      <c r="F3413">
        <v>2</v>
      </c>
      <c r="G3413" t="s">
        <v>16</v>
      </c>
      <c r="H3413">
        <v>0</v>
      </c>
      <c r="I3413" s="2" t="s">
        <v>1713</v>
      </c>
      <c r="J3413" s="2" t="s">
        <v>7531</v>
      </c>
      <c r="K3413">
        <v>20</v>
      </c>
      <c r="L3413">
        <v>20</v>
      </c>
      <c r="M3413">
        <v>20</v>
      </c>
    </row>
    <row r="3414" spans="1:13" x14ac:dyDescent="0.25">
      <c r="A3414" t="s">
        <v>7532</v>
      </c>
      <c r="B3414" t="s">
        <v>7533</v>
      </c>
      <c r="C3414" t="s">
        <v>1432</v>
      </c>
      <c r="D3414" t="s">
        <v>7530</v>
      </c>
      <c r="F3414">
        <v>1</v>
      </c>
      <c r="G3414" t="s">
        <v>16</v>
      </c>
      <c r="H3414">
        <v>0</v>
      </c>
      <c r="I3414" s="2" t="s">
        <v>1713</v>
      </c>
      <c r="J3414" s="2">
        <v>6001607</v>
      </c>
      <c r="K3414">
        <v>20</v>
      </c>
      <c r="L3414">
        <v>20</v>
      </c>
      <c r="M3414">
        <v>20</v>
      </c>
    </row>
    <row r="3415" spans="1:13" x14ac:dyDescent="0.25">
      <c r="A3415" t="s">
        <v>7534</v>
      </c>
      <c r="B3415" t="s">
        <v>7535</v>
      </c>
      <c r="C3415" t="s">
        <v>1432</v>
      </c>
      <c r="D3415" t="s">
        <v>7530</v>
      </c>
      <c r="F3415">
        <v>3</v>
      </c>
      <c r="G3415" t="s">
        <v>16</v>
      </c>
      <c r="H3415">
        <v>0</v>
      </c>
      <c r="I3415" s="2" t="s">
        <v>51</v>
      </c>
      <c r="J3415" s="2" t="s">
        <v>7534</v>
      </c>
      <c r="K3415">
        <v>20</v>
      </c>
      <c r="L3415">
        <v>20</v>
      </c>
      <c r="M3415">
        <v>20</v>
      </c>
    </row>
    <row r="3416" spans="1:13" x14ac:dyDescent="0.25">
      <c r="A3416" t="s">
        <v>7536</v>
      </c>
      <c r="B3416" t="s">
        <v>7535</v>
      </c>
      <c r="C3416" t="s">
        <v>1432</v>
      </c>
      <c r="D3416" t="s">
        <v>7530</v>
      </c>
      <c r="F3416">
        <v>1</v>
      </c>
      <c r="G3416" t="s">
        <v>16</v>
      </c>
      <c r="H3416">
        <v>0</v>
      </c>
      <c r="I3416" s="2" t="s">
        <v>7537</v>
      </c>
      <c r="J3416" s="2" t="s">
        <v>7534</v>
      </c>
      <c r="K3416">
        <v>20</v>
      </c>
      <c r="L3416">
        <v>20</v>
      </c>
      <c r="M3416">
        <v>20</v>
      </c>
    </row>
    <row r="3417" spans="1:13" x14ac:dyDescent="0.25">
      <c r="A3417" t="s">
        <v>7538</v>
      </c>
      <c r="B3417" t="s">
        <v>7535</v>
      </c>
      <c r="C3417" t="s">
        <v>1432</v>
      </c>
      <c r="D3417" t="s">
        <v>7530</v>
      </c>
      <c r="F3417">
        <v>2</v>
      </c>
      <c r="G3417" t="s">
        <v>16</v>
      </c>
      <c r="H3417">
        <v>0</v>
      </c>
      <c r="I3417" s="2" t="s">
        <v>1723</v>
      </c>
      <c r="J3417" s="2">
        <v>6001615</v>
      </c>
      <c r="K3417">
        <v>20</v>
      </c>
      <c r="L3417">
        <v>20</v>
      </c>
      <c r="M3417">
        <v>20</v>
      </c>
    </row>
    <row r="3418" spans="1:13" x14ac:dyDescent="0.25">
      <c r="A3418" t="s">
        <v>7539</v>
      </c>
      <c r="B3418" t="s">
        <v>7535</v>
      </c>
      <c r="C3418" t="s">
        <v>1432</v>
      </c>
      <c r="D3418" t="s">
        <v>7530</v>
      </c>
      <c r="F3418">
        <v>1</v>
      </c>
      <c r="G3418" t="s">
        <v>16</v>
      </c>
      <c r="H3418">
        <v>0</v>
      </c>
      <c r="I3418" s="2" t="s">
        <v>64</v>
      </c>
      <c r="J3418" s="2" t="str">
        <f>"01090024"</f>
        <v>01090024</v>
      </c>
      <c r="K3418">
        <v>20</v>
      </c>
      <c r="L3418">
        <v>20</v>
      </c>
      <c r="M3418">
        <v>20</v>
      </c>
    </row>
    <row r="3419" spans="1:13" x14ac:dyDescent="0.25">
      <c r="A3419" t="s">
        <v>7540</v>
      </c>
      <c r="B3419" t="s">
        <v>7542</v>
      </c>
      <c r="C3419" t="s">
        <v>1432</v>
      </c>
      <c r="D3419" t="s">
        <v>7530</v>
      </c>
      <c r="G3419" t="s">
        <v>16</v>
      </c>
      <c r="H3419">
        <v>0</v>
      </c>
      <c r="I3419" s="2" t="s">
        <v>1713</v>
      </c>
      <c r="J3419" s="2" t="s">
        <v>7541</v>
      </c>
      <c r="K3419">
        <v>20</v>
      </c>
      <c r="L3419">
        <v>20</v>
      </c>
      <c r="M3419">
        <v>20</v>
      </c>
    </row>
    <row r="3420" spans="1:13" x14ac:dyDescent="0.25">
      <c r="A3420" t="s">
        <v>7543</v>
      </c>
      <c r="B3420" t="s">
        <v>7542</v>
      </c>
      <c r="C3420" t="s">
        <v>1432</v>
      </c>
      <c r="F3420">
        <v>1</v>
      </c>
      <c r="G3420" t="s">
        <v>16</v>
      </c>
      <c r="H3420">
        <v>0</v>
      </c>
      <c r="I3420" s="2" t="s">
        <v>64</v>
      </c>
      <c r="J3420" s="2">
        <v>21010023</v>
      </c>
      <c r="K3420">
        <v>20</v>
      </c>
      <c r="L3420">
        <v>20</v>
      </c>
      <c r="M3420">
        <v>20</v>
      </c>
    </row>
    <row r="3421" spans="1:13" x14ac:dyDescent="0.25">
      <c r="A3421" t="s">
        <v>7544</v>
      </c>
      <c r="B3421" t="s">
        <v>7546</v>
      </c>
      <c r="C3421" t="s">
        <v>1432</v>
      </c>
      <c r="D3421" t="s">
        <v>7530</v>
      </c>
      <c r="G3421" t="s">
        <v>16</v>
      </c>
      <c r="H3421">
        <v>0</v>
      </c>
      <c r="I3421" s="2" t="s">
        <v>1723</v>
      </c>
      <c r="J3421" s="2" t="s">
        <v>7545</v>
      </c>
      <c r="K3421">
        <v>20</v>
      </c>
      <c r="L3421">
        <v>20</v>
      </c>
      <c r="M3421">
        <v>20</v>
      </c>
    </row>
    <row r="3422" spans="1:13" x14ac:dyDescent="0.25">
      <c r="A3422" t="s">
        <v>7547</v>
      </c>
      <c r="B3422" t="s">
        <v>7548</v>
      </c>
      <c r="C3422" t="s">
        <v>1432</v>
      </c>
      <c r="D3422" t="s">
        <v>7530</v>
      </c>
      <c r="G3422" t="s">
        <v>16</v>
      </c>
      <c r="H3422">
        <v>0</v>
      </c>
      <c r="I3422" s="2" t="s">
        <v>1723</v>
      </c>
      <c r="J3422" s="2">
        <v>6001655</v>
      </c>
      <c r="K3422">
        <v>20</v>
      </c>
      <c r="L3422">
        <v>20</v>
      </c>
      <c r="M3422">
        <v>20</v>
      </c>
    </row>
    <row r="3423" spans="1:13" x14ac:dyDescent="0.25">
      <c r="A3423" t="s">
        <v>7549</v>
      </c>
      <c r="B3423" t="s">
        <v>7550</v>
      </c>
      <c r="C3423" t="s">
        <v>1432</v>
      </c>
      <c r="D3423" t="s">
        <v>7530</v>
      </c>
      <c r="G3423" t="s">
        <v>16</v>
      </c>
      <c r="H3423">
        <v>0</v>
      </c>
      <c r="I3423" s="2" t="s">
        <v>1723</v>
      </c>
      <c r="J3423" s="2">
        <v>6001654</v>
      </c>
      <c r="K3423">
        <v>20</v>
      </c>
      <c r="L3423">
        <v>20</v>
      </c>
      <c r="M3423">
        <v>20</v>
      </c>
    </row>
    <row r="3424" spans="1:13" x14ac:dyDescent="0.25">
      <c r="A3424" t="s">
        <v>7551</v>
      </c>
      <c r="B3424" t="s">
        <v>7552</v>
      </c>
      <c r="C3424" t="s">
        <v>1432</v>
      </c>
      <c r="D3424" t="s">
        <v>7530</v>
      </c>
      <c r="F3424">
        <v>1</v>
      </c>
      <c r="G3424" t="s">
        <v>16</v>
      </c>
      <c r="H3424">
        <v>0</v>
      </c>
      <c r="I3424" s="2" t="s">
        <v>1723</v>
      </c>
      <c r="J3424" s="2">
        <v>6001672</v>
      </c>
      <c r="K3424">
        <v>20</v>
      </c>
      <c r="L3424">
        <v>20</v>
      </c>
      <c r="M3424">
        <v>20</v>
      </c>
    </row>
    <row r="3425" spans="1:13" x14ac:dyDescent="0.25">
      <c r="A3425" t="s">
        <v>7553</v>
      </c>
      <c r="B3425" t="s">
        <v>7554</v>
      </c>
      <c r="C3425" t="s">
        <v>1432</v>
      </c>
      <c r="F3425">
        <v>2</v>
      </c>
      <c r="G3425" t="s">
        <v>16</v>
      </c>
      <c r="H3425">
        <v>0</v>
      </c>
      <c r="I3425" s="2" t="s">
        <v>1713</v>
      </c>
      <c r="J3425" s="3">
        <v>4501606</v>
      </c>
      <c r="K3425">
        <v>20</v>
      </c>
      <c r="L3425">
        <v>20</v>
      </c>
      <c r="M3425">
        <v>20</v>
      </c>
    </row>
    <row r="3426" spans="1:13" x14ac:dyDescent="0.25">
      <c r="A3426" t="s">
        <v>7555</v>
      </c>
      <c r="B3426" t="s">
        <v>7557</v>
      </c>
      <c r="C3426" t="s">
        <v>1432</v>
      </c>
      <c r="F3426">
        <v>4</v>
      </c>
      <c r="G3426" t="s">
        <v>16</v>
      </c>
      <c r="H3426">
        <v>0</v>
      </c>
      <c r="I3426" s="2" t="s">
        <v>69</v>
      </c>
      <c r="J3426" s="2" t="s">
        <v>7556</v>
      </c>
      <c r="K3426">
        <v>20</v>
      </c>
      <c r="L3426">
        <v>20</v>
      </c>
      <c r="M3426">
        <v>20</v>
      </c>
    </row>
    <row r="3427" spans="1:13" x14ac:dyDescent="0.25">
      <c r="A3427" t="s">
        <v>7558</v>
      </c>
      <c r="B3427" t="s">
        <v>7559</v>
      </c>
      <c r="C3427" t="s">
        <v>20</v>
      </c>
      <c r="D3427" t="s">
        <v>2477</v>
      </c>
      <c r="F3427">
        <v>1</v>
      </c>
      <c r="G3427" t="s">
        <v>16</v>
      </c>
      <c r="H3427">
        <v>0</v>
      </c>
      <c r="I3427" s="2" t="s">
        <v>7560</v>
      </c>
      <c r="J3427" s="2">
        <v>13246</v>
      </c>
      <c r="K3427">
        <v>20</v>
      </c>
      <c r="L3427">
        <v>20</v>
      </c>
      <c r="M3427">
        <v>20</v>
      </c>
    </row>
    <row r="3428" spans="1:13" x14ac:dyDescent="0.25">
      <c r="A3428" t="s">
        <v>7561</v>
      </c>
      <c r="B3428" t="s">
        <v>7562</v>
      </c>
      <c r="C3428" t="s">
        <v>1432</v>
      </c>
      <c r="F3428">
        <v>1</v>
      </c>
      <c r="G3428" t="s">
        <v>16</v>
      </c>
      <c r="H3428">
        <v>0</v>
      </c>
      <c r="I3428" s="2" t="s">
        <v>55</v>
      </c>
      <c r="J3428" s="2" t="s">
        <v>7561</v>
      </c>
      <c r="K3428">
        <v>20</v>
      </c>
      <c r="L3428">
        <v>20</v>
      </c>
      <c r="M3428">
        <v>20</v>
      </c>
    </row>
    <row r="3429" spans="1:13" x14ac:dyDescent="0.25">
      <c r="A3429" t="s">
        <v>7563</v>
      </c>
      <c r="B3429" t="s">
        <v>7562</v>
      </c>
      <c r="C3429" t="s">
        <v>1432</v>
      </c>
      <c r="D3429" t="s">
        <v>5993</v>
      </c>
      <c r="G3429" t="s">
        <v>16</v>
      </c>
      <c r="H3429">
        <v>0</v>
      </c>
      <c r="I3429" s="2" t="s">
        <v>5838</v>
      </c>
      <c r="J3429" s="2" t="s">
        <v>7564</v>
      </c>
      <c r="K3429">
        <v>20</v>
      </c>
      <c r="L3429">
        <v>20</v>
      </c>
      <c r="M3429">
        <v>20</v>
      </c>
    </row>
    <row r="3430" spans="1:13" x14ac:dyDescent="0.25">
      <c r="A3430" t="s">
        <v>7565</v>
      </c>
      <c r="B3430" t="s">
        <v>7566</v>
      </c>
      <c r="C3430" t="s">
        <v>1432</v>
      </c>
      <c r="D3430" t="s">
        <v>5993</v>
      </c>
      <c r="F3430">
        <v>2</v>
      </c>
      <c r="G3430" t="s">
        <v>16</v>
      </c>
      <c r="H3430">
        <v>0</v>
      </c>
      <c r="I3430" s="2" t="s">
        <v>51</v>
      </c>
      <c r="J3430" s="2" t="s">
        <v>7565</v>
      </c>
      <c r="K3430">
        <v>20</v>
      </c>
      <c r="L3430">
        <v>20</v>
      </c>
      <c r="M3430">
        <v>20</v>
      </c>
    </row>
    <row r="3431" spans="1:13" x14ac:dyDescent="0.25">
      <c r="A3431" t="s">
        <v>7567</v>
      </c>
      <c r="B3431" t="s">
        <v>7568</v>
      </c>
      <c r="C3431" t="s">
        <v>1432</v>
      </c>
      <c r="D3431" t="s">
        <v>5993</v>
      </c>
      <c r="F3431">
        <v>1</v>
      </c>
      <c r="G3431" t="s">
        <v>16</v>
      </c>
      <c r="H3431">
        <v>0</v>
      </c>
      <c r="I3431" s="2" t="s">
        <v>5221</v>
      </c>
      <c r="J3431" s="2" t="s">
        <v>7569</v>
      </c>
      <c r="K3431">
        <v>20</v>
      </c>
      <c r="L3431">
        <v>20</v>
      </c>
      <c r="M3431">
        <v>20</v>
      </c>
    </row>
    <row r="3432" spans="1:13" x14ac:dyDescent="0.25">
      <c r="A3432" t="s">
        <v>7570</v>
      </c>
      <c r="B3432" t="s">
        <v>7571</v>
      </c>
      <c r="C3432" t="s">
        <v>1432</v>
      </c>
      <c r="D3432" t="s">
        <v>6280</v>
      </c>
      <c r="F3432">
        <v>1</v>
      </c>
      <c r="G3432" t="s">
        <v>16</v>
      </c>
      <c r="H3432">
        <v>0</v>
      </c>
      <c r="I3432" s="2" t="s">
        <v>854</v>
      </c>
      <c r="J3432" s="2">
        <v>874476</v>
      </c>
      <c r="K3432">
        <v>20</v>
      </c>
      <c r="L3432">
        <v>20</v>
      </c>
      <c r="M3432">
        <v>20</v>
      </c>
    </row>
    <row r="3433" spans="1:13" x14ac:dyDescent="0.25">
      <c r="A3433" t="s">
        <v>7572</v>
      </c>
      <c r="B3433" t="s">
        <v>7573</v>
      </c>
      <c r="C3433" t="s">
        <v>1432</v>
      </c>
      <c r="D3433" t="s">
        <v>5993</v>
      </c>
      <c r="F3433">
        <v>1</v>
      </c>
      <c r="G3433" t="s">
        <v>16</v>
      </c>
      <c r="H3433">
        <v>0</v>
      </c>
      <c r="I3433" s="2" t="s">
        <v>55</v>
      </c>
      <c r="J3433" s="2" t="s">
        <v>7572</v>
      </c>
      <c r="K3433">
        <v>20</v>
      </c>
      <c r="L3433">
        <v>20</v>
      </c>
      <c r="M3433">
        <v>20</v>
      </c>
    </row>
    <row r="3434" spans="1:13" x14ac:dyDescent="0.25">
      <c r="A3434" t="s">
        <v>7574</v>
      </c>
      <c r="B3434" t="s">
        <v>7575</v>
      </c>
      <c r="C3434" t="s">
        <v>1432</v>
      </c>
      <c r="D3434" t="s">
        <v>5993</v>
      </c>
      <c r="F3434">
        <v>1</v>
      </c>
      <c r="G3434" t="s">
        <v>16</v>
      </c>
      <c r="H3434">
        <v>0</v>
      </c>
      <c r="I3434" s="2" t="s">
        <v>55</v>
      </c>
      <c r="J3434" s="2" t="s">
        <v>7574</v>
      </c>
      <c r="K3434">
        <v>20</v>
      </c>
      <c r="L3434">
        <v>20</v>
      </c>
      <c r="M3434">
        <v>20</v>
      </c>
    </row>
    <row r="3435" spans="1:13" x14ac:dyDescent="0.25">
      <c r="A3435" t="s">
        <v>7576</v>
      </c>
      <c r="B3435" t="s">
        <v>7577</v>
      </c>
      <c r="C3435" t="s">
        <v>1432</v>
      </c>
      <c r="D3435" t="s">
        <v>5993</v>
      </c>
      <c r="G3435" t="s">
        <v>16</v>
      </c>
      <c r="H3435">
        <v>0</v>
      </c>
      <c r="I3435" s="2" t="s">
        <v>5677</v>
      </c>
      <c r="J3435" s="2">
        <v>512005610</v>
      </c>
      <c r="K3435">
        <v>20</v>
      </c>
      <c r="L3435">
        <v>20</v>
      </c>
      <c r="M3435">
        <v>20</v>
      </c>
    </row>
    <row r="3436" spans="1:13" x14ac:dyDescent="0.25">
      <c r="A3436" t="s">
        <v>7578</v>
      </c>
      <c r="B3436" t="s">
        <v>7579</v>
      </c>
      <c r="C3436" t="s">
        <v>1432</v>
      </c>
      <c r="D3436" t="s">
        <v>5993</v>
      </c>
      <c r="F3436">
        <v>1</v>
      </c>
      <c r="G3436" t="s">
        <v>16</v>
      </c>
      <c r="H3436">
        <v>0</v>
      </c>
      <c r="I3436" s="2" t="s">
        <v>5677</v>
      </c>
      <c r="J3436" s="2">
        <v>512004710</v>
      </c>
      <c r="K3436">
        <v>20</v>
      </c>
      <c r="L3436">
        <v>20</v>
      </c>
      <c r="M3436">
        <v>20</v>
      </c>
    </row>
    <row r="3437" spans="1:13" x14ac:dyDescent="0.25">
      <c r="A3437" t="s">
        <v>7580</v>
      </c>
      <c r="B3437" t="s">
        <v>7579</v>
      </c>
      <c r="C3437" t="s">
        <v>1432</v>
      </c>
      <c r="D3437" t="s">
        <v>5993</v>
      </c>
      <c r="F3437">
        <v>1</v>
      </c>
      <c r="G3437" t="s">
        <v>16</v>
      </c>
      <c r="H3437">
        <v>0</v>
      </c>
      <c r="I3437" s="2" t="s">
        <v>7581</v>
      </c>
      <c r="J3437" s="2" t="s">
        <v>7582</v>
      </c>
      <c r="K3437">
        <v>20</v>
      </c>
      <c r="L3437">
        <v>20</v>
      </c>
      <c r="M3437">
        <v>20</v>
      </c>
    </row>
    <row r="3438" spans="1:13" x14ac:dyDescent="0.25">
      <c r="A3438" t="s">
        <v>7583</v>
      </c>
      <c r="B3438" t="s">
        <v>7584</v>
      </c>
      <c r="C3438" t="s">
        <v>151</v>
      </c>
      <c r="G3438" t="s">
        <v>16</v>
      </c>
      <c r="H3438">
        <v>0</v>
      </c>
      <c r="I3438" s="2" t="s">
        <v>953</v>
      </c>
      <c r="J3438" s="2">
        <v>24907</v>
      </c>
      <c r="K3438">
        <v>20</v>
      </c>
      <c r="L3438">
        <v>20</v>
      </c>
      <c r="M3438">
        <v>20</v>
      </c>
    </row>
    <row r="3439" spans="1:13" x14ac:dyDescent="0.25">
      <c r="A3439" t="s">
        <v>7585</v>
      </c>
      <c r="B3439" t="s">
        <v>7586</v>
      </c>
      <c r="C3439" t="s">
        <v>151</v>
      </c>
      <c r="D3439" t="s">
        <v>1547</v>
      </c>
      <c r="G3439" t="s">
        <v>16</v>
      </c>
      <c r="H3439">
        <v>0</v>
      </c>
      <c r="I3439" s="2" t="s">
        <v>7587</v>
      </c>
      <c r="J3439" s="2">
        <v>330736</v>
      </c>
      <c r="K3439">
        <v>20</v>
      </c>
      <c r="L3439">
        <v>20</v>
      </c>
      <c r="M3439">
        <v>20</v>
      </c>
    </row>
    <row r="3440" spans="1:13" x14ac:dyDescent="0.25">
      <c r="A3440" t="s">
        <v>7588</v>
      </c>
      <c r="B3440" t="s">
        <v>7589</v>
      </c>
      <c r="C3440" t="s">
        <v>540</v>
      </c>
      <c r="F3440">
        <v>4</v>
      </c>
      <c r="G3440" t="s">
        <v>16</v>
      </c>
      <c r="H3440">
        <v>0</v>
      </c>
      <c r="I3440" s="2" t="s">
        <v>591</v>
      </c>
      <c r="J3440" s="2">
        <v>220822</v>
      </c>
      <c r="K3440">
        <v>20</v>
      </c>
      <c r="L3440">
        <v>20</v>
      </c>
      <c r="M3440">
        <v>20</v>
      </c>
    </row>
    <row r="3441" spans="1:13" x14ac:dyDescent="0.25">
      <c r="A3441" t="s">
        <v>7590</v>
      </c>
      <c r="B3441" t="s">
        <v>7591</v>
      </c>
      <c r="C3441" t="s">
        <v>1426</v>
      </c>
      <c r="F3441">
        <v>2</v>
      </c>
      <c r="G3441" t="s">
        <v>16</v>
      </c>
      <c r="H3441">
        <v>0</v>
      </c>
      <c r="I3441" s="2" t="s">
        <v>500</v>
      </c>
      <c r="J3441" s="2" t="s">
        <v>7592</v>
      </c>
      <c r="K3441">
        <v>20</v>
      </c>
      <c r="L3441">
        <v>20</v>
      </c>
      <c r="M3441">
        <v>20</v>
      </c>
    </row>
    <row r="3442" spans="1:13" x14ac:dyDescent="0.25">
      <c r="A3442" t="s">
        <v>7593</v>
      </c>
      <c r="B3442" t="s">
        <v>7594</v>
      </c>
      <c r="C3442" t="s">
        <v>1426</v>
      </c>
      <c r="F3442">
        <v>2</v>
      </c>
      <c r="G3442" t="s">
        <v>16</v>
      </c>
      <c r="H3442">
        <v>0</v>
      </c>
      <c r="I3442" s="2" t="s">
        <v>500</v>
      </c>
      <c r="J3442" s="2" t="s">
        <v>7595</v>
      </c>
      <c r="K3442">
        <v>20</v>
      </c>
      <c r="L3442">
        <v>20</v>
      </c>
      <c r="M3442">
        <v>20</v>
      </c>
    </row>
    <row r="3443" spans="1:13" x14ac:dyDescent="0.25">
      <c r="A3443" t="s">
        <v>7596</v>
      </c>
      <c r="B3443" t="s">
        <v>7597</v>
      </c>
      <c r="C3443" t="s">
        <v>540</v>
      </c>
      <c r="F3443">
        <v>1</v>
      </c>
      <c r="G3443" t="s">
        <v>16</v>
      </c>
      <c r="H3443">
        <v>0</v>
      </c>
      <c r="K3443">
        <v>20</v>
      </c>
      <c r="L3443">
        <v>20</v>
      </c>
      <c r="M3443">
        <v>20</v>
      </c>
    </row>
    <row r="3444" spans="1:13" x14ac:dyDescent="0.25">
      <c r="A3444" t="s">
        <v>7598</v>
      </c>
      <c r="B3444" t="s">
        <v>7599</v>
      </c>
      <c r="C3444" t="s">
        <v>20</v>
      </c>
      <c r="D3444" t="s">
        <v>2477</v>
      </c>
      <c r="F3444">
        <v>0</v>
      </c>
      <c r="G3444" t="s">
        <v>16</v>
      </c>
      <c r="H3444">
        <v>0</v>
      </c>
      <c r="I3444" s="2" t="s">
        <v>92</v>
      </c>
      <c r="J3444" s="2">
        <v>80000695</v>
      </c>
      <c r="K3444">
        <v>20</v>
      </c>
      <c r="L3444">
        <v>20</v>
      </c>
      <c r="M3444">
        <v>20</v>
      </c>
    </row>
    <row r="3445" spans="1:13" x14ac:dyDescent="0.25">
      <c r="A3445" t="s">
        <v>7600</v>
      </c>
      <c r="B3445" t="s">
        <v>7601</v>
      </c>
      <c r="C3445" t="s">
        <v>540</v>
      </c>
      <c r="G3445" t="s">
        <v>16</v>
      </c>
      <c r="H3445">
        <v>0</v>
      </c>
      <c r="I3445" s="2" t="s">
        <v>64</v>
      </c>
      <c r="J3445" s="2">
        <v>21030252</v>
      </c>
      <c r="K3445">
        <v>20</v>
      </c>
      <c r="L3445">
        <v>20</v>
      </c>
      <c r="M3445">
        <v>20</v>
      </c>
    </row>
    <row r="3446" spans="1:13" x14ac:dyDescent="0.25">
      <c r="A3446" t="s">
        <v>7602</v>
      </c>
      <c r="B3446" t="s">
        <v>7603</v>
      </c>
      <c r="C3446" t="s">
        <v>540</v>
      </c>
      <c r="F3446">
        <v>5</v>
      </c>
      <c r="G3446" t="s">
        <v>16</v>
      </c>
      <c r="H3446">
        <v>0</v>
      </c>
      <c r="I3446" s="2" t="s">
        <v>737</v>
      </c>
      <c r="J3446" s="2" t="s">
        <v>7604</v>
      </c>
      <c r="K3446">
        <v>20</v>
      </c>
      <c r="L3446">
        <v>20</v>
      </c>
      <c r="M3446">
        <v>20</v>
      </c>
    </row>
    <row r="3447" spans="1:13" x14ac:dyDescent="0.25">
      <c r="A3447" t="s">
        <v>7605</v>
      </c>
      <c r="B3447" t="s">
        <v>7606</v>
      </c>
      <c r="C3447" t="s">
        <v>1426</v>
      </c>
      <c r="F3447">
        <v>2</v>
      </c>
      <c r="G3447" t="s">
        <v>16</v>
      </c>
      <c r="H3447">
        <v>0</v>
      </c>
      <c r="I3447" s="2" t="s">
        <v>591</v>
      </c>
      <c r="J3447" s="2">
        <v>220813</v>
      </c>
      <c r="K3447">
        <v>20</v>
      </c>
      <c r="L3447">
        <v>20</v>
      </c>
      <c r="M3447">
        <v>20</v>
      </c>
    </row>
    <row r="3448" spans="1:13" x14ac:dyDescent="0.25">
      <c r="A3448" t="s">
        <v>7607</v>
      </c>
      <c r="B3448" t="s">
        <v>7608</v>
      </c>
      <c r="C3448" t="s">
        <v>1426</v>
      </c>
      <c r="F3448">
        <v>1</v>
      </c>
      <c r="G3448" t="s">
        <v>16</v>
      </c>
      <c r="H3448">
        <v>0</v>
      </c>
      <c r="I3448" s="2" t="s">
        <v>7609</v>
      </c>
      <c r="J3448" s="2" t="s">
        <v>7610</v>
      </c>
      <c r="K3448">
        <v>20</v>
      </c>
      <c r="L3448">
        <v>20</v>
      </c>
      <c r="M3448">
        <v>20</v>
      </c>
    </row>
    <row r="3449" spans="1:13" x14ac:dyDescent="0.25">
      <c r="A3449" t="s">
        <v>7611</v>
      </c>
      <c r="B3449" t="s">
        <v>7612</v>
      </c>
      <c r="C3449" t="s">
        <v>1426</v>
      </c>
      <c r="F3449">
        <v>2</v>
      </c>
      <c r="G3449" t="s">
        <v>16</v>
      </c>
      <c r="H3449">
        <v>0</v>
      </c>
      <c r="I3449" s="2" t="s">
        <v>7609</v>
      </c>
      <c r="J3449" s="2" t="s">
        <v>7613</v>
      </c>
      <c r="K3449">
        <v>20</v>
      </c>
      <c r="L3449">
        <v>20</v>
      </c>
      <c r="M3449">
        <v>20</v>
      </c>
    </row>
    <row r="3450" spans="1:13" x14ac:dyDescent="0.25">
      <c r="A3450" t="s">
        <v>7614</v>
      </c>
      <c r="B3450" t="s">
        <v>7615</v>
      </c>
      <c r="C3450" t="s">
        <v>151</v>
      </c>
      <c r="D3450" t="s">
        <v>1551</v>
      </c>
      <c r="G3450" t="s">
        <v>16</v>
      </c>
      <c r="H3450">
        <v>0</v>
      </c>
      <c r="I3450" s="2" t="s">
        <v>7616</v>
      </c>
      <c r="K3450">
        <v>20</v>
      </c>
      <c r="L3450">
        <v>20</v>
      </c>
      <c r="M3450">
        <v>20</v>
      </c>
    </row>
    <row r="3451" spans="1:13" x14ac:dyDescent="0.25">
      <c r="A3451" t="s">
        <v>7617</v>
      </c>
      <c r="B3451" t="s">
        <v>7615</v>
      </c>
      <c r="C3451" t="s">
        <v>151</v>
      </c>
      <c r="D3451" t="s">
        <v>1551</v>
      </c>
      <c r="G3451" t="s">
        <v>16</v>
      </c>
      <c r="H3451">
        <v>0</v>
      </c>
      <c r="I3451" s="2" t="s">
        <v>7618</v>
      </c>
      <c r="J3451" s="2" t="s">
        <v>7619</v>
      </c>
      <c r="K3451">
        <v>20</v>
      </c>
      <c r="L3451">
        <v>20</v>
      </c>
      <c r="M3451">
        <v>20</v>
      </c>
    </row>
    <row r="3452" spans="1:13" x14ac:dyDescent="0.25">
      <c r="A3452" t="s">
        <v>7620</v>
      </c>
      <c r="B3452" t="s">
        <v>7615</v>
      </c>
      <c r="C3452" t="s">
        <v>151</v>
      </c>
      <c r="D3452" t="s">
        <v>1551</v>
      </c>
      <c r="F3452">
        <v>1</v>
      </c>
      <c r="G3452" t="s">
        <v>16</v>
      </c>
      <c r="H3452">
        <v>0</v>
      </c>
      <c r="I3452" s="2" t="s">
        <v>108</v>
      </c>
      <c r="J3452" s="3">
        <v>2701911001</v>
      </c>
      <c r="K3452">
        <v>20</v>
      </c>
      <c r="L3452">
        <v>20</v>
      </c>
      <c r="M3452">
        <v>20</v>
      </c>
    </row>
    <row r="3453" spans="1:13" x14ac:dyDescent="0.25">
      <c r="A3453" t="s">
        <v>7621</v>
      </c>
      <c r="B3453" t="s">
        <v>7615</v>
      </c>
      <c r="C3453" t="s">
        <v>151</v>
      </c>
      <c r="D3453" t="s">
        <v>1551</v>
      </c>
      <c r="F3453">
        <v>1</v>
      </c>
      <c r="G3453" t="s">
        <v>16</v>
      </c>
      <c r="H3453">
        <v>0</v>
      </c>
      <c r="I3453" s="2" t="s">
        <v>64</v>
      </c>
      <c r="J3453" s="2" t="str">
        <f>"05080039"</f>
        <v>05080039</v>
      </c>
      <c r="K3453">
        <v>20</v>
      </c>
      <c r="L3453">
        <v>20</v>
      </c>
      <c r="M3453">
        <v>20</v>
      </c>
    </row>
    <row r="3454" spans="1:13" x14ac:dyDescent="0.25">
      <c r="A3454" t="s">
        <v>7622</v>
      </c>
      <c r="B3454" t="s">
        <v>7623</v>
      </c>
      <c r="C3454" t="s">
        <v>151</v>
      </c>
      <c r="D3454" t="s">
        <v>1551</v>
      </c>
      <c r="F3454">
        <v>1</v>
      </c>
      <c r="G3454" t="s">
        <v>16</v>
      </c>
      <c r="H3454">
        <v>0</v>
      </c>
      <c r="I3454" s="2" t="s">
        <v>1477</v>
      </c>
      <c r="J3454" s="2">
        <v>40491</v>
      </c>
      <c r="K3454">
        <v>20</v>
      </c>
      <c r="L3454">
        <v>20</v>
      </c>
      <c r="M3454">
        <v>20</v>
      </c>
    </row>
    <row r="3455" spans="1:13" x14ac:dyDescent="0.25">
      <c r="A3455" t="s">
        <v>7624</v>
      </c>
      <c r="B3455" t="s">
        <v>7623</v>
      </c>
      <c r="C3455" t="s">
        <v>151</v>
      </c>
      <c r="D3455" t="s">
        <v>1551</v>
      </c>
      <c r="F3455">
        <v>1</v>
      </c>
      <c r="G3455" t="s">
        <v>16</v>
      </c>
      <c r="H3455">
        <v>0</v>
      </c>
      <c r="I3455" s="2" t="s">
        <v>108</v>
      </c>
      <c r="J3455" s="3">
        <v>3141911001</v>
      </c>
      <c r="K3455">
        <v>20</v>
      </c>
      <c r="L3455">
        <v>20</v>
      </c>
      <c r="M3455">
        <v>20</v>
      </c>
    </row>
    <row r="3456" spans="1:13" x14ac:dyDescent="0.25">
      <c r="A3456" t="s">
        <v>7625</v>
      </c>
      <c r="B3456" t="s">
        <v>7626</v>
      </c>
      <c r="G3456" t="s">
        <v>16</v>
      </c>
      <c r="H3456">
        <v>0</v>
      </c>
      <c r="I3456" s="2" t="s">
        <v>662</v>
      </c>
      <c r="J3456" s="2" t="s">
        <v>7627</v>
      </c>
      <c r="K3456">
        <v>20</v>
      </c>
      <c r="L3456">
        <v>20</v>
      </c>
      <c r="M3456">
        <v>20</v>
      </c>
    </row>
    <row r="3457" spans="1:13" x14ac:dyDescent="0.25">
      <c r="A3457" t="s">
        <v>7628</v>
      </c>
      <c r="B3457" t="s">
        <v>7630</v>
      </c>
      <c r="C3457" t="s">
        <v>14</v>
      </c>
      <c r="D3457" t="s">
        <v>191</v>
      </c>
      <c r="G3457" t="s">
        <v>16</v>
      </c>
      <c r="H3457">
        <v>0</v>
      </c>
      <c r="I3457" s="2" t="s">
        <v>17</v>
      </c>
      <c r="J3457" s="2" t="s">
        <v>7629</v>
      </c>
      <c r="K3457">
        <v>20</v>
      </c>
      <c r="L3457">
        <v>20</v>
      </c>
      <c r="M3457">
        <v>20</v>
      </c>
    </row>
    <row r="3458" spans="1:13" x14ac:dyDescent="0.25">
      <c r="A3458" t="s">
        <v>7631</v>
      </c>
      <c r="B3458" t="s">
        <v>7632</v>
      </c>
      <c r="C3458" t="s">
        <v>540</v>
      </c>
      <c r="G3458" t="s">
        <v>16</v>
      </c>
      <c r="H3458">
        <v>0</v>
      </c>
      <c r="I3458" s="2" t="s">
        <v>500</v>
      </c>
      <c r="J3458" s="2" t="s">
        <v>7633</v>
      </c>
      <c r="K3458">
        <v>20</v>
      </c>
      <c r="L3458">
        <v>20</v>
      </c>
      <c r="M3458">
        <v>20</v>
      </c>
    </row>
    <row r="3459" spans="1:13" x14ac:dyDescent="0.25">
      <c r="A3459" t="s">
        <v>7634</v>
      </c>
      <c r="B3459" t="s">
        <v>7635</v>
      </c>
      <c r="C3459" t="s">
        <v>540</v>
      </c>
      <c r="G3459" t="s">
        <v>16</v>
      </c>
      <c r="H3459">
        <v>0</v>
      </c>
      <c r="I3459" s="2" t="s">
        <v>500</v>
      </c>
      <c r="J3459" s="2" t="s">
        <v>7636</v>
      </c>
      <c r="K3459">
        <v>20</v>
      </c>
      <c r="L3459">
        <v>20</v>
      </c>
      <c r="M3459">
        <v>20</v>
      </c>
    </row>
    <row r="3460" spans="1:13" x14ac:dyDescent="0.25">
      <c r="A3460">
        <v>22871864</v>
      </c>
      <c r="B3460" t="s">
        <v>7637</v>
      </c>
      <c r="C3460" t="s">
        <v>496</v>
      </c>
      <c r="D3460" t="s">
        <v>2360</v>
      </c>
      <c r="G3460" t="s">
        <v>16</v>
      </c>
      <c r="H3460">
        <v>0</v>
      </c>
      <c r="I3460" s="2" t="s">
        <v>497</v>
      </c>
      <c r="J3460" s="2">
        <v>22871864</v>
      </c>
      <c r="K3460">
        <v>20</v>
      </c>
      <c r="L3460">
        <v>20</v>
      </c>
      <c r="M3460">
        <v>20</v>
      </c>
    </row>
    <row r="3461" spans="1:13" x14ac:dyDescent="0.25">
      <c r="A3461" t="s">
        <v>7638</v>
      </c>
      <c r="B3461" t="s">
        <v>7639</v>
      </c>
      <c r="C3461" t="s">
        <v>2493</v>
      </c>
      <c r="D3461" t="s">
        <v>2360</v>
      </c>
      <c r="G3461" t="s">
        <v>16</v>
      </c>
      <c r="H3461">
        <v>0</v>
      </c>
      <c r="I3461" s="2" t="s">
        <v>5267</v>
      </c>
      <c r="J3461" s="2" t="s">
        <v>7640</v>
      </c>
      <c r="K3461">
        <v>20</v>
      </c>
      <c r="L3461">
        <v>20</v>
      </c>
      <c r="M3461">
        <v>20</v>
      </c>
    </row>
    <row r="3462" spans="1:13" x14ac:dyDescent="0.25">
      <c r="A3462">
        <v>23117496</v>
      </c>
      <c r="B3462" t="s">
        <v>7642</v>
      </c>
      <c r="C3462" t="s">
        <v>2493</v>
      </c>
      <c r="D3462" t="s">
        <v>2360</v>
      </c>
      <c r="F3462">
        <v>2</v>
      </c>
      <c r="G3462" t="s">
        <v>16</v>
      </c>
      <c r="H3462">
        <v>0</v>
      </c>
      <c r="I3462" s="2" t="s">
        <v>1444</v>
      </c>
      <c r="J3462" s="2" t="s">
        <v>7641</v>
      </c>
      <c r="K3462">
        <v>20</v>
      </c>
      <c r="L3462">
        <v>20</v>
      </c>
      <c r="M3462">
        <v>20</v>
      </c>
    </row>
    <row r="3463" spans="1:13" x14ac:dyDescent="0.25">
      <c r="A3463" t="s">
        <v>7643</v>
      </c>
      <c r="B3463" t="s">
        <v>7644</v>
      </c>
      <c r="C3463" t="s">
        <v>540</v>
      </c>
      <c r="F3463">
        <v>1</v>
      </c>
      <c r="G3463" t="s">
        <v>16</v>
      </c>
      <c r="H3463">
        <v>0</v>
      </c>
      <c r="I3463" s="2" t="s">
        <v>2251</v>
      </c>
      <c r="J3463" s="2" t="s">
        <v>7645</v>
      </c>
      <c r="K3463">
        <v>20</v>
      </c>
      <c r="L3463">
        <v>20</v>
      </c>
      <c r="M3463">
        <v>20</v>
      </c>
    </row>
    <row r="3464" spans="1:13" x14ac:dyDescent="0.25">
      <c r="A3464" t="s">
        <v>7646</v>
      </c>
      <c r="B3464" t="s">
        <v>7647</v>
      </c>
      <c r="C3464" t="s">
        <v>1432</v>
      </c>
      <c r="G3464" t="s">
        <v>16</v>
      </c>
      <c r="H3464">
        <v>0</v>
      </c>
      <c r="I3464" s="2" t="s">
        <v>51</v>
      </c>
      <c r="J3464" s="2" t="s">
        <v>7646</v>
      </c>
      <c r="K3464">
        <v>20</v>
      </c>
      <c r="L3464">
        <v>20</v>
      </c>
      <c r="M3464">
        <v>20</v>
      </c>
    </row>
    <row r="3465" spans="1:13" x14ac:dyDescent="0.25">
      <c r="A3465">
        <v>23163404</v>
      </c>
      <c r="B3465" t="s">
        <v>7648</v>
      </c>
      <c r="C3465" t="s">
        <v>241</v>
      </c>
      <c r="D3465" t="s">
        <v>242</v>
      </c>
      <c r="F3465">
        <v>1</v>
      </c>
      <c r="G3465" t="s">
        <v>16</v>
      </c>
      <c r="H3465">
        <v>0</v>
      </c>
      <c r="I3465" s="2" t="s">
        <v>497</v>
      </c>
      <c r="J3465" s="2">
        <v>23163404</v>
      </c>
      <c r="K3465">
        <v>20</v>
      </c>
      <c r="L3465">
        <v>20</v>
      </c>
      <c r="M3465">
        <v>20</v>
      </c>
    </row>
    <row r="3466" spans="1:13" x14ac:dyDescent="0.25">
      <c r="A3466" t="s">
        <v>7649</v>
      </c>
      <c r="B3466" t="s">
        <v>7650</v>
      </c>
      <c r="C3466" t="s">
        <v>151</v>
      </c>
      <c r="F3466">
        <v>1</v>
      </c>
      <c r="G3466" t="s">
        <v>16</v>
      </c>
      <c r="H3466">
        <v>0</v>
      </c>
      <c r="I3466" s="2" t="s">
        <v>707</v>
      </c>
      <c r="J3466" s="2" t="s">
        <v>7651</v>
      </c>
      <c r="K3466">
        <v>20</v>
      </c>
      <c r="L3466">
        <v>20</v>
      </c>
      <c r="M3466">
        <v>20</v>
      </c>
    </row>
    <row r="3467" spans="1:13" x14ac:dyDescent="0.25">
      <c r="A3467" t="s">
        <v>7652</v>
      </c>
      <c r="B3467" t="s">
        <v>7653</v>
      </c>
      <c r="C3467" t="s">
        <v>496</v>
      </c>
      <c r="D3467" t="s">
        <v>2360</v>
      </c>
      <c r="F3467">
        <v>0</v>
      </c>
      <c r="G3467" t="s">
        <v>16</v>
      </c>
      <c r="H3467">
        <v>0</v>
      </c>
      <c r="I3467" s="2" t="s">
        <v>7654</v>
      </c>
      <c r="J3467" s="2" t="s">
        <v>7655</v>
      </c>
      <c r="K3467">
        <v>20</v>
      </c>
      <c r="L3467">
        <v>20</v>
      </c>
      <c r="M3467">
        <v>20</v>
      </c>
    </row>
    <row r="3468" spans="1:13" x14ac:dyDescent="0.25">
      <c r="A3468" t="s">
        <v>7656</v>
      </c>
      <c r="B3468" t="s">
        <v>7657</v>
      </c>
      <c r="C3468" t="s">
        <v>496</v>
      </c>
      <c r="D3468" t="s">
        <v>2360</v>
      </c>
      <c r="F3468">
        <v>2</v>
      </c>
      <c r="G3468" t="s">
        <v>16</v>
      </c>
      <c r="H3468">
        <v>0</v>
      </c>
      <c r="I3468" s="2" t="s">
        <v>7399</v>
      </c>
      <c r="J3468" s="2">
        <v>319561</v>
      </c>
      <c r="K3468">
        <v>20</v>
      </c>
      <c r="L3468">
        <v>20</v>
      </c>
      <c r="M3468">
        <v>20</v>
      </c>
    </row>
    <row r="3469" spans="1:13" x14ac:dyDescent="0.25">
      <c r="A3469" t="s">
        <v>7658</v>
      </c>
      <c r="B3469" t="s">
        <v>7660</v>
      </c>
      <c r="C3469" t="s">
        <v>14</v>
      </c>
      <c r="D3469" t="s">
        <v>2620</v>
      </c>
      <c r="G3469" t="s">
        <v>16</v>
      </c>
      <c r="H3469">
        <v>0</v>
      </c>
      <c r="I3469" s="2" t="s">
        <v>4748</v>
      </c>
      <c r="J3469" s="2" t="s">
        <v>7659</v>
      </c>
      <c r="K3469">
        <v>20</v>
      </c>
      <c r="L3469">
        <v>20</v>
      </c>
      <c r="M3469">
        <v>20</v>
      </c>
    </row>
    <row r="3470" spans="1:13" x14ac:dyDescent="0.25">
      <c r="A3470" t="s">
        <v>7661</v>
      </c>
      <c r="B3470" t="s">
        <v>7662</v>
      </c>
      <c r="C3470" t="s">
        <v>496</v>
      </c>
      <c r="D3470" t="s">
        <v>2360</v>
      </c>
      <c r="F3470">
        <v>0</v>
      </c>
      <c r="G3470" t="s">
        <v>16</v>
      </c>
      <c r="H3470">
        <v>0</v>
      </c>
      <c r="I3470" s="2" t="s">
        <v>2533</v>
      </c>
      <c r="J3470" s="2" t="s">
        <v>7663</v>
      </c>
      <c r="K3470">
        <v>20</v>
      </c>
      <c r="L3470">
        <v>20</v>
      </c>
      <c r="M3470">
        <v>20</v>
      </c>
    </row>
    <row r="3471" spans="1:13" x14ac:dyDescent="0.25">
      <c r="A3471">
        <v>23335486</v>
      </c>
      <c r="B3471" t="s">
        <v>7664</v>
      </c>
      <c r="C3471" t="s">
        <v>496</v>
      </c>
      <c r="D3471" t="s">
        <v>2360</v>
      </c>
      <c r="F3471">
        <v>0</v>
      </c>
      <c r="G3471" t="s">
        <v>16</v>
      </c>
      <c r="H3471">
        <v>0</v>
      </c>
      <c r="I3471" s="2" t="s">
        <v>497</v>
      </c>
      <c r="J3471" s="2" t="s">
        <v>7665</v>
      </c>
      <c r="K3471">
        <v>20</v>
      </c>
      <c r="L3471">
        <v>20</v>
      </c>
      <c r="M3471">
        <v>20</v>
      </c>
    </row>
    <row r="3472" spans="1:13" x14ac:dyDescent="0.25">
      <c r="A3472" t="s">
        <v>7666</v>
      </c>
      <c r="B3472" t="s">
        <v>7668</v>
      </c>
      <c r="C3472" t="s">
        <v>496</v>
      </c>
      <c r="D3472" t="s">
        <v>2360</v>
      </c>
      <c r="F3472">
        <v>4</v>
      </c>
      <c r="G3472" t="s">
        <v>16</v>
      </c>
      <c r="H3472">
        <v>0</v>
      </c>
      <c r="I3472" s="2" t="s">
        <v>765</v>
      </c>
      <c r="J3472" s="2" t="s">
        <v>7667</v>
      </c>
      <c r="K3472">
        <v>20</v>
      </c>
      <c r="L3472">
        <v>20</v>
      </c>
      <c r="M3472">
        <v>20</v>
      </c>
    </row>
    <row r="3473" spans="1:13" x14ac:dyDescent="0.25">
      <c r="A3473" t="s">
        <v>7669</v>
      </c>
      <c r="B3473" t="s">
        <v>7670</v>
      </c>
      <c r="C3473" t="s">
        <v>20</v>
      </c>
      <c r="D3473" t="s">
        <v>2477</v>
      </c>
      <c r="F3473">
        <v>1</v>
      </c>
      <c r="G3473" t="s">
        <v>16</v>
      </c>
      <c r="H3473">
        <v>0</v>
      </c>
      <c r="I3473" s="2" t="b">
        <v>1</v>
      </c>
      <c r="J3473" s="2" t="s">
        <v>7671</v>
      </c>
      <c r="K3473">
        <v>20</v>
      </c>
      <c r="L3473">
        <v>20</v>
      </c>
      <c r="M3473">
        <v>20</v>
      </c>
    </row>
    <row r="3474" spans="1:13" x14ac:dyDescent="0.25">
      <c r="A3474" t="s">
        <v>7672</v>
      </c>
      <c r="B3474" t="s">
        <v>7673</v>
      </c>
      <c r="C3474" t="s">
        <v>2493</v>
      </c>
      <c r="D3474" t="s">
        <v>2360</v>
      </c>
      <c r="G3474" t="s">
        <v>16</v>
      </c>
      <c r="H3474">
        <v>0</v>
      </c>
      <c r="I3474" s="2" t="s">
        <v>2533</v>
      </c>
      <c r="J3474" s="2" t="s">
        <v>7674</v>
      </c>
      <c r="K3474">
        <v>20</v>
      </c>
      <c r="L3474">
        <v>20</v>
      </c>
      <c r="M3474">
        <v>20</v>
      </c>
    </row>
    <row r="3475" spans="1:13" x14ac:dyDescent="0.25">
      <c r="A3475" t="s">
        <v>7675</v>
      </c>
      <c r="B3475" t="s">
        <v>7676</v>
      </c>
      <c r="C3475" t="s">
        <v>496</v>
      </c>
      <c r="D3475" t="s">
        <v>2360</v>
      </c>
      <c r="F3475">
        <v>2</v>
      </c>
      <c r="G3475" t="s">
        <v>16</v>
      </c>
      <c r="H3475">
        <v>0</v>
      </c>
      <c r="I3475" s="2" t="s">
        <v>5249</v>
      </c>
      <c r="J3475" s="2">
        <v>2008042</v>
      </c>
      <c r="K3475">
        <v>20</v>
      </c>
      <c r="L3475">
        <v>20</v>
      </c>
      <c r="M3475">
        <v>20</v>
      </c>
    </row>
    <row r="3476" spans="1:13" x14ac:dyDescent="0.25">
      <c r="A3476">
        <v>23386455</v>
      </c>
      <c r="B3476" t="s">
        <v>7677</v>
      </c>
      <c r="C3476" t="s">
        <v>357</v>
      </c>
      <c r="D3476" t="s">
        <v>2026</v>
      </c>
      <c r="F3476">
        <v>1</v>
      </c>
      <c r="G3476" t="s">
        <v>16</v>
      </c>
      <c r="H3476">
        <v>0</v>
      </c>
      <c r="I3476" s="2" t="s">
        <v>1444</v>
      </c>
      <c r="J3476" s="2">
        <v>23386455</v>
      </c>
      <c r="K3476">
        <v>20</v>
      </c>
      <c r="L3476">
        <v>20</v>
      </c>
      <c r="M3476">
        <v>20</v>
      </c>
    </row>
    <row r="3477" spans="1:13" x14ac:dyDescent="0.25">
      <c r="A3477" t="s">
        <v>7678</v>
      </c>
      <c r="B3477" t="s">
        <v>7679</v>
      </c>
      <c r="C3477" t="s">
        <v>357</v>
      </c>
      <c r="D3477" t="s">
        <v>2026</v>
      </c>
      <c r="F3477">
        <v>2</v>
      </c>
      <c r="G3477" t="s">
        <v>16</v>
      </c>
      <c r="H3477">
        <v>0</v>
      </c>
      <c r="I3477" s="2" t="s">
        <v>64</v>
      </c>
      <c r="J3477" s="2" t="str">
        <f>"08020452"</f>
        <v>08020452</v>
      </c>
      <c r="K3477">
        <v>20</v>
      </c>
      <c r="L3477">
        <v>20</v>
      </c>
      <c r="M3477">
        <v>20</v>
      </c>
    </row>
    <row r="3478" spans="1:13" x14ac:dyDescent="0.25">
      <c r="A3478">
        <v>23430313</v>
      </c>
      <c r="B3478" t="s">
        <v>7680</v>
      </c>
      <c r="C3478" t="s">
        <v>14</v>
      </c>
      <c r="D3478" t="s">
        <v>191</v>
      </c>
      <c r="F3478">
        <v>5</v>
      </c>
      <c r="G3478" t="s">
        <v>16</v>
      </c>
      <c r="H3478">
        <v>0</v>
      </c>
      <c r="I3478" s="2" t="s">
        <v>497</v>
      </c>
      <c r="J3478" s="2">
        <v>23430313</v>
      </c>
      <c r="K3478">
        <v>20</v>
      </c>
      <c r="L3478">
        <v>20</v>
      </c>
      <c r="M3478">
        <v>20</v>
      </c>
    </row>
    <row r="3479" spans="1:13" x14ac:dyDescent="0.25">
      <c r="A3479" t="s">
        <v>7681</v>
      </c>
      <c r="B3479" t="s">
        <v>7682</v>
      </c>
      <c r="C3479" t="s">
        <v>14</v>
      </c>
      <c r="D3479" t="s">
        <v>191</v>
      </c>
      <c r="G3479" t="s">
        <v>16</v>
      </c>
      <c r="H3479">
        <v>0</v>
      </c>
      <c r="I3479" s="2" t="s">
        <v>4708</v>
      </c>
      <c r="J3479" s="2" t="s">
        <v>7683</v>
      </c>
      <c r="K3479">
        <v>20</v>
      </c>
      <c r="L3479">
        <v>20</v>
      </c>
      <c r="M3479">
        <v>20</v>
      </c>
    </row>
    <row r="3480" spans="1:13" x14ac:dyDescent="0.25">
      <c r="A3480" t="s">
        <v>7684</v>
      </c>
      <c r="B3480" t="s">
        <v>7685</v>
      </c>
      <c r="C3480" t="s">
        <v>14</v>
      </c>
      <c r="D3480" t="s">
        <v>191</v>
      </c>
      <c r="F3480">
        <v>-1</v>
      </c>
      <c r="G3480" t="s">
        <v>16</v>
      </c>
      <c r="H3480">
        <v>0</v>
      </c>
      <c r="I3480" s="2" t="s">
        <v>1763</v>
      </c>
      <c r="J3480" s="2" t="s">
        <v>7686</v>
      </c>
      <c r="K3480">
        <v>20</v>
      </c>
      <c r="L3480">
        <v>20</v>
      </c>
      <c r="M3480">
        <v>20</v>
      </c>
    </row>
    <row r="3481" spans="1:13" x14ac:dyDescent="0.25">
      <c r="A3481" t="s">
        <v>7687</v>
      </c>
      <c r="B3481" t="s">
        <v>7680</v>
      </c>
      <c r="C3481" t="s">
        <v>14</v>
      </c>
      <c r="D3481" t="s">
        <v>191</v>
      </c>
      <c r="F3481">
        <v>1</v>
      </c>
      <c r="G3481" t="s">
        <v>16</v>
      </c>
      <c r="H3481">
        <v>0</v>
      </c>
      <c r="I3481" s="2" t="s">
        <v>669</v>
      </c>
      <c r="J3481" s="2" t="s">
        <v>7688</v>
      </c>
      <c r="K3481">
        <v>20</v>
      </c>
      <c r="L3481">
        <v>20</v>
      </c>
      <c r="M3481">
        <v>20</v>
      </c>
    </row>
    <row r="3482" spans="1:13" x14ac:dyDescent="0.25">
      <c r="A3482" t="s">
        <v>7689</v>
      </c>
      <c r="B3482" t="s">
        <v>7682</v>
      </c>
      <c r="C3482" t="s">
        <v>14</v>
      </c>
      <c r="D3482" t="s">
        <v>191</v>
      </c>
      <c r="F3482">
        <v>6</v>
      </c>
      <c r="G3482" t="s">
        <v>16</v>
      </c>
      <c r="H3482">
        <v>0</v>
      </c>
      <c r="I3482" s="2" t="s">
        <v>7690</v>
      </c>
      <c r="J3482" s="2" t="s">
        <v>7691</v>
      </c>
      <c r="K3482">
        <v>20</v>
      </c>
      <c r="L3482">
        <v>20</v>
      </c>
      <c r="M3482">
        <v>20</v>
      </c>
    </row>
    <row r="3483" spans="1:13" x14ac:dyDescent="0.25">
      <c r="A3483" t="s">
        <v>7692</v>
      </c>
      <c r="B3483" t="s">
        <v>7693</v>
      </c>
      <c r="C3483" t="s">
        <v>14</v>
      </c>
      <c r="D3483" t="s">
        <v>191</v>
      </c>
      <c r="G3483" t="s">
        <v>16</v>
      </c>
      <c r="H3483">
        <v>0</v>
      </c>
      <c r="I3483" s="2" t="s">
        <v>4807</v>
      </c>
      <c r="J3483" s="2" t="s">
        <v>7694</v>
      </c>
      <c r="K3483">
        <v>20</v>
      </c>
      <c r="L3483">
        <v>20</v>
      </c>
      <c r="M3483">
        <v>20</v>
      </c>
    </row>
    <row r="3484" spans="1:13" x14ac:dyDescent="0.25">
      <c r="A3484" t="s">
        <v>7695</v>
      </c>
      <c r="B3484" t="s">
        <v>7696</v>
      </c>
      <c r="C3484" t="s">
        <v>496</v>
      </c>
      <c r="F3484">
        <v>1</v>
      </c>
      <c r="G3484" t="s">
        <v>16</v>
      </c>
      <c r="H3484">
        <v>0</v>
      </c>
      <c r="I3484" s="2" t="s">
        <v>238</v>
      </c>
      <c r="J3484" s="2">
        <v>280645</v>
      </c>
      <c r="K3484">
        <v>20</v>
      </c>
      <c r="L3484">
        <v>20</v>
      </c>
      <c r="M3484">
        <v>20</v>
      </c>
    </row>
    <row r="3485" spans="1:13" x14ac:dyDescent="0.25">
      <c r="A3485">
        <v>2345546</v>
      </c>
      <c r="B3485" t="s">
        <v>7697</v>
      </c>
      <c r="C3485" t="s">
        <v>1426</v>
      </c>
      <c r="F3485">
        <v>5</v>
      </c>
      <c r="G3485" t="s">
        <v>16</v>
      </c>
      <c r="H3485">
        <v>0</v>
      </c>
      <c r="I3485" s="2" t="s">
        <v>497</v>
      </c>
      <c r="J3485" s="2">
        <v>95129884</v>
      </c>
      <c r="K3485">
        <v>20</v>
      </c>
      <c r="L3485">
        <v>20</v>
      </c>
      <c r="M3485">
        <v>20</v>
      </c>
    </row>
    <row r="3486" spans="1:13" x14ac:dyDescent="0.25">
      <c r="A3486" t="s">
        <v>7698</v>
      </c>
      <c r="B3486" t="s">
        <v>7699</v>
      </c>
      <c r="C3486" t="s">
        <v>14</v>
      </c>
      <c r="D3486" t="s">
        <v>2620</v>
      </c>
      <c r="F3486">
        <v>3</v>
      </c>
      <c r="G3486" t="s">
        <v>16</v>
      </c>
      <c r="H3486">
        <v>0</v>
      </c>
      <c r="I3486" s="2" t="s">
        <v>522</v>
      </c>
      <c r="J3486" s="2" t="s">
        <v>7700</v>
      </c>
      <c r="K3486">
        <v>20</v>
      </c>
      <c r="L3486">
        <v>20</v>
      </c>
      <c r="M3486">
        <v>20</v>
      </c>
    </row>
    <row r="3487" spans="1:13" x14ac:dyDescent="0.25">
      <c r="A3487" t="s">
        <v>7701</v>
      </c>
      <c r="B3487" t="s">
        <v>7699</v>
      </c>
      <c r="C3487" t="s">
        <v>14</v>
      </c>
      <c r="D3487" t="s">
        <v>2620</v>
      </c>
      <c r="F3487">
        <v>4</v>
      </c>
      <c r="G3487" t="s">
        <v>16</v>
      </c>
      <c r="H3487">
        <v>0</v>
      </c>
      <c r="I3487" s="2" t="s">
        <v>4736</v>
      </c>
      <c r="J3487" s="2" t="s">
        <v>7702</v>
      </c>
      <c r="K3487">
        <v>20</v>
      </c>
      <c r="L3487">
        <v>20</v>
      </c>
      <c r="M3487">
        <v>20</v>
      </c>
    </row>
    <row r="3488" spans="1:13" x14ac:dyDescent="0.25">
      <c r="A3488" t="s">
        <v>7703</v>
      </c>
      <c r="B3488" t="s">
        <v>7704</v>
      </c>
      <c r="C3488" t="s">
        <v>1426</v>
      </c>
      <c r="F3488">
        <v>81</v>
      </c>
      <c r="G3488" t="s">
        <v>16</v>
      </c>
      <c r="H3488">
        <v>0</v>
      </c>
      <c r="K3488">
        <v>20</v>
      </c>
      <c r="L3488">
        <v>20</v>
      </c>
      <c r="M3488">
        <v>20</v>
      </c>
    </row>
    <row r="3489" spans="1:13" x14ac:dyDescent="0.25">
      <c r="A3489" t="s">
        <v>7705</v>
      </c>
      <c r="B3489" t="s">
        <v>7707</v>
      </c>
      <c r="C3489" t="s">
        <v>1432</v>
      </c>
      <c r="F3489">
        <v>0</v>
      </c>
      <c r="G3489" t="s">
        <v>16</v>
      </c>
      <c r="H3489">
        <v>0</v>
      </c>
      <c r="I3489" s="2" t="s">
        <v>69</v>
      </c>
      <c r="J3489" s="2" t="s">
        <v>7706</v>
      </c>
      <c r="K3489">
        <v>20</v>
      </c>
      <c r="L3489">
        <v>20</v>
      </c>
      <c r="M3489">
        <v>20</v>
      </c>
    </row>
    <row r="3490" spans="1:13" x14ac:dyDescent="0.25">
      <c r="A3490" t="s">
        <v>7708</v>
      </c>
      <c r="B3490" t="s">
        <v>7710</v>
      </c>
      <c r="C3490" t="s">
        <v>1432</v>
      </c>
      <c r="F3490">
        <v>9</v>
      </c>
      <c r="G3490" t="s">
        <v>16</v>
      </c>
      <c r="H3490">
        <v>0</v>
      </c>
      <c r="I3490" s="2" t="s">
        <v>1802</v>
      </c>
      <c r="J3490" s="2" t="s">
        <v>7709</v>
      </c>
      <c r="K3490">
        <v>20</v>
      </c>
      <c r="L3490">
        <v>20</v>
      </c>
      <c r="M3490">
        <v>20</v>
      </c>
    </row>
    <row r="3491" spans="1:13" x14ac:dyDescent="0.25">
      <c r="A3491" t="s">
        <v>7711</v>
      </c>
      <c r="B3491" t="s">
        <v>7710</v>
      </c>
      <c r="C3491" t="s">
        <v>1432</v>
      </c>
      <c r="F3491">
        <v>1</v>
      </c>
      <c r="G3491" t="s">
        <v>16</v>
      </c>
      <c r="H3491">
        <v>0</v>
      </c>
      <c r="K3491">
        <v>20</v>
      </c>
      <c r="L3491">
        <v>20</v>
      </c>
      <c r="M3491">
        <v>20</v>
      </c>
    </row>
    <row r="3492" spans="1:13" x14ac:dyDescent="0.25">
      <c r="A3492" t="s">
        <v>7712</v>
      </c>
      <c r="B3492" t="s">
        <v>7713</v>
      </c>
      <c r="C3492" t="s">
        <v>1432</v>
      </c>
      <c r="G3492" t="s">
        <v>16</v>
      </c>
      <c r="H3492">
        <v>0</v>
      </c>
      <c r="K3492">
        <v>20</v>
      </c>
      <c r="L3492">
        <v>20</v>
      </c>
      <c r="M3492">
        <v>20</v>
      </c>
    </row>
    <row r="3493" spans="1:13" x14ac:dyDescent="0.25">
      <c r="A3493" t="s">
        <v>7714</v>
      </c>
      <c r="B3493" t="s">
        <v>7715</v>
      </c>
      <c r="C3493" t="s">
        <v>1432</v>
      </c>
      <c r="F3493">
        <v>1</v>
      </c>
      <c r="G3493" t="s">
        <v>16</v>
      </c>
      <c r="H3493">
        <v>0</v>
      </c>
      <c r="I3493" s="2" t="s">
        <v>87</v>
      </c>
      <c r="J3493" s="2" t="s">
        <v>7716</v>
      </c>
      <c r="K3493">
        <v>20</v>
      </c>
      <c r="L3493">
        <v>20</v>
      </c>
      <c r="M3493">
        <v>20</v>
      </c>
    </row>
    <row r="3494" spans="1:13" x14ac:dyDescent="0.25">
      <c r="A3494" t="s">
        <v>7717</v>
      </c>
      <c r="B3494" t="s">
        <v>7718</v>
      </c>
      <c r="C3494" t="s">
        <v>1432</v>
      </c>
      <c r="F3494">
        <v>1</v>
      </c>
      <c r="G3494" t="s">
        <v>16</v>
      </c>
      <c r="H3494">
        <v>0</v>
      </c>
      <c r="I3494" s="2" t="s">
        <v>1807</v>
      </c>
      <c r="J3494" s="2">
        <v>2839987</v>
      </c>
      <c r="K3494">
        <v>20</v>
      </c>
      <c r="L3494">
        <v>20</v>
      </c>
      <c r="M3494">
        <v>20</v>
      </c>
    </row>
    <row r="3495" spans="1:13" x14ac:dyDescent="0.25">
      <c r="A3495" t="s">
        <v>7719</v>
      </c>
      <c r="B3495" t="s">
        <v>7720</v>
      </c>
      <c r="C3495" t="s">
        <v>20</v>
      </c>
      <c r="F3495">
        <v>1</v>
      </c>
      <c r="G3495" t="s">
        <v>16</v>
      </c>
      <c r="H3495">
        <v>0</v>
      </c>
      <c r="I3495" s="2" t="s">
        <v>1175</v>
      </c>
      <c r="J3495" s="2" t="s">
        <v>7721</v>
      </c>
      <c r="K3495">
        <v>20</v>
      </c>
      <c r="L3495">
        <v>20</v>
      </c>
      <c r="M3495">
        <v>20</v>
      </c>
    </row>
    <row r="3496" spans="1:13" x14ac:dyDescent="0.25">
      <c r="A3496">
        <v>24418414</v>
      </c>
      <c r="B3496" t="s">
        <v>7722</v>
      </c>
      <c r="C3496" t="s">
        <v>20</v>
      </c>
      <c r="G3496" t="s">
        <v>16</v>
      </c>
      <c r="H3496">
        <v>0</v>
      </c>
      <c r="I3496" s="2" t="s">
        <v>497</v>
      </c>
      <c r="J3496" s="2">
        <v>24418414</v>
      </c>
      <c r="K3496">
        <v>20</v>
      </c>
      <c r="L3496">
        <v>20</v>
      </c>
      <c r="M3496">
        <v>20</v>
      </c>
    </row>
    <row r="3497" spans="1:13" x14ac:dyDescent="0.25">
      <c r="A3497" t="s">
        <v>7723</v>
      </c>
      <c r="B3497" t="s">
        <v>7724</v>
      </c>
      <c r="C3497" t="s">
        <v>1432</v>
      </c>
      <c r="F3497">
        <v>1</v>
      </c>
      <c r="G3497" t="s">
        <v>16</v>
      </c>
      <c r="H3497">
        <v>0</v>
      </c>
      <c r="I3497" s="2" t="s">
        <v>1713</v>
      </c>
      <c r="J3497" s="2">
        <v>6014605</v>
      </c>
      <c r="K3497">
        <v>20</v>
      </c>
      <c r="L3497">
        <v>20</v>
      </c>
      <c r="M3497">
        <v>20</v>
      </c>
    </row>
    <row r="3498" spans="1:13" x14ac:dyDescent="0.25">
      <c r="A3498" t="s">
        <v>7725</v>
      </c>
      <c r="B3498" t="s">
        <v>7726</v>
      </c>
      <c r="C3498" t="s">
        <v>1432</v>
      </c>
      <c r="F3498">
        <v>1</v>
      </c>
      <c r="G3498" t="s">
        <v>16</v>
      </c>
      <c r="H3498">
        <v>0</v>
      </c>
      <c r="I3498" s="2" t="s">
        <v>1713</v>
      </c>
      <c r="J3498" s="2">
        <v>6014702</v>
      </c>
      <c r="K3498">
        <v>20</v>
      </c>
      <c r="L3498">
        <v>20</v>
      </c>
      <c r="M3498">
        <v>20</v>
      </c>
    </row>
    <row r="3499" spans="1:13" x14ac:dyDescent="0.25">
      <c r="A3499" t="s">
        <v>7727</v>
      </c>
      <c r="B3499" t="s">
        <v>7728</v>
      </c>
      <c r="C3499" t="s">
        <v>1432</v>
      </c>
      <c r="F3499">
        <v>1</v>
      </c>
      <c r="G3499" t="s">
        <v>16</v>
      </c>
      <c r="H3499">
        <v>0</v>
      </c>
      <c r="I3499" s="2" t="s">
        <v>1713</v>
      </c>
      <c r="J3499" s="2">
        <v>6014601</v>
      </c>
      <c r="K3499">
        <v>20</v>
      </c>
      <c r="L3499">
        <v>20</v>
      </c>
      <c r="M3499">
        <v>20</v>
      </c>
    </row>
    <row r="3500" spans="1:13" x14ac:dyDescent="0.25">
      <c r="A3500" t="s">
        <v>7729</v>
      </c>
      <c r="B3500" t="s">
        <v>7730</v>
      </c>
      <c r="C3500" t="s">
        <v>1432</v>
      </c>
      <c r="F3500">
        <v>0</v>
      </c>
      <c r="G3500" t="s">
        <v>16</v>
      </c>
      <c r="H3500">
        <v>0</v>
      </c>
      <c r="I3500" s="2" t="s">
        <v>7513</v>
      </c>
      <c r="J3500" s="2" t="s">
        <v>7731</v>
      </c>
      <c r="K3500">
        <v>20</v>
      </c>
      <c r="L3500">
        <v>20</v>
      </c>
      <c r="M3500">
        <v>20</v>
      </c>
    </row>
    <row r="3501" spans="1:13" x14ac:dyDescent="0.25">
      <c r="A3501" t="s">
        <v>7732</v>
      </c>
      <c r="B3501" t="s">
        <v>7733</v>
      </c>
      <c r="C3501" t="s">
        <v>1432</v>
      </c>
      <c r="G3501" t="s">
        <v>16</v>
      </c>
      <c r="H3501">
        <v>0</v>
      </c>
      <c r="I3501" s="2" t="s">
        <v>7525</v>
      </c>
      <c r="J3501" s="2" t="s">
        <v>7734</v>
      </c>
      <c r="K3501">
        <v>20</v>
      </c>
      <c r="L3501">
        <v>20</v>
      </c>
      <c r="M3501">
        <v>20</v>
      </c>
    </row>
    <row r="3502" spans="1:13" x14ac:dyDescent="0.25">
      <c r="A3502" t="s">
        <v>7735</v>
      </c>
      <c r="B3502" t="s">
        <v>7736</v>
      </c>
      <c r="C3502" t="s">
        <v>1432</v>
      </c>
      <c r="F3502">
        <v>4</v>
      </c>
      <c r="G3502" t="s">
        <v>16</v>
      </c>
      <c r="H3502">
        <v>0</v>
      </c>
      <c r="I3502" s="2" t="s">
        <v>87</v>
      </c>
      <c r="J3502" s="2" t="s">
        <v>7737</v>
      </c>
      <c r="K3502">
        <v>20</v>
      </c>
      <c r="L3502">
        <v>20</v>
      </c>
      <c r="M3502">
        <v>20</v>
      </c>
    </row>
    <row r="3503" spans="1:13" x14ac:dyDescent="0.25">
      <c r="A3503" t="s">
        <v>7738</v>
      </c>
      <c r="B3503" t="s">
        <v>7736</v>
      </c>
      <c r="C3503" t="s">
        <v>1432</v>
      </c>
      <c r="F3503">
        <v>3</v>
      </c>
      <c r="G3503" t="s">
        <v>16</v>
      </c>
      <c r="H3503">
        <v>0</v>
      </c>
      <c r="I3503" s="2" t="s">
        <v>7525</v>
      </c>
      <c r="J3503" s="2" t="s">
        <v>7739</v>
      </c>
      <c r="K3503">
        <v>20</v>
      </c>
      <c r="L3503">
        <v>20</v>
      </c>
      <c r="M3503">
        <v>20</v>
      </c>
    </row>
    <row r="3504" spans="1:13" x14ac:dyDescent="0.25">
      <c r="A3504" t="s">
        <v>7740</v>
      </c>
      <c r="B3504" t="s">
        <v>7736</v>
      </c>
      <c r="C3504" t="s">
        <v>1432</v>
      </c>
      <c r="F3504">
        <v>0</v>
      </c>
      <c r="G3504" t="s">
        <v>16</v>
      </c>
      <c r="H3504">
        <v>0</v>
      </c>
      <c r="I3504" s="2" t="s">
        <v>1807</v>
      </c>
      <c r="J3504" s="2">
        <v>2839227</v>
      </c>
      <c r="K3504">
        <v>20</v>
      </c>
      <c r="L3504">
        <v>20</v>
      </c>
      <c r="M3504">
        <v>20</v>
      </c>
    </row>
    <row r="3505" spans="1:13" x14ac:dyDescent="0.25">
      <c r="A3505" t="s">
        <v>7741</v>
      </c>
      <c r="B3505" t="s">
        <v>7743</v>
      </c>
      <c r="C3505" t="s">
        <v>1432</v>
      </c>
      <c r="F3505">
        <v>4</v>
      </c>
      <c r="G3505" t="s">
        <v>16</v>
      </c>
      <c r="H3505">
        <v>0</v>
      </c>
      <c r="I3505" s="2" t="s">
        <v>7189</v>
      </c>
      <c r="J3505" s="2" t="s">
        <v>7742</v>
      </c>
      <c r="K3505">
        <v>20</v>
      </c>
      <c r="L3505">
        <v>20</v>
      </c>
      <c r="M3505">
        <v>20</v>
      </c>
    </row>
    <row r="3506" spans="1:13" x14ac:dyDescent="0.25">
      <c r="A3506" t="s">
        <v>7744</v>
      </c>
      <c r="B3506" t="s">
        <v>7743</v>
      </c>
      <c r="C3506" t="s">
        <v>1432</v>
      </c>
      <c r="G3506" t="s">
        <v>16</v>
      </c>
      <c r="H3506">
        <v>0</v>
      </c>
      <c r="I3506" s="2" t="s">
        <v>7513</v>
      </c>
      <c r="J3506" s="2" t="s">
        <v>7745</v>
      </c>
      <c r="K3506">
        <v>20</v>
      </c>
      <c r="L3506">
        <v>20</v>
      </c>
      <c r="M3506">
        <v>20</v>
      </c>
    </row>
    <row r="3507" spans="1:13" x14ac:dyDescent="0.25">
      <c r="A3507" t="s">
        <v>7746</v>
      </c>
      <c r="B3507" t="s">
        <v>7747</v>
      </c>
      <c r="C3507" t="s">
        <v>1432</v>
      </c>
      <c r="F3507">
        <v>1</v>
      </c>
      <c r="G3507" t="s">
        <v>16</v>
      </c>
      <c r="H3507">
        <v>0</v>
      </c>
      <c r="I3507" s="2" t="s">
        <v>165</v>
      </c>
      <c r="J3507" s="2">
        <v>721259</v>
      </c>
      <c r="K3507">
        <v>20</v>
      </c>
      <c r="L3507">
        <v>20</v>
      </c>
      <c r="M3507">
        <v>20</v>
      </c>
    </row>
    <row r="3508" spans="1:13" x14ac:dyDescent="0.25">
      <c r="A3508" t="s">
        <v>7748</v>
      </c>
      <c r="B3508" t="s">
        <v>7749</v>
      </c>
      <c r="C3508" t="s">
        <v>1432</v>
      </c>
      <c r="F3508">
        <v>2</v>
      </c>
      <c r="G3508" t="s">
        <v>16</v>
      </c>
      <c r="H3508">
        <v>0</v>
      </c>
      <c r="I3508" s="2" t="s">
        <v>7513</v>
      </c>
      <c r="J3508" s="2" t="s">
        <v>7750</v>
      </c>
      <c r="K3508">
        <v>20</v>
      </c>
      <c r="L3508">
        <v>20</v>
      </c>
      <c r="M3508">
        <v>20</v>
      </c>
    </row>
    <row r="3509" spans="1:13" x14ac:dyDescent="0.25">
      <c r="A3509" t="s">
        <v>7751</v>
      </c>
      <c r="B3509" t="s">
        <v>7753</v>
      </c>
      <c r="C3509" t="s">
        <v>1432</v>
      </c>
      <c r="F3509">
        <v>1</v>
      </c>
      <c r="G3509" t="s">
        <v>16</v>
      </c>
      <c r="H3509">
        <v>0</v>
      </c>
      <c r="I3509" s="2" t="s">
        <v>6861</v>
      </c>
      <c r="J3509" s="2" t="s">
        <v>7752</v>
      </c>
      <c r="K3509">
        <v>20</v>
      </c>
      <c r="L3509">
        <v>20</v>
      </c>
      <c r="M3509">
        <v>20</v>
      </c>
    </row>
    <row r="3510" spans="1:13" x14ac:dyDescent="0.25">
      <c r="A3510" t="s">
        <v>7754</v>
      </c>
      <c r="B3510" t="s">
        <v>7755</v>
      </c>
      <c r="C3510" t="s">
        <v>1432</v>
      </c>
      <c r="F3510">
        <v>5</v>
      </c>
      <c r="G3510" t="s">
        <v>16</v>
      </c>
      <c r="H3510">
        <v>0</v>
      </c>
      <c r="I3510" s="2" t="s">
        <v>87</v>
      </c>
      <c r="J3510" s="2" t="s">
        <v>7756</v>
      </c>
      <c r="K3510">
        <v>20</v>
      </c>
      <c r="L3510">
        <v>20</v>
      </c>
      <c r="M3510">
        <v>20</v>
      </c>
    </row>
    <row r="3511" spans="1:13" x14ac:dyDescent="0.25">
      <c r="A3511" t="s">
        <v>7757</v>
      </c>
      <c r="B3511" t="s">
        <v>7755</v>
      </c>
      <c r="C3511" t="s">
        <v>1432</v>
      </c>
      <c r="G3511" t="s">
        <v>16</v>
      </c>
      <c r="H3511">
        <v>0</v>
      </c>
      <c r="I3511" s="2" t="s">
        <v>7513</v>
      </c>
      <c r="J3511" s="2" t="s">
        <v>7758</v>
      </c>
      <c r="K3511">
        <v>20</v>
      </c>
      <c r="L3511">
        <v>20</v>
      </c>
      <c r="M3511">
        <v>20</v>
      </c>
    </row>
    <row r="3512" spans="1:13" x14ac:dyDescent="0.25">
      <c r="A3512" t="s">
        <v>7759</v>
      </c>
      <c r="B3512" t="s">
        <v>7760</v>
      </c>
      <c r="C3512" t="s">
        <v>1432</v>
      </c>
      <c r="F3512">
        <v>3</v>
      </c>
      <c r="G3512" t="s">
        <v>16</v>
      </c>
      <c r="H3512">
        <v>0</v>
      </c>
      <c r="I3512" s="2" t="s">
        <v>87</v>
      </c>
      <c r="J3512" s="2" t="s">
        <v>7761</v>
      </c>
      <c r="K3512">
        <v>20</v>
      </c>
      <c r="L3512">
        <v>20</v>
      </c>
      <c r="M3512">
        <v>20</v>
      </c>
    </row>
    <row r="3513" spans="1:13" x14ac:dyDescent="0.25">
      <c r="A3513" t="s">
        <v>7762</v>
      </c>
      <c r="B3513" t="s">
        <v>7760</v>
      </c>
      <c r="C3513" t="s">
        <v>1432</v>
      </c>
      <c r="F3513">
        <v>6</v>
      </c>
      <c r="G3513" t="s">
        <v>16</v>
      </c>
      <c r="H3513">
        <v>0</v>
      </c>
      <c r="I3513" s="2" t="s">
        <v>7763</v>
      </c>
      <c r="J3513" s="2" t="s">
        <v>7764</v>
      </c>
      <c r="K3513">
        <v>20</v>
      </c>
      <c r="L3513">
        <v>20</v>
      </c>
      <c r="M3513">
        <v>20</v>
      </c>
    </row>
    <row r="3514" spans="1:13" x14ac:dyDescent="0.25">
      <c r="A3514" t="s">
        <v>7765</v>
      </c>
      <c r="B3514" t="s">
        <v>7760</v>
      </c>
      <c r="C3514" t="s">
        <v>1432</v>
      </c>
      <c r="G3514" t="s">
        <v>16</v>
      </c>
      <c r="H3514">
        <v>0</v>
      </c>
      <c r="I3514" s="2" t="s">
        <v>7513</v>
      </c>
      <c r="J3514" s="2" t="s">
        <v>7766</v>
      </c>
      <c r="K3514">
        <v>20</v>
      </c>
      <c r="L3514">
        <v>20</v>
      </c>
      <c r="M3514">
        <v>20</v>
      </c>
    </row>
    <row r="3515" spans="1:13" x14ac:dyDescent="0.25">
      <c r="A3515" t="s">
        <v>7767</v>
      </c>
      <c r="B3515" t="s">
        <v>7768</v>
      </c>
      <c r="C3515" t="s">
        <v>496</v>
      </c>
      <c r="D3515" t="s">
        <v>2360</v>
      </c>
      <c r="F3515">
        <v>2</v>
      </c>
      <c r="G3515" t="s">
        <v>16</v>
      </c>
      <c r="H3515">
        <v>0</v>
      </c>
      <c r="I3515" s="2" t="s">
        <v>5044</v>
      </c>
      <c r="J3515" s="2" t="s">
        <v>7769</v>
      </c>
      <c r="K3515">
        <v>20</v>
      </c>
      <c r="L3515">
        <v>20</v>
      </c>
      <c r="M3515">
        <v>20</v>
      </c>
    </row>
    <row r="3516" spans="1:13" x14ac:dyDescent="0.25">
      <c r="A3516">
        <v>25182606</v>
      </c>
      <c r="B3516" t="s">
        <v>7770</v>
      </c>
      <c r="C3516" t="s">
        <v>20</v>
      </c>
      <c r="D3516" t="s">
        <v>478</v>
      </c>
      <c r="F3516">
        <v>0</v>
      </c>
      <c r="G3516" t="s">
        <v>16</v>
      </c>
      <c r="H3516">
        <v>0</v>
      </c>
      <c r="I3516" s="2" t="s">
        <v>6196</v>
      </c>
      <c r="J3516" s="2" t="s">
        <v>7771</v>
      </c>
      <c r="K3516">
        <v>20</v>
      </c>
      <c r="L3516">
        <v>20</v>
      </c>
      <c r="M3516">
        <v>20</v>
      </c>
    </row>
    <row r="3517" spans="1:13" x14ac:dyDescent="0.25">
      <c r="A3517" t="s">
        <v>7772</v>
      </c>
      <c r="B3517" t="s">
        <v>7770</v>
      </c>
      <c r="C3517" t="s">
        <v>20</v>
      </c>
      <c r="D3517" t="s">
        <v>478</v>
      </c>
      <c r="G3517" t="s">
        <v>16</v>
      </c>
      <c r="H3517">
        <v>0</v>
      </c>
      <c r="K3517">
        <v>20</v>
      </c>
      <c r="L3517">
        <v>20</v>
      </c>
      <c r="M3517">
        <v>20</v>
      </c>
    </row>
    <row r="3518" spans="1:13" x14ac:dyDescent="0.25">
      <c r="A3518" t="s">
        <v>7773</v>
      </c>
      <c r="B3518" t="s">
        <v>7774</v>
      </c>
      <c r="C3518" t="s">
        <v>20</v>
      </c>
      <c r="D3518" t="s">
        <v>899</v>
      </c>
      <c r="G3518" t="s">
        <v>16</v>
      </c>
      <c r="H3518">
        <v>0</v>
      </c>
      <c r="I3518" s="2" t="s">
        <v>3830</v>
      </c>
      <c r="J3518" s="2" t="s">
        <v>7775</v>
      </c>
      <c r="K3518">
        <v>20</v>
      </c>
      <c r="L3518">
        <v>20</v>
      </c>
      <c r="M3518">
        <v>20</v>
      </c>
    </row>
    <row r="3519" spans="1:13" x14ac:dyDescent="0.25">
      <c r="A3519" t="s">
        <v>7776</v>
      </c>
      <c r="B3519" t="s">
        <v>7777</v>
      </c>
      <c r="C3519" t="s">
        <v>357</v>
      </c>
      <c r="D3519" t="s">
        <v>792</v>
      </c>
      <c r="G3519" t="s">
        <v>16</v>
      </c>
      <c r="H3519">
        <v>0</v>
      </c>
      <c r="I3519" s="2" t="s">
        <v>848</v>
      </c>
      <c r="J3519" s="2" t="s">
        <v>7778</v>
      </c>
      <c r="K3519">
        <v>20</v>
      </c>
      <c r="L3519">
        <v>20</v>
      </c>
      <c r="M3519">
        <v>20</v>
      </c>
    </row>
    <row r="3520" spans="1:13" x14ac:dyDescent="0.25">
      <c r="A3520" t="s">
        <v>7779</v>
      </c>
      <c r="B3520" t="s">
        <v>7777</v>
      </c>
      <c r="C3520" t="s">
        <v>357</v>
      </c>
      <c r="D3520" t="s">
        <v>792</v>
      </c>
      <c r="F3520">
        <v>1</v>
      </c>
      <c r="G3520" t="s">
        <v>16</v>
      </c>
      <c r="H3520">
        <v>0</v>
      </c>
      <c r="I3520" s="2" t="s">
        <v>2645</v>
      </c>
      <c r="J3520" s="2">
        <v>28500011</v>
      </c>
      <c r="K3520">
        <v>20</v>
      </c>
      <c r="L3520">
        <v>20</v>
      </c>
      <c r="M3520">
        <v>20</v>
      </c>
    </row>
    <row r="3521" spans="1:13" x14ac:dyDescent="0.25">
      <c r="A3521" t="s">
        <v>7780</v>
      </c>
      <c r="B3521" t="s">
        <v>7777</v>
      </c>
      <c r="C3521" t="s">
        <v>357</v>
      </c>
      <c r="D3521" t="s">
        <v>792</v>
      </c>
      <c r="F3521">
        <v>1</v>
      </c>
      <c r="G3521" t="s">
        <v>16</v>
      </c>
      <c r="H3521">
        <v>0</v>
      </c>
      <c r="I3521" s="2" t="s">
        <v>7781</v>
      </c>
      <c r="J3521" s="2" t="s">
        <v>7782</v>
      </c>
      <c r="K3521">
        <v>20</v>
      </c>
      <c r="L3521">
        <v>20</v>
      </c>
      <c r="M3521">
        <v>20</v>
      </c>
    </row>
    <row r="3522" spans="1:13" x14ac:dyDescent="0.25">
      <c r="A3522" t="s">
        <v>7783</v>
      </c>
      <c r="B3522" t="s">
        <v>7784</v>
      </c>
      <c r="C3522" t="s">
        <v>20</v>
      </c>
      <c r="D3522" t="s">
        <v>894</v>
      </c>
      <c r="F3522">
        <v>1</v>
      </c>
      <c r="G3522" t="s">
        <v>16</v>
      </c>
      <c r="H3522">
        <v>0</v>
      </c>
      <c r="I3522" s="2" t="s">
        <v>288</v>
      </c>
      <c r="J3522" s="2" t="s">
        <v>7785</v>
      </c>
      <c r="K3522">
        <v>20</v>
      </c>
      <c r="L3522">
        <v>20</v>
      </c>
      <c r="M3522">
        <v>20</v>
      </c>
    </row>
    <row r="3523" spans="1:13" x14ac:dyDescent="0.25">
      <c r="A3523" t="s">
        <v>7786</v>
      </c>
      <c r="B3523" t="s">
        <v>7787</v>
      </c>
      <c r="C3523" t="s">
        <v>20</v>
      </c>
      <c r="D3523" t="s">
        <v>894</v>
      </c>
      <c r="G3523" t="s">
        <v>16</v>
      </c>
      <c r="H3523">
        <v>0</v>
      </c>
      <c r="I3523" s="2" t="s">
        <v>3783</v>
      </c>
      <c r="J3523" s="2" t="s">
        <v>7788</v>
      </c>
      <c r="K3523">
        <v>20</v>
      </c>
      <c r="L3523">
        <v>20</v>
      </c>
      <c r="M3523">
        <v>20</v>
      </c>
    </row>
    <row r="3524" spans="1:13" x14ac:dyDescent="0.25">
      <c r="A3524" t="s">
        <v>7789</v>
      </c>
      <c r="B3524" t="s">
        <v>7787</v>
      </c>
      <c r="C3524" t="s">
        <v>20</v>
      </c>
      <c r="D3524" t="s">
        <v>894</v>
      </c>
      <c r="G3524" t="s">
        <v>16</v>
      </c>
      <c r="H3524">
        <v>0</v>
      </c>
      <c r="I3524" s="2" t="s">
        <v>7790</v>
      </c>
      <c r="J3524" s="2" t="s">
        <v>7791</v>
      </c>
      <c r="K3524">
        <v>20</v>
      </c>
      <c r="L3524">
        <v>20</v>
      </c>
      <c r="M3524">
        <v>20</v>
      </c>
    </row>
    <row r="3525" spans="1:13" x14ac:dyDescent="0.25">
      <c r="A3525" t="s">
        <v>7792</v>
      </c>
      <c r="B3525" t="s">
        <v>7793</v>
      </c>
      <c r="C3525" t="s">
        <v>20</v>
      </c>
      <c r="D3525" t="s">
        <v>899</v>
      </c>
      <c r="G3525" t="s">
        <v>16</v>
      </c>
      <c r="H3525">
        <v>0</v>
      </c>
      <c r="I3525" s="2" t="s">
        <v>383</v>
      </c>
      <c r="J3525" s="2">
        <v>1987946042</v>
      </c>
      <c r="K3525">
        <v>20</v>
      </c>
      <c r="L3525">
        <v>20</v>
      </c>
      <c r="M3525">
        <v>20</v>
      </c>
    </row>
    <row r="3526" spans="1:13" x14ac:dyDescent="0.25">
      <c r="A3526">
        <v>25186240</v>
      </c>
      <c r="B3526" t="s">
        <v>7794</v>
      </c>
      <c r="C3526" t="s">
        <v>151</v>
      </c>
      <c r="D3526" t="s">
        <v>152</v>
      </c>
      <c r="G3526" t="s">
        <v>16</v>
      </c>
      <c r="H3526">
        <v>0</v>
      </c>
      <c r="I3526" s="2" t="s">
        <v>497</v>
      </c>
      <c r="J3526" s="2">
        <v>25186240</v>
      </c>
      <c r="K3526">
        <v>20</v>
      </c>
      <c r="L3526">
        <v>20</v>
      </c>
      <c r="M3526">
        <v>20</v>
      </c>
    </row>
    <row r="3527" spans="1:13" x14ac:dyDescent="0.25">
      <c r="A3527" t="s">
        <v>7795</v>
      </c>
      <c r="B3527" t="s">
        <v>7794</v>
      </c>
      <c r="C3527" t="s">
        <v>151</v>
      </c>
      <c r="D3527" t="s">
        <v>152</v>
      </c>
      <c r="G3527" t="s">
        <v>16</v>
      </c>
      <c r="H3527">
        <v>0</v>
      </c>
      <c r="I3527" s="2" t="s">
        <v>500</v>
      </c>
      <c r="J3527" s="2" t="s">
        <v>7796</v>
      </c>
      <c r="K3527">
        <v>20</v>
      </c>
      <c r="L3527">
        <v>20</v>
      </c>
      <c r="M3527">
        <v>20</v>
      </c>
    </row>
    <row r="3528" spans="1:13" x14ac:dyDescent="0.25">
      <c r="A3528" t="s">
        <v>7797</v>
      </c>
      <c r="B3528" t="s">
        <v>7798</v>
      </c>
      <c r="C3528" t="s">
        <v>20</v>
      </c>
      <c r="D3528" t="s">
        <v>26</v>
      </c>
      <c r="G3528" t="s">
        <v>16</v>
      </c>
      <c r="H3528">
        <v>0</v>
      </c>
      <c r="K3528">
        <v>20</v>
      </c>
      <c r="L3528">
        <v>20</v>
      </c>
      <c r="M3528">
        <v>20</v>
      </c>
    </row>
    <row r="3529" spans="1:13" x14ac:dyDescent="0.25">
      <c r="A3529" t="s">
        <v>7799</v>
      </c>
      <c r="B3529" t="s">
        <v>7800</v>
      </c>
      <c r="C3529" t="s">
        <v>357</v>
      </c>
      <c r="D3529" t="s">
        <v>241</v>
      </c>
      <c r="F3529">
        <v>3</v>
      </c>
      <c r="G3529" t="s">
        <v>16</v>
      </c>
      <c r="H3529">
        <v>0</v>
      </c>
      <c r="I3529" s="2" t="s">
        <v>7801</v>
      </c>
      <c r="J3529" s="2">
        <v>55353329</v>
      </c>
      <c r="K3529">
        <v>20</v>
      </c>
      <c r="L3529">
        <v>20</v>
      </c>
      <c r="M3529">
        <v>20</v>
      </c>
    </row>
    <row r="3530" spans="1:13" x14ac:dyDescent="0.25">
      <c r="A3530" t="s">
        <v>7802</v>
      </c>
      <c r="B3530" t="s">
        <v>7803</v>
      </c>
      <c r="C3530" t="s">
        <v>357</v>
      </c>
      <c r="D3530" t="s">
        <v>241</v>
      </c>
      <c r="F3530">
        <v>1</v>
      </c>
      <c r="G3530" t="s">
        <v>16</v>
      </c>
      <c r="H3530">
        <v>0</v>
      </c>
      <c r="I3530" s="2" t="s">
        <v>7801</v>
      </c>
      <c r="J3530" s="2">
        <v>55353329</v>
      </c>
      <c r="K3530">
        <v>20</v>
      </c>
      <c r="L3530">
        <v>20</v>
      </c>
      <c r="M3530">
        <v>20</v>
      </c>
    </row>
    <row r="3531" spans="1:13" x14ac:dyDescent="0.25">
      <c r="A3531" t="s">
        <v>7804</v>
      </c>
      <c r="B3531" t="s">
        <v>7805</v>
      </c>
      <c r="C3531" t="s">
        <v>1432</v>
      </c>
      <c r="F3531">
        <v>0</v>
      </c>
      <c r="G3531" t="s">
        <v>16</v>
      </c>
      <c r="H3531">
        <v>0</v>
      </c>
      <c r="I3531" s="2" t="s">
        <v>142</v>
      </c>
      <c r="J3531" s="2" t="s">
        <v>7806</v>
      </c>
      <c r="K3531">
        <v>20</v>
      </c>
      <c r="L3531">
        <v>20</v>
      </c>
      <c r="M3531">
        <v>20</v>
      </c>
    </row>
    <row r="3532" spans="1:13" x14ac:dyDescent="0.25">
      <c r="A3532" t="s">
        <v>7807</v>
      </c>
      <c r="B3532" t="s">
        <v>7808</v>
      </c>
      <c r="C3532" t="s">
        <v>20</v>
      </c>
      <c r="D3532" t="s">
        <v>894</v>
      </c>
      <c r="F3532">
        <v>1</v>
      </c>
      <c r="G3532" t="s">
        <v>16</v>
      </c>
      <c r="H3532">
        <v>0</v>
      </c>
      <c r="I3532" s="2" t="s">
        <v>759</v>
      </c>
      <c r="J3532" s="2" t="s">
        <v>7809</v>
      </c>
      <c r="K3532">
        <v>20</v>
      </c>
      <c r="L3532">
        <v>20</v>
      </c>
      <c r="M3532">
        <v>20</v>
      </c>
    </row>
    <row r="3533" spans="1:13" x14ac:dyDescent="0.25">
      <c r="A3533">
        <v>25192230</v>
      </c>
      <c r="B3533" t="s">
        <v>7810</v>
      </c>
      <c r="C3533" t="s">
        <v>357</v>
      </c>
      <c r="D3533" t="s">
        <v>358</v>
      </c>
      <c r="F3533">
        <v>1</v>
      </c>
      <c r="G3533" t="s">
        <v>16</v>
      </c>
      <c r="H3533">
        <v>0</v>
      </c>
      <c r="I3533" s="2" t="s">
        <v>497</v>
      </c>
      <c r="J3533" s="2">
        <v>25192230</v>
      </c>
      <c r="K3533">
        <v>20</v>
      </c>
      <c r="L3533">
        <v>20</v>
      </c>
      <c r="M3533">
        <v>20</v>
      </c>
    </row>
    <row r="3534" spans="1:13" x14ac:dyDescent="0.25">
      <c r="A3534" t="s">
        <v>7811</v>
      </c>
      <c r="B3534" t="s">
        <v>7812</v>
      </c>
      <c r="C3534" t="s">
        <v>357</v>
      </c>
      <c r="D3534" t="s">
        <v>358</v>
      </c>
      <c r="G3534" t="s">
        <v>16</v>
      </c>
      <c r="H3534">
        <v>0</v>
      </c>
      <c r="I3534" s="2" t="s">
        <v>3286</v>
      </c>
      <c r="J3534" s="2" t="s">
        <v>7813</v>
      </c>
      <c r="K3534">
        <v>20</v>
      </c>
      <c r="L3534">
        <v>20</v>
      </c>
      <c r="M3534">
        <v>20</v>
      </c>
    </row>
    <row r="3535" spans="1:13" x14ac:dyDescent="0.25">
      <c r="A3535" t="s">
        <v>7814</v>
      </c>
      <c r="B3535" t="s">
        <v>7815</v>
      </c>
      <c r="C3535" t="s">
        <v>357</v>
      </c>
      <c r="D3535" t="s">
        <v>241</v>
      </c>
      <c r="F3535">
        <v>-1</v>
      </c>
      <c r="G3535" t="s">
        <v>16</v>
      </c>
      <c r="H3535">
        <v>0</v>
      </c>
      <c r="I3535" s="2" t="s">
        <v>142</v>
      </c>
      <c r="J3535" s="2" t="s">
        <v>7816</v>
      </c>
      <c r="K3535">
        <v>20</v>
      </c>
      <c r="L3535">
        <v>20</v>
      </c>
      <c r="M3535">
        <v>20</v>
      </c>
    </row>
    <row r="3536" spans="1:13" x14ac:dyDescent="0.25">
      <c r="A3536" t="s">
        <v>7817</v>
      </c>
      <c r="B3536" t="s">
        <v>7818</v>
      </c>
      <c r="C3536" t="s">
        <v>241</v>
      </c>
      <c r="D3536" t="s">
        <v>244</v>
      </c>
      <c r="F3536">
        <v>1</v>
      </c>
      <c r="G3536" t="s">
        <v>16</v>
      </c>
      <c r="H3536">
        <v>0</v>
      </c>
      <c r="I3536" s="2" t="s">
        <v>245</v>
      </c>
      <c r="J3536" s="2" t="s">
        <v>7819</v>
      </c>
      <c r="K3536">
        <v>20</v>
      </c>
      <c r="L3536">
        <v>20</v>
      </c>
      <c r="M3536">
        <v>20</v>
      </c>
    </row>
    <row r="3537" spans="1:13" x14ac:dyDescent="0.25">
      <c r="A3537" t="s">
        <v>7820</v>
      </c>
      <c r="B3537" t="s">
        <v>7821</v>
      </c>
      <c r="C3537" t="s">
        <v>1432</v>
      </c>
      <c r="F3537">
        <v>4</v>
      </c>
      <c r="G3537" t="s">
        <v>16</v>
      </c>
      <c r="H3537">
        <v>0</v>
      </c>
      <c r="K3537">
        <v>20</v>
      </c>
      <c r="L3537">
        <v>20</v>
      </c>
      <c r="M3537">
        <v>20</v>
      </c>
    </row>
    <row r="3538" spans="1:13" x14ac:dyDescent="0.25">
      <c r="A3538">
        <v>25195064</v>
      </c>
      <c r="B3538" t="s">
        <v>7822</v>
      </c>
      <c r="C3538" t="s">
        <v>1432</v>
      </c>
      <c r="F3538">
        <v>1</v>
      </c>
      <c r="G3538" t="s">
        <v>16</v>
      </c>
      <c r="H3538">
        <v>0</v>
      </c>
      <c r="I3538" s="2" t="s">
        <v>497</v>
      </c>
      <c r="J3538" s="2">
        <v>25195064</v>
      </c>
      <c r="K3538">
        <v>20</v>
      </c>
      <c r="L3538">
        <v>20</v>
      </c>
      <c r="M3538">
        <v>20</v>
      </c>
    </row>
    <row r="3539" spans="1:13" x14ac:dyDescent="0.25">
      <c r="A3539" t="s">
        <v>7823</v>
      </c>
      <c r="B3539" t="s">
        <v>7824</v>
      </c>
      <c r="C3539" t="s">
        <v>357</v>
      </c>
      <c r="D3539" t="s">
        <v>241</v>
      </c>
      <c r="F3539">
        <v>2</v>
      </c>
      <c r="G3539" t="s">
        <v>16</v>
      </c>
      <c r="H3539">
        <v>0</v>
      </c>
      <c r="I3539" s="2" t="s">
        <v>759</v>
      </c>
      <c r="J3539" s="2" t="s">
        <v>7825</v>
      </c>
      <c r="K3539">
        <v>20</v>
      </c>
      <c r="L3539">
        <v>20</v>
      </c>
      <c r="M3539">
        <v>20</v>
      </c>
    </row>
    <row r="3540" spans="1:13" x14ac:dyDescent="0.25">
      <c r="A3540">
        <v>25195117</v>
      </c>
      <c r="B3540" t="s">
        <v>7826</v>
      </c>
      <c r="C3540" t="s">
        <v>20</v>
      </c>
      <c r="D3540" t="s">
        <v>478</v>
      </c>
      <c r="G3540" t="s">
        <v>16</v>
      </c>
      <c r="H3540">
        <v>0</v>
      </c>
      <c r="I3540" s="2" t="s">
        <v>1444</v>
      </c>
      <c r="K3540">
        <v>20</v>
      </c>
      <c r="L3540">
        <v>20</v>
      </c>
      <c r="M3540">
        <v>20</v>
      </c>
    </row>
    <row r="3541" spans="1:13" x14ac:dyDescent="0.25">
      <c r="A3541" t="s">
        <v>7827</v>
      </c>
      <c r="B3541" t="s">
        <v>7828</v>
      </c>
      <c r="C3541" t="s">
        <v>151</v>
      </c>
      <c r="D3541" t="s">
        <v>1524</v>
      </c>
      <c r="G3541" t="s">
        <v>16</v>
      </c>
      <c r="H3541">
        <v>0</v>
      </c>
      <c r="I3541" s="2" t="s">
        <v>707</v>
      </c>
      <c r="J3541" s="2" t="s">
        <v>7829</v>
      </c>
      <c r="K3541">
        <v>20</v>
      </c>
      <c r="L3541">
        <v>20</v>
      </c>
      <c r="M3541">
        <v>20</v>
      </c>
    </row>
    <row r="3542" spans="1:13" x14ac:dyDescent="0.25">
      <c r="A3542" t="s">
        <v>7830</v>
      </c>
      <c r="B3542" t="s">
        <v>7831</v>
      </c>
      <c r="C3542" t="s">
        <v>14</v>
      </c>
      <c r="D3542" t="s">
        <v>293</v>
      </c>
      <c r="G3542" t="s">
        <v>16</v>
      </c>
      <c r="H3542">
        <v>0</v>
      </c>
      <c r="I3542" s="2" t="s">
        <v>514</v>
      </c>
      <c r="J3542" s="2" t="s">
        <v>7832</v>
      </c>
      <c r="K3542">
        <v>20</v>
      </c>
      <c r="L3542">
        <v>20</v>
      </c>
      <c r="M3542">
        <v>20</v>
      </c>
    </row>
    <row r="3543" spans="1:13" x14ac:dyDescent="0.25">
      <c r="A3543" t="s">
        <v>7833</v>
      </c>
      <c r="B3543" t="s">
        <v>7834</v>
      </c>
      <c r="C3543" t="s">
        <v>20</v>
      </c>
      <c r="D3543" t="s">
        <v>478</v>
      </c>
      <c r="F3543">
        <v>0</v>
      </c>
      <c r="G3543" t="s">
        <v>16</v>
      </c>
      <c r="H3543">
        <v>0</v>
      </c>
      <c r="I3543" s="2" t="s">
        <v>238</v>
      </c>
      <c r="J3543" s="2">
        <v>176321</v>
      </c>
      <c r="K3543">
        <v>20</v>
      </c>
      <c r="L3543">
        <v>20</v>
      </c>
      <c r="M3543">
        <v>20</v>
      </c>
    </row>
    <row r="3544" spans="1:13" x14ac:dyDescent="0.25">
      <c r="A3544" t="s">
        <v>7835</v>
      </c>
      <c r="B3544" t="s">
        <v>7836</v>
      </c>
      <c r="C3544" t="s">
        <v>20</v>
      </c>
      <c r="D3544" t="s">
        <v>478</v>
      </c>
      <c r="F3544">
        <v>0</v>
      </c>
      <c r="G3544" t="s">
        <v>16</v>
      </c>
      <c r="H3544">
        <v>0</v>
      </c>
      <c r="I3544" s="2" t="s">
        <v>7837</v>
      </c>
      <c r="J3544" s="2" t="s">
        <v>7838</v>
      </c>
      <c r="K3544">
        <v>20</v>
      </c>
      <c r="L3544">
        <v>20</v>
      </c>
      <c r="M3544">
        <v>20</v>
      </c>
    </row>
    <row r="3545" spans="1:13" x14ac:dyDescent="0.25">
      <c r="A3545" t="s">
        <v>7839</v>
      </c>
      <c r="B3545" t="s">
        <v>7840</v>
      </c>
      <c r="C3545" t="s">
        <v>357</v>
      </c>
      <c r="D3545" t="s">
        <v>358</v>
      </c>
      <c r="F3545">
        <v>1</v>
      </c>
      <c r="G3545" t="s">
        <v>16</v>
      </c>
      <c r="H3545">
        <v>0</v>
      </c>
      <c r="I3545" s="2" t="s">
        <v>2645</v>
      </c>
      <c r="J3545" s="2" t="s">
        <v>7841</v>
      </c>
      <c r="K3545">
        <v>20</v>
      </c>
      <c r="L3545">
        <v>20</v>
      </c>
      <c r="M3545">
        <v>20</v>
      </c>
    </row>
    <row r="3546" spans="1:13" x14ac:dyDescent="0.25">
      <c r="A3546" t="s">
        <v>7842</v>
      </c>
      <c r="B3546" t="s">
        <v>7843</v>
      </c>
      <c r="C3546" t="s">
        <v>357</v>
      </c>
      <c r="D3546" t="s">
        <v>358</v>
      </c>
      <c r="F3546">
        <v>1</v>
      </c>
      <c r="G3546" t="s">
        <v>16</v>
      </c>
      <c r="H3546">
        <v>0</v>
      </c>
      <c r="I3546" s="2" t="s">
        <v>64</v>
      </c>
      <c r="J3546" s="2" t="str">
        <f>"08100094"</f>
        <v>08100094</v>
      </c>
      <c r="K3546">
        <v>20</v>
      </c>
      <c r="L3546">
        <v>20</v>
      </c>
      <c r="M3546">
        <v>20</v>
      </c>
    </row>
    <row r="3547" spans="1:13" x14ac:dyDescent="0.25">
      <c r="A3547" t="s">
        <v>7844</v>
      </c>
      <c r="B3547" t="s">
        <v>7843</v>
      </c>
      <c r="C3547" t="s">
        <v>357</v>
      </c>
      <c r="D3547" t="s">
        <v>358</v>
      </c>
      <c r="F3547">
        <v>3</v>
      </c>
      <c r="G3547" t="s">
        <v>16</v>
      </c>
      <c r="H3547">
        <v>0</v>
      </c>
      <c r="I3547" s="2" t="s">
        <v>3507</v>
      </c>
      <c r="J3547" s="2" t="s">
        <v>7845</v>
      </c>
      <c r="K3547">
        <v>20</v>
      </c>
      <c r="L3547">
        <v>20</v>
      </c>
      <c r="M3547">
        <v>20</v>
      </c>
    </row>
    <row r="3548" spans="1:13" x14ac:dyDescent="0.25">
      <c r="A3548" t="s">
        <v>7846</v>
      </c>
      <c r="B3548" t="s">
        <v>7843</v>
      </c>
      <c r="C3548" t="s">
        <v>357</v>
      </c>
      <c r="D3548" t="s">
        <v>358</v>
      </c>
      <c r="F3548">
        <v>1</v>
      </c>
      <c r="G3548" t="s">
        <v>16</v>
      </c>
      <c r="H3548">
        <v>0</v>
      </c>
      <c r="I3548" s="2" t="s">
        <v>3582</v>
      </c>
      <c r="J3548" s="2" t="s">
        <v>7847</v>
      </c>
      <c r="K3548">
        <v>20</v>
      </c>
      <c r="L3548">
        <v>20</v>
      </c>
      <c r="M3548">
        <v>20</v>
      </c>
    </row>
    <row r="3549" spans="1:13" x14ac:dyDescent="0.25">
      <c r="A3549" t="s">
        <v>7848</v>
      </c>
      <c r="B3549" t="s">
        <v>7850</v>
      </c>
      <c r="C3549" t="s">
        <v>20</v>
      </c>
      <c r="F3549">
        <v>1</v>
      </c>
      <c r="G3549" t="s">
        <v>16</v>
      </c>
      <c r="H3549">
        <v>0</v>
      </c>
      <c r="I3549" s="2" t="s">
        <v>765</v>
      </c>
      <c r="J3549" s="2" t="s">
        <v>7849</v>
      </c>
      <c r="K3549">
        <v>20</v>
      </c>
      <c r="L3549">
        <v>20</v>
      </c>
      <c r="M3549">
        <v>20</v>
      </c>
    </row>
    <row r="3550" spans="1:13" x14ac:dyDescent="0.25">
      <c r="A3550" t="s">
        <v>7851</v>
      </c>
      <c r="B3550" t="s">
        <v>7850</v>
      </c>
      <c r="C3550" t="s">
        <v>241</v>
      </c>
      <c r="D3550" t="s">
        <v>242</v>
      </c>
      <c r="F3550">
        <v>1</v>
      </c>
      <c r="G3550" t="s">
        <v>16</v>
      </c>
      <c r="H3550">
        <v>0</v>
      </c>
      <c r="I3550" s="2" t="s">
        <v>238</v>
      </c>
      <c r="J3550" s="2">
        <v>185036</v>
      </c>
      <c r="K3550">
        <v>20</v>
      </c>
      <c r="L3550">
        <v>20</v>
      </c>
      <c r="M3550">
        <v>20</v>
      </c>
    </row>
    <row r="3551" spans="1:13" x14ac:dyDescent="0.25">
      <c r="A3551" t="s">
        <v>7852</v>
      </c>
      <c r="B3551" t="s">
        <v>7850</v>
      </c>
      <c r="C3551" t="s">
        <v>241</v>
      </c>
      <c r="D3551" t="s">
        <v>242</v>
      </c>
      <c r="G3551" t="s">
        <v>16</v>
      </c>
      <c r="H3551">
        <v>0</v>
      </c>
      <c r="K3551">
        <v>20</v>
      </c>
      <c r="L3551">
        <v>20</v>
      </c>
      <c r="M3551">
        <v>20</v>
      </c>
    </row>
    <row r="3552" spans="1:13" x14ac:dyDescent="0.25">
      <c r="A3552" t="s">
        <v>7853</v>
      </c>
      <c r="B3552" t="s">
        <v>7854</v>
      </c>
      <c r="C3552" t="s">
        <v>151</v>
      </c>
      <c r="F3552">
        <v>2</v>
      </c>
      <c r="G3552" t="s">
        <v>16</v>
      </c>
      <c r="H3552">
        <v>0</v>
      </c>
      <c r="I3552" s="2" t="s">
        <v>2114</v>
      </c>
      <c r="J3552" s="2" t="s">
        <v>7855</v>
      </c>
      <c r="K3552">
        <v>20</v>
      </c>
      <c r="L3552">
        <v>20</v>
      </c>
      <c r="M3552">
        <v>20</v>
      </c>
    </row>
    <row r="3553" spans="1:13" x14ac:dyDescent="0.25">
      <c r="A3553">
        <v>25936881</v>
      </c>
      <c r="B3553" t="s">
        <v>7856</v>
      </c>
      <c r="C3553" t="s">
        <v>540</v>
      </c>
      <c r="F3553">
        <v>1</v>
      </c>
      <c r="G3553" t="s">
        <v>16</v>
      </c>
      <c r="H3553">
        <v>0</v>
      </c>
      <c r="I3553" s="2" t="s">
        <v>497</v>
      </c>
      <c r="J3553" s="2">
        <v>25936881</v>
      </c>
      <c r="K3553">
        <v>20</v>
      </c>
      <c r="L3553">
        <v>20</v>
      </c>
      <c r="M3553">
        <v>20</v>
      </c>
    </row>
    <row r="3554" spans="1:13" x14ac:dyDescent="0.25">
      <c r="A3554" t="s">
        <v>7857</v>
      </c>
      <c r="B3554" t="s">
        <v>7858</v>
      </c>
      <c r="C3554" t="s">
        <v>20</v>
      </c>
      <c r="D3554" t="s">
        <v>2477</v>
      </c>
      <c r="F3554">
        <v>1</v>
      </c>
      <c r="G3554" t="s">
        <v>16</v>
      </c>
      <c r="H3554">
        <v>0</v>
      </c>
      <c r="K3554">
        <v>20</v>
      </c>
      <c r="L3554">
        <v>20</v>
      </c>
      <c r="M3554">
        <v>20</v>
      </c>
    </row>
    <row r="3555" spans="1:13" x14ac:dyDescent="0.25">
      <c r="A3555" t="s">
        <v>7859</v>
      </c>
      <c r="B3555" t="s">
        <v>7860</v>
      </c>
      <c r="C3555" t="s">
        <v>1432</v>
      </c>
      <c r="F3555">
        <v>1</v>
      </c>
      <c r="G3555" t="s">
        <v>16</v>
      </c>
      <c r="H3555">
        <v>0</v>
      </c>
      <c r="I3555" s="2" t="s">
        <v>51</v>
      </c>
      <c r="J3555" s="2" t="s">
        <v>7859</v>
      </c>
      <c r="K3555">
        <v>20</v>
      </c>
      <c r="L3555">
        <v>20</v>
      </c>
      <c r="M3555">
        <v>20</v>
      </c>
    </row>
    <row r="3556" spans="1:13" x14ac:dyDescent="0.25">
      <c r="A3556" t="s">
        <v>7861</v>
      </c>
      <c r="B3556" t="s">
        <v>7862</v>
      </c>
      <c r="C3556" t="s">
        <v>540</v>
      </c>
      <c r="F3556">
        <v>1</v>
      </c>
      <c r="G3556" t="s">
        <v>16</v>
      </c>
      <c r="H3556">
        <v>0</v>
      </c>
      <c r="K3556">
        <v>20</v>
      </c>
      <c r="L3556">
        <v>20</v>
      </c>
      <c r="M3556">
        <v>20</v>
      </c>
    </row>
    <row r="3557" spans="1:13" x14ac:dyDescent="0.25">
      <c r="A3557" t="s">
        <v>7863</v>
      </c>
      <c r="B3557" t="s">
        <v>7864</v>
      </c>
      <c r="C3557" t="s">
        <v>151</v>
      </c>
      <c r="D3557" t="s">
        <v>1092</v>
      </c>
      <c r="F3557">
        <v>0</v>
      </c>
      <c r="G3557" t="s">
        <v>16</v>
      </c>
      <c r="H3557">
        <v>0</v>
      </c>
      <c r="I3557" s="2" t="s">
        <v>6682</v>
      </c>
      <c r="J3557" s="2" t="s">
        <v>7865</v>
      </c>
      <c r="K3557">
        <v>20</v>
      </c>
      <c r="L3557">
        <v>20</v>
      </c>
      <c r="M3557">
        <v>20</v>
      </c>
    </row>
    <row r="3558" spans="1:13" x14ac:dyDescent="0.25">
      <c r="A3558" t="s">
        <v>7866</v>
      </c>
      <c r="B3558" t="s">
        <v>7867</v>
      </c>
      <c r="C3558" t="s">
        <v>14</v>
      </c>
      <c r="D3558" t="s">
        <v>15</v>
      </c>
      <c r="F3558">
        <v>1</v>
      </c>
      <c r="G3558" t="s">
        <v>16</v>
      </c>
      <c r="H3558">
        <v>0</v>
      </c>
      <c r="I3558" s="2" t="s">
        <v>64</v>
      </c>
      <c r="J3558" s="2" t="str">
        <f>"06040397"</f>
        <v>06040397</v>
      </c>
      <c r="K3558">
        <v>20</v>
      </c>
      <c r="L3558">
        <v>20</v>
      </c>
      <c r="M3558">
        <v>20</v>
      </c>
    </row>
    <row r="3559" spans="1:13" x14ac:dyDescent="0.25">
      <c r="A3559" t="s">
        <v>7868</v>
      </c>
      <c r="B3559" t="s">
        <v>7869</v>
      </c>
      <c r="C3559" t="s">
        <v>496</v>
      </c>
      <c r="G3559" t="s">
        <v>16</v>
      </c>
      <c r="H3559">
        <v>0</v>
      </c>
      <c r="I3559" s="2" t="s">
        <v>545</v>
      </c>
      <c r="J3559" s="2" t="s">
        <v>7870</v>
      </c>
      <c r="K3559">
        <v>20</v>
      </c>
      <c r="L3559">
        <v>20</v>
      </c>
      <c r="M3559">
        <v>20</v>
      </c>
    </row>
    <row r="3560" spans="1:13" x14ac:dyDescent="0.25">
      <c r="A3560" t="s">
        <v>7871</v>
      </c>
      <c r="B3560" t="s">
        <v>7872</v>
      </c>
      <c r="C3560" t="s">
        <v>496</v>
      </c>
      <c r="D3560" t="s">
        <v>2360</v>
      </c>
      <c r="G3560" t="s">
        <v>16</v>
      </c>
      <c r="H3560">
        <v>0</v>
      </c>
      <c r="I3560" s="2" t="b">
        <v>1</v>
      </c>
      <c r="J3560" s="2" t="s">
        <v>7873</v>
      </c>
      <c r="K3560">
        <v>20</v>
      </c>
      <c r="L3560">
        <v>20</v>
      </c>
      <c r="M3560">
        <v>20</v>
      </c>
    </row>
    <row r="3561" spans="1:13" x14ac:dyDescent="0.25">
      <c r="A3561" t="s">
        <v>7874</v>
      </c>
      <c r="B3561" t="s">
        <v>7872</v>
      </c>
      <c r="C3561" t="s">
        <v>496</v>
      </c>
      <c r="D3561" t="s">
        <v>2360</v>
      </c>
      <c r="F3561">
        <v>4</v>
      </c>
      <c r="G3561" t="s">
        <v>16</v>
      </c>
      <c r="H3561">
        <v>0</v>
      </c>
      <c r="I3561" s="2" t="s">
        <v>64</v>
      </c>
      <c r="J3561" s="2">
        <v>10050133</v>
      </c>
      <c r="K3561">
        <v>20</v>
      </c>
      <c r="L3561">
        <v>20</v>
      </c>
      <c r="M3561">
        <v>20</v>
      </c>
    </row>
    <row r="3562" spans="1:13" x14ac:dyDescent="0.25">
      <c r="A3562" t="s">
        <v>7875</v>
      </c>
      <c r="B3562" t="s">
        <v>7872</v>
      </c>
      <c r="C3562" t="s">
        <v>496</v>
      </c>
      <c r="F3562">
        <v>6</v>
      </c>
      <c r="G3562" t="s">
        <v>16</v>
      </c>
      <c r="H3562">
        <v>0</v>
      </c>
      <c r="I3562" s="2" t="s">
        <v>737</v>
      </c>
      <c r="J3562" s="2" t="s">
        <v>7876</v>
      </c>
      <c r="K3562">
        <v>20</v>
      </c>
      <c r="L3562">
        <v>20</v>
      </c>
      <c r="M3562">
        <v>20</v>
      </c>
    </row>
    <row r="3563" spans="1:13" x14ac:dyDescent="0.25">
      <c r="A3563" t="s">
        <v>7877</v>
      </c>
      <c r="B3563" t="s">
        <v>7878</v>
      </c>
      <c r="C3563" t="s">
        <v>496</v>
      </c>
      <c r="D3563" t="s">
        <v>2360</v>
      </c>
      <c r="F3563">
        <v>10</v>
      </c>
      <c r="G3563" t="s">
        <v>16</v>
      </c>
      <c r="H3563">
        <v>0</v>
      </c>
      <c r="I3563" s="2" t="b">
        <v>1</v>
      </c>
      <c r="J3563" s="2" t="s">
        <v>7879</v>
      </c>
      <c r="K3563">
        <v>20</v>
      </c>
      <c r="L3563">
        <v>20</v>
      </c>
      <c r="M3563">
        <v>20</v>
      </c>
    </row>
    <row r="3564" spans="1:13" x14ac:dyDescent="0.25">
      <c r="A3564" t="s">
        <v>7880</v>
      </c>
      <c r="B3564" t="s">
        <v>7881</v>
      </c>
      <c r="C3564" t="s">
        <v>362</v>
      </c>
      <c r="D3564" t="s">
        <v>4091</v>
      </c>
      <c r="F3564">
        <v>1</v>
      </c>
      <c r="G3564" t="s">
        <v>16</v>
      </c>
      <c r="H3564">
        <v>0</v>
      </c>
      <c r="I3564" s="2" t="s">
        <v>383</v>
      </c>
      <c r="J3564" s="2" t="str">
        <f>"0986494213"</f>
        <v>0986494213</v>
      </c>
      <c r="K3564">
        <v>20</v>
      </c>
      <c r="L3564">
        <v>20</v>
      </c>
      <c r="M3564">
        <v>20</v>
      </c>
    </row>
    <row r="3565" spans="1:13" x14ac:dyDescent="0.25">
      <c r="A3565" t="s">
        <v>7882</v>
      </c>
      <c r="B3565" t="s">
        <v>7883</v>
      </c>
      <c r="C3565" t="s">
        <v>20</v>
      </c>
      <c r="D3565" t="s">
        <v>21</v>
      </c>
      <c r="G3565" t="s">
        <v>16</v>
      </c>
      <c r="H3565">
        <v>0</v>
      </c>
      <c r="I3565" s="2" t="s">
        <v>354</v>
      </c>
      <c r="J3565" s="2" t="s">
        <v>7884</v>
      </c>
      <c r="K3565">
        <v>20</v>
      </c>
      <c r="L3565">
        <v>20</v>
      </c>
      <c r="M3565">
        <v>20</v>
      </c>
    </row>
    <row r="3566" spans="1:13" x14ac:dyDescent="0.25">
      <c r="A3566" t="s">
        <v>7885</v>
      </c>
      <c r="B3566" t="s">
        <v>7886</v>
      </c>
      <c r="C3566" t="s">
        <v>20</v>
      </c>
      <c r="D3566" t="s">
        <v>26</v>
      </c>
      <c r="G3566" t="s">
        <v>16</v>
      </c>
      <c r="H3566">
        <v>0</v>
      </c>
      <c r="I3566" s="2" t="s">
        <v>2831</v>
      </c>
      <c r="J3566" s="2" t="s">
        <v>7885</v>
      </c>
      <c r="K3566">
        <v>20</v>
      </c>
      <c r="L3566">
        <v>20</v>
      </c>
      <c r="M3566">
        <v>20</v>
      </c>
    </row>
    <row r="3567" spans="1:13" x14ac:dyDescent="0.25">
      <c r="A3567" t="s">
        <v>7887</v>
      </c>
      <c r="B3567" t="s">
        <v>7888</v>
      </c>
      <c r="C3567" t="s">
        <v>496</v>
      </c>
      <c r="D3567" t="s">
        <v>4083</v>
      </c>
      <c r="G3567" t="s">
        <v>16</v>
      </c>
      <c r="H3567">
        <v>0</v>
      </c>
      <c r="I3567" s="2" t="s">
        <v>7889</v>
      </c>
      <c r="J3567" s="2">
        <v>1213273</v>
      </c>
      <c r="K3567">
        <v>20</v>
      </c>
      <c r="L3567">
        <v>20</v>
      </c>
      <c r="M3567">
        <v>20</v>
      </c>
    </row>
    <row r="3568" spans="1:13" x14ac:dyDescent="0.25">
      <c r="A3568" t="s">
        <v>7890</v>
      </c>
      <c r="B3568" t="s">
        <v>7888</v>
      </c>
      <c r="C3568" t="s">
        <v>1432</v>
      </c>
      <c r="F3568">
        <v>5</v>
      </c>
      <c r="G3568" t="s">
        <v>16</v>
      </c>
      <c r="H3568">
        <v>0</v>
      </c>
      <c r="I3568" s="2" t="s">
        <v>57</v>
      </c>
      <c r="J3568" s="2" t="str">
        <f>"047872-P"</f>
        <v>047872-P</v>
      </c>
      <c r="K3568">
        <v>20</v>
      </c>
      <c r="L3568">
        <v>20</v>
      </c>
      <c r="M3568">
        <v>20</v>
      </c>
    </row>
    <row r="3569" spans="1:13" x14ac:dyDescent="0.25">
      <c r="A3569" t="s">
        <v>7891</v>
      </c>
      <c r="B3569" t="s">
        <v>7892</v>
      </c>
      <c r="C3569" t="s">
        <v>1432</v>
      </c>
      <c r="F3569">
        <v>1</v>
      </c>
      <c r="G3569" t="s">
        <v>16</v>
      </c>
      <c r="H3569">
        <v>0</v>
      </c>
      <c r="I3569" s="2" t="s">
        <v>209</v>
      </c>
      <c r="J3569" s="2" t="str">
        <f>"046234-V"</f>
        <v>046234-V</v>
      </c>
      <c r="K3569">
        <v>20</v>
      </c>
      <c r="L3569">
        <v>20</v>
      </c>
      <c r="M3569">
        <v>20</v>
      </c>
    </row>
    <row r="3570" spans="1:13" x14ac:dyDescent="0.25">
      <c r="A3570" t="s">
        <v>7893</v>
      </c>
      <c r="B3570" t="s">
        <v>7894</v>
      </c>
      <c r="C3570" t="s">
        <v>20</v>
      </c>
      <c r="D3570" t="s">
        <v>26</v>
      </c>
      <c r="F3570">
        <v>2</v>
      </c>
      <c r="G3570" t="s">
        <v>16</v>
      </c>
      <c r="H3570">
        <v>0</v>
      </c>
      <c r="I3570" s="2" t="s">
        <v>305</v>
      </c>
      <c r="J3570" s="2" t="s">
        <v>7895</v>
      </c>
      <c r="K3570">
        <v>20</v>
      </c>
      <c r="L3570">
        <v>20</v>
      </c>
      <c r="M3570">
        <v>20</v>
      </c>
    </row>
    <row r="3571" spans="1:13" x14ac:dyDescent="0.25">
      <c r="A3571" t="s">
        <v>7896</v>
      </c>
      <c r="B3571" t="s">
        <v>7897</v>
      </c>
      <c r="C3571" t="s">
        <v>1432</v>
      </c>
      <c r="F3571">
        <v>1</v>
      </c>
      <c r="G3571" t="s">
        <v>16</v>
      </c>
      <c r="H3571">
        <v>0</v>
      </c>
      <c r="I3571" s="2" t="s">
        <v>73</v>
      </c>
      <c r="J3571" s="2">
        <v>82020137</v>
      </c>
      <c r="K3571">
        <v>20</v>
      </c>
      <c r="L3571">
        <v>20</v>
      </c>
      <c r="M3571">
        <v>20</v>
      </c>
    </row>
    <row r="3572" spans="1:13" x14ac:dyDescent="0.25">
      <c r="A3572" t="s">
        <v>7898</v>
      </c>
      <c r="B3572" t="s">
        <v>7894</v>
      </c>
      <c r="C3572" t="s">
        <v>1432</v>
      </c>
      <c r="F3572">
        <v>4</v>
      </c>
      <c r="G3572" t="s">
        <v>16</v>
      </c>
      <c r="H3572">
        <v>0</v>
      </c>
      <c r="I3572" s="2" t="s">
        <v>57</v>
      </c>
      <c r="J3572" s="2" t="str">
        <f>"046123-VP"</f>
        <v>046123-VP</v>
      </c>
      <c r="K3572">
        <v>20</v>
      </c>
      <c r="L3572">
        <v>20</v>
      </c>
      <c r="M3572">
        <v>20</v>
      </c>
    </row>
    <row r="3573" spans="1:13" x14ac:dyDescent="0.25">
      <c r="A3573" t="s">
        <v>7899</v>
      </c>
      <c r="B3573" t="s">
        <v>7900</v>
      </c>
      <c r="C3573" t="s">
        <v>1432</v>
      </c>
      <c r="F3573">
        <v>5</v>
      </c>
      <c r="G3573" t="s">
        <v>16</v>
      </c>
      <c r="H3573">
        <v>0</v>
      </c>
      <c r="I3573" s="2" t="s">
        <v>57</v>
      </c>
      <c r="J3573" s="2" t="str">
        <f>"041276-PF"</f>
        <v>041276-PF</v>
      </c>
      <c r="K3573">
        <v>20</v>
      </c>
      <c r="L3573">
        <v>20</v>
      </c>
      <c r="M3573">
        <v>20</v>
      </c>
    </row>
    <row r="3574" spans="1:13" x14ac:dyDescent="0.25">
      <c r="A3574" t="s">
        <v>7901</v>
      </c>
      <c r="B3574" t="s">
        <v>7902</v>
      </c>
      <c r="C3574" t="s">
        <v>496</v>
      </c>
      <c r="D3574" t="s">
        <v>4083</v>
      </c>
      <c r="F3574">
        <v>1</v>
      </c>
      <c r="G3574" t="s">
        <v>16</v>
      </c>
      <c r="H3574">
        <v>0</v>
      </c>
      <c r="I3574" s="2" t="s">
        <v>57</v>
      </c>
      <c r="J3574" s="2" t="str">
        <f>"040883-P"</f>
        <v>040883-P</v>
      </c>
      <c r="K3574">
        <v>20</v>
      </c>
      <c r="L3574">
        <v>20</v>
      </c>
      <c r="M3574">
        <v>20</v>
      </c>
    </row>
    <row r="3575" spans="1:13" x14ac:dyDescent="0.25">
      <c r="A3575" t="s">
        <v>7903</v>
      </c>
      <c r="B3575" t="s">
        <v>7900</v>
      </c>
      <c r="C3575" t="s">
        <v>496</v>
      </c>
      <c r="D3575" t="s">
        <v>4083</v>
      </c>
      <c r="F3575">
        <v>2</v>
      </c>
      <c r="G3575" t="s">
        <v>16</v>
      </c>
      <c r="H3575">
        <v>0</v>
      </c>
      <c r="I3575" s="2" t="s">
        <v>165</v>
      </c>
      <c r="J3575" s="2">
        <v>722334</v>
      </c>
      <c r="K3575">
        <v>20</v>
      </c>
      <c r="L3575">
        <v>20</v>
      </c>
      <c r="M3575">
        <v>20</v>
      </c>
    </row>
    <row r="3576" spans="1:13" x14ac:dyDescent="0.25">
      <c r="A3576" t="s">
        <v>7904</v>
      </c>
      <c r="B3576" t="s">
        <v>7905</v>
      </c>
      <c r="C3576" t="s">
        <v>1432</v>
      </c>
      <c r="G3576" t="s">
        <v>16</v>
      </c>
      <c r="H3576">
        <v>0</v>
      </c>
      <c r="I3576" s="2" t="s">
        <v>209</v>
      </c>
      <c r="J3576" s="2" t="s">
        <v>7906</v>
      </c>
      <c r="K3576">
        <v>20</v>
      </c>
      <c r="L3576">
        <v>20</v>
      </c>
      <c r="M3576">
        <v>20</v>
      </c>
    </row>
    <row r="3577" spans="1:13" x14ac:dyDescent="0.25">
      <c r="A3577" t="s">
        <v>7907</v>
      </c>
      <c r="B3577" t="s">
        <v>7897</v>
      </c>
      <c r="C3577" t="s">
        <v>1432</v>
      </c>
      <c r="F3577">
        <v>1</v>
      </c>
      <c r="G3577" t="s">
        <v>16</v>
      </c>
      <c r="H3577">
        <v>0</v>
      </c>
      <c r="I3577" s="2" t="s">
        <v>57</v>
      </c>
      <c r="J3577" s="2" t="str">
        <f>"046240-VAE"</f>
        <v>046240-VAE</v>
      </c>
      <c r="K3577">
        <v>20</v>
      </c>
      <c r="L3577">
        <v>20</v>
      </c>
      <c r="M3577">
        <v>20</v>
      </c>
    </row>
    <row r="3578" spans="1:13" x14ac:dyDescent="0.25">
      <c r="A3578" t="s">
        <v>7908</v>
      </c>
      <c r="B3578" t="s">
        <v>7909</v>
      </c>
      <c r="C3578" t="s">
        <v>496</v>
      </c>
      <c r="D3578" t="s">
        <v>2360</v>
      </c>
      <c r="G3578" t="s">
        <v>16</v>
      </c>
      <c r="H3578">
        <v>0</v>
      </c>
      <c r="I3578" s="2" t="s">
        <v>64</v>
      </c>
      <c r="J3578" s="2">
        <v>15020231</v>
      </c>
      <c r="K3578">
        <v>20</v>
      </c>
      <c r="L3578">
        <v>20</v>
      </c>
      <c r="M3578">
        <v>20</v>
      </c>
    </row>
    <row r="3579" spans="1:13" x14ac:dyDescent="0.25">
      <c r="A3579" t="s">
        <v>7910</v>
      </c>
      <c r="B3579" t="s">
        <v>7909</v>
      </c>
      <c r="C3579" t="s">
        <v>496</v>
      </c>
      <c r="D3579" t="s">
        <v>2360</v>
      </c>
      <c r="G3579" t="s">
        <v>16</v>
      </c>
      <c r="H3579">
        <v>0</v>
      </c>
      <c r="I3579" s="2" t="s">
        <v>1994</v>
      </c>
      <c r="J3579" s="2" t="s">
        <v>7911</v>
      </c>
      <c r="K3579">
        <v>20</v>
      </c>
      <c r="L3579">
        <v>20</v>
      </c>
      <c r="M3579">
        <v>20</v>
      </c>
    </row>
    <row r="3580" spans="1:13" x14ac:dyDescent="0.25">
      <c r="A3580" t="s">
        <v>7912</v>
      </c>
      <c r="B3580" t="s">
        <v>7913</v>
      </c>
      <c r="C3580" t="s">
        <v>496</v>
      </c>
      <c r="D3580" t="s">
        <v>2360</v>
      </c>
      <c r="G3580" t="s">
        <v>16</v>
      </c>
      <c r="H3580">
        <v>0</v>
      </c>
      <c r="I3580" s="2" t="s">
        <v>288</v>
      </c>
      <c r="J3580" s="2" t="s">
        <v>7914</v>
      </c>
      <c r="K3580">
        <v>20</v>
      </c>
      <c r="L3580">
        <v>20</v>
      </c>
      <c r="M3580">
        <v>20</v>
      </c>
    </row>
    <row r="3581" spans="1:13" x14ac:dyDescent="0.25">
      <c r="A3581" t="s">
        <v>7915</v>
      </c>
      <c r="B3581" t="s">
        <v>7916</v>
      </c>
      <c r="C3581" t="s">
        <v>496</v>
      </c>
      <c r="D3581" t="s">
        <v>2360</v>
      </c>
      <c r="F3581">
        <v>2</v>
      </c>
      <c r="G3581" t="s">
        <v>16</v>
      </c>
      <c r="H3581">
        <v>0</v>
      </c>
      <c r="I3581" s="2" t="s">
        <v>64</v>
      </c>
      <c r="J3581" s="2">
        <v>15020070</v>
      </c>
      <c r="K3581">
        <v>20</v>
      </c>
      <c r="L3581">
        <v>20</v>
      </c>
      <c r="M3581">
        <v>20</v>
      </c>
    </row>
    <row r="3582" spans="1:13" x14ac:dyDescent="0.25">
      <c r="A3582" t="s">
        <v>7917</v>
      </c>
      <c r="B3582" t="s">
        <v>7919</v>
      </c>
      <c r="C3582" t="s">
        <v>496</v>
      </c>
      <c r="D3582" t="s">
        <v>2360</v>
      </c>
      <c r="F3582">
        <v>2</v>
      </c>
      <c r="G3582" t="s">
        <v>16</v>
      </c>
      <c r="H3582">
        <v>0</v>
      </c>
      <c r="I3582" s="2" t="s">
        <v>288</v>
      </c>
      <c r="J3582" s="2" t="s">
        <v>7918</v>
      </c>
      <c r="K3582">
        <v>20</v>
      </c>
      <c r="L3582">
        <v>20</v>
      </c>
      <c r="M3582">
        <v>20</v>
      </c>
    </row>
    <row r="3583" spans="1:13" x14ac:dyDescent="0.25">
      <c r="A3583" t="s">
        <v>7920</v>
      </c>
      <c r="B3583" t="s">
        <v>7921</v>
      </c>
      <c r="C3583" t="s">
        <v>496</v>
      </c>
      <c r="D3583" t="s">
        <v>2360</v>
      </c>
      <c r="G3583" t="s">
        <v>16</v>
      </c>
      <c r="H3583">
        <v>0</v>
      </c>
      <c r="I3583" s="2" t="s">
        <v>7922</v>
      </c>
      <c r="J3583" s="3">
        <v>3781233001</v>
      </c>
      <c r="K3583">
        <v>20</v>
      </c>
      <c r="L3583">
        <v>20</v>
      </c>
      <c r="M3583">
        <v>20</v>
      </c>
    </row>
    <row r="3584" spans="1:13" x14ac:dyDescent="0.25">
      <c r="A3584" t="s">
        <v>7923</v>
      </c>
      <c r="B3584" t="s">
        <v>7924</v>
      </c>
      <c r="C3584" t="s">
        <v>496</v>
      </c>
      <c r="D3584" t="s">
        <v>2360</v>
      </c>
      <c r="G3584" t="s">
        <v>16</v>
      </c>
      <c r="H3584">
        <v>0</v>
      </c>
      <c r="I3584" s="2" t="s">
        <v>288</v>
      </c>
      <c r="J3584" s="2" t="s">
        <v>7925</v>
      </c>
      <c r="K3584">
        <v>20</v>
      </c>
      <c r="L3584">
        <v>20</v>
      </c>
      <c r="M3584">
        <v>20</v>
      </c>
    </row>
    <row r="3585" spans="1:13" x14ac:dyDescent="0.25">
      <c r="A3585" t="s">
        <v>7926</v>
      </c>
      <c r="B3585" t="s">
        <v>7927</v>
      </c>
      <c r="C3585" t="s">
        <v>1736</v>
      </c>
      <c r="F3585">
        <v>1</v>
      </c>
      <c r="G3585" t="s">
        <v>16</v>
      </c>
      <c r="H3585">
        <v>0</v>
      </c>
      <c r="I3585" s="2" t="s">
        <v>1748</v>
      </c>
      <c r="J3585" s="2" t="s">
        <v>7928</v>
      </c>
      <c r="K3585">
        <v>20</v>
      </c>
      <c r="L3585">
        <v>20</v>
      </c>
      <c r="M3585">
        <v>20</v>
      </c>
    </row>
    <row r="3586" spans="1:13" x14ac:dyDescent="0.25">
      <c r="A3586" t="s">
        <v>7929</v>
      </c>
      <c r="B3586" t="s">
        <v>7930</v>
      </c>
      <c r="C3586" t="s">
        <v>2493</v>
      </c>
      <c r="D3586" t="s">
        <v>2360</v>
      </c>
      <c r="G3586" t="s">
        <v>16</v>
      </c>
      <c r="H3586">
        <v>0</v>
      </c>
      <c r="I3586" s="2" t="b">
        <v>1</v>
      </c>
      <c r="J3586" s="2" t="s">
        <v>7931</v>
      </c>
      <c r="K3586">
        <v>20</v>
      </c>
      <c r="L3586">
        <v>20</v>
      </c>
      <c r="M3586">
        <v>20</v>
      </c>
    </row>
    <row r="3587" spans="1:13" x14ac:dyDescent="0.25">
      <c r="A3587" t="s">
        <v>7932</v>
      </c>
      <c r="B3587" t="s">
        <v>7933</v>
      </c>
      <c r="C3587" t="s">
        <v>2493</v>
      </c>
      <c r="F3587">
        <v>2</v>
      </c>
      <c r="G3587" t="s">
        <v>16</v>
      </c>
      <c r="H3587">
        <v>0</v>
      </c>
      <c r="I3587" s="2" t="s">
        <v>5085</v>
      </c>
      <c r="J3587" s="2" t="s">
        <v>7934</v>
      </c>
      <c r="K3587">
        <v>20</v>
      </c>
      <c r="L3587">
        <v>20</v>
      </c>
      <c r="M3587">
        <v>20</v>
      </c>
    </row>
    <row r="3588" spans="1:13" x14ac:dyDescent="0.25">
      <c r="A3588" t="s">
        <v>7935</v>
      </c>
      <c r="B3588" t="s">
        <v>7936</v>
      </c>
      <c r="C3588" t="s">
        <v>496</v>
      </c>
      <c r="D3588" t="s">
        <v>2360</v>
      </c>
      <c r="F3588">
        <v>0</v>
      </c>
      <c r="G3588" t="s">
        <v>16</v>
      </c>
      <c r="H3588">
        <v>0</v>
      </c>
      <c r="I3588" s="2" t="s">
        <v>3286</v>
      </c>
      <c r="J3588" s="2" t="s">
        <v>7937</v>
      </c>
      <c r="K3588">
        <v>20</v>
      </c>
      <c r="L3588">
        <v>20</v>
      </c>
      <c r="M3588">
        <v>20</v>
      </c>
    </row>
    <row r="3589" spans="1:13" x14ac:dyDescent="0.25">
      <c r="A3589" t="s">
        <v>7938</v>
      </c>
      <c r="B3589" t="s">
        <v>7936</v>
      </c>
      <c r="C3589" t="s">
        <v>496</v>
      </c>
      <c r="D3589" t="s">
        <v>2360</v>
      </c>
      <c r="F3589">
        <v>17</v>
      </c>
      <c r="G3589" t="s">
        <v>16</v>
      </c>
      <c r="H3589">
        <v>0</v>
      </c>
      <c r="I3589" s="2" t="s">
        <v>7939</v>
      </c>
      <c r="J3589" s="2">
        <v>814002510</v>
      </c>
      <c r="K3589">
        <v>20</v>
      </c>
      <c r="L3589">
        <v>20</v>
      </c>
      <c r="M3589">
        <v>20</v>
      </c>
    </row>
    <row r="3590" spans="1:13" x14ac:dyDescent="0.25">
      <c r="A3590" t="s">
        <v>7940</v>
      </c>
      <c r="B3590" t="s">
        <v>7936</v>
      </c>
      <c r="C3590" t="s">
        <v>496</v>
      </c>
      <c r="D3590" t="s">
        <v>2360</v>
      </c>
      <c r="F3590">
        <v>0</v>
      </c>
      <c r="G3590" t="s">
        <v>16</v>
      </c>
      <c r="H3590">
        <v>0</v>
      </c>
      <c r="I3590" s="2" t="s">
        <v>238</v>
      </c>
      <c r="J3590" s="2">
        <v>26929</v>
      </c>
      <c r="K3590">
        <v>20</v>
      </c>
      <c r="L3590">
        <v>20</v>
      </c>
      <c r="M3590">
        <v>20</v>
      </c>
    </row>
    <row r="3591" spans="1:13" x14ac:dyDescent="0.25">
      <c r="A3591" t="s">
        <v>7941</v>
      </c>
      <c r="B3591" t="s">
        <v>7936</v>
      </c>
      <c r="C3591" t="s">
        <v>496</v>
      </c>
      <c r="D3591" t="s">
        <v>2360</v>
      </c>
      <c r="G3591" t="s">
        <v>16</v>
      </c>
      <c r="H3591">
        <v>0</v>
      </c>
      <c r="I3591" s="2" t="s">
        <v>64</v>
      </c>
      <c r="J3591" s="2">
        <v>10010236</v>
      </c>
      <c r="K3591">
        <v>20</v>
      </c>
      <c r="L3591">
        <v>20</v>
      </c>
      <c r="M3591">
        <v>20</v>
      </c>
    </row>
    <row r="3592" spans="1:13" x14ac:dyDescent="0.25">
      <c r="A3592" t="s">
        <v>7942</v>
      </c>
      <c r="B3592" t="s">
        <v>7936</v>
      </c>
      <c r="C3592" t="s">
        <v>496</v>
      </c>
      <c r="D3592" t="s">
        <v>2360</v>
      </c>
      <c r="F3592">
        <v>0</v>
      </c>
      <c r="G3592" t="s">
        <v>16</v>
      </c>
      <c r="H3592">
        <v>0</v>
      </c>
      <c r="I3592" s="2" t="s">
        <v>245</v>
      </c>
      <c r="J3592" s="2" t="s">
        <v>7943</v>
      </c>
      <c r="K3592">
        <v>20</v>
      </c>
      <c r="L3592">
        <v>20</v>
      </c>
      <c r="M3592">
        <v>20</v>
      </c>
    </row>
    <row r="3593" spans="1:13" x14ac:dyDescent="0.25">
      <c r="A3593" t="s">
        <v>7944</v>
      </c>
      <c r="B3593" t="s">
        <v>7936</v>
      </c>
      <c r="C3593" t="s">
        <v>496</v>
      </c>
      <c r="D3593" t="s">
        <v>2360</v>
      </c>
      <c r="F3593">
        <v>0</v>
      </c>
      <c r="G3593" t="s">
        <v>16</v>
      </c>
      <c r="H3593">
        <v>0</v>
      </c>
      <c r="I3593" s="2" t="s">
        <v>408</v>
      </c>
      <c r="J3593" s="2" t="s">
        <v>7945</v>
      </c>
      <c r="K3593">
        <v>20</v>
      </c>
      <c r="L3593">
        <v>20</v>
      </c>
      <c r="M3593">
        <v>20</v>
      </c>
    </row>
    <row r="3594" spans="1:13" x14ac:dyDescent="0.25">
      <c r="A3594" t="s">
        <v>7946</v>
      </c>
      <c r="B3594" t="s">
        <v>7936</v>
      </c>
      <c r="C3594" t="s">
        <v>496</v>
      </c>
      <c r="D3594" t="s">
        <v>2360</v>
      </c>
      <c r="G3594" t="s">
        <v>16</v>
      </c>
      <c r="H3594">
        <v>0</v>
      </c>
      <c r="I3594" s="2" t="s">
        <v>486</v>
      </c>
      <c r="J3594" s="2">
        <v>40926929</v>
      </c>
      <c r="K3594">
        <v>20</v>
      </c>
      <c r="L3594">
        <v>20</v>
      </c>
      <c r="M3594">
        <v>20</v>
      </c>
    </row>
    <row r="3595" spans="1:13" x14ac:dyDescent="0.25">
      <c r="A3595">
        <v>312585</v>
      </c>
      <c r="B3595" t="s">
        <v>7947</v>
      </c>
      <c r="C3595" t="s">
        <v>496</v>
      </c>
      <c r="D3595" t="s">
        <v>2360</v>
      </c>
      <c r="F3595">
        <v>2</v>
      </c>
      <c r="G3595" t="s">
        <v>16</v>
      </c>
      <c r="H3595">
        <v>0</v>
      </c>
      <c r="I3595" s="2" t="s">
        <v>1444</v>
      </c>
      <c r="J3595" s="2">
        <v>22871864</v>
      </c>
      <c r="K3595">
        <v>20</v>
      </c>
      <c r="L3595">
        <v>20</v>
      </c>
      <c r="M3595">
        <v>20</v>
      </c>
    </row>
    <row r="3596" spans="1:13" x14ac:dyDescent="0.25">
      <c r="A3596" t="s">
        <v>7948</v>
      </c>
      <c r="B3596" t="s">
        <v>7949</v>
      </c>
      <c r="C3596" t="s">
        <v>496</v>
      </c>
      <c r="D3596" t="s">
        <v>2360</v>
      </c>
      <c r="G3596" t="s">
        <v>16</v>
      </c>
      <c r="H3596">
        <v>0</v>
      </c>
      <c r="I3596" s="2" t="s">
        <v>7950</v>
      </c>
      <c r="J3596" s="2" t="s">
        <v>7951</v>
      </c>
      <c r="K3596">
        <v>20</v>
      </c>
      <c r="L3596">
        <v>20</v>
      </c>
      <c r="M3596">
        <v>20</v>
      </c>
    </row>
    <row r="3597" spans="1:13" x14ac:dyDescent="0.25">
      <c r="A3597" t="s">
        <v>7952</v>
      </c>
      <c r="B3597" t="s">
        <v>7953</v>
      </c>
      <c r="C3597" t="s">
        <v>496</v>
      </c>
      <c r="D3597" t="s">
        <v>2360</v>
      </c>
      <c r="G3597" t="s">
        <v>16</v>
      </c>
      <c r="H3597">
        <v>0</v>
      </c>
      <c r="I3597" s="2" t="s">
        <v>5688</v>
      </c>
      <c r="J3597" s="2">
        <v>993861</v>
      </c>
      <c r="K3597">
        <v>20</v>
      </c>
      <c r="L3597">
        <v>20</v>
      </c>
      <c r="M3597">
        <v>20</v>
      </c>
    </row>
    <row r="3598" spans="1:13" x14ac:dyDescent="0.25">
      <c r="A3598" t="s">
        <v>7954</v>
      </c>
      <c r="B3598" t="s">
        <v>7955</v>
      </c>
      <c r="C3598" t="s">
        <v>496</v>
      </c>
      <c r="D3598" t="s">
        <v>2360</v>
      </c>
      <c r="F3598">
        <v>2</v>
      </c>
      <c r="G3598" t="s">
        <v>16</v>
      </c>
      <c r="H3598">
        <v>0</v>
      </c>
      <c r="I3598" s="2" t="s">
        <v>64</v>
      </c>
      <c r="J3598" s="2">
        <v>15020317</v>
      </c>
      <c r="K3598">
        <v>20</v>
      </c>
      <c r="L3598">
        <v>20</v>
      </c>
      <c r="M3598">
        <v>20</v>
      </c>
    </row>
    <row r="3599" spans="1:13" x14ac:dyDescent="0.25">
      <c r="A3599" t="s">
        <v>7956</v>
      </c>
      <c r="B3599" t="s">
        <v>7958</v>
      </c>
      <c r="C3599" t="s">
        <v>496</v>
      </c>
      <c r="D3599" t="s">
        <v>2360</v>
      </c>
      <c r="F3599">
        <v>2</v>
      </c>
      <c r="G3599" t="s">
        <v>16</v>
      </c>
      <c r="H3599">
        <v>0</v>
      </c>
      <c r="I3599" s="2" t="s">
        <v>288</v>
      </c>
      <c r="J3599" s="2" t="s">
        <v>7957</v>
      </c>
      <c r="K3599">
        <v>20</v>
      </c>
      <c r="L3599">
        <v>20</v>
      </c>
      <c r="M3599">
        <v>20</v>
      </c>
    </row>
    <row r="3600" spans="1:13" x14ac:dyDescent="0.25">
      <c r="A3600" t="s">
        <v>7959</v>
      </c>
      <c r="B3600" t="s">
        <v>7961</v>
      </c>
      <c r="C3600" t="s">
        <v>496</v>
      </c>
      <c r="D3600" t="s">
        <v>2360</v>
      </c>
      <c r="F3600">
        <v>2</v>
      </c>
      <c r="G3600" t="s">
        <v>16</v>
      </c>
      <c r="H3600">
        <v>0</v>
      </c>
      <c r="I3600" s="2" t="s">
        <v>288</v>
      </c>
      <c r="J3600" s="2" t="s">
        <v>7960</v>
      </c>
      <c r="K3600">
        <v>20</v>
      </c>
      <c r="L3600">
        <v>20</v>
      </c>
      <c r="M3600">
        <v>20</v>
      </c>
    </row>
    <row r="3601" spans="1:13" x14ac:dyDescent="0.25">
      <c r="A3601" t="s">
        <v>7962</v>
      </c>
      <c r="B3601" t="s">
        <v>7964</v>
      </c>
      <c r="C3601" t="s">
        <v>496</v>
      </c>
      <c r="D3601" t="s">
        <v>2360</v>
      </c>
      <c r="F3601">
        <v>4</v>
      </c>
      <c r="G3601" t="s">
        <v>16</v>
      </c>
      <c r="H3601">
        <v>0</v>
      </c>
      <c r="I3601" s="2" t="s">
        <v>288</v>
      </c>
      <c r="J3601" s="2" t="s">
        <v>7963</v>
      </c>
      <c r="K3601">
        <v>20</v>
      </c>
      <c r="L3601">
        <v>20</v>
      </c>
      <c r="M3601">
        <v>20</v>
      </c>
    </row>
    <row r="3602" spans="1:13" x14ac:dyDescent="0.25">
      <c r="A3602" t="s">
        <v>7965</v>
      </c>
      <c r="B3602" t="s">
        <v>7966</v>
      </c>
      <c r="C3602" t="s">
        <v>496</v>
      </c>
      <c r="D3602" t="s">
        <v>2360</v>
      </c>
      <c r="F3602">
        <v>2</v>
      </c>
      <c r="G3602" t="s">
        <v>16</v>
      </c>
      <c r="H3602">
        <v>0</v>
      </c>
      <c r="I3602" s="2" t="s">
        <v>4214</v>
      </c>
      <c r="J3602" s="2" t="s">
        <v>7967</v>
      </c>
      <c r="K3602">
        <v>20</v>
      </c>
      <c r="L3602">
        <v>20</v>
      </c>
      <c r="M3602">
        <v>20</v>
      </c>
    </row>
    <row r="3603" spans="1:13" x14ac:dyDescent="0.25">
      <c r="A3603" t="s">
        <v>7968</v>
      </c>
      <c r="B3603" t="s">
        <v>7969</v>
      </c>
      <c r="C3603" t="s">
        <v>362</v>
      </c>
      <c r="D3603" t="s">
        <v>363</v>
      </c>
      <c r="F3603">
        <v>2</v>
      </c>
      <c r="G3603" t="s">
        <v>16</v>
      </c>
      <c r="H3603">
        <v>0</v>
      </c>
      <c r="I3603" s="2" t="s">
        <v>514</v>
      </c>
      <c r="J3603" s="2" t="s">
        <v>7970</v>
      </c>
      <c r="K3603">
        <v>20</v>
      </c>
      <c r="L3603">
        <v>20</v>
      </c>
      <c r="M3603">
        <v>20</v>
      </c>
    </row>
    <row r="3604" spans="1:13" x14ac:dyDescent="0.25">
      <c r="A3604" t="s">
        <v>7971</v>
      </c>
      <c r="B3604" t="s">
        <v>7972</v>
      </c>
      <c r="C3604" t="s">
        <v>362</v>
      </c>
      <c r="D3604" t="s">
        <v>363</v>
      </c>
      <c r="F3604">
        <v>2</v>
      </c>
      <c r="G3604" t="s">
        <v>16</v>
      </c>
      <c r="H3604">
        <v>0</v>
      </c>
      <c r="I3604" s="2" t="s">
        <v>7973</v>
      </c>
      <c r="J3604" s="2" t="s">
        <v>7974</v>
      </c>
      <c r="K3604">
        <v>20</v>
      </c>
      <c r="L3604">
        <v>20</v>
      </c>
      <c r="M3604">
        <v>20</v>
      </c>
    </row>
    <row r="3605" spans="1:13" x14ac:dyDescent="0.25">
      <c r="A3605" t="s">
        <v>7975</v>
      </c>
      <c r="B3605" t="s">
        <v>7976</v>
      </c>
      <c r="C3605" t="s">
        <v>496</v>
      </c>
      <c r="D3605" t="s">
        <v>2360</v>
      </c>
      <c r="F3605">
        <v>10</v>
      </c>
      <c r="G3605" t="s">
        <v>16</v>
      </c>
      <c r="H3605">
        <v>0</v>
      </c>
      <c r="I3605" s="2" t="b">
        <v>1</v>
      </c>
      <c r="J3605" s="2" t="s">
        <v>7977</v>
      </c>
      <c r="K3605">
        <v>20</v>
      </c>
      <c r="L3605">
        <v>20</v>
      </c>
      <c r="M3605">
        <v>20</v>
      </c>
    </row>
    <row r="3606" spans="1:13" x14ac:dyDescent="0.25">
      <c r="A3606" t="s">
        <v>7978</v>
      </c>
      <c r="B3606" t="s">
        <v>7979</v>
      </c>
      <c r="C3606" t="s">
        <v>496</v>
      </c>
      <c r="F3606">
        <v>2</v>
      </c>
      <c r="G3606" t="s">
        <v>16</v>
      </c>
      <c r="H3606">
        <v>0</v>
      </c>
      <c r="I3606" s="2" t="s">
        <v>2533</v>
      </c>
      <c r="J3606" s="2" t="s">
        <v>7980</v>
      </c>
      <c r="K3606">
        <v>20</v>
      </c>
      <c r="L3606">
        <v>20</v>
      </c>
      <c r="M3606">
        <v>20</v>
      </c>
    </row>
    <row r="3607" spans="1:13" x14ac:dyDescent="0.25">
      <c r="A3607" t="s">
        <v>7981</v>
      </c>
      <c r="B3607" t="s">
        <v>7982</v>
      </c>
      <c r="C3607" t="s">
        <v>496</v>
      </c>
      <c r="F3607">
        <v>2</v>
      </c>
      <c r="G3607" t="s">
        <v>16</v>
      </c>
      <c r="H3607">
        <v>0</v>
      </c>
      <c r="I3607" s="2" t="s">
        <v>2533</v>
      </c>
      <c r="J3607" s="2" t="s">
        <v>7983</v>
      </c>
      <c r="K3607">
        <v>20</v>
      </c>
      <c r="L3607">
        <v>20</v>
      </c>
      <c r="M3607">
        <v>20</v>
      </c>
    </row>
    <row r="3608" spans="1:13" x14ac:dyDescent="0.25">
      <c r="A3608" t="s">
        <v>7984</v>
      </c>
      <c r="B3608" t="s">
        <v>7985</v>
      </c>
      <c r="C3608" t="s">
        <v>496</v>
      </c>
      <c r="F3608">
        <v>2</v>
      </c>
      <c r="G3608" t="s">
        <v>16</v>
      </c>
      <c r="H3608">
        <v>0</v>
      </c>
      <c r="I3608" s="2" t="s">
        <v>165</v>
      </c>
      <c r="J3608" s="2">
        <v>200380001</v>
      </c>
      <c r="K3608">
        <v>20</v>
      </c>
      <c r="L3608">
        <v>20</v>
      </c>
      <c r="M3608">
        <v>20</v>
      </c>
    </row>
    <row r="3609" spans="1:13" x14ac:dyDescent="0.25">
      <c r="A3609" t="s">
        <v>7986</v>
      </c>
      <c r="B3609" t="s">
        <v>7987</v>
      </c>
      <c r="C3609" t="s">
        <v>496</v>
      </c>
      <c r="F3609">
        <v>1</v>
      </c>
      <c r="G3609" t="s">
        <v>16</v>
      </c>
      <c r="H3609">
        <v>0</v>
      </c>
      <c r="I3609" s="2" t="s">
        <v>4086</v>
      </c>
      <c r="J3609" s="2" t="str">
        <f>"00201"</f>
        <v>00201</v>
      </c>
      <c r="K3609">
        <v>20</v>
      </c>
      <c r="L3609">
        <v>20</v>
      </c>
      <c r="M3609">
        <v>20</v>
      </c>
    </row>
    <row r="3610" spans="1:13" x14ac:dyDescent="0.25">
      <c r="A3610" t="s">
        <v>7988</v>
      </c>
      <c r="B3610" t="s">
        <v>7989</v>
      </c>
      <c r="C3610" t="s">
        <v>496</v>
      </c>
      <c r="F3610">
        <v>1</v>
      </c>
      <c r="G3610" t="s">
        <v>16</v>
      </c>
      <c r="H3610">
        <v>0</v>
      </c>
      <c r="I3610" s="2" t="s">
        <v>4086</v>
      </c>
      <c r="J3610" s="2" t="str">
        <f>"00200"</f>
        <v>00200</v>
      </c>
      <c r="K3610">
        <v>20</v>
      </c>
      <c r="L3610">
        <v>20</v>
      </c>
      <c r="M3610">
        <v>20</v>
      </c>
    </row>
    <row r="3611" spans="1:13" x14ac:dyDescent="0.25">
      <c r="A3611" t="s">
        <v>7990</v>
      </c>
      <c r="B3611" t="s">
        <v>7991</v>
      </c>
      <c r="C3611" t="s">
        <v>496</v>
      </c>
      <c r="G3611" t="s">
        <v>16</v>
      </c>
      <c r="H3611">
        <v>0</v>
      </c>
      <c r="I3611" s="2" t="s">
        <v>2517</v>
      </c>
      <c r="J3611" s="2" t="s">
        <v>7992</v>
      </c>
      <c r="K3611">
        <v>20</v>
      </c>
      <c r="L3611">
        <v>20</v>
      </c>
      <c r="M3611">
        <v>20</v>
      </c>
    </row>
    <row r="3612" spans="1:13" x14ac:dyDescent="0.25">
      <c r="A3612" t="s">
        <v>7993</v>
      </c>
      <c r="B3612" t="s">
        <v>7991</v>
      </c>
      <c r="C3612" t="s">
        <v>496</v>
      </c>
      <c r="F3612">
        <v>1</v>
      </c>
      <c r="G3612" t="s">
        <v>16</v>
      </c>
      <c r="H3612">
        <v>0</v>
      </c>
      <c r="I3612" s="2" t="s">
        <v>707</v>
      </c>
      <c r="J3612" s="2" t="s">
        <v>7994</v>
      </c>
      <c r="K3612">
        <v>20</v>
      </c>
      <c r="L3612">
        <v>20</v>
      </c>
      <c r="M3612">
        <v>20</v>
      </c>
    </row>
    <row r="3613" spans="1:13" x14ac:dyDescent="0.25">
      <c r="A3613" t="s">
        <v>7995</v>
      </c>
      <c r="B3613" t="s">
        <v>7991</v>
      </c>
      <c r="C3613" t="s">
        <v>496</v>
      </c>
      <c r="F3613">
        <v>1</v>
      </c>
      <c r="G3613" t="s">
        <v>16</v>
      </c>
      <c r="H3613">
        <v>0</v>
      </c>
      <c r="I3613" s="2" t="s">
        <v>64</v>
      </c>
      <c r="J3613" s="2">
        <v>13020150</v>
      </c>
      <c r="K3613">
        <v>20</v>
      </c>
      <c r="L3613">
        <v>20</v>
      </c>
      <c r="M3613">
        <v>20</v>
      </c>
    </row>
    <row r="3614" spans="1:13" x14ac:dyDescent="0.25">
      <c r="A3614" t="s">
        <v>7996</v>
      </c>
      <c r="B3614" t="s">
        <v>7991</v>
      </c>
      <c r="C3614" t="s">
        <v>496</v>
      </c>
      <c r="F3614">
        <v>2</v>
      </c>
      <c r="G3614" t="s">
        <v>16</v>
      </c>
      <c r="H3614">
        <v>0</v>
      </c>
      <c r="I3614" s="2" t="s">
        <v>266</v>
      </c>
      <c r="J3614" s="2" t="s">
        <v>7997</v>
      </c>
      <c r="K3614">
        <v>20</v>
      </c>
      <c r="L3614">
        <v>20</v>
      </c>
      <c r="M3614">
        <v>20</v>
      </c>
    </row>
    <row r="3615" spans="1:13" x14ac:dyDescent="0.25">
      <c r="A3615" t="s">
        <v>7998</v>
      </c>
      <c r="B3615" t="s">
        <v>7999</v>
      </c>
      <c r="C3615" t="s">
        <v>496</v>
      </c>
      <c r="F3615">
        <v>2</v>
      </c>
      <c r="G3615" t="s">
        <v>16</v>
      </c>
      <c r="H3615">
        <v>0</v>
      </c>
      <c r="I3615" s="2" t="s">
        <v>2533</v>
      </c>
      <c r="J3615" s="2" t="s">
        <v>8000</v>
      </c>
      <c r="K3615">
        <v>20</v>
      </c>
      <c r="L3615">
        <v>20</v>
      </c>
      <c r="M3615">
        <v>20</v>
      </c>
    </row>
    <row r="3616" spans="1:13" x14ac:dyDescent="0.25">
      <c r="A3616" t="s">
        <v>8001</v>
      </c>
      <c r="B3616" t="s">
        <v>7999</v>
      </c>
      <c r="C3616" t="s">
        <v>496</v>
      </c>
      <c r="F3616">
        <v>2</v>
      </c>
      <c r="G3616" t="s">
        <v>16</v>
      </c>
      <c r="H3616">
        <v>0</v>
      </c>
      <c r="I3616" s="2" t="s">
        <v>941</v>
      </c>
      <c r="J3616" s="2" t="s">
        <v>8002</v>
      </c>
      <c r="K3616">
        <v>20</v>
      </c>
      <c r="L3616">
        <v>20</v>
      </c>
      <c r="M3616">
        <v>20</v>
      </c>
    </row>
    <row r="3617" spans="1:13" x14ac:dyDescent="0.25">
      <c r="A3617" t="s">
        <v>8003</v>
      </c>
      <c r="B3617" t="s">
        <v>7999</v>
      </c>
      <c r="C3617" t="s">
        <v>496</v>
      </c>
      <c r="F3617">
        <v>2</v>
      </c>
      <c r="G3617" t="s">
        <v>16</v>
      </c>
      <c r="H3617">
        <v>0</v>
      </c>
      <c r="I3617" s="2" t="s">
        <v>266</v>
      </c>
      <c r="J3617" s="2" t="s">
        <v>8004</v>
      </c>
      <c r="K3617">
        <v>20</v>
      </c>
      <c r="L3617">
        <v>20</v>
      </c>
      <c r="M3617">
        <v>20</v>
      </c>
    </row>
    <row r="3618" spans="1:13" x14ac:dyDescent="0.25">
      <c r="A3618" t="s">
        <v>8005</v>
      </c>
      <c r="B3618" t="s">
        <v>8007</v>
      </c>
      <c r="C3618" t="s">
        <v>496</v>
      </c>
      <c r="F3618">
        <v>8</v>
      </c>
      <c r="G3618" t="s">
        <v>16</v>
      </c>
      <c r="H3618">
        <v>0</v>
      </c>
      <c r="I3618" s="2" t="s">
        <v>288</v>
      </c>
      <c r="J3618" s="2" t="s">
        <v>8006</v>
      </c>
      <c r="K3618">
        <v>20</v>
      </c>
      <c r="L3618">
        <v>20</v>
      </c>
      <c r="M3618">
        <v>20</v>
      </c>
    </row>
    <row r="3619" spans="1:13" x14ac:dyDescent="0.25">
      <c r="A3619" t="s">
        <v>8008</v>
      </c>
      <c r="B3619" t="s">
        <v>8007</v>
      </c>
      <c r="C3619" t="s">
        <v>496</v>
      </c>
      <c r="F3619">
        <v>4</v>
      </c>
      <c r="G3619" t="s">
        <v>16</v>
      </c>
      <c r="H3619">
        <v>0</v>
      </c>
      <c r="I3619" s="2" t="s">
        <v>2533</v>
      </c>
      <c r="J3619" s="2" t="s">
        <v>8009</v>
      </c>
      <c r="K3619">
        <v>20</v>
      </c>
      <c r="L3619">
        <v>20</v>
      </c>
      <c r="M3619">
        <v>20</v>
      </c>
    </row>
    <row r="3620" spans="1:13" x14ac:dyDescent="0.25">
      <c r="A3620" t="s">
        <v>8010</v>
      </c>
      <c r="B3620" t="s">
        <v>8011</v>
      </c>
      <c r="C3620" t="s">
        <v>2493</v>
      </c>
      <c r="F3620">
        <v>2</v>
      </c>
      <c r="G3620" t="s">
        <v>16</v>
      </c>
      <c r="H3620">
        <v>0</v>
      </c>
      <c r="I3620" s="2" t="s">
        <v>2517</v>
      </c>
      <c r="J3620" s="2" t="s">
        <v>8012</v>
      </c>
      <c r="K3620">
        <v>20</v>
      </c>
      <c r="L3620">
        <v>20</v>
      </c>
      <c r="M3620">
        <v>20</v>
      </c>
    </row>
    <row r="3621" spans="1:13" x14ac:dyDescent="0.25">
      <c r="A3621" t="s">
        <v>8013</v>
      </c>
      <c r="B3621" t="s">
        <v>8014</v>
      </c>
      <c r="C3621" t="s">
        <v>496</v>
      </c>
      <c r="D3621" t="s">
        <v>4083</v>
      </c>
      <c r="F3621">
        <v>2</v>
      </c>
      <c r="G3621" t="s">
        <v>16</v>
      </c>
      <c r="H3621">
        <v>0</v>
      </c>
      <c r="I3621" s="2" t="s">
        <v>238</v>
      </c>
      <c r="J3621" s="2" t="str">
        <f>"05362"</f>
        <v>05362</v>
      </c>
      <c r="K3621">
        <v>20</v>
      </c>
      <c r="L3621">
        <v>20</v>
      </c>
      <c r="M3621">
        <v>20</v>
      </c>
    </row>
    <row r="3622" spans="1:13" x14ac:dyDescent="0.25">
      <c r="A3622" t="s">
        <v>8015</v>
      </c>
      <c r="B3622" t="s">
        <v>8014</v>
      </c>
      <c r="C3622" t="s">
        <v>496</v>
      </c>
      <c r="D3622" t="s">
        <v>5072</v>
      </c>
      <c r="F3622">
        <v>4</v>
      </c>
      <c r="G3622" t="s">
        <v>16</v>
      </c>
      <c r="H3622">
        <v>0</v>
      </c>
      <c r="I3622" s="2" t="s">
        <v>5297</v>
      </c>
      <c r="J3622" s="2">
        <v>111017</v>
      </c>
      <c r="K3622">
        <v>20</v>
      </c>
      <c r="L3622">
        <v>20</v>
      </c>
      <c r="M3622">
        <v>20</v>
      </c>
    </row>
    <row r="3623" spans="1:13" x14ac:dyDescent="0.25">
      <c r="A3623" t="s">
        <v>8016</v>
      </c>
      <c r="B3623" t="s">
        <v>8014</v>
      </c>
      <c r="C3623" t="s">
        <v>496</v>
      </c>
      <c r="D3623" t="s">
        <v>4083</v>
      </c>
      <c r="F3623">
        <v>1</v>
      </c>
      <c r="G3623" t="s">
        <v>16</v>
      </c>
      <c r="H3623">
        <v>0</v>
      </c>
      <c r="I3623" s="2" t="s">
        <v>8017</v>
      </c>
      <c r="J3623" s="2">
        <v>12275</v>
      </c>
      <c r="K3623">
        <v>20</v>
      </c>
      <c r="L3623">
        <v>20</v>
      </c>
      <c r="M3623">
        <v>20</v>
      </c>
    </row>
    <row r="3624" spans="1:13" x14ac:dyDescent="0.25">
      <c r="A3624" t="s">
        <v>8018</v>
      </c>
      <c r="B3624" t="s">
        <v>8014</v>
      </c>
      <c r="C3624" t="s">
        <v>2493</v>
      </c>
      <c r="D3624" t="s">
        <v>5072</v>
      </c>
      <c r="G3624" t="s">
        <v>16</v>
      </c>
      <c r="H3624">
        <v>0</v>
      </c>
      <c r="I3624" s="2" t="s">
        <v>408</v>
      </c>
      <c r="J3624" s="2" t="s">
        <v>8019</v>
      </c>
      <c r="K3624">
        <v>20</v>
      </c>
      <c r="L3624">
        <v>20</v>
      </c>
      <c r="M3624">
        <v>20</v>
      </c>
    </row>
    <row r="3625" spans="1:13" x14ac:dyDescent="0.25">
      <c r="A3625" t="s">
        <v>8020</v>
      </c>
      <c r="B3625" t="s">
        <v>8022</v>
      </c>
      <c r="C3625" t="s">
        <v>496</v>
      </c>
      <c r="D3625" t="s">
        <v>4101</v>
      </c>
      <c r="F3625">
        <v>3</v>
      </c>
      <c r="G3625" t="s">
        <v>16</v>
      </c>
      <c r="H3625">
        <v>0</v>
      </c>
      <c r="I3625" s="2" t="s">
        <v>288</v>
      </c>
      <c r="J3625" s="2" t="s">
        <v>8021</v>
      </c>
      <c r="K3625">
        <v>20</v>
      </c>
      <c r="L3625">
        <v>20</v>
      </c>
      <c r="M3625">
        <v>20</v>
      </c>
    </row>
    <row r="3626" spans="1:13" x14ac:dyDescent="0.25">
      <c r="A3626" t="s">
        <v>8023</v>
      </c>
      <c r="B3626" t="s">
        <v>8022</v>
      </c>
      <c r="C3626" t="s">
        <v>496</v>
      </c>
      <c r="D3626" t="s">
        <v>4101</v>
      </c>
      <c r="F3626">
        <v>1</v>
      </c>
      <c r="G3626" t="s">
        <v>16</v>
      </c>
      <c r="H3626">
        <v>0</v>
      </c>
      <c r="I3626" s="2" t="s">
        <v>3539</v>
      </c>
      <c r="J3626" s="2" t="s">
        <v>8024</v>
      </c>
      <c r="K3626">
        <v>20</v>
      </c>
      <c r="L3626">
        <v>20</v>
      </c>
      <c r="M3626">
        <v>20</v>
      </c>
    </row>
    <row r="3627" spans="1:13" x14ac:dyDescent="0.25">
      <c r="A3627" t="s">
        <v>8025</v>
      </c>
      <c r="B3627" t="s">
        <v>8027</v>
      </c>
      <c r="C3627" t="s">
        <v>496</v>
      </c>
      <c r="D3627" t="s">
        <v>4101</v>
      </c>
      <c r="F3627">
        <v>2</v>
      </c>
      <c r="G3627" t="s">
        <v>16</v>
      </c>
      <c r="H3627">
        <v>0</v>
      </c>
      <c r="I3627" s="2" t="s">
        <v>288</v>
      </c>
      <c r="J3627" s="2" t="s">
        <v>8026</v>
      </c>
      <c r="K3627">
        <v>20</v>
      </c>
      <c r="L3627">
        <v>20</v>
      </c>
      <c r="M3627">
        <v>20</v>
      </c>
    </row>
    <row r="3628" spans="1:13" x14ac:dyDescent="0.25">
      <c r="A3628" t="s">
        <v>8028</v>
      </c>
      <c r="B3628" t="s">
        <v>8030</v>
      </c>
      <c r="C3628" t="s">
        <v>496</v>
      </c>
      <c r="D3628" t="s">
        <v>4101</v>
      </c>
      <c r="F3628">
        <v>2</v>
      </c>
      <c r="G3628" t="s">
        <v>16</v>
      </c>
      <c r="H3628">
        <v>0</v>
      </c>
      <c r="I3628" s="2" t="s">
        <v>288</v>
      </c>
      <c r="J3628" s="2" t="s">
        <v>8029</v>
      </c>
      <c r="K3628">
        <v>20</v>
      </c>
      <c r="L3628">
        <v>20</v>
      </c>
      <c r="M3628">
        <v>20</v>
      </c>
    </row>
    <row r="3629" spans="1:13" x14ac:dyDescent="0.25">
      <c r="A3629" t="s">
        <v>8031</v>
      </c>
      <c r="B3629" t="s">
        <v>8032</v>
      </c>
      <c r="C3629" t="s">
        <v>2493</v>
      </c>
      <c r="D3629" t="s">
        <v>4101</v>
      </c>
      <c r="G3629" t="s">
        <v>16</v>
      </c>
      <c r="H3629">
        <v>0</v>
      </c>
      <c r="I3629" s="2" t="s">
        <v>288</v>
      </c>
      <c r="J3629" s="2">
        <v>330018116</v>
      </c>
      <c r="K3629">
        <v>20</v>
      </c>
      <c r="L3629">
        <v>20</v>
      </c>
      <c r="M3629">
        <v>20</v>
      </c>
    </row>
    <row r="3630" spans="1:13" x14ac:dyDescent="0.25">
      <c r="A3630" t="s">
        <v>8033</v>
      </c>
      <c r="B3630" t="s">
        <v>8032</v>
      </c>
      <c r="C3630" t="s">
        <v>2493</v>
      </c>
      <c r="D3630" t="s">
        <v>4101</v>
      </c>
      <c r="G3630" t="s">
        <v>16</v>
      </c>
      <c r="H3630">
        <v>0</v>
      </c>
      <c r="I3630" s="2" t="s">
        <v>2666</v>
      </c>
      <c r="J3630" s="2" t="s">
        <v>8034</v>
      </c>
      <c r="K3630">
        <v>20</v>
      </c>
      <c r="L3630">
        <v>20</v>
      </c>
      <c r="M3630">
        <v>20</v>
      </c>
    </row>
    <row r="3631" spans="1:13" x14ac:dyDescent="0.25">
      <c r="A3631" t="s">
        <v>8035</v>
      </c>
      <c r="B3631" t="s">
        <v>8032</v>
      </c>
      <c r="C3631" t="s">
        <v>2493</v>
      </c>
      <c r="D3631" t="s">
        <v>5072</v>
      </c>
      <c r="G3631" t="s">
        <v>16</v>
      </c>
      <c r="H3631">
        <v>0</v>
      </c>
      <c r="I3631" s="2" t="s">
        <v>165</v>
      </c>
      <c r="J3631" s="2">
        <v>200398</v>
      </c>
      <c r="K3631">
        <v>20</v>
      </c>
      <c r="L3631">
        <v>20</v>
      </c>
      <c r="M3631">
        <v>20</v>
      </c>
    </row>
    <row r="3632" spans="1:13" x14ac:dyDescent="0.25">
      <c r="A3632" t="s">
        <v>8036</v>
      </c>
      <c r="B3632" t="s">
        <v>8038</v>
      </c>
      <c r="C3632" t="s">
        <v>496</v>
      </c>
      <c r="D3632" t="s">
        <v>4101</v>
      </c>
      <c r="F3632">
        <v>2</v>
      </c>
      <c r="G3632" t="s">
        <v>16</v>
      </c>
      <c r="H3632">
        <v>0</v>
      </c>
      <c r="I3632" s="2" t="s">
        <v>288</v>
      </c>
      <c r="J3632" s="2" t="s">
        <v>8037</v>
      </c>
      <c r="K3632">
        <v>20</v>
      </c>
      <c r="L3632">
        <v>20</v>
      </c>
      <c r="M3632">
        <v>20</v>
      </c>
    </row>
    <row r="3633" spans="1:13" x14ac:dyDescent="0.25">
      <c r="A3633" t="s">
        <v>8039</v>
      </c>
      <c r="B3633" t="s">
        <v>8038</v>
      </c>
      <c r="C3633" t="s">
        <v>2493</v>
      </c>
      <c r="D3633" t="s">
        <v>4101</v>
      </c>
      <c r="G3633" t="s">
        <v>16</v>
      </c>
      <c r="H3633">
        <v>0</v>
      </c>
      <c r="I3633" s="2" t="s">
        <v>165</v>
      </c>
      <c r="J3633" s="2">
        <v>200399</v>
      </c>
      <c r="K3633">
        <v>20</v>
      </c>
      <c r="L3633">
        <v>20</v>
      </c>
      <c r="M3633">
        <v>20</v>
      </c>
    </row>
    <row r="3634" spans="1:13" x14ac:dyDescent="0.25">
      <c r="A3634" t="s">
        <v>8040</v>
      </c>
      <c r="B3634" t="s">
        <v>8042</v>
      </c>
      <c r="C3634" t="s">
        <v>496</v>
      </c>
      <c r="D3634" t="s">
        <v>4083</v>
      </c>
      <c r="F3634">
        <v>1</v>
      </c>
      <c r="G3634" t="s">
        <v>16</v>
      </c>
      <c r="H3634">
        <v>0</v>
      </c>
      <c r="I3634" s="2" t="s">
        <v>2599</v>
      </c>
      <c r="J3634" s="2" t="s">
        <v>8041</v>
      </c>
      <c r="K3634">
        <v>20</v>
      </c>
      <c r="L3634">
        <v>20</v>
      </c>
      <c r="M3634">
        <v>20</v>
      </c>
    </row>
    <row r="3635" spans="1:13" x14ac:dyDescent="0.25">
      <c r="A3635" t="s">
        <v>8043</v>
      </c>
      <c r="B3635" t="s">
        <v>8044</v>
      </c>
      <c r="C3635" t="s">
        <v>496</v>
      </c>
      <c r="D3635" t="s">
        <v>4083</v>
      </c>
      <c r="F3635">
        <v>1</v>
      </c>
      <c r="G3635" t="s">
        <v>16</v>
      </c>
      <c r="H3635">
        <v>0</v>
      </c>
      <c r="I3635" s="2" t="s">
        <v>64</v>
      </c>
      <c r="J3635" s="2" t="str">
        <f>"01010062"</f>
        <v>01010062</v>
      </c>
      <c r="K3635">
        <v>20</v>
      </c>
      <c r="L3635">
        <v>20</v>
      </c>
      <c r="M3635">
        <v>20</v>
      </c>
    </row>
    <row r="3636" spans="1:13" x14ac:dyDescent="0.25">
      <c r="A3636" t="s">
        <v>8045</v>
      </c>
      <c r="B3636" t="s">
        <v>8046</v>
      </c>
      <c r="C3636" t="s">
        <v>496</v>
      </c>
      <c r="D3636" t="s">
        <v>4083</v>
      </c>
      <c r="F3636">
        <v>1</v>
      </c>
      <c r="G3636" t="s">
        <v>16</v>
      </c>
      <c r="H3636">
        <v>0</v>
      </c>
      <c r="I3636" s="2" t="s">
        <v>87</v>
      </c>
      <c r="J3636" s="2" t="s">
        <v>8047</v>
      </c>
      <c r="K3636">
        <v>20</v>
      </c>
      <c r="L3636">
        <v>20</v>
      </c>
      <c r="M3636">
        <v>20</v>
      </c>
    </row>
    <row r="3637" spans="1:13" x14ac:dyDescent="0.25">
      <c r="A3637" t="s">
        <v>8048</v>
      </c>
      <c r="B3637" t="s">
        <v>8046</v>
      </c>
      <c r="C3637" t="s">
        <v>496</v>
      </c>
      <c r="D3637" t="s">
        <v>4083</v>
      </c>
      <c r="F3637">
        <v>1</v>
      </c>
      <c r="G3637" t="s">
        <v>16</v>
      </c>
      <c r="H3637">
        <v>0</v>
      </c>
      <c r="I3637" s="2" t="s">
        <v>8049</v>
      </c>
      <c r="J3637" s="2" t="str">
        <f>"01010070"</f>
        <v>01010070</v>
      </c>
      <c r="K3637">
        <v>20</v>
      </c>
      <c r="L3637">
        <v>20</v>
      </c>
      <c r="M3637">
        <v>20</v>
      </c>
    </row>
    <row r="3638" spans="1:13" x14ac:dyDescent="0.25">
      <c r="A3638" t="s">
        <v>8050</v>
      </c>
      <c r="B3638" t="s">
        <v>8051</v>
      </c>
      <c r="C3638" t="s">
        <v>496</v>
      </c>
      <c r="D3638" t="s">
        <v>4083</v>
      </c>
      <c r="F3638">
        <v>2</v>
      </c>
      <c r="G3638" t="s">
        <v>16</v>
      </c>
      <c r="H3638">
        <v>0</v>
      </c>
      <c r="I3638" s="2" t="s">
        <v>64</v>
      </c>
      <c r="J3638" s="2" t="str">
        <f>"01020033"</f>
        <v>01020033</v>
      </c>
      <c r="K3638">
        <v>20</v>
      </c>
      <c r="L3638">
        <v>20</v>
      </c>
      <c r="M3638">
        <v>20</v>
      </c>
    </row>
    <row r="3639" spans="1:13" x14ac:dyDescent="0.25">
      <c r="A3639" t="s">
        <v>8052</v>
      </c>
      <c r="B3639" t="s">
        <v>8053</v>
      </c>
      <c r="C3639" t="s">
        <v>496</v>
      </c>
      <c r="D3639" t="s">
        <v>4083</v>
      </c>
      <c r="F3639">
        <v>1</v>
      </c>
      <c r="G3639" t="s">
        <v>16</v>
      </c>
      <c r="H3639">
        <v>0</v>
      </c>
      <c r="I3639" s="2" t="s">
        <v>64</v>
      </c>
      <c r="J3639" s="2" t="str">
        <f>"01010048"</f>
        <v>01010048</v>
      </c>
      <c r="K3639">
        <v>20</v>
      </c>
      <c r="L3639">
        <v>20</v>
      </c>
      <c r="M3639">
        <v>20</v>
      </c>
    </row>
    <row r="3640" spans="1:13" x14ac:dyDescent="0.25">
      <c r="A3640" t="s">
        <v>8054</v>
      </c>
      <c r="B3640" t="s">
        <v>8055</v>
      </c>
      <c r="C3640" t="s">
        <v>496</v>
      </c>
      <c r="D3640" t="s">
        <v>4083</v>
      </c>
      <c r="F3640">
        <v>1</v>
      </c>
      <c r="G3640" t="s">
        <v>16</v>
      </c>
      <c r="H3640">
        <v>0</v>
      </c>
      <c r="I3640" s="2" t="s">
        <v>87</v>
      </c>
      <c r="J3640" s="2" t="s">
        <v>8056</v>
      </c>
      <c r="K3640">
        <v>20</v>
      </c>
      <c r="L3640">
        <v>20</v>
      </c>
      <c r="M3640">
        <v>20</v>
      </c>
    </row>
    <row r="3641" spans="1:13" x14ac:dyDescent="0.25">
      <c r="A3641" t="s">
        <v>8057</v>
      </c>
      <c r="B3641" t="s">
        <v>8058</v>
      </c>
      <c r="C3641" t="s">
        <v>496</v>
      </c>
      <c r="D3641" t="s">
        <v>4083</v>
      </c>
      <c r="G3641" t="s">
        <v>16</v>
      </c>
      <c r="H3641">
        <v>0</v>
      </c>
      <c r="I3641" s="2" t="s">
        <v>64</v>
      </c>
      <c r="J3641" s="2" t="str">
        <f>"01010052"</f>
        <v>01010052</v>
      </c>
      <c r="K3641">
        <v>20</v>
      </c>
      <c r="L3641">
        <v>20</v>
      </c>
      <c r="M3641">
        <v>20</v>
      </c>
    </row>
    <row r="3642" spans="1:13" x14ac:dyDescent="0.25">
      <c r="A3642" t="s">
        <v>8059</v>
      </c>
      <c r="B3642" t="s">
        <v>8060</v>
      </c>
      <c r="C3642" t="s">
        <v>496</v>
      </c>
      <c r="D3642" t="s">
        <v>4083</v>
      </c>
      <c r="F3642">
        <v>1</v>
      </c>
      <c r="G3642" t="s">
        <v>16</v>
      </c>
      <c r="H3642">
        <v>0</v>
      </c>
      <c r="I3642" s="2" t="s">
        <v>87</v>
      </c>
      <c r="J3642" s="2" t="s">
        <v>8061</v>
      </c>
      <c r="K3642">
        <v>20</v>
      </c>
      <c r="L3642">
        <v>20</v>
      </c>
      <c r="M3642">
        <v>20</v>
      </c>
    </row>
    <row r="3643" spans="1:13" x14ac:dyDescent="0.25">
      <c r="A3643" t="s">
        <v>8062</v>
      </c>
      <c r="B3643" t="s">
        <v>8063</v>
      </c>
      <c r="C3643" t="s">
        <v>496</v>
      </c>
      <c r="D3643" t="s">
        <v>4083</v>
      </c>
      <c r="F3643">
        <v>1</v>
      </c>
      <c r="G3643" t="s">
        <v>16</v>
      </c>
      <c r="H3643">
        <v>0</v>
      </c>
      <c r="I3643" s="2" t="s">
        <v>851</v>
      </c>
      <c r="J3643" s="2">
        <v>245200</v>
      </c>
      <c r="K3643">
        <v>20</v>
      </c>
      <c r="L3643">
        <v>20</v>
      </c>
      <c r="M3643">
        <v>20</v>
      </c>
    </row>
    <row r="3644" spans="1:13" x14ac:dyDescent="0.25">
      <c r="A3644" t="s">
        <v>8064</v>
      </c>
      <c r="B3644" t="s">
        <v>8065</v>
      </c>
      <c r="C3644" t="s">
        <v>496</v>
      </c>
      <c r="D3644" t="s">
        <v>4083</v>
      </c>
      <c r="F3644">
        <v>1</v>
      </c>
      <c r="G3644" t="s">
        <v>16</v>
      </c>
      <c r="H3644">
        <v>0</v>
      </c>
      <c r="I3644" s="2" t="s">
        <v>2599</v>
      </c>
      <c r="J3644" s="2" t="s">
        <v>8066</v>
      </c>
      <c r="K3644">
        <v>20</v>
      </c>
      <c r="L3644">
        <v>20</v>
      </c>
      <c r="M3644">
        <v>20</v>
      </c>
    </row>
    <row r="3645" spans="1:13" x14ac:dyDescent="0.25">
      <c r="A3645" t="s">
        <v>8067</v>
      </c>
      <c r="B3645" t="s">
        <v>8068</v>
      </c>
      <c r="C3645" t="s">
        <v>496</v>
      </c>
      <c r="D3645" t="s">
        <v>4083</v>
      </c>
      <c r="F3645">
        <v>1</v>
      </c>
      <c r="G3645" t="s">
        <v>16</v>
      </c>
      <c r="H3645">
        <v>0</v>
      </c>
      <c r="I3645" s="2" t="s">
        <v>87</v>
      </c>
      <c r="J3645" s="2" t="s">
        <v>8069</v>
      </c>
      <c r="K3645">
        <v>20</v>
      </c>
      <c r="L3645">
        <v>20</v>
      </c>
      <c r="M3645">
        <v>20</v>
      </c>
    </row>
    <row r="3646" spans="1:13" x14ac:dyDescent="0.25">
      <c r="A3646" t="s">
        <v>8070</v>
      </c>
      <c r="B3646" t="s">
        <v>8068</v>
      </c>
      <c r="C3646" t="s">
        <v>496</v>
      </c>
      <c r="D3646" t="s">
        <v>4083</v>
      </c>
      <c r="F3646">
        <v>1</v>
      </c>
      <c r="G3646" t="s">
        <v>16</v>
      </c>
      <c r="H3646">
        <v>0</v>
      </c>
      <c r="I3646" s="2" t="s">
        <v>64</v>
      </c>
      <c r="J3646" s="2" t="str">
        <f>"01010056"</f>
        <v>01010056</v>
      </c>
      <c r="K3646">
        <v>20</v>
      </c>
      <c r="L3646">
        <v>20</v>
      </c>
      <c r="M3646">
        <v>20</v>
      </c>
    </row>
    <row r="3647" spans="1:13" x14ac:dyDescent="0.25">
      <c r="A3647" t="s">
        <v>8071</v>
      </c>
      <c r="B3647" t="s">
        <v>8072</v>
      </c>
      <c r="C3647" t="s">
        <v>496</v>
      </c>
      <c r="D3647" t="s">
        <v>4083</v>
      </c>
      <c r="F3647">
        <v>0</v>
      </c>
      <c r="G3647" t="s">
        <v>16</v>
      </c>
      <c r="H3647">
        <v>0</v>
      </c>
      <c r="I3647" s="2" t="s">
        <v>64</v>
      </c>
      <c r="J3647" s="2" t="str">
        <f>"01010058"</f>
        <v>01010058</v>
      </c>
      <c r="K3647">
        <v>20</v>
      </c>
      <c r="L3647">
        <v>20</v>
      </c>
      <c r="M3647">
        <v>20</v>
      </c>
    </row>
    <row r="3648" spans="1:13" x14ac:dyDescent="0.25">
      <c r="A3648" t="s">
        <v>8073</v>
      </c>
      <c r="B3648" t="s">
        <v>8074</v>
      </c>
      <c r="C3648" t="s">
        <v>496</v>
      </c>
      <c r="D3648" t="s">
        <v>4083</v>
      </c>
      <c r="F3648">
        <v>0</v>
      </c>
      <c r="G3648" t="s">
        <v>16</v>
      </c>
      <c r="H3648">
        <v>0</v>
      </c>
      <c r="I3648" s="2" t="s">
        <v>87</v>
      </c>
      <c r="J3648" s="2" t="s">
        <v>8075</v>
      </c>
      <c r="K3648">
        <v>20</v>
      </c>
      <c r="L3648">
        <v>20</v>
      </c>
      <c r="M3648">
        <v>20</v>
      </c>
    </row>
    <row r="3649" spans="1:13" x14ac:dyDescent="0.25">
      <c r="A3649" t="s">
        <v>8076</v>
      </c>
      <c r="B3649" t="s">
        <v>8077</v>
      </c>
      <c r="C3649" t="s">
        <v>496</v>
      </c>
      <c r="D3649" t="s">
        <v>4083</v>
      </c>
      <c r="F3649">
        <v>2</v>
      </c>
      <c r="G3649" t="s">
        <v>16</v>
      </c>
      <c r="H3649">
        <v>0</v>
      </c>
      <c r="I3649" s="2" t="s">
        <v>162</v>
      </c>
      <c r="J3649" s="2">
        <v>70304</v>
      </c>
      <c r="K3649">
        <v>20</v>
      </c>
      <c r="L3649">
        <v>20</v>
      </c>
      <c r="M3649">
        <v>20</v>
      </c>
    </row>
    <row r="3650" spans="1:13" x14ac:dyDescent="0.25">
      <c r="A3650" t="s">
        <v>8078</v>
      </c>
      <c r="B3650" t="s">
        <v>8079</v>
      </c>
      <c r="C3650" t="s">
        <v>496</v>
      </c>
      <c r="D3650" t="s">
        <v>4083</v>
      </c>
      <c r="F3650">
        <v>1</v>
      </c>
      <c r="G3650" t="s">
        <v>16</v>
      </c>
      <c r="H3650">
        <v>0</v>
      </c>
      <c r="I3650" s="2" t="s">
        <v>851</v>
      </c>
      <c r="J3650" s="2">
        <v>210250</v>
      </c>
      <c r="K3650">
        <v>20</v>
      </c>
      <c r="L3650">
        <v>20</v>
      </c>
      <c r="M3650">
        <v>20</v>
      </c>
    </row>
    <row r="3651" spans="1:13" x14ac:dyDescent="0.25">
      <c r="A3651" t="s">
        <v>8080</v>
      </c>
      <c r="B3651" t="s">
        <v>8081</v>
      </c>
      <c r="C3651" t="s">
        <v>496</v>
      </c>
      <c r="D3651" t="s">
        <v>4083</v>
      </c>
      <c r="F3651">
        <v>1</v>
      </c>
      <c r="G3651" t="s">
        <v>16</v>
      </c>
      <c r="H3651">
        <v>0</v>
      </c>
      <c r="I3651" s="2" t="s">
        <v>64</v>
      </c>
      <c r="J3651" s="2" t="str">
        <f>"01010055"</f>
        <v>01010055</v>
      </c>
      <c r="K3651">
        <v>20</v>
      </c>
      <c r="L3651">
        <v>20</v>
      </c>
      <c r="M3651">
        <v>20</v>
      </c>
    </row>
    <row r="3652" spans="1:13" x14ac:dyDescent="0.25">
      <c r="A3652" t="s">
        <v>8082</v>
      </c>
      <c r="B3652" t="s">
        <v>8084</v>
      </c>
      <c r="C3652" t="s">
        <v>496</v>
      </c>
      <c r="D3652" t="s">
        <v>2360</v>
      </c>
      <c r="F3652">
        <v>1</v>
      </c>
      <c r="G3652" t="s">
        <v>16</v>
      </c>
      <c r="H3652">
        <v>0</v>
      </c>
      <c r="I3652" s="2" t="s">
        <v>2599</v>
      </c>
      <c r="J3652" s="2" t="s">
        <v>8083</v>
      </c>
      <c r="K3652">
        <v>20</v>
      </c>
      <c r="L3652">
        <v>20</v>
      </c>
      <c r="M3652">
        <v>20</v>
      </c>
    </row>
    <row r="3653" spans="1:13" x14ac:dyDescent="0.25">
      <c r="A3653" t="s">
        <v>8085</v>
      </c>
      <c r="B3653" t="s">
        <v>8086</v>
      </c>
      <c r="C3653" t="s">
        <v>496</v>
      </c>
      <c r="D3653" t="s">
        <v>4083</v>
      </c>
      <c r="F3653">
        <v>0</v>
      </c>
      <c r="G3653" t="s">
        <v>16</v>
      </c>
      <c r="H3653">
        <v>0</v>
      </c>
      <c r="I3653" s="2" t="s">
        <v>64</v>
      </c>
      <c r="J3653" s="2" t="str">
        <f>"01010049"</f>
        <v>01010049</v>
      </c>
      <c r="K3653">
        <v>20</v>
      </c>
      <c r="L3653">
        <v>20</v>
      </c>
      <c r="M3653">
        <v>20</v>
      </c>
    </row>
    <row r="3654" spans="1:13" x14ac:dyDescent="0.25">
      <c r="A3654" t="s">
        <v>8087</v>
      </c>
      <c r="B3654" t="s">
        <v>8088</v>
      </c>
      <c r="C3654" t="s">
        <v>2493</v>
      </c>
      <c r="D3654" t="s">
        <v>5072</v>
      </c>
      <c r="F3654">
        <v>1</v>
      </c>
      <c r="G3654" t="s">
        <v>16</v>
      </c>
      <c r="H3654">
        <v>0</v>
      </c>
      <c r="I3654" s="2" t="s">
        <v>5500</v>
      </c>
      <c r="J3654" s="2" t="s">
        <v>8089</v>
      </c>
      <c r="K3654">
        <v>20</v>
      </c>
      <c r="L3654">
        <v>20</v>
      </c>
      <c r="M3654">
        <v>20</v>
      </c>
    </row>
    <row r="3655" spans="1:13" x14ac:dyDescent="0.25">
      <c r="A3655" t="s">
        <v>8090</v>
      </c>
      <c r="B3655" t="s">
        <v>8091</v>
      </c>
      <c r="C3655" t="s">
        <v>496</v>
      </c>
      <c r="D3655" t="s">
        <v>4083</v>
      </c>
      <c r="F3655">
        <v>1</v>
      </c>
      <c r="G3655" t="s">
        <v>16</v>
      </c>
      <c r="H3655">
        <v>0</v>
      </c>
      <c r="I3655" s="2" t="s">
        <v>5278</v>
      </c>
      <c r="J3655" s="2">
        <v>210077</v>
      </c>
      <c r="K3655">
        <v>20</v>
      </c>
      <c r="L3655">
        <v>20</v>
      </c>
      <c r="M3655">
        <v>20</v>
      </c>
    </row>
    <row r="3656" spans="1:13" x14ac:dyDescent="0.25">
      <c r="A3656" t="s">
        <v>8092</v>
      </c>
      <c r="B3656" t="s">
        <v>8091</v>
      </c>
      <c r="C3656" t="s">
        <v>496</v>
      </c>
      <c r="D3656" t="s">
        <v>4083</v>
      </c>
      <c r="F3656">
        <v>1</v>
      </c>
      <c r="G3656" t="s">
        <v>16</v>
      </c>
      <c r="H3656">
        <v>0</v>
      </c>
      <c r="I3656" s="2" t="s">
        <v>2599</v>
      </c>
      <c r="J3656" s="2" t="s">
        <v>8093</v>
      </c>
      <c r="K3656">
        <v>20</v>
      </c>
      <c r="L3656">
        <v>20</v>
      </c>
      <c r="M3656">
        <v>20</v>
      </c>
    </row>
    <row r="3657" spans="1:13" x14ac:dyDescent="0.25">
      <c r="A3657" t="s">
        <v>8094</v>
      </c>
      <c r="B3657" t="s">
        <v>8095</v>
      </c>
      <c r="C3657" t="s">
        <v>496</v>
      </c>
      <c r="D3657" t="s">
        <v>4083</v>
      </c>
      <c r="F3657">
        <v>1</v>
      </c>
      <c r="G3657" t="s">
        <v>16</v>
      </c>
      <c r="H3657">
        <v>0</v>
      </c>
      <c r="I3657" s="2" t="s">
        <v>64</v>
      </c>
      <c r="J3657" s="2" t="str">
        <f>"01010057"</f>
        <v>01010057</v>
      </c>
      <c r="K3657">
        <v>20</v>
      </c>
      <c r="L3657">
        <v>20</v>
      </c>
      <c r="M3657">
        <v>20</v>
      </c>
    </row>
    <row r="3658" spans="1:13" x14ac:dyDescent="0.25">
      <c r="A3658" t="s">
        <v>8096</v>
      </c>
      <c r="B3658" t="s">
        <v>8097</v>
      </c>
      <c r="C3658" t="s">
        <v>496</v>
      </c>
      <c r="D3658" t="s">
        <v>4083</v>
      </c>
      <c r="F3658">
        <v>1</v>
      </c>
      <c r="G3658" t="s">
        <v>16</v>
      </c>
      <c r="H3658">
        <v>0</v>
      </c>
      <c r="I3658" s="2" t="s">
        <v>64</v>
      </c>
      <c r="J3658" s="2" t="str">
        <f>"01010051"</f>
        <v>01010051</v>
      </c>
      <c r="K3658">
        <v>20</v>
      </c>
      <c r="L3658">
        <v>20</v>
      </c>
      <c r="M3658">
        <v>20</v>
      </c>
    </row>
    <row r="3659" spans="1:13" x14ac:dyDescent="0.25">
      <c r="A3659" t="s">
        <v>8098</v>
      </c>
      <c r="B3659" t="s">
        <v>8099</v>
      </c>
      <c r="C3659" t="s">
        <v>496</v>
      </c>
      <c r="D3659" t="s">
        <v>4083</v>
      </c>
      <c r="G3659" t="s">
        <v>16</v>
      </c>
      <c r="H3659">
        <v>0</v>
      </c>
      <c r="I3659" s="2" t="s">
        <v>64</v>
      </c>
      <c r="J3659" s="2" t="str">
        <f>"01010053"</f>
        <v>01010053</v>
      </c>
      <c r="K3659">
        <v>20</v>
      </c>
      <c r="L3659">
        <v>20</v>
      </c>
      <c r="M3659">
        <v>20</v>
      </c>
    </row>
    <row r="3660" spans="1:13" x14ac:dyDescent="0.25">
      <c r="A3660" t="s">
        <v>8100</v>
      </c>
      <c r="B3660" t="s">
        <v>8101</v>
      </c>
      <c r="C3660" t="s">
        <v>496</v>
      </c>
      <c r="D3660" t="s">
        <v>2360</v>
      </c>
      <c r="F3660">
        <v>1</v>
      </c>
      <c r="G3660" t="s">
        <v>16</v>
      </c>
      <c r="H3660">
        <v>0</v>
      </c>
      <c r="I3660" s="2" t="s">
        <v>64</v>
      </c>
      <c r="J3660" s="2" t="str">
        <f>"01010059"</f>
        <v>01010059</v>
      </c>
      <c r="K3660">
        <v>20</v>
      </c>
      <c r="L3660">
        <v>20</v>
      </c>
      <c r="M3660">
        <v>20</v>
      </c>
    </row>
    <row r="3661" spans="1:13" x14ac:dyDescent="0.25">
      <c r="A3661" t="s">
        <v>8102</v>
      </c>
      <c r="B3661" t="s">
        <v>8103</v>
      </c>
      <c r="C3661" t="s">
        <v>496</v>
      </c>
      <c r="D3661" t="s">
        <v>4083</v>
      </c>
      <c r="F3661">
        <v>0</v>
      </c>
      <c r="G3661" t="s">
        <v>16</v>
      </c>
      <c r="H3661">
        <v>0</v>
      </c>
      <c r="I3661" s="2" t="s">
        <v>87</v>
      </c>
      <c r="J3661" s="2" t="s">
        <v>8104</v>
      </c>
      <c r="K3661">
        <v>20</v>
      </c>
      <c r="L3661">
        <v>20</v>
      </c>
      <c r="M3661">
        <v>20</v>
      </c>
    </row>
    <row r="3662" spans="1:13" x14ac:dyDescent="0.25">
      <c r="A3662" t="s">
        <v>8105</v>
      </c>
      <c r="B3662" t="s">
        <v>8106</v>
      </c>
      <c r="C3662" t="s">
        <v>496</v>
      </c>
      <c r="D3662" t="s">
        <v>4083</v>
      </c>
      <c r="F3662">
        <v>1</v>
      </c>
      <c r="G3662" t="s">
        <v>16</v>
      </c>
      <c r="H3662">
        <v>0</v>
      </c>
      <c r="I3662" s="2" t="s">
        <v>64</v>
      </c>
      <c r="J3662" s="2" t="str">
        <f>"01010339"</f>
        <v>01010339</v>
      </c>
      <c r="K3662">
        <v>20</v>
      </c>
      <c r="L3662">
        <v>20</v>
      </c>
      <c r="M3662">
        <v>20</v>
      </c>
    </row>
    <row r="3663" spans="1:13" x14ac:dyDescent="0.25">
      <c r="A3663" t="s">
        <v>8107</v>
      </c>
      <c r="B3663" t="s">
        <v>8109</v>
      </c>
      <c r="C3663" t="s">
        <v>496</v>
      </c>
      <c r="D3663" t="s">
        <v>4101</v>
      </c>
      <c r="F3663">
        <v>3</v>
      </c>
      <c r="G3663" t="s">
        <v>16</v>
      </c>
      <c r="H3663">
        <v>0</v>
      </c>
      <c r="I3663" s="2" t="s">
        <v>288</v>
      </c>
      <c r="J3663" s="2" t="s">
        <v>8108</v>
      </c>
      <c r="K3663">
        <v>20</v>
      </c>
      <c r="L3663">
        <v>20</v>
      </c>
      <c r="M3663">
        <v>20</v>
      </c>
    </row>
    <row r="3664" spans="1:13" x14ac:dyDescent="0.25">
      <c r="A3664" t="s">
        <v>8110</v>
      </c>
      <c r="B3664" t="s">
        <v>8111</v>
      </c>
      <c r="C3664" t="s">
        <v>496</v>
      </c>
      <c r="D3664" t="s">
        <v>4101</v>
      </c>
      <c r="G3664" t="s">
        <v>16</v>
      </c>
      <c r="H3664">
        <v>0</v>
      </c>
      <c r="I3664" s="2" t="s">
        <v>3808</v>
      </c>
      <c r="J3664" s="2" t="s">
        <v>8112</v>
      </c>
      <c r="K3664">
        <v>20</v>
      </c>
      <c r="L3664">
        <v>20</v>
      </c>
      <c r="M3664">
        <v>20</v>
      </c>
    </row>
    <row r="3665" spans="1:13" x14ac:dyDescent="0.25">
      <c r="A3665" t="s">
        <v>8113</v>
      </c>
      <c r="B3665" t="s">
        <v>8115</v>
      </c>
      <c r="C3665" t="s">
        <v>496</v>
      </c>
      <c r="D3665" t="s">
        <v>4101</v>
      </c>
      <c r="F3665">
        <v>2</v>
      </c>
      <c r="G3665" t="s">
        <v>16</v>
      </c>
      <c r="H3665">
        <v>0</v>
      </c>
      <c r="I3665" s="2" t="s">
        <v>288</v>
      </c>
      <c r="J3665" s="2" t="s">
        <v>8114</v>
      </c>
      <c r="K3665">
        <v>20</v>
      </c>
      <c r="L3665">
        <v>20</v>
      </c>
      <c r="M3665">
        <v>20</v>
      </c>
    </row>
    <row r="3666" spans="1:13" x14ac:dyDescent="0.25">
      <c r="A3666" t="s">
        <v>8116</v>
      </c>
      <c r="B3666" t="s">
        <v>8118</v>
      </c>
      <c r="C3666" t="s">
        <v>496</v>
      </c>
      <c r="D3666" t="s">
        <v>4101</v>
      </c>
      <c r="F3666">
        <v>2</v>
      </c>
      <c r="G3666" t="s">
        <v>16</v>
      </c>
      <c r="H3666">
        <v>0</v>
      </c>
      <c r="I3666" s="2" t="s">
        <v>765</v>
      </c>
      <c r="J3666" s="2" t="s">
        <v>8117</v>
      </c>
      <c r="K3666">
        <v>20</v>
      </c>
      <c r="L3666">
        <v>20</v>
      </c>
      <c r="M3666">
        <v>20</v>
      </c>
    </row>
    <row r="3667" spans="1:13" x14ac:dyDescent="0.25">
      <c r="A3667" t="s">
        <v>8119</v>
      </c>
      <c r="B3667" t="s">
        <v>8120</v>
      </c>
      <c r="C3667" t="s">
        <v>496</v>
      </c>
      <c r="F3667">
        <v>12</v>
      </c>
      <c r="G3667" t="s">
        <v>16</v>
      </c>
      <c r="H3667">
        <v>0</v>
      </c>
      <c r="K3667">
        <v>20</v>
      </c>
      <c r="L3667">
        <v>20</v>
      </c>
      <c r="M3667">
        <v>20</v>
      </c>
    </row>
    <row r="3668" spans="1:13" x14ac:dyDescent="0.25">
      <c r="A3668" t="s">
        <v>8121</v>
      </c>
      <c r="B3668" t="s">
        <v>8123</v>
      </c>
      <c r="C3668" t="s">
        <v>496</v>
      </c>
      <c r="D3668" t="s">
        <v>4101</v>
      </c>
      <c r="F3668">
        <v>3</v>
      </c>
      <c r="G3668" t="s">
        <v>16</v>
      </c>
      <c r="H3668">
        <v>0</v>
      </c>
      <c r="I3668" s="2" t="s">
        <v>288</v>
      </c>
      <c r="J3668" s="2" t="s">
        <v>8122</v>
      </c>
      <c r="K3668">
        <v>20</v>
      </c>
      <c r="L3668">
        <v>20</v>
      </c>
      <c r="M3668">
        <v>20</v>
      </c>
    </row>
    <row r="3669" spans="1:13" x14ac:dyDescent="0.25">
      <c r="A3669" t="s">
        <v>8124</v>
      </c>
      <c r="B3669" t="s">
        <v>8126</v>
      </c>
      <c r="C3669" t="s">
        <v>2493</v>
      </c>
      <c r="D3669" t="s">
        <v>5072</v>
      </c>
      <c r="F3669">
        <v>2</v>
      </c>
      <c r="G3669" t="s">
        <v>16</v>
      </c>
      <c r="H3669">
        <v>0</v>
      </c>
      <c r="I3669" s="2" t="s">
        <v>69</v>
      </c>
      <c r="J3669" s="2" t="s">
        <v>8125</v>
      </c>
      <c r="K3669">
        <v>20</v>
      </c>
      <c r="L3669">
        <v>20</v>
      </c>
      <c r="M3669">
        <v>20</v>
      </c>
    </row>
    <row r="3670" spans="1:13" x14ac:dyDescent="0.25">
      <c r="A3670" t="s">
        <v>8127</v>
      </c>
      <c r="B3670" t="s">
        <v>8126</v>
      </c>
      <c r="C3670" t="s">
        <v>496</v>
      </c>
      <c r="D3670" t="s">
        <v>5864</v>
      </c>
      <c r="F3670">
        <v>2</v>
      </c>
      <c r="G3670" t="s">
        <v>16</v>
      </c>
      <c r="H3670">
        <v>0</v>
      </c>
      <c r="I3670" s="2" t="s">
        <v>277</v>
      </c>
      <c r="J3670" s="2">
        <v>41543</v>
      </c>
      <c r="K3670">
        <v>20</v>
      </c>
      <c r="L3670">
        <v>20</v>
      </c>
      <c r="M3670">
        <v>20</v>
      </c>
    </row>
    <row r="3671" spans="1:13" x14ac:dyDescent="0.25">
      <c r="A3671" t="s">
        <v>8128</v>
      </c>
      <c r="B3671" t="s">
        <v>8129</v>
      </c>
      <c r="C3671" t="s">
        <v>496</v>
      </c>
      <c r="D3671" t="s">
        <v>4083</v>
      </c>
      <c r="F3671">
        <v>1</v>
      </c>
      <c r="G3671" t="s">
        <v>16</v>
      </c>
      <c r="H3671">
        <v>0</v>
      </c>
      <c r="I3671" s="2" t="s">
        <v>737</v>
      </c>
      <c r="J3671" s="2" t="s">
        <v>8130</v>
      </c>
      <c r="K3671">
        <v>20</v>
      </c>
      <c r="L3671">
        <v>20</v>
      </c>
      <c r="M3671">
        <v>20</v>
      </c>
    </row>
    <row r="3672" spans="1:13" x14ac:dyDescent="0.25">
      <c r="A3672" t="s">
        <v>8131</v>
      </c>
      <c r="B3672" t="s">
        <v>8132</v>
      </c>
      <c r="C3672" t="s">
        <v>496</v>
      </c>
      <c r="D3672" t="s">
        <v>4083</v>
      </c>
      <c r="G3672" t="s">
        <v>16</v>
      </c>
      <c r="H3672">
        <v>0</v>
      </c>
      <c r="I3672" s="2" t="s">
        <v>87</v>
      </c>
      <c r="J3672" s="2" t="s">
        <v>8133</v>
      </c>
      <c r="K3672">
        <v>20</v>
      </c>
      <c r="L3672">
        <v>20</v>
      </c>
      <c r="M3672">
        <v>20</v>
      </c>
    </row>
    <row r="3673" spans="1:13" x14ac:dyDescent="0.25">
      <c r="A3673" t="s">
        <v>8134</v>
      </c>
      <c r="B3673" t="s">
        <v>8135</v>
      </c>
      <c r="C3673" t="s">
        <v>2493</v>
      </c>
      <c r="D3673" t="s">
        <v>5864</v>
      </c>
      <c r="F3673">
        <v>4</v>
      </c>
      <c r="G3673" t="s">
        <v>16</v>
      </c>
      <c r="H3673">
        <v>0</v>
      </c>
      <c r="I3673" s="2" t="s">
        <v>277</v>
      </c>
      <c r="J3673" s="2">
        <v>41732</v>
      </c>
      <c r="K3673">
        <v>20</v>
      </c>
      <c r="L3673">
        <v>20</v>
      </c>
      <c r="M3673">
        <v>20</v>
      </c>
    </row>
    <row r="3674" spans="1:13" x14ac:dyDescent="0.25">
      <c r="A3674" t="s">
        <v>8136</v>
      </c>
      <c r="B3674" t="s">
        <v>8137</v>
      </c>
      <c r="C3674" t="s">
        <v>496</v>
      </c>
      <c r="D3674" t="s">
        <v>4083</v>
      </c>
      <c r="F3674">
        <v>2</v>
      </c>
      <c r="G3674" t="s">
        <v>16</v>
      </c>
      <c r="H3674">
        <v>0</v>
      </c>
      <c r="I3674" s="2" t="s">
        <v>2300</v>
      </c>
      <c r="J3674" s="2">
        <v>41586</v>
      </c>
      <c r="K3674">
        <v>20</v>
      </c>
      <c r="L3674">
        <v>20</v>
      </c>
      <c r="M3674">
        <v>20</v>
      </c>
    </row>
    <row r="3675" spans="1:13" x14ac:dyDescent="0.25">
      <c r="A3675" t="s">
        <v>8138</v>
      </c>
      <c r="B3675" t="s">
        <v>8139</v>
      </c>
      <c r="C3675" t="s">
        <v>496</v>
      </c>
      <c r="D3675" t="s">
        <v>4083</v>
      </c>
      <c r="F3675">
        <v>3</v>
      </c>
      <c r="G3675" t="s">
        <v>16</v>
      </c>
      <c r="H3675">
        <v>0</v>
      </c>
      <c r="I3675" s="2" t="s">
        <v>277</v>
      </c>
      <c r="J3675" s="2">
        <v>41500</v>
      </c>
      <c r="K3675">
        <v>20</v>
      </c>
      <c r="L3675">
        <v>20</v>
      </c>
      <c r="M3675">
        <v>20</v>
      </c>
    </row>
    <row r="3676" spans="1:13" x14ac:dyDescent="0.25">
      <c r="A3676" t="s">
        <v>8140</v>
      </c>
      <c r="B3676" t="s">
        <v>8139</v>
      </c>
      <c r="C3676" t="s">
        <v>496</v>
      </c>
      <c r="D3676" t="s">
        <v>5864</v>
      </c>
      <c r="F3676">
        <v>3</v>
      </c>
      <c r="G3676" t="s">
        <v>16</v>
      </c>
      <c r="H3676">
        <v>0</v>
      </c>
      <c r="I3676" s="2" t="s">
        <v>737</v>
      </c>
      <c r="J3676" s="2" t="s">
        <v>8141</v>
      </c>
      <c r="K3676">
        <v>20</v>
      </c>
      <c r="L3676">
        <v>20</v>
      </c>
      <c r="M3676">
        <v>20</v>
      </c>
    </row>
    <row r="3677" spans="1:13" x14ac:dyDescent="0.25">
      <c r="A3677" t="s">
        <v>8142</v>
      </c>
      <c r="B3677" t="s">
        <v>8143</v>
      </c>
      <c r="C3677" t="s">
        <v>496</v>
      </c>
      <c r="D3677" t="s">
        <v>4083</v>
      </c>
      <c r="G3677" t="s">
        <v>16</v>
      </c>
      <c r="H3677">
        <v>0</v>
      </c>
      <c r="I3677" s="2" t="s">
        <v>6847</v>
      </c>
      <c r="J3677" s="2" t="s">
        <v>8144</v>
      </c>
      <c r="K3677">
        <v>20</v>
      </c>
      <c r="L3677">
        <v>20</v>
      </c>
      <c r="M3677">
        <v>20</v>
      </c>
    </row>
    <row r="3678" spans="1:13" x14ac:dyDescent="0.25">
      <c r="A3678" t="s">
        <v>8145</v>
      </c>
      <c r="B3678" t="s">
        <v>8147</v>
      </c>
      <c r="C3678" t="s">
        <v>496</v>
      </c>
      <c r="D3678" t="s">
        <v>4083</v>
      </c>
      <c r="F3678">
        <v>2</v>
      </c>
      <c r="G3678" t="s">
        <v>16</v>
      </c>
      <c r="H3678">
        <v>0</v>
      </c>
      <c r="I3678" s="2" t="s">
        <v>6861</v>
      </c>
      <c r="J3678" s="2" t="s">
        <v>8146</v>
      </c>
      <c r="K3678">
        <v>20</v>
      </c>
      <c r="L3678">
        <v>20</v>
      </c>
      <c r="M3678">
        <v>20</v>
      </c>
    </row>
    <row r="3679" spans="1:13" x14ac:dyDescent="0.25">
      <c r="A3679" t="s">
        <v>8148</v>
      </c>
      <c r="B3679" t="s">
        <v>8147</v>
      </c>
      <c r="C3679" t="s">
        <v>496</v>
      </c>
      <c r="D3679" t="s">
        <v>2360</v>
      </c>
      <c r="F3679">
        <v>2</v>
      </c>
      <c r="G3679" t="s">
        <v>16</v>
      </c>
      <c r="H3679">
        <v>0</v>
      </c>
      <c r="I3679" s="2" t="s">
        <v>277</v>
      </c>
      <c r="J3679" s="2">
        <v>41588</v>
      </c>
      <c r="K3679">
        <v>20</v>
      </c>
      <c r="L3679">
        <v>20</v>
      </c>
      <c r="M3679">
        <v>20</v>
      </c>
    </row>
    <row r="3680" spans="1:13" x14ac:dyDescent="0.25">
      <c r="A3680" t="s">
        <v>8149</v>
      </c>
      <c r="B3680" t="s">
        <v>8147</v>
      </c>
      <c r="C3680" t="s">
        <v>2493</v>
      </c>
      <c r="D3680" t="s">
        <v>5072</v>
      </c>
      <c r="G3680" t="s">
        <v>16</v>
      </c>
      <c r="H3680">
        <v>0</v>
      </c>
      <c r="I3680" s="2" t="s">
        <v>737</v>
      </c>
      <c r="J3680" s="2" t="s">
        <v>8150</v>
      </c>
      <c r="K3680">
        <v>20</v>
      </c>
      <c r="L3680">
        <v>20</v>
      </c>
      <c r="M3680">
        <v>20</v>
      </c>
    </row>
    <row r="3681" spans="1:13" x14ac:dyDescent="0.25">
      <c r="A3681" t="s">
        <v>8151</v>
      </c>
      <c r="B3681" t="s">
        <v>8152</v>
      </c>
      <c r="C3681" t="s">
        <v>2493</v>
      </c>
      <c r="D3681" t="s">
        <v>5864</v>
      </c>
      <c r="F3681">
        <v>2</v>
      </c>
      <c r="G3681" t="s">
        <v>16</v>
      </c>
      <c r="H3681">
        <v>0</v>
      </c>
      <c r="I3681" s="2" t="s">
        <v>8153</v>
      </c>
      <c r="J3681" s="2" t="s">
        <v>8154</v>
      </c>
      <c r="K3681">
        <v>20</v>
      </c>
      <c r="L3681">
        <v>20</v>
      </c>
      <c r="M3681">
        <v>20</v>
      </c>
    </row>
    <row r="3682" spans="1:13" x14ac:dyDescent="0.25">
      <c r="A3682" t="s">
        <v>8155</v>
      </c>
      <c r="B3682" t="s">
        <v>8156</v>
      </c>
      <c r="C3682" t="s">
        <v>496</v>
      </c>
      <c r="D3682" t="s">
        <v>4101</v>
      </c>
      <c r="F3682">
        <v>4</v>
      </c>
      <c r="G3682" t="s">
        <v>16</v>
      </c>
      <c r="H3682">
        <v>0</v>
      </c>
      <c r="I3682" s="2" t="s">
        <v>7939</v>
      </c>
      <c r="J3682" s="2">
        <v>803775</v>
      </c>
      <c r="K3682">
        <v>20</v>
      </c>
      <c r="L3682">
        <v>20</v>
      </c>
      <c r="M3682">
        <v>20</v>
      </c>
    </row>
    <row r="3683" spans="1:13" x14ac:dyDescent="0.25">
      <c r="A3683" t="s">
        <v>8157</v>
      </c>
      <c r="B3683" t="s">
        <v>8158</v>
      </c>
      <c r="C3683" t="s">
        <v>496</v>
      </c>
      <c r="D3683" t="s">
        <v>4101</v>
      </c>
      <c r="F3683">
        <v>3</v>
      </c>
      <c r="G3683" t="s">
        <v>16</v>
      </c>
      <c r="H3683">
        <v>0</v>
      </c>
      <c r="I3683" s="2" t="s">
        <v>64</v>
      </c>
      <c r="J3683" s="2">
        <v>14020032</v>
      </c>
      <c r="K3683">
        <v>20</v>
      </c>
      <c r="L3683">
        <v>20</v>
      </c>
      <c r="M3683">
        <v>20</v>
      </c>
    </row>
    <row r="3684" spans="1:13" x14ac:dyDescent="0.25">
      <c r="A3684" t="s">
        <v>8159</v>
      </c>
      <c r="B3684" t="s">
        <v>8158</v>
      </c>
      <c r="C3684" t="s">
        <v>496</v>
      </c>
      <c r="D3684" t="s">
        <v>4101</v>
      </c>
      <c r="G3684" t="s">
        <v>16</v>
      </c>
      <c r="H3684">
        <v>0</v>
      </c>
      <c r="I3684" s="2" t="s">
        <v>3808</v>
      </c>
      <c r="J3684" s="2" t="s">
        <v>8160</v>
      </c>
      <c r="K3684">
        <v>20</v>
      </c>
      <c r="L3684">
        <v>20</v>
      </c>
      <c r="M3684">
        <v>20</v>
      </c>
    </row>
    <row r="3685" spans="1:13" x14ac:dyDescent="0.25">
      <c r="A3685" t="s">
        <v>8161</v>
      </c>
      <c r="B3685" t="s">
        <v>8162</v>
      </c>
      <c r="C3685" t="s">
        <v>496</v>
      </c>
      <c r="D3685" t="s">
        <v>4101</v>
      </c>
      <c r="G3685" t="s">
        <v>16</v>
      </c>
      <c r="H3685">
        <v>0</v>
      </c>
      <c r="I3685" s="2" t="s">
        <v>414</v>
      </c>
      <c r="J3685" s="2" t="s">
        <v>8163</v>
      </c>
      <c r="K3685">
        <v>20</v>
      </c>
      <c r="L3685">
        <v>20</v>
      </c>
      <c r="M3685">
        <v>20</v>
      </c>
    </row>
    <row r="3686" spans="1:13" x14ac:dyDescent="0.25">
      <c r="A3686" t="s">
        <v>8164</v>
      </c>
      <c r="B3686" t="s">
        <v>8162</v>
      </c>
      <c r="C3686" t="s">
        <v>496</v>
      </c>
      <c r="D3686" t="s">
        <v>4101</v>
      </c>
      <c r="F3686">
        <v>1</v>
      </c>
      <c r="G3686" t="s">
        <v>16</v>
      </c>
      <c r="H3686">
        <v>0</v>
      </c>
      <c r="I3686" s="2" t="s">
        <v>1674</v>
      </c>
      <c r="J3686" s="2" t="s">
        <v>8165</v>
      </c>
      <c r="K3686">
        <v>20</v>
      </c>
      <c r="L3686">
        <v>20</v>
      </c>
      <c r="M3686">
        <v>20</v>
      </c>
    </row>
    <row r="3687" spans="1:13" x14ac:dyDescent="0.25">
      <c r="A3687" t="s">
        <v>8166</v>
      </c>
      <c r="B3687" t="s">
        <v>8168</v>
      </c>
      <c r="C3687" t="s">
        <v>2493</v>
      </c>
      <c r="D3687" t="s">
        <v>5072</v>
      </c>
      <c r="F3687">
        <v>2</v>
      </c>
      <c r="G3687" t="s">
        <v>16</v>
      </c>
      <c r="H3687">
        <v>0</v>
      </c>
      <c r="I3687" s="2" t="s">
        <v>69</v>
      </c>
      <c r="J3687" s="2" t="s">
        <v>8167</v>
      </c>
      <c r="K3687">
        <v>20</v>
      </c>
      <c r="L3687">
        <v>20</v>
      </c>
      <c r="M3687">
        <v>20</v>
      </c>
    </row>
    <row r="3688" spans="1:13" x14ac:dyDescent="0.25">
      <c r="A3688" t="s">
        <v>8169</v>
      </c>
      <c r="B3688" t="s">
        <v>8170</v>
      </c>
      <c r="C3688" t="s">
        <v>496</v>
      </c>
      <c r="D3688" t="s">
        <v>4083</v>
      </c>
      <c r="G3688" t="s">
        <v>16</v>
      </c>
      <c r="H3688">
        <v>0</v>
      </c>
      <c r="I3688" s="2" t="s">
        <v>6847</v>
      </c>
      <c r="J3688" s="2" t="s">
        <v>8171</v>
      </c>
      <c r="K3688">
        <v>20</v>
      </c>
      <c r="L3688">
        <v>20</v>
      </c>
      <c r="M3688">
        <v>20</v>
      </c>
    </row>
    <row r="3689" spans="1:13" x14ac:dyDescent="0.25">
      <c r="A3689" t="s">
        <v>8172</v>
      </c>
      <c r="B3689" t="s">
        <v>8170</v>
      </c>
      <c r="C3689" t="s">
        <v>496</v>
      </c>
      <c r="D3689" t="s">
        <v>5864</v>
      </c>
      <c r="F3689">
        <v>2</v>
      </c>
      <c r="G3689" t="s">
        <v>16</v>
      </c>
      <c r="H3689">
        <v>0</v>
      </c>
      <c r="I3689" s="2" t="s">
        <v>737</v>
      </c>
      <c r="J3689" s="2" t="s">
        <v>8173</v>
      </c>
      <c r="K3689">
        <v>20</v>
      </c>
      <c r="L3689">
        <v>20</v>
      </c>
      <c r="M3689">
        <v>20</v>
      </c>
    </row>
    <row r="3690" spans="1:13" x14ac:dyDescent="0.25">
      <c r="A3690" t="s">
        <v>8174</v>
      </c>
      <c r="B3690" t="s">
        <v>8175</v>
      </c>
      <c r="C3690" t="s">
        <v>2493</v>
      </c>
      <c r="D3690" t="s">
        <v>5072</v>
      </c>
      <c r="G3690" t="s">
        <v>16</v>
      </c>
      <c r="H3690">
        <v>0</v>
      </c>
      <c r="I3690" s="2" t="s">
        <v>8153</v>
      </c>
      <c r="J3690" s="2" t="s">
        <v>8176</v>
      </c>
      <c r="K3690">
        <v>20</v>
      </c>
      <c r="L3690">
        <v>20</v>
      </c>
      <c r="M3690">
        <v>20</v>
      </c>
    </row>
    <row r="3691" spans="1:13" x14ac:dyDescent="0.25">
      <c r="A3691" t="s">
        <v>8177</v>
      </c>
      <c r="B3691" t="s">
        <v>8175</v>
      </c>
      <c r="C3691" t="s">
        <v>2493</v>
      </c>
      <c r="D3691" t="s">
        <v>2360</v>
      </c>
      <c r="F3691">
        <v>1</v>
      </c>
      <c r="G3691" t="s">
        <v>16</v>
      </c>
      <c r="H3691">
        <v>0</v>
      </c>
      <c r="I3691" s="2" t="s">
        <v>277</v>
      </c>
      <c r="J3691" s="2">
        <v>41539</v>
      </c>
      <c r="K3691">
        <v>20</v>
      </c>
      <c r="L3691">
        <v>20</v>
      </c>
      <c r="M3691">
        <v>20</v>
      </c>
    </row>
    <row r="3692" spans="1:13" x14ac:dyDescent="0.25">
      <c r="A3692" t="s">
        <v>8178</v>
      </c>
      <c r="B3692" t="s">
        <v>8175</v>
      </c>
      <c r="C3692" t="s">
        <v>2493</v>
      </c>
      <c r="D3692" t="s">
        <v>5864</v>
      </c>
      <c r="F3692">
        <v>1</v>
      </c>
      <c r="G3692" t="s">
        <v>16</v>
      </c>
      <c r="H3692">
        <v>0</v>
      </c>
      <c r="I3692" s="2" t="s">
        <v>737</v>
      </c>
      <c r="J3692" s="2" t="s">
        <v>8179</v>
      </c>
      <c r="K3692">
        <v>20</v>
      </c>
      <c r="L3692">
        <v>20</v>
      </c>
      <c r="M3692">
        <v>20</v>
      </c>
    </row>
    <row r="3693" spans="1:13" x14ac:dyDescent="0.25">
      <c r="A3693" t="s">
        <v>8180</v>
      </c>
      <c r="B3693" t="s">
        <v>8181</v>
      </c>
      <c r="C3693" t="s">
        <v>496</v>
      </c>
      <c r="D3693" t="s">
        <v>4083</v>
      </c>
      <c r="F3693">
        <v>2</v>
      </c>
      <c r="G3693" t="s">
        <v>16</v>
      </c>
      <c r="H3693">
        <v>0</v>
      </c>
      <c r="I3693" s="2" t="s">
        <v>7102</v>
      </c>
      <c r="J3693" s="2">
        <v>20067</v>
      </c>
      <c r="K3693">
        <v>20</v>
      </c>
      <c r="L3693">
        <v>20</v>
      </c>
      <c r="M3693">
        <v>20</v>
      </c>
    </row>
    <row r="3694" spans="1:13" x14ac:dyDescent="0.25">
      <c r="A3694" t="s">
        <v>8182</v>
      </c>
      <c r="B3694" t="s">
        <v>8181</v>
      </c>
      <c r="C3694" t="s">
        <v>496</v>
      </c>
      <c r="D3694" t="s">
        <v>4083</v>
      </c>
      <c r="F3694">
        <v>2</v>
      </c>
      <c r="G3694" t="s">
        <v>16</v>
      </c>
      <c r="H3694">
        <v>0</v>
      </c>
      <c r="I3694" s="2" t="s">
        <v>6914</v>
      </c>
      <c r="J3694" s="2" t="s">
        <v>8183</v>
      </c>
      <c r="K3694">
        <v>20</v>
      </c>
      <c r="L3694">
        <v>20</v>
      </c>
      <c r="M3694">
        <v>20</v>
      </c>
    </row>
    <row r="3695" spans="1:13" x14ac:dyDescent="0.25">
      <c r="A3695" t="s">
        <v>8184</v>
      </c>
      <c r="B3695" t="s">
        <v>8181</v>
      </c>
      <c r="C3695" t="s">
        <v>496</v>
      </c>
      <c r="D3695" t="s">
        <v>4083</v>
      </c>
      <c r="F3695">
        <v>1</v>
      </c>
      <c r="G3695" t="s">
        <v>16</v>
      </c>
      <c r="H3695">
        <v>0</v>
      </c>
      <c r="I3695" s="2" t="s">
        <v>6861</v>
      </c>
      <c r="J3695" s="2" t="s">
        <v>8185</v>
      </c>
      <c r="K3695">
        <v>20</v>
      </c>
      <c r="L3695">
        <v>20</v>
      </c>
      <c r="M3695">
        <v>20</v>
      </c>
    </row>
    <row r="3696" spans="1:13" x14ac:dyDescent="0.25">
      <c r="A3696" t="s">
        <v>8186</v>
      </c>
      <c r="B3696" t="s">
        <v>8187</v>
      </c>
      <c r="C3696" t="s">
        <v>496</v>
      </c>
      <c r="D3696" t="s">
        <v>4083</v>
      </c>
      <c r="F3696">
        <v>2</v>
      </c>
      <c r="G3696" t="s">
        <v>16</v>
      </c>
      <c r="H3696">
        <v>0</v>
      </c>
      <c r="I3696" s="2" t="s">
        <v>6847</v>
      </c>
      <c r="J3696" s="2">
        <v>15300</v>
      </c>
      <c r="K3696">
        <v>20</v>
      </c>
      <c r="L3696">
        <v>20</v>
      </c>
      <c r="M3696">
        <v>20</v>
      </c>
    </row>
    <row r="3697" spans="1:13" x14ac:dyDescent="0.25">
      <c r="A3697" t="s">
        <v>8188</v>
      </c>
      <c r="B3697" t="s">
        <v>8189</v>
      </c>
      <c r="C3697" t="s">
        <v>496</v>
      </c>
      <c r="D3697" t="s">
        <v>4083</v>
      </c>
      <c r="F3697">
        <v>2</v>
      </c>
      <c r="G3697" t="s">
        <v>16</v>
      </c>
      <c r="H3697">
        <v>0</v>
      </c>
      <c r="I3697" s="2" t="s">
        <v>6847</v>
      </c>
      <c r="J3697" s="2">
        <v>5703</v>
      </c>
      <c r="K3697">
        <v>20</v>
      </c>
      <c r="L3697">
        <v>20</v>
      </c>
      <c r="M3697">
        <v>20</v>
      </c>
    </row>
    <row r="3698" spans="1:13" x14ac:dyDescent="0.25">
      <c r="A3698" t="s">
        <v>8190</v>
      </c>
      <c r="B3698" t="s">
        <v>8191</v>
      </c>
      <c r="C3698" t="s">
        <v>496</v>
      </c>
      <c r="D3698" t="s">
        <v>4101</v>
      </c>
      <c r="G3698" t="s">
        <v>16</v>
      </c>
      <c r="H3698">
        <v>0</v>
      </c>
      <c r="I3698" s="2" t="s">
        <v>8153</v>
      </c>
      <c r="J3698" s="2" t="s">
        <v>8192</v>
      </c>
      <c r="K3698">
        <v>20</v>
      </c>
      <c r="L3698">
        <v>20</v>
      </c>
      <c r="M3698">
        <v>20</v>
      </c>
    </row>
    <row r="3699" spans="1:13" x14ac:dyDescent="0.25">
      <c r="A3699" t="s">
        <v>8193</v>
      </c>
      <c r="B3699" t="s">
        <v>8191</v>
      </c>
      <c r="C3699" t="s">
        <v>496</v>
      </c>
      <c r="D3699" t="s">
        <v>4101</v>
      </c>
      <c r="F3699">
        <v>1</v>
      </c>
      <c r="G3699" t="s">
        <v>16</v>
      </c>
      <c r="H3699">
        <v>0</v>
      </c>
      <c r="I3699" s="2" t="s">
        <v>5249</v>
      </c>
      <c r="J3699" s="2" t="s">
        <v>8194</v>
      </c>
      <c r="K3699">
        <v>20</v>
      </c>
      <c r="L3699">
        <v>20</v>
      </c>
      <c r="M3699">
        <v>20</v>
      </c>
    </row>
    <row r="3700" spans="1:13" x14ac:dyDescent="0.25">
      <c r="A3700" t="s">
        <v>8195</v>
      </c>
      <c r="B3700" t="s">
        <v>8196</v>
      </c>
      <c r="C3700" t="s">
        <v>496</v>
      </c>
      <c r="D3700" t="s">
        <v>4101</v>
      </c>
      <c r="F3700">
        <v>1</v>
      </c>
      <c r="G3700" t="s">
        <v>16</v>
      </c>
      <c r="H3700">
        <v>0</v>
      </c>
      <c r="I3700" s="2" t="s">
        <v>87</v>
      </c>
      <c r="J3700" s="2" t="s">
        <v>8197</v>
      </c>
      <c r="K3700">
        <v>20</v>
      </c>
      <c r="L3700">
        <v>20</v>
      </c>
      <c r="M3700">
        <v>20</v>
      </c>
    </row>
    <row r="3701" spans="1:13" x14ac:dyDescent="0.25">
      <c r="A3701" t="s">
        <v>8198</v>
      </c>
      <c r="B3701" t="s">
        <v>8199</v>
      </c>
      <c r="C3701" t="s">
        <v>496</v>
      </c>
      <c r="F3701">
        <v>2</v>
      </c>
      <c r="G3701" t="s">
        <v>16</v>
      </c>
      <c r="H3701">
        <v>0</v>
      </c>
      <c r="I3701" s="2" t="s">
        <v>87</v>
      </c>
      <c r="J3701" s="2" t="s">
        <v>8200</v>
      </c>
      <c r="K3701">
        <v>20</v>
      </c>
      <c r="L3701">
        <v>20</v>
      </c>
      <c r="M3701">
        <v>20</v>
      </c>
    </row>
    <row r="3702" spans="1:13" x14ac:dyDescent="0.25">
      <c r="A3702" t="s">
        <v>8201</v>
      </c>
      <c r="B3702" t="s">
        <v>8202</v>
      </c>
      <c r="C3702" t="s">
        <v>496</v>
      </c>
      <c r="D3702" t="s">
        <v>4101</v>
      </c>
      <c r="F3702">
        <v>1</v>
      </c>
      <c r="G3702" t="s">
        <v>16</v>
      </c>
      <c r="H3702">
        <v>0</v>
      </c>
      <c r="I3702" s="2" t="s">
        <v>8153</v>
      </c>
      <c r="J3702" s="2" t="s">
        <v>8203</v>
      </c>
      <c r="K3702">
        <v>20</v>
      </c>
      <c r="L3702">
        <v>20</v>
      </c>
      <c r="M3702">
        <v>20</v>
      </c>
    </row>
    <row r="3703" spans="1:13" x14ac:dyDescent="0.25">
      <c r="A3703" t="s">
        <v>8204</v>
      </c>
      <c r="B3703" t="s">
        <v>8205</v>
      </c>
      <c r="C3703" t="s">
        <v>496</v>
      </c>
      <c r="D3703" t="s">
        <v>4101</v>
      </c>
      <c r="G3703" t="s">
        <v>16</v>
      </c>
      <c r="H3703">
        <v>0</v>
      </c>
      <c r="I3703" s="2" t="s">
        <v>285</v>
      </c>
      <c r="J3703" s="2">
        <v>72107</v>
      </c>
      <c r="K3703">
        <v>20</v>
      </c>
      <c r="L3703">
        <v>20</v>
      </c>
      <c r="M3703">
        <v>20</v>
      </c>
    </row>
    <row r="3704" spans="1:13" x14ac:dyDescent="0.25">
      <c r="A3704" t="s">
        <v>8206</v>
      </c>
      <c r="B3704" t="s">
        <v>8207</v>
      </c>
      <c r="C3704" t="s">
        <v>151</v>
      </c>
      <c r="D3704" t="s">
        <v>1381</v>
      </c>
      <c r="F3704">
        <v>0</v>
      </c>
      <c r="G3704" t="s">
        <v>16</v>
      </c>
      <c r="H3704">
        <v>0</v>
      </c>
      <c r="I3704" s="2" t="s">
        <v>2896</v>
      </c>
      <c r="J3704" s="2">
        <v>44111</v>
      </c>
      <c r="K3704">
        <v>20</v>
      </c>
      <c r="L3704">
        <v>20</v>
      </c>
      <c r="M3704">
        <v>20</v>
      </c>
    </row>
    <row r="3705" spans="1:13" x14ac:dyDescent="0.25">
      <c r="A3705" t="s">
        <v>8208</v>
      </c>
      <c r="B3705" t="s">
        <v>8209</v>
      </c>
      <c r="C3705" t="s">
        <v>496</v>
      </c>
      <c r="D3705" t="s">
        <v>4101</v>
      </c>
      <c r="F3705">
        <v>1</v>
      </c>
      <c r="G3705" t="s">
        <v>16</v>
      </c>
      <c r="H3705">
        <v>0</v>
      </c>
      <c r="I3705" s="2" t="s">
        <v>5297</v>
      </c>
      <c r="J3705" s="2" t="s">
        <v>8210</v>
      </c>
      <c r="K3705">
        <v>20</v>
      </c>
      <c r="L3705">
        <v>20</v>
      </c>
      <c r="M3705">
        <v>20</v>
      </c>
    </row>
    <row r="3706" spans="1:13" x14ac:dyDescent="0.25">
      <c r="A3706" t="s">
        <v>8211</v>
      </c>
      <c r="B3706" t="s">
        <v>8209</v>
      </c>
      <c r="C3706" t="s">
        <v>496</v>
      </c>
      <c r="D3706" t="s">
        <v>4101</v>
      </c>
      <c r="F3706">
        <v>2</v>
      </c>
      <c r="G3706" t="s">
        <v>16</v>
      </c>
      <c r="H3706">
        <v>0</v>
      </c>
      <c r="I3706" s="2" t="s">
        <v>3808</v>
      </c>
      <c r="J3706" s="2" t="s">
        <v>8212</v>
      </c>
      <c r="K3706">
        <v>20</v>
      </c>
      <c r="L3706">
        <v>20</v>
      </c>
      <c r="M3706">
        <v>20</v>
      </c>
    </row>
    <row r="3707" spans="1:13" x14ac:dyDescent="0.25">
      <c r="A3707" t="s">
        <v>8213</v>
      </c>
      <c r="B3707" t="s">
        <v>8214</v>
      </c>
      <c r="C3707" t="s">
        <v>496</v>
      </c>
      <c r="D3707" t="s">
        <v>4101</v>
      </c>
      <c r="F3707">
        <v>1</v>
      </c>
      <c r="G3707" t="s">
        <v>16</v>
      </c>
      <c r="H3707">
        <v>0</v>
      </c>
      <c r="I3707" s="2" t="s">
        <v>408</v>
      </c>
      <c r="J3707" s="2" t="s">
        <v>8215</v>
      </c>
      <c r="K3707">
        <v>20</v>
      </c>
      <c r="L3707">
        <v>20</v>
      </c>
      <c r="M3707">
        <v>20</v>
      </c>
    </row>
    <row r="3708" spans="1:13" x14ac:dyDescent="0.25">
      <c r="A3708" t="s">
        <v>8216</v>
      </c>
      <c r="B3708" t="s">
        <v>8217</v>
      </c>
      <c r="C3708" t="s">
        <v>496</v>
      </c>
      <c r="D3708" t="s">
        <v>4101</v>
      </c>
      <c r="F3708">
        <v>2</v>
      </c>
      <c r="G3708" t="s">
        <v>16</v>
      </c>
      <c r="H3708">
        <v>0</v>
      </c>
      <c r="I3708" s="2" t="s">
        <v>2670</v>
      </c>
      <c r="J3708" s="2" t="s">
        <v>8218</v>
      </c>
      <c r="K3708">
        <v>20</v>
      </c>
      <c r="L3708">
        <v>20</v>
      </c>
      <c r="M3708">
        <v>20</v>
      </c>
    </row>
    <row r="3709" spans="1:13" x14ac:dyDescent="0.25">
      <c r="A3709" t="s">
        <v>8219</v>
      </c>
      <c r="B3709" t="s">
        <v>8217</v>
      </c>
      <c r="C3709" t="s">
        <v>496</v>
      </c>
      <c r="D3709" t="s">
        <v>4101</v>
      </c>
      <c r="F3709">
        <v>2</v>
      </c>
      <c r="G3709" t="s">
        <v>16</v>
      </c>
      <c r="H3709">
        <v>0</v>
      </c>
      <c r="I3709" s="2" t="s">
        <v>3808</v>
      </c>
      <c r="J3709" s="2" t="s">
        <v>8220</v>
      </c>
      <c r="K3709">
        <v>20</v>
      </c>
      <c r="L3709">
        <v>20</v>
      </c>
      <c r="M3709">
        <v>20</v>
      </c>
    </row>
    <row r="3710" spans="1:13" x14ac:dyDescent="0.25">
      <c r="A3710" t="s">
        <v>8221</v>
      </c>
      <c r="B3710" t="s">
        <v>8222</v>
      </c>
      <c r="C3710" t="s">
        <v>496</v>
      </c>
      <c r="D3710" t="s">
        <v>4101</v>
      </c>
      <c r="F3710">
        <v>1</v>
      </c>
      <c r="G3710" t="s">
        <v>16</v>
      </c>
      <c r="H3710">
        <v>0</v>
      </c>
      <c r="I3710" s="2" t="s">
        <v>87</v>
      </c>
      <c r="J3710" s="2" t="s">
        <v>8223</v>
      </c>
      <c r="K3710">
        <v>20</v>
      </c>
      <c r="L3710">
        <v>20</v>
      </c>
      <c r="M3710">
        <v>20</v>
      </c>
    </row>
    <row r="3711" spans="1:13" x14ac:dyDescent="0.25">
      <c r="A3711" t="s">
        <v>8224</v>
      </c>
      <c r="B3711" t="s">
        <v>8225</v>
      </c>
      <c r="C3711" t="s">
        <v>496</v>
      </c>
      <c r="D3711" t="s">
        <v>4101</v>
      </c>
      <c r="F3711">
        <v>2</v>
      </c>
      <c r="G3711" t="s">
        <v>16</v>
      </c>
      <c r="H3711">
        <v>0</v>
      </c>
      <c r="I3711" s="2" t="s">
        <v>3808</v>
      </c>
      <c r="J3711" s="2" t="s">
        <v>8226</v>
      </c>
      <c r="K3711">
        <v>20</v>
      </c>
      <c r="L3711">
        <v>20</v>
      </c>
      <c r="M3711">
        <v>20</v>
      </c>
    </row>
    <row r="3712" spans="1:13" x14ac:dyDescent="0.25">
      <c r="A3712" t="s">
        <v>8227</v>
      </c>
      <c r="B3712" t="s">
        <v>8225</v>
      </c>
      <c r="C3712" t="s">
        <v>496</v>
      </c>
      <c r="D3712" t="s">
        <v>4101</v>
      </c>
      <c r="F3712">
        <v>1</v>
      </c>
      <c r="G3712" t="s">
        <v>16</v>
      </c>
      <c r="H3712">
        <v>0</v>
      </c>
      <c r="I3712" s="2" t="s">
        <v>400</v>
      </c>
      <c r="J3712" s="2" t="s">
        <v>8228</v>
      </c>
      <c r="K3712">
        <v>20</v>
      </c>
      <c r="L3712">
        <v>20</v>
      </c>
      <c r="M3712">
        <v>20</v>
      </c>
    </row>
    <row r="3713" spans="1:13" x14ac:dyDescent="0.25">
      <c r="A3713" t="s">
        <v>8229</v>
      </c>
      <c r="B3713" t="s">
        <v>8225</v>
      </c>
      <c r="C3713" t="s">
        <v>496</v>
      </c>
      <c r="D3713" t="s">
        <v>4101</v>
      </c>
      <c r="F3713">
        <v>1</v>
      </c>
      <c r="G3713" t="s">
        <v>16</v>
      </c>
      <c r="H3713">
        <v>0</v>
      </c>
      <c r="I3713" s="2" t="s">
        <v>395</v>
      </c>
      <c r="J3713" s="2" t="s">
        <v>8230</v>
      </c>
      <c r="K3713">
        <v>20</v>
      </c>
      <c r="L3713">
        <v>20</v>
      </c>
      <c r="M3713">
        <v>20</v>
      </c>
    </row>
    <row r="3714" spans="1:13" x14ac:dyDescent="0.25">
      <c r="A3714" t="s">
        <v>8231</v>
      </c>
      <c r="B3714" t="s">
        <v>8232</v>
      </c>
      <c r="C3714" t="s">
        <v>496</v>
      </c>
      <c r="D3714" t="s">
        <v>4101</v>
      </c>
      <c r="F3714">
        <v>2</v>
      </c>
      <c r="G3714" t="s">
        <v>16</v>
      </c>
      <c r="H3714">
        <v>0</v>
      </c>
      <c r="I3714" s="2" t="s">
        <v>4105</v>
      </c>
      <c r="J3714" s="2">
        <v>713151610</v>
      </c>
      <c r="K3714">
        <v>20</v>
      </c>
      <c r="L3714">
        <v>20</v>
      </c>
      <c r="M3714">
        <v>20</v>
      </c>
    </row>
    <row r="3715" spans="1:13" x14ac:dyDescent="0.25">
      <c r="A3715" t="s">
        <v>8233</v>
      </c>
      <c r="B3715" t="s">
        <v>8232</v>
      </c>
      <c r="C3715" t="s">
        <v>496</v>
      </c>
      <c r="D3715" t="s">
        <v>4101</v>
      </c>
      <c r="F3715">
        <v>2</v>
      </c>
      <c r="G3715" t="s">
        <v>16</v>
      </c>
      <c r="H3715">
        <v>0</v>
      </c>
      <c r="I3715" s="2" t="s">
        <v>64</v>
      </c>
      <c r="J3715" s="2">
        <v>14020006</v>
      </c>
      <c r="K3715">
        <v>20</v>
      </c>
      <c r="L3715">
        <v>20</v>
      </c>
      <c r="M3715">
        <v>20</v>
      </c>
    </row>
    <row r="3716" spans="1:13" x14ac:dyDescent="0.25">
      <c r="A3716" t="s">
        <v>8234</v>
      </c>
      <c r="B3716" t="s">
        <v>8235</v>
      </c>
      <c r="C3716" t="s">
        <v>496</v>
      </c>
      <c r="D3716" t="s">
        <v>4101</v>
      </c>
      <c r="F3716">
        <v>2</v>
      </c>
      <c r="G3716" t="s">
        <v>16</v>
      </c>
      <c r="H3716">
        <v>0</v>
      </c>
      <c r="I3716" s="2" t="s">
        <v>2670</v>
      </c>
      <c r="J3716" s="2" t="s">
        <v>8236</v>
      </c>
      <c r="K3716">
        <v>20</v>
      </c>
      <c r="L3716">
        <v>20</v>
      </c>
      <c r="M3716">
        <v>20</v>
      </c>
    </row>
    <row r="3717" spans="1:13" x14ac:dyDescent="0.25">
      <c r="A3717" t="s">
        <v>8237</v>
      </c>
      <c r="B3717" t="s">
        <v>8232</v>
      </c>
      <c r="C3717" t="s">
        <v>496</v>
      </c>
      <c r="D3717" t="s">
        <v>4101</v>
      </c>
      <c r="F3717">
        <v>2</v>
      </c>
      <c r="G3717" t="s">
        <v>16</v>
      </c>
      <c r="H3717">
        <v>0</v>
      </c>
      <c r="I3717" s="2" t="s">
        <v>3808</v>
      </c>
      <c r="J3717" s="2" t="s">
        <v>8238</v>
      </c>
      <c r="K3717">
        <v>20</v>
      </c>
      <c r="L3717">
        <v>20</v>
      </c>
      <c r="M3717">
        <v>20</v>
      </c>
    </row>
    <row r="3718" spans="1:13" x14ac:dyDescent="0.25">
      <c r="A3718" t="s">
        <v>8239</v>
      </c>
      <c r="B3718" t="s">
        <v>8240</v>
      </c>
      <c r="C3718" t="s">
        <v>496</v>
      </c>
      <c r="D3718" t="s">
        <v>4101</v>
      </c>
      <c r="F3718">
        <v>3</v>
      </c>
      <c r="G3718" t="s">
        <v>16</v>
      </c>
      <c r="H3718">
        <v>0</v>
      </c>
      <c r="I3718" s="2" t="s">
        <v>400</v>
      </c>
      <c r="J3718" s="2" t="s">
        <v>8241</v>
      </c>
      <c r="K3718">
        <v>20</v>
      </c>
      <c r="L3718">
        <v>20</v>
      </c>
      <c r="M3718">
        <v>20</v>
      </c>
    </row>
    <row r="3719" spans="1:13" x14ac:dyDescent="0.25">
      <c r="A3719" t="s">
        <v>8242</v>
      </c>
      <c r="B3719" t="s">
        <v>8243</v>
      </c>
      <c r="C3719" t="s">
        <v>362</v>
      </c>
      <c r="D3719" t="s">
        <v>4091</v>
      </c>
      <c r="F3719">
        <v>1</v>
      </c>
      <c r="G3719" t="s">
        <v>16</v>
      </c>
      <c r="H3719">
        <v>0</v>
      </c>
      <c r="I3719" s="2" t="s">
        <v>4182</v>
      </c>
      <c r="J3719" s="2" t="s">
        <v>8244</v>
      </c>
      <c r="K3719">
        <v>20</v>
      </c>
      <c r="L3719">
        <v>20</v>
      </c>
      <c r="M3719">
        <v>20</v>
      </c>
    </row>
    <row r="3720" spans="1:13" x14ac:dyDescent="0.25">
      <c r="A3720" t="s">
        <v>8245</v>
      </c>
      <c r="B3720" t="s">
        <v>8246</v>
      </c>
      <c r="C3720" t="s">
        <v>362</v>
      </c>
      <c r="D3720" t="s">
        <v>363</v>
      </c>
      <c r="F3720">
        <v>1</v>
      </c>
      <c r="G3720" t="s">
        <v>22</v>
      </c>
      <c r="H3720">
        <v>0</v>
      </c>
      <c r="I3720" s="2" t="s">
        <v>707</v>
      </c>
      <c r="J3720" s="2" t="s">
        <v>8247</v>
      </c>
      <c r="K3720">
        <v>20</v>
      </c>
      <c r="L3720">
        <v>20</v>
      </c>
      <c r="M3720">
        <v>20</v>
      </c>
    </row>
    <row r="3721" spans="1:13" x14ac:dyDescent="0.25">
      <c r="A3721" t="s">
        <v>8248</v>
      </c>
      <c r="B3721" t="s">
        <v>8249</v>
      </c>
      <c r="C3721" t="s">
        <v>362</v>
      </c>
      <c r="D3721" t="s">
        <v>4091</v>
      </c>
      <c r="F3721">
        <v>0</v>
      </c>
      <c r="G3721" t="s">
        <v>16</v>
      </c>
      <c r="H3721">
        <v>0</v>
      </c>
      <c r="I3721" s="2" t="s">
        <v>248</v>
      </c>
      <c r="J3721" s="2">
        <v>180118</v>
      </c>
      <c r="K3721">
        <v>20</v>
      </c>
      <c r="L3721">
        <v>20</v>
      </c>
      <c r="M3721">
        <v>20</v>
      </c>
    </row>
    <row r="3722" spans="1:13" x14ac:dyDescent="0.25">
      <c r="A3722" t="s">
        <v>8250</v>
      </c>
      <c r="B3722" t="s">
        <v>8251</v>
      </c>
      <c r="C3722" t="s">
        <v>362</v>
      </c>
      <c r="D3722" t="s">
        <v>1511</v>
      </c>
      <c r="F3722">
        <v>1</v>
      </c>
      <c r="G3722" t="s">
        <v>16</v>
      </c>
      <c r="H3722">
        <v>0</v>
      </c>
      <c r="I3722" s="2" t="s">
        <v>165</v>
      </c>
      <c r="J3722" s="2">
        <v>503995</v>
      </c>
      <c r="K3722">
        <v>20</v>
      </c>
      <c r="L3722">
        <v>20</v>
      </c>
      <c r="M3722">
        <v>20</v>
      </c>
    </row>
    <row r="3723" spans="1:13" x14ac:dyDescent="0.25">
      <c r="A3723" t="s">
        <v>8252</v>
      </c>
      <c r="B3723" t="s">
        <v>8253</v>
      </c>
      <c r="C3723" t="s">
        <v>241</v>
      </c>
      <c r="F3723">
        <v>1</v>
      </c>
      <c r="G3723" t="s">
        <v>16</v>
      </c>
      <c r="H3723">
        <v>0</v>
      </c>
      <c r="I3723" s="2" t="s">
        <v>4193</v>
      </c>
      <c r="J3723" s="2" t="s">
        <v>8254</v>
      </c>
      <c r="K3723">
        <v>20</v>
      </c>
      <c r="L3723">
        <v>20</v>
      </c>
      <c r="M3723">
        <v>20</v>
      </c>
    </row>
    <row r="3724" spans="1:13" x14ac:dyDescent="0.25">
      <c r="A3724" t="s">
        <v>8255</v>
      </c>
      <c r="B3724" t="s">
        <v>8256</v>
      </c>
      <c r="C3724" t="s">
        <v>362</v>
      </c>
      <c r="F3724">
        <v>0</v>
      </c>
      <c r="G3724" t="s">
        <v>16</v>
      </c>
      <c r="H3724">
        <v>0</v>
      </c>
      <c r="I3724" s="2" t="s">
        <v>165</v>
      </c>
      <c r="J3724" s="2">
        <v>503969001</v>
      </c>
      <c r="K3724">
        <v>20</v>
      </c>
      <c r="L3724">
        <v>20</v>
      </c>
      <c r="M3724">
        <v>20</v>
      </c>
    </row>
    <row r="3725" spans="1:13" x14ac:dyDescent="0.25">
      <c r="A3725" t="s">
        <v>8257</v>
      </c>
      <c r="B3725" t="s">
        <v>8258</v>
      </c>
      <c r="C3725" t="s">
        <v>496</v>
      </c>
      <c r="D3725" t="s">
        <v>2360</v>
      </c>
      <c r="F3725">
        <v>1</v>
      </c>
      <c r="G3725" t="s">
        <v>16</v>
      </c>
      <c r="H3725">
        <v>0</v>
      </c>
      <c r="I3725" s="2" t="s">
        <v>5500</v>
      </c>
      <c r="J3725" s="2" t="s">
        <v>8259</v>
      </c>
      <c r="K3725">
        <v>20</v>
      </c>
      <c r="L3725">
        <v>20</v>
      </c>
      <c r="M3725">
        <v>20</v>
      </c>
    </row>
    <row r="3726" spans="1:13" x14ac:dyDescent="0.25">
      <c r="A3726" t="s">
        <v>8260</v>
      </c>
      <c r="B3726" t="s">
        <v>8258</v>
      </c>
      <c r="C3726" t="s">
        <v>2493</v>
      </c>
      <c r="D3726" t="s">
        <v>2360</v>
      </c>
      <c r="G3726" t="s">
        <v>16</v>
      </c>
      <c r="H3726">
        <v>0</v>
      </c>
      <c r="I3726" s="2" t="s">
        <v>491</v>
      </c>
      <c r="J3726" s="2">
        <v>379000370020</v>
      </c>
      <c r="K3726">
        <v>20</v>
      </c>
      <c r="L3726">
        <v>20</v>
      </c>
      <c r="M3726">
        <v>20</v>
      </c>
    </row>
    <row r="3727" spans="1:13" x14ac:dyDescent="0.25">
      <c r="A3727" t="s">
        <v>8261</v>
      </c>
      <c r="B3727" t="s">
        <v>8258</v>
      </c>
      <c r="C3727" t="s">
        <v>496</v>
      </c>
      <c r="D3727" t="s">
        <v>2360</v>
      </c>
      <c r="F3727">
        <v>1</v>
      </c>
      <c r="G3727" t="s">
        <v>16</v>
      </c>
      <c r="H3727">
        <v>0</v>
      </c>
      <c r="I3727" s="2" t="s">
        <v>7654</v>
      </c>
      <c r="J3727" s="2" t="s">
        <v>8262</v>
      </c>
      <c r="K3727">
        <v>20</v>
      </c>
      <c r="L3727">
        <v>20</v>
      </c>
      <c r="M3727">
        <v>20</v>
      </c>
    </row>
    <row r="3728" spans="1:13" x14ac:dyDescent="0.25">
      <c r="A3728" t="s">
        <v>8263</v>
      </c>
      <c r="B3728" t="s">
        <v>8258</v>
      </c>
      <c r="C3728" t="s">
        <v>496</v>
      </c>
      <c r="D3728" t="s">
        <v>2360</v>
      </c>
      <c r="F3728">
        <v>1</v>
      </c>
      <c r="G3728" t="s">
        <v>16</v>
      </c>
      <c r="H3728">
        <v>0</v>
      </c>
      <c r="I3728" s="2" t="s">
        <v>5297</v>
      </c>
      <c r="J3728" s="2" t="s">
        <v>8264</v>
      </c>
      <c r="K3728">
        <v>20</v>
      </c>
      <c r="L3728">
        <v>20</v>
      </c>
      <c r="M3728">
        <v>20</v>
      </c>
    </row>
    <row r="3729" spans="1:13" x14ac:dyDescent="0.25">
      <c r="A3729" t="s">
        <v>8265</v>
      </c>
      <c r="B3729" t="s">
        <v>8266</v>
      </c>
      <c r="C3729" t="s">
        <v>496</v>
      </c>
      <c r="D3729" t="s">
        <v>2360</v>
      </c>
      <c r="F3729">
        <v>1</v>
      </c>
      <c r="G3729" t="s">
        <v>16</v>
      </c>
      <c r="H3729">
        <v>0</v>
      </c>
      <c r="I3729" s="2" t="s">
        <v>5500</v>
      </c>
      <c r="J3729" s="2" t="s">
        <v>8267</v>
      </c>
      <c r="K3729">
        <v>20</v>
      </c>
      <c r="L3729">
        <v>20</v>
      </c>
      <c r="M3729">
        <v>20</v>
      </c>
    </row>
    <row r="3730" spans="1:13" x14ac:dyDescent="0.25">
      <c r="A3730" t="s">
        <v>8268</v>
      </c>
      <c r="B3730" t="s">
        <v>8266</v>
      </c>
      <c r="C3730" t="s">
        <v>2493</v>
      </c>
      <c r="D3730" t="s">
        <v>2360</v>
      </c>
      <c r="G3730" t="s">
        <v>16</v>
      </c>
      <c r="H3730">
        <v>0</v>
      </c>
      <c r="I3730" s="2" t="s">
        <v>491</v>
      </c>
      <c r="J3730" s="2">
        <v>379000360010</v>
      </c>
      <c r="K3730">
        <v>20</v>
      </c>
      <c r="L3730">
        <v>20</v>
      </c>
      <c r="M3730">
        <v>20</v>
      </c>
    </row>
    <row r="3731" spans="1:13" x14ac:dyDescent="0.25">
      <c r="A3731" t="s">
        <v>8269</v>
      </c>
      <c r="B3731" t="s">
        <v>8266</v>
      </c>
      <c r="C3731" t="s">
        <v>496</v>
      </c>
      <c r="D3731" t="s">
        <v>2360</v>
      </c>
      <c r="F3731">
        <v>1</v>
      </c>
      <c r="G3731" t="s">
        <v>16</v>
      </c>
      <c r="H3731">
        <v>0</v>
      </c>
      <c r="I3731" s="2" t="s">
        <v>7654</v>
      </c>
      <c r="J3731" s="2" t="s">
        <v>8270</v>
      </c>
      <c r="K3731">
        <v>20</v>
      </c>
      <c r="L3731">
        <v>20</v>
      </c>
      <c r="M3731">
        <v>20</v>
      </c>
    </row>
    <row r="3732" spans="1:13" x14ac:dyDescent="0.25">
      <c r="A3732" t="s">
        <v>8271</v>
      </c>
      <c r="B3732" t="s">
        <v>8266</v>
      </c>
      <c r="C3732" t="s">
        <v>496</v>
      </c>
      <c r="D3732" t="s">
        <v>2360</v>
      </c>
      <c r="F3732">
        <v>1</v>
      </c>
      <c r="G3732" t="s">
        <v>16</v>
      </c>
      <c r="H3732">
        <v>0</v>
      </c>
      <c r="I3732" s="2" t="s">
        <v>2670</v>
      </c>
      <c r="J3732" s="2" t="s">
        <v>8272</v>
      </c>
      <c r="K3732">
        <v>20</v>
      </c>
      <c r="L3732">
        <v>20</v>
      </c>
      <c r="M3732">
        <v>20</v>
      </c>
    </row>
    <row r="3733" spans="1:13" x14ac:dyDescent="0.25">
      <c r="A3733" t="s">
        <v>8273</v>
      </c>
      <c r="B3733" t="s">
        <v>8275</v>
      </c>
      <c r="C3733" t="s">
        <v>496</v>
      </c>
      <c r="D3733" t="s">
        <v>5856</v>
      </c>
      <c r="F3733">
        <v>2</v>
      </c>
      <c r="G3733" t="s">
        <v>16</v>
      </c>
      <c r="H3733">
        <v>0</v>
      </c>
      <c r="I3733" s="2" t="s">
        <v>288</v>
      </c>
      <c r="J3733" s="2" t="s">
        <v>8274</v>
      </c>
      <c r="K3733">
        <v>20</v>
      </c>
      <c r="L3733">
        <v>20</v>
      </c>
      <c r="M3733">
        <v>20</v>
      </c>
    </row>
    <row r="3734" spans="1:13" x14ac:dyDescent="0.25">
      <c r="A3734" t="s">
        <v>8276</v>
      </c>
      <c r="B3734" t="s">
        <v>8275</v>
      </c>
      <c r="C3734" t="s">
        <v>496</v>
      </c>
      <c r="D3734" t="s">
        <v>2360</v>
      </c>
      <c r="F3734">
        <v>2</v>
      </c>
      <c r="G3734" t="s">
        <v>16</v>
      </c>
      <c r="H3734">
        <v>0</v>
      </c>
      <c r="I3734" s="2" t="s">
        <v>2670</v>
      </c>
      <c r="J3734" s="2" t="s">
        <v>8277</v>
      </c>
      <c r="K3734">
        <v>20</v>
      </c>
      <c r="L3734">
        <v>20</v>
      </c>
      <c r="M3734">
        <v>20</v>
      </c>
    </row>
    <row r="3735" spans="1:13" x14ac:dyDescent="0.25">
      <c r="A3735" t="s">
        <v>8278</v>
      </c>
      <c r="B3735" t="s">
        <v>8275</v>
      </c>
      <c r="C3735" t="s">
        <v>496</v>
      </c>
      <c r="D3735" t="s">
        <v>2360</v>
      </c>
      <c r="F3735">
        <v>2</v>
      </c>
      <c r="G3735" t="s">
        <v>16</v>
      </c>
      <c r="H3735">
        <v>0</v>
      </c>
      <c r="I3735" s="2" t="s">
        <v>7399</v>
      </c>
      <c r="J3735" s="2">
        <v>230574</v>
      </c>
      <c r="K3735">
        <v>20</v>
      </c>
      <c r="L3735">
        <v>20</v>
      </c>
      <c r="M3735">
        <v>20</v>
      </c>
    </row>
    <row r="3736" spans="1:13" x14ac:dyDescent="0.25">
      <c r="A3736" t="s">
        <v>8279</v>
      </c>
      <c r="B3736" t="s">
        <v>8281</v>
      </c>
      <c r="C3736" t="s">
        <v>496</v>
      </c>
      <c r="D3736" t="s">
        <v>5856</v>
      </c>
      <c r="F3736">
        <v>2</v>
      </c>
      <c r="G3736" t="s">
        <v>16</v>
      </c>
      <c r="H3736">
        <v>0</v>
      </c>
      <c r="I3736" s="2" t="s">
        <v>288</v>
      </c>
      <c r="J3736" s="2" t="s">
        <v>8280</v>
      </c>
      <c r="K3736">
        <v>20</v>
      </c>
      <c r="L3736">
        <v>20</v>
      </c>
      <c r="M3736">
        <v>20</v>
      </c>
    </row>
    <row r="3737" spans="1:13" x14ac:dyDescent="0.25">
      <c r="A3737" t="s">
        <v>8282</v>
      </c>
      <c r="B3737" t="s">
        <v>8281</v>
      </c>
      <c r="C3737" t="s">
        <v>496</v>
      </c>
      <c r="D3737" t="s">
        <v>2360</v>
      </c>
      <c r="F3737">
        <v>2</v>
      </c>
      <c r="G3737" t="s">
        <v>16</v>
      </c>
      <c r="H3737">
        <v>0</v>
      </c>
      <c r="I3737" s="2" t="s">
        <v>5297</v>
      </c>
      <c r="J3737" s="2" t="s">
        <v>8283</v>
      </c>
      <c r="K3737">
        <v>20</v>
      </c>
      <c r="L3737">
        <v>20</v>
      </c>
      <c r="M3737">
        <v>20</v>
      </c>
    </row>
    <row r="3738" spans="1:13" x14ac:dyDescent="0.25">
      <c r="A3738" t="s">
        <v>8284</v>
      </c>
      <c r="B3738" t="s">
        <v>8281</v>
      </c>
      <c r="C3738" t="s">
        <v>496</v>
      </c>
      <c r="D3738" t="s">
        <v>2360</v>
      </c>
      <c r="G3738" t="s">
        <v>16</v>
      </c>
      <c r="H3738">
        <v>0</v>
      </c>
      <c r="I3738" s="2" t="s">
        <v>5688</v>
      </c>
      <c r="J3738" s="2">
        <v>230575</v>
      </c>
      <c r="K3738">
        <v>20</v>
      </c>
      <c r="L3738">
        <v>20</v>
      </c>
      <c r="M3738">
        <v>20</v>
      </c>
    </row>
    <row r="3739" spans="1:13" x14ac:dyDescent="0.25">
      <c r="A3739" t="s">
        <v>8285</v>
      </c>
      <c r="B3739" t="s">
        <v>8286</v>
      </c>
      <c r="C3739" t="s">
        <v>496</v>
      </c>
      <c r="D3739" t="s">
        <v>2360</v>
      </c>
      <c r="G3739" t="s">
        <v>16</v>
      </c>
      <c r="H3739">
        <v>0</v>
      </c>
      <c r="I3739" s="2" t="s">
        <v>737</v>
      </c>
      <c r="J3739" s="2" t="s">
        <v>8287</v>
      </c>
      <c r="K3739">
        <v>20</v>
      </c>
      <c r="L3739">
        <v>20</v>
      </c>
      <c r="M3739">
        <v>20</v>
      </c>
    </row>
    <row r="3740" spans="1:13" x14ac:dyDescent="0.25">
      <c r="A3740" t="s">
        <v>8288</v>
      </c>
      <c r="B3740" t="s">
        <v>8289</v>
      </c>
      <c r="C3740" t="s">
        <v>496</v>
      </c>
      <c r="D3740" t="s">
        <v>2360</v>
      </c>
      <c r="G3740" t="s">
        <v>16</v>
      </c>
      <c r="H3740">
        <v>0</v>
      </c>
      <c r="I3740" s="2" t="s">
        <v>288</v>
      </c>
      <c r="J3740" s="2">
        <v>320253116</v>
      </c>
      <c r="K3740">
        <v>20</v>
      </c>
      <c r="L3740">
        <v>20</v>
      </c>
      <c r="M3740">
        <v>20</v>
      </c>
    </row>
    <row r="3741" spans="1:13" x14ac:dyDescent="0.25">
      <c r="A3741" t="s">
        <v>8290</v>
      </c>
      <c r="B3741" t="s">
        <v>8289</v>
      </c>
      <c r="C3741" t="s">
        <v>496</v>
      </c>
      <c r="D3741" t="s">
        <v>2360</v>
      </c>
      <c r="F3741">
        <v>0</v>
      </c>
      <c r="G3741" t="s">
        <v>16</v>
      </c>
      <c r="H3741">
        <v>0</v>
      </c>
      <c r="I3741" s="2" t="s">
        <v>64</v>
      </c>
      <c r="J3741" s="2">
        <v>15010046</v>
      </c>
      <c r="K3741">
        <v>20</v>
      </c>
      <c r="L3741">
        <v>20</v>
      </c>
      <c r="M3741">
        <v>20</v>
      </c>
    </row>
    <row r="3742" spans="1:13" x14ac:dyDescent="0.25">
      <c r="A3742" t="s">
        <v>8291</v>
      </c>
      <c r="B3742" t="s">
        <v>8289</v>
      </c>
      <c r="C3742" t="s">
        <v>496</v>
      </c>
      <c r="D3742" t="s">
        <v>2360</v>
      </c>
      <c r="G3742" t="s">
        <v>16</v>
      </c>
      <c r="H3742">
        <v>0</v>
      </c>
      <c r="I3742" s="2" t="s">
        <v>7654</v>
      </c>
      <c r="J3742" s="2" t="s">
        <v>8292</v>
      </c>
      <c r="K3742">
        <v>20</v>
      </c>
      <c r="L3742">
        <v>20</v>
      </c>
      <c r="M3742">
        <v>20</v>
      </c>
    </row>
    <row r="3743" spans="1:13" x14ac:dyDescent="0.25">
      <c r="A3743" t="s">
        <v>8293</v>
      </c>
      <c r="B3743" t="s">
        <v>8294</v>
      </c>
      <c r="C3743" t="s">
        <v>496</v>
      </c>
      <c r="D3743" t="s">
        <v>2360</v>
      </c>
      <c r="F3743">
        <v>0</v>
      </c>
      <c r="G3743" t="s">
        <v>16</v>
      </c>
      <c r="H3743">
        <v>0</v>
      </c>
      <c r="I3743" s="2" t="s">
        <v>5297</v>
      </c>
      <c r="J3743" s="2" t="s">
        <v>8295</v>
      </c>
      <c r="K3743">
        <v>20</v>
      </c>
      <c r="L3743">
        <v>20</v>
      </c>
      <c r="M3743">
        <v>20</v>
      </c>
    </row>
    <row r="3744" spans="1:13" x14ac:dyDescent="0.25">
      <c r="A3744" t="s">
        <v>8296</v>
      </c>
      <c r="B3744" t="s">
        <v>8289</v>
      </c>
      <c r="C3744" t="s">
        <v>496</v>
      </c>
      <c r="D3744" t="s">
        <v>2360</v>
      </c>
      <c r="F3744">
        <v>2</v>
      </c>
      <c r="G3744" t="s">
        <v>16</v>
      </c>
      <c r="H3744">
        <v>0</v>
      </c>
      <c r="I3744" s="2" t="s">
        <v>5044</v>
      </c>
      <c r="J3744" s="2" t="s">
        <v>8297</v>
      </c>
      <c r="K3744">
        <v>20</v>
      </c>
      <c r="L3744">
        <v>20</v>
      </c>
      <c r="M3744">
        <v>20</v>
      </c>
    </row>
    <row r="3745" spans="1:13" x14ac:dyDescent="0.25">
      <c r="A3745" t="s">
        <v>8298</v>
      </c>
      <c r="B3745" t="s">
        <v>8300</v>
      </c>
      <c r="C3745" t="s">
        <v>496</v>
      </c>
      <c r="D3745" t="s">
        <v>2360</v>
      </c>
      <c r="F3745">
        <v>2</v>
      </c>
      <c r="G3745" t="s">
        <v>16</v>
      </c>
      <c r="H3745">
        <v>0</v>
      </c>
      <c r="I3745" s="2" t="s">
        <v>288</v>
      </c>
      <c r="J3745" s="2" t="s">
        <v>8299</v>
      </c>
      <c r="K3745">
        <v>20</v>
      </c>
      <c r="L3745">
        <v>20</v>
      </c>
      <c r="M3745">
        <v>20</v>
      </c>
    </row>
    <row r="3746" spans="1:13" x14ac:dyDescent="0.25">
      <c r="A3746" t="s">
        <v>8301</v>
      </c>
      <c r="B3746" t="s">
        <v>8302</v>
      </c>
      <c r="C3746" t="s">
        <v>496</v>
      </c>
      <c r="D3746" t="s">
        <v>5856</v>
      </c>
      <c r="G3746" t="s">
        <v>16</v>
      </c>
      <c r="H3746">
        <v>0</v>
      </c>
      <c r="I3746" s="2" t="s">
        <v>288</v>
      </c>
      <c r="J3746" s="2">
        <v>320265116</v>
      </c>
      <c r="K3746">
        <v>20</v>
      </c>
      <c r="L3746">
        <v>20</v>
      </c>
      <c r="M3746">
        <v>20</v>
      </c>
    </row>
    <row r="3747" spans="1:13" x14ac:dyDescent="0.25">
      <c r="A3747" t="s">
        <v>8303</v>
      </c>
      <c r="B3747" t="s">
        <v>8304</v>
      </c>
      <c r="C3747" t="s">
        <v>496</v>
      </c>
      <c r="D3747" t="s">
        <v>2360</v>
      </c>
      <c r="G3747" t="s">
        <v>16</v>
      </c>
      <c r="H3747">
        <v>0</v>
      </c>
      <c r="I3747" s="2" t="s">
        <v>8305</v>
      </c>
      <c r="J3747" s="2" t="s">
        <v>8306</v>
      </c>
      <c r="K3747">
        <v>20</v>
      </c>
      <c r="L3747">
        <v>20</v>
      </c>
      <c r="M3747">
        <v>20</v>
      </c>
    </row>
    <row r="3748" spans="1:13" x14ac:dyDescent="0.25">
      <c r="A3748" t="s">
        <v>8307</v>
      </c>
      <c r="B3748" t="s">
        <v>8308</v>
      </c>
      <c r="C3748" t="s">
        <v>2493</v>
      </c>
      <c r="D3748" t="s">
        <v>5856</v>
      </c>
      <c r="G3748" t="s">
        <v>16</v>
      </c>
      <c r="H3748">
        <v>0</v>
      </c>
      <c r="I3748" s="2" t="s">
        <v>7654</v>
      </c>
      <c r="J3748" s="2" t="s">
        <v>8309</v>
      </c>
      <c r="K3748">
        <v>20</v>
      </c>
      <c r="L3748">
        <v>20</v>
      </c>
      <c r="M3748">
        <v>20</v>
      </c>
    </row>
    <row r="3749" spans="1:13" x14ac:dyDescent="0.25">
      <c r="A3749" t="s">
        <v>8310</v>
      </c>
      <c r="B3749" t="s">
        <v>8308</v>
      </c>
      <c r="C3749" t="s">
        <v>2493</v>
      </c>
      <c r="D3749" t="s">
        <v>2360</v>
      </c>
      <c r="G3749" t="s">
        <v>16</v>
      </c>
      <c r="H3749">
        <v>0</v>
      </c>
      <c r="I3749" s="2" t="s">
        <v>5297</v>
      </c>
      <c r="J3749" s="2" t="s">
        <v>8311</v>
      </c>
      <c r="K3749">
        <v>20</v>
      </c>
      <c r="L3749">
        <v>20</v>
      </c>
      <c r="M3749">
        <v>20</v>
      </c>
    </row>
    <row r="3750" spans="1:13" x14ac:dyDescent="0.25">
      <c r="A3750" t="s">
        <v>8312</v>
      </c>
      <c r="B3750" t="s">
        <v>8314</v>
      </c>
      <c r="C3750" t="s">
        <v>496</v>
      </c>
      <c r="D3750" t="s">
        <v>2360</v>
      </c>
      <c r="F3750">
        <v>2</v>
      </c>
      <c r="G3750" t="s">
        <v>16</v>
      </c>
      <c r="H3750">
        <v>0</v>
      </c>
      <c r="I3750" s="2" t="s">
        <v>288</v>
      </c>
      <c r="J3750" s="2" t="s">
        <v>8313</v>
      </c>
      <c r="K3750">
        <v>20</v>
      </c>
      <c r="L3750">
        <v>20</v>
      </c>
      <c r="M3750">
        <v>20</v>
      </c>
    </row>
    <row r="3751" spans="1:13" x14ac:dyDescent="0.25">
      <c r="A3751" t="s">
        <v>8315</v>
      </c>
      <c r="B3751" t="s">
        <v>8314</v>
      </c>
      <c r="C3751" t="s">
        <v>496</v>
      </c>
      <c r="D3751" t="s">
        <v>2360</v>
      </c>
      <c r="F3751">
        <v>1</v>
      </c>
      <c r="G3751" t="s">
        <v>16</v>
      </c>
      <c r="H3751">
        <v>0</v>
      </c>
      <c r="I3751" s="2" t="s">
        <v>64</v>
      </c>
      <c r="J3751" s="2">
        <v>15010201</v>
      </c>
      <c r="K3751">
        <v>20</v>
      </c>
      <c r="L3751">
        <v>20</v>
      </c>
      <c r="M3751">
        <v>20</v>
      </c>
    </row>
    <row r="3752" spans="1:13" x14ac:dyDescent="0.25">
      <c r="A3752" t="s">
        <v>8316</v>
      </c>
      <c r="B3752" t="s">
        <v>8314</v>
      </c>
      <c r="C3752" t="s">
        <v>496</v>
      </c>
      <c r="D3752" t="s">
        <v>2360</v>
      </c>
      <c r="G3752" t="s">
        <v>16</v>
      </c>
      <c r="H3752">
        <v>0</v>
      </c>
      <c r="I3752" s="2" t="s">
        <v>8317</v>
      </c>
      <c r="J3752" s="2" t="s">
        <v>8318</v>
      </c>
      <c r="K3752">
        <v>20</v>
      </c>
      <c r="L3752">
        <v>20</v>
      </c>
      <c r="M3752">
        <v>20</v>
      </c>
    </row>
    <row r="3753" spans="1:13" x14ac:dyDescent="0.25">
      <c r="A3753" t="s">
        <v>8319</v>
      </c>
      <c r="B3753" t="s">
        <v>8314</v>
      </c>
      <c r="C3753" t="s">
        <v>496</v>
      </c>
      <c r="D3753" t="s">
        <v>2360</v>
      </c>
      <c r="F3753">
        <v>1</v>
      </c>
      <c r="G3753" t="s">
        <v>16</v>
      </c>
      <c r="H3753">
        <v>0</v>
      </c>
      <c r="I3753" s="2" t="s">
        <v>5297</v>
      </c>
      <c r="J3753" s="2" t="s">
        <v>8320</v>
      </c>
      <c r="K3753">
        <v>20</v>
      </c>
      <c r="L3753">
        <v>20</v>
      </c>
      <c r="M3753">
        <v>20</v>
      </c>
    </row>
    <row r="3754" spans="1:13" x14ac:dyDescent="0.25">
      <c r="A3754" t="s">
        <v>8321</v>
      </c>
      <c r="B3754" t="s">
        <v>8314</v>
      </c>
      <c r="C3754" t="s">
        <v>496</v>
      </c>
      <c r="D3754" t="s">
        <v>2360</v>
      </c>
      <c r="F3754">
        <v>0</v>
      </c>
      <c r="G3754" t="s">
        <v>16</v>
      </c>
      <c r="H3754">
        <v>0</v>
      </c>
      <c r="I3754" s="2" t="s">
        <v>7399</v>
      </c>
      <c r="J3754" s="2">
        <v>560468</v>
      </c>
      <c r="K3754">
        <v>20</v>
      </c>
      <c r="L3754">
        <v>20</v>
      </c>
      <c r="M3754">
        <v>20</v>
      </c>
    </row>
    <row r="3755" spans="1:13" x14ac:dyDescent="0.25">
      <c r="A3755" t="s">
        <v>8322</v>
      </c>
      <c r="B3755" t="s">
        <v>8324</v>
      </c>
      <c r="C3755" t="s">
        <v>496</v>
      </c>
      <c r="D3755" t="s">
        <v>2360</v>
      </c>
      <c r="G3755" t="s">
        <v>16</v>
      </c>
      <c r="H3755">
        <v>0</v>
      </c>
      <c r="I3755" s="2" t="s">
        <v>8325</v>
      </c>
      <c r="J3755" s="2" t="s">
        <v>8323</v>
      </c>
      <c r="K3755">
        <v>20</v>
      </c>
      <c r="L3755">
        <v>20</v>
      </c>
      <c r="M3755">
        <v>20</v>
      </c>
    </row>
    <row r="3756" spans="1:13" x14ac:dyDescent="0.25">
      <c r="A3756" t="s">
        <v>8326</v>
      </c>
      <c r="B3756" t="s">
        <v>8314</v>
      </c>
      <c r="C3756" t="s">
        <v>496</v>
      </c>
      <c r="D3756" t="s">
        <v>2360</v>
      </c>
      <c r="F3756">
        <v>1</v>
      </c>
      <c r="G3756" t="s">
        <v>16</v>
      </c>
      <c r="H3756">
        <v>0</v>
      </c>
      <c r="I3756" s="2" t="s">
        <v>5057</v>
      </c>
      <c r="J3756" s="2" t="s">
        <v>8327</v>
      </c>
      <c r="K3756">
        <v>20</v>
      </c>
      <c r="L3756">
        <v>20</v>
      </c>
      <c r="M3756">
        <v>20</v>
      </c>
    </row>
    <row r="3757" spans="1:13" x14ac:dyDescent="0.25">
      <c r="A3757" t="s">
        <v>8328</v>
      </c>
      <c r="B3757" t="s">
        <v>8330</v>
      </c>
      <c r="C3757" t="s">
        <v>496</v>
      </c>
      <c r="D3757" t="s">
        <v>2360</v>
      </c>
      <c r="F3757">
        <v>1</v>
      </c>
      <c r="G3757" t="s">
        <v>16</v>
      </c>
      <c r="H3757">
        <v>0</v>
      </c>
      <c r="I3757" s="2" t="s">
        <v>288</v>
      </c>
      <c r="J3757" s="2" t="s">
        <v>8329</v>
      </c>
      <c r="K3757">
        <v>20</v>
      </c>
      <c r="L3757">
        <v>20</v>
      </c>
      <c r="M3757">
        <v>20</v>
      </c>
    </row>
    <row r="3758" spans="1:13" x14ac:dyDescent="0.25">
      <c r="A3758" t="s">
        <v>8331</v>
      </c>
      <c r="B3758" t="s">
        <v>8330</v>
      </c>
      <c r="C3758" t="s">
        <v>496</v>
      </c>
      <c r="D3758" t="s">
        <v>2360</v>
      </c>
      <c r="F3758">
        <v>1</v>
      </c>
      <c r="G3758" t="s">
        <v>16</v>
      </c>
      <c r="H3758">
        <v>0</v>
      </c>
      <c r="I3758" s="2" t="s">
        <v>64</v>
      </c>
      <c r="J3758" s="2">
        <v>15010200</v>
      </c>
      <c r="K3758">
        <v>20</v>
      </c>
      <c r="L3758">
        <v>20</v>
      </c>
      <c r="M3758">
        <v>20</v>
      </c>
    </row>
    <row r="3759" spans="1:13" x14ac:dyDescent="0.25">
      <c r="A3759" t="s">
        <v>8332</v>
      </c>
      <c r="B3759" t="s">
        <v>8330</v>
      </c>
      <c r="C3759" t="s">
        <v>496</v>
      </c>
      <c r="D3759" t="s">
        <v>2360</v>
      </c>
      <c r="G3759" t="s">
        <v>16</v>
      </c>
      <c r="H3759">
        <v>0</v>
      </c>
      <c r="I3759" s="2" t="s">
        <v>8317</v>
      </c>
      <c r="J3759" s="2" t="s">
        <v>8333</v>
      </c>
      <c r="K3759">
        <v>20</v>
      </c>
      <c r="L3759">
        <v>20</v>
      </c>
      <c r="M3759">
        <v>20</v>
      </c>
    </row>
    <row r="3760" spans="1:13" x14ac:dyDescent="0.25">
      <c r="A3760" t="s">
        <v>8334</v>
      </c>
      <c r="B3760" t="s">
        <v>8330</v>
      </c>
      <c r="C3760" t="s">
        <v>2493</v>
      </c>
      <c r="D3760" t="s">
        <v>2360</v>
      </c>
      <c r="F3760">
        <v>2</v>
      </c>
      <c r="G3760" t="s">
        <v>16</v>
      </c>
      <c r="H3760">
        <v>0</v>
      </c>
      <c r="I3760" s="2" t="s">
        <v>5297</v>
      </c>
      <c r="J3760" s="2" t="s">
        <v>8335</v>
      </c>
      <c r="K3760">
        <v>20</v>
      </c>
      <c r="L3760">
        <v>20</v>
      </c>
      <c r="M3760">
        <v>20</v>
      </c>
    </row>
    <row r="3761" spans="1:13" x14ac:dyDescent="0.25">
      <c r="A3761" t="s">
        <v>8336</v>
      </c>
      <c r="B3761" t="s">
        <v>8330</v>
      </c>
      <c r="C3761" t="s">
        <v>496</v>
      </c>
      <c r="D3761" t="s">
        <v>2360</v>
      </c>
      <c r="F3761">
        <v>0</v>
      </c>
      <c r="G3761" t="s">
        <v>16</v>
      </c>
      <c r="H3761">
        <v>0</v>
      </c>
      <c r="I3761" s="2" t="s">
        <v>7399</v>
      </c>
      <c r="J3761" s="2">
        <v>560469</v>
      </c>
      <c r="K3761">
        <v>20</v>
      </c>
      <c r="L3761">
        <v>20</v>
      </c>
      <c r="M3761">
        <v>20</v>
      </c>
    </row>
    <row r="3762" spans="1:13" x14ac:dyDescent="0.25">
      <c r="A3762" t="s">
        <v>8337</v>
      </c>
      <c r="B3762" t="s">
        <v>8330</v>
      </c>
      <c r="C3762" t="s">
        <v>496</v>
      </c>
      <c r="D3762" t="s">
        <v>2360</v>
      </c>
      <c r="G3762" t="s">
        <v>16</v>
      </c>
      <c r="H3762">
        <v>0</v>
      </c>
      <c r="I3762" s="2" t="s">
        <v>8325</v>
      </c>
      <c r="J3762" s="2" t="s">
        <v>8338</v>
      </c>
      <c r="K3762">
        <v>20</v>
      </c>
      <c r="L3762">
        <v>20</v>
      </c>
      <c r="M3762">
        <v>20</v>
      </c>
    </row>
    <row r="3763" spans="1:13" x14ac:dyDescent="0.25">
      <c r="A3763" t="s">
        <v>8339</v>
      </c>
      <c r="B3763" t="s">
        <v>8330</v>
      </c>
      <c r="C3763" t="s">
        <v>496</v>
      </c>
      <c r="D3763" t="s">
        <v>2360</v>
      </c>
      <c r="F3763">
        <v>1</v>
      </c>
      <c r="G3763" t="s">
        <v>16</v>
      </c>
      <c r="H3763">
        <v>0</v>
      </c>
      <c r="I3763" s="2" t="s">
        <v>5057</v>
      </c>
      <c r="J3763" s="2" t="s">
        <v>8340</v>
      </c>
      <c r="K3763">
        <v>20</v>
      </c>
      <c r="L3763">
        <v>20</v>
      </c>
      <c r="M3763">
        <v>20</v>
      </c>
    </row>
    <row r="3764" spans="1:13" x14ac:dyDescent="0.25">
      <c r="A3764" t="s">
        <v>8341</v>
      </c>
      <c r="B3764" t="s">
        <v>8330</v>
      </c>
      <c r="C3764" t="s">
        <v>496</v>
      </c>
      <c r="D3764" t="s">
        <v>2360</v>
      </c>
      <c r="F3764">
        <v>1</v>
      </c>
      <c r="G3764" t="s">
        <v>16</v>
      </c>
      <c r="H3764">
        <v>0</v>
      </c>
      <c r="I3764" s="2" t="s">
        <v>5044</v>
      </c>
      <c r="J3764" s="2" t="s">
        <v>8342</v>
      </c>
      <c r="K3764">
        <v>20</v>
      </c>
      <c r="L3764">
        <v>20</v>
      </c>
      <c r="M3764">
        <v>20</v>
      </c>
    </row>
    <row r="3765" spans="1:13" x14ac:dyDescent="0.25">
      <c r="A3765" t="s">
        <v>8343</v>
      </c>
      <c r="B3765" t="s">
        <v>8344</v>
      </c>
      <c r="C3765" t="s">
        <v>2493</v>
      </c>
      <c r="D3765" t="s">
        <v>2360</v>
      </c>
      <c r="G3765" t="s">
        <v>16</v>
      </c>
      <c r="H3765">
        <v>0</v>
      </c>
      <c r="I3765" s="2" t="s">
        <v>245</v>
      </c>
      <c r="J3765" s="2" t="s">
        <v>8345</v>
      </c>
      <c r="K3765">
        <v>20</v>
      </c>
      <c r="L3765">
        <v>20</v>
      </c>
      <c r="M3765">
        <v>20</v>
      </c>
    </row>
    <row r="3766" spans="1:13" x14ac:dyDescent="0.25">
      <c r="A3766" t="s">
        <v>8346</v>
      </c>
      <c r="B3766" t="s">
        <v>8347</v>
      </c>
      <c r="C3766" t="s">
        <v>496</v>
      </c>
      <c r="D3766" t="s">
        <v>2360</v>
      </c>
      <c r="F3766">
        <v>3</v>
      </c>
      <c r="G3766" t="s">
        <v>16</v>
      </c>
      <c r="H3766">
        <v>0</v>
      </c>
      <c r="I3766" s="2" t="s">
        <v>5500</v>
      </c>
      <c r="J3766" s="2" t="s">
        <v>8348</v>
      </c>
      <c r="K3766">
        <v>20</v>
      </c>
      <c r="L3766">
        <v>20</v>
      </c>
      <c r="M3766">
        <v>20</v>
      </c>
    </row>
    <row r="3767" spans="1:13" x14ac:dyDescent="0.25">
      <c r="A3767" t="s">
        <v>8349</v>
      </c>
      <c r="B3767" t="s">
        <v>8347</v>
      </c>
      <c r="C3767" t="s">
        <v>496</v>
      </c>
      <c r="D3767" t="s">
        <v>2360</v>
      </c>
      <c r="G3767" t="s">
        <v>16</v>
      </c>
      <c r="H3767">
        <v>0</v>
      </c>
      <c r="I3767" s="2" t="s">
        <v>6078</v>
      </c>
      <c r="J3767" s="2" t="s">
        <v>8350</v>
      </c>
      <c r="K3767">
        <v>20</v>
      </c>
      <c r="L3767">
        <v>20</v>
      </c>
      <c r="M3767">
        <v>20</v>
      </c>
    </row>
    <row r="3768" spans="1:13" x14ac:dyDescent="0.25">
      <c r="A3768" t="s">
        <v>8351</v>
      </c>
      <c r="B3768" t="s">
        <v>8347</v>
      </c>
      <c r="C3768" t="s">
        <v>496</v>
      </c>
      <c r="D3768" t="s">
        <v>2360</v>
      </c>
      <c r="F3768">
        <v>0</v>
      </c>
      <c r="G3768" t="s">
        <v>16</v>
      </c>
      <c r="H3768">
        <v>0</v>
      </c>
      <c r="I3768" s="2" t="s">
        <v>2670</v>
      </c>
      <c r="J3768" s="2" t="s">
        <v>8352</v>
      </c>
      <c r="K3768">
        <v>20</v>
      </c>
      <c r="L3768">
        <v>20</v>
      </c>
      <c r="M3768">
        <v>20</v>
      </c>
    </row>
    <row r="3769" spans="1:13" x14ac:dyDescent="0.25">
      <c r="A3769" t="s">
        <v>8353</v>
      </c>
      <c r="B3769" t="s">
        <v>8347</v>
      </c>
      <c r="C3769" t="s">
        <v>496</v>
      </c>
      <c r="D3769" t="s">
        <v>2360</v>
      </c>
      <c r="G3769" t="s">
        <v>16</v>
      </c>
      <c r="H3769">
        <v>0</v>
      </c>
      <c r="I3769" s="2" t="s">
        <v>5688</v>
      </c>
      <c r="J3769" s="2">
        <v>313480</v>
      </c>
      <c r="K3769">
        <v>20</v>
      </c>
      <c r="L3769">
        <v>20</v>
      </c>
      <c r="M3769">
        <v>20</v>
      </c>
    </row>
    <row r="3770" spans="1:13" x14ac:dyDescent="0.25">
      <c r="A3770" t="s">
        <v>8354</v>
      </c>
      <c r="B3770" t="s">
        <v>8355</v>
      </c>
      <c r="C3770" t="s">
        <v>496</v>
      </c>
      <c r="D3770" t="s">
        <v>2360</v>
      </c>
      <c r="F3770">
        <v>2</v>
      </c>
      <c r="G3770" t="s">
        <v>16</v>
      </c>
      <c r="H3770">
        <v>0</v>
      </c>
      <c r="I3770" s="2" t="s">
        <v>5500</v>
      </c>
      <c r="J3770" s="2" t="s">
        <v>8356</v>
      </c>
      <c r="K3770">
        <v>20</v>
      </c>
      <c r="L3770">
        <v>20</v>
      </c>
      <c r="M3770">
        <v>20</v>
      </c>
    </row>
    <row r="3771" spans="1:13" x14ac:dyDescent="0.25">
      <c r="A3771" t="s">
        <v>8357</v>
      </c>
      <c r="B3771" t="s">
        <v>8355</v>
      </c>
      <c r="C3771" t="s">
        <v>496</v>
      </c>
      <c r="D3771" t="s">
        <v>2360</v>
      </c>
      <c r="G3771" t="s">
        <v>16</v>
      </c>
      <c r="H3771">
        <v>0</v>
      </c>
      <c r="I3771" s="2" t="s">
        <v>6078</v>
      </c>
      <c r="J3771" s="2" t="s">
        <v>8358</v>
      </c>
      <c r="K3771">
        <v>20</v>
      </c>
      <c r="L3771">
        <v>20</v>
      </c>
      <c r="M3771">
        <v>20</v>
      </c>
    </row>
    <row r="3772" spans="1:13" x14ac:dyDescent="0.25">
      <c r="A3772" t="s">
        <v>8359</v>
      </c>
      <c r="B3772" t="s">
        <v>8355</v>
      </c>
      <c r="C3772" t="s">
        <v>496</v>
      </c>
      <c r="D3772" t="s">
        <v>2360</v>
      </c>
      <c r="F3772">
        <v>0</v>
      </c>
      <c r="G3772" t="s">
        <v>16</v>
      </c>
      <c r="H3772">
        <v>0</v>
      </c>
      <c r="I3772" s="2" t="s">
        <v>2670</v>
      </c>
      <c r="J3772" s="2" t="s">
        <v>8360</v>
      </c>
      <c r="K3772">
        <v>20</v>
      </c>
      <c r="L3772">
        <v>20</v>
      </c>
      <c r="M3772">
        <v>20</v>
      </c>
    </row>
    <row r="3773" spans="1:13" x14ac:dyDescent="0.25">
      <c r="A3773" t="s">
        <v>8361</v>
      </c>
      <c r="B3773" t="s">
        <v>8355</v>
      </c>
      <c r="C3773" t="s">
        <v>496</v>
      </c>
      <c r="D3773" t="s">
        <v>2360</v>
      </c>
      <c r="G3773" t="s">
        <v>16</v>
      </c>
      <c r="H3773">
        <v>0</v>
      </c>
      <c r="I3773" s="2" t="s">
        <v>5688</v>
      </c>
      <c r="J3773" s="2">
        <v>313478</v>
      </c>
      <c r="K3773">
        <v>20</v>
      </c>
      <c r="L3773">
        <v>20</v>
      </c>
      <c r="M3773">
        <v>20</v>
      </c>
    </row>
    <row r="3774" spans="1:13" x14ac:dyDescent="0.25">
      <c r="A3774" t="s">
        <v>8362</v>
      </c>
      <c r="B3774" t="s">
        <v>8364</v>
      </c>
      <c r="C3774" t="s">
        <v>496</v>
      </c>
      <c r="D3774" t="s">
        <v>2360</v>
      </c>
      <c r="F3774">
        <v>2</v>
      </c>
      <c r="G3774" t="s">
        <v>16</v>
      </c>
      <c r="H3774">
        <v>0</v>
      </c>
      <c r="I3774" s="2" t="s">
        <v>765</v>
      </c>
      <c r="J3774" s="2" t="s">
        <v>8363</v>
      </c>
      <c r="K3774">
        <v>20</v>
      </c>
      <c r="L3774">
        <v>20</v>
      </c>
      <c r="M3774">
        <v>20</v>
      </c>
    </row>
    <row r="3775" spans="1:13" x14ac:dyDescent="0.25">
      <c r="A3775" t="s">
        <v>8365</v>
      </c>
      <c r="B3775" t="s">
        <v>8364</v>
      </c>
      <c r="C3775" t="s">
        <v>496</v>
      </c>
      <c r="D3775" t="s">
        <v>2360</v>
      </c>
      <c r="G3775" t="s">
        <v>16</v>
      </c>
      <c r="H3775">
        <v>0</v>
      </c>
      <c r="I3775" s="2" t="s">
        <v>7399</v>
      </c>
      <c r="J3775" s="2">
        <v>312601</v>
      </c>
      <c r="K3775">
        <v>20</v>
      </c>
      <c r="L3775">
        <v>20</v>
      </c>
      <c r="M3775">
        <v>20</v>
      </c>
    </row>
    <row r="3776" spans="1:13" x14ac:dyDescent="0.25">
      <c r="A3776" t="s">
        <v>8366</v>
      </c>
      <c r="B3776" t="s">
        <v>8368</v>
      </c>
      <c r="C3776" t="s">
        <v>496</v>
      </c>
      <c r="D3776" t="s">
        <v>2360</v>
      </c>
      <c r="F3776">
        <v>2</v>
      </c>
      <c r="G3776" t="s">
        <v>16</v>
      </c>
      <c r="H3776">
        <v>0</v>
      </c>
      <c r="I3776" s="2" t="s">
        <v>765</v>
      </c>
      <c r="J3776" s="2" t="s">
        <v>8367</v>
      </c>
      <c r="K3776">
        <v>20</v>
      </c>
      <c r="L3776">
        <v>20</v>
      </c>
      <c r="M3776">
        <v>20</v>
      </c>
    </row>
    <row r="3777" spans="1:13" x14ac:dyDescent="0.25">
      <c r="A3777" t="s">
        <v>8369</v>
      </c>
      <c r="B3777" t="s">
        <v>8370</v>
      </c>
      <c r="C3777" t="s">
        <v>496</v>
      </c>
      <c r="D3777" t="s">
        <v>2360</v>
      </c>
      <c r="F3777">
        <v>1</v>
      </c>
      <c r="G3777" t="s">
        <v>16</v>
      </c>
      <c r="H3777">
        <v>0</v>
      </c>
      <c r="I3777" s="2" t="s">
        <v>2670</v>
      </c>
      <c r="J3777" s="2" t="s">
        <v>8371</v>
      </c>
      <c r="K3777">
        <v>20</v>
      </c>
      <c r="L3777">
        <v>20</v>
      </c>
      <c r="M3777">
        <v>20</v>
      </c>
    </row>
    <row r="3778" spans="1:13" x14ac:dyDescent="0.25">
      <c r="A3778" t="s">
        <v>8372</v>
      </c>
      <c r="B3778" t="s">
        <v>8368</v>
      </c>
      <c r="C3778" t="s">
        <v>496</v>
      </c>
      <c r="D3778" t="s">
        <v>2360</v>
      </c>
      <c r="F3778">
        <v>1</v>
      </c>
      <c r="G3778" t="s">
        <v>16</v>
      </c>
      <c r="H3778">
        <v>0</v>
      </c>
      <c r="I3778" s="2" t="s">
        <v>7399</v>
      </c>
      <c r="J3778" s="2">
        <v>312602</v>
      </c>
      <c r="K3778">
        <v>20</v>
      </c>
      <c r="L3778">
        <v>20</v>
      </c>
      <c r="M3778">
        <v>20</v>
      </c>
    </row>
    <row r="3779" spans="1:13" x14ac:dyDescent="0.25">
      <c r="A3779" t="s">
        <v>8373</v>
      </c>
      <c r="B3779" t="s">
        <v>8375</v>
      </c>
      <c r="C3779" t="s">
        <v>496</v>
      </c>
      <c r="D3779" t="s">
        <v>2360</v>
      </c>
      <c r="G3779" t="s">
        <v>16</v>
      </c>
      <c r="H3779">
        <v>0</v>
      </c>
      <c r="I3779" s="2" t="s">
        <v>288</v>
      </c>
      <c r="J3779" s="2" t="s">
        <v>8374</v>
      </c>
      <c r="K3779">
        <v>20</v>
      </c>
      <c r="L3779">
        <v>20</v>
      </c>
      <c r="M3779">
        <v>20</v>
      </c>
    </row>
    <row r="3780" spans="1:13" x14ac:dyDescent="0.25">
      <c r="A3780" t="s">
        <v>8376</v>
      </c>
      <c r="B3780" t="s">
        <v>8378</v>
      </c>
      <c r="C3780" t="s">
        <v>496</v>
      </c>
      <c r="D3780" t="s">
        <v>2360</v>
      </c>
      <c r="F3780">
        <v>8</v>
      </c>
      <c r="G3780" t="s">
        <v>16</v>
      </c>
      <c r="H3780">
        <v>0</v>
      </c>
      <c r="I3780" s="2" t="s">
        <v>765</v>
      </c>
      <c r="J3780" s="2" t="s">
        <v>8377</v>
      </c>
      <c r="K3780">
        <v>20</v>
      </c>
      <c r="L3780">
        <v>20</v>
      </c>
      <c r="M3780">
        <v>20</v>
      </c>
    </row>
    <row r="3781" spans="1:13" x14ac:dyDescent="0.25">
      <c r="A3781" t="s">
        <v>8379</v>
      </c>
      <c r="B3781" t="s">
        <v>8378</v>
      </c>
      <c r="C3781" t="s">
        <v>496</v>
      </c>
      <c r="D3781" t="s">
        <v>2360</v>
      </c>
      <c r="F3781">
        <v>0</v>
      </c>
      <c r="G3781" t="s">
        <v>16</v>
      </c>
      <c r="H3781">
        <v>0</v>
      </c>
      <c r="I3781" s="2" t="s">
        <v>64</v>
      </c>
      <c r="J3781" s="2">
        <v>10010328</v>
      </c>
      <c r="K3781">
        <v>20</v>
      </c>
      <c r="L3781">
        <v>20</v>
      </c>
      <c r="M3781">
        <v>20</v>
      </c>
    </row>
    <row r="3782" spans="1:13" x14ac:dyDescent="0.25">
      <c r="A3782" t="s">
        <v>8380</v>
      </c>
      <c r="B3782" t="s">
        <v>8382</v>
      </c>
      <c r="C3782" t="s">
        <v>496</v>
      </c>
      <c r="D3782" t="s">
        <v>2360</v>
      </c>
      <c r="G3782" t="s">
        <v>16</v>
      </c>
      <c r="H3782">
        <v>0</v>
      </c>
      <c r="I3782" s="2" t="s">
        <v>288</v>
      </c>
      <c r="J3782" s="2" t="s">
        <v>8381</v>
      </c>
      <c r="K3782">
        <v>20</v>
      </c>
      <c r="L3782">
        <v>20</v>
      </c>
      <c r="M3782">
        <v>20</v>
      </c>
    </row>
    <row r="3783" spans="1:13" x14ac:dyDescent="0.25">
      <c r="A3783" t="s">
        <v>8383</v>
      </c>
      <c r="B3783" t="s">
        <v>8385</v>
      </c>
      <c r="C3783" t="s">
        <v>496</v>
      </c>
      <c r="D3783" t="s">
        <v>2360</v>
      </c>
      <c r="F3783">
        <v>6</v>
      </c>
      <c r="G3783" t="s">
        <v>16</v>
      </c>
      <c r="H3783">
        <v>0</v>
      </c>
      <c r="I3783" s="2" t="s">
        <v>288</v>
      </c>
      <c r="J3783" s="2" t="s">
        <v>8384</v>
      </c>
      <c r="K3783">
        <v>20</v>
      </c>
      <c r="L3783">
        <v>20</v>
      </c>
      <c r="M3783">
        <v>20</v>
      </c>
    </row>
    <row r="3784" spans="1:13" x14ac:dyDescent="0.25">
      <c r="A3784" t="s">
        <v>8386</v>
      </c>
      <c r="B3784" t="s">
        <v>8387</v>
      </c>
      <c r="C3784" t="s">
        <v>496</v>
      </c>
      <c r="D3784" t="s">
        <v>2360</v>
      </c>
      <c r="F3784">
        <v>3</v>
      </c>
      <c r="G3784" t="s">
        <v>16</v>
      </c>
      <c r="H3784">
        <v>0</v>
      </c>
      <c r="I3784" s="2" t="b">
        <v>1</v>
      </c>
      <c r="J3784" s="2" t="s">
        <v>8388</v>
      </c>
      <c r="K3784">
        <v>20</v>
      </c>
      <c r="L3784">
        <v>20</v>
      </c>
      <c r="M3784">
        <v>20</v>
      </c>
    </row>
    <row r="3785" spans="1:13" x14ac:dyDescent="0.25">
      <c r="A3785" t="s">
        <v>8389</v>
      </c>
      <c r="B3785" t="s">
        <v>8387</v>
      </c>
      <c r="C3785" t="s">
        <v>496</v>
      </c>
      <c r="D3785" t="s">
        <v>2360</v>
      </c>
      <c r="F3785">
        <v>2</v>
      </c>
      <c r="G3785" t="s">
        <v>16</v>
      </c>
      <c r="H3785">
        <v>0</v>
      </c>
      <c r="I3785" s="2" t="s">
        <v>5249</v>
      </c>
      <c r="J3785" s="2" t="s">
        <v>8390</v>
      </c>
      <c r="K3785">
        <v>20</v>
      </c>
      <c r="L3785">
        <v>20</v>
      </c>
      <c r="M3785">
        <v>20</v>
      </c>
    </row>
    <row r="3786" spans="1:13" x14ac:dyDescent="0.25">
      <c r="A3786" t="s">
        <v>8391</v>
      </c>
      <c r="B3786" t="s">
        <v>8387</v>
      </c>
      <c r="C3786" t="s">
        <v>2493</v>
      </c>
      <c r="D3786" t="s">
        <v>2360</v>
      </c>
      <c r="F3786">
        <v>1</v>
      </c>
      <c r="G3786" t="s">
        <v>16</v>
      </c>
      <c r="H3786">
        <v>0</v>
      </c>
      <c r="I3786" s="2" t="s">
        <v>486</v>
      </c>
      <c r="J3786" s="2">
        <v>40940632</v>
      </c>
      <c r="K3786">
        <v>20</v>
      </c>
      <c r="L3786">
        <v>20</v>
      </c>
      <c r="M3786">
        <v>20</v>
      </c>
    </row>
    <row r="3787" spans="1:13" x14ac:dyDescent="0.25">
      <c r="A3787" t="s">
        <v>8392</v>
      </c>
      <c r="B3787" t="s">
        <v>8387</v>
      </c>
      <c r="C3787" t="s">
        <v>2493</v>
      </c>
      <c r="D3787" t="s">
        <v>2360</v>
      </c>
      <c r="G3787" t="s">
        <v>16</v>
      </c>
      <c r="H3787">
        <v>0</v>
      </c>
      <c r="I3787" s="2" t="s">
        <v>737</v>
      </c>
      <c r="J3787" s="2" t="s">
        <v>8393</v>
      </c>
      <c r="K3787">
        <v>20</v>
      </c>
      <c r="L3787">
        <v>20</v>
      </c>
      <c r="M3787">
        <v>20</v>
      </c>
    </row>
    <row r="3788" spans="1:13" x14ac:dyDescent="0.25">
      <c r="A3788" t="s">
        <v>8394</v>
      </c>
      <c r="B3788" t="s">
        <v>8395</v>
      </c>
      <c r="C3788" t="s">
        <v>496</v>
      </c>
      <c r="D3788" t="s">
        <v>2360</v>
      </c>
      <c r="F3788">
        <v>2</v>
      </c>
      <c r="G3788" t="s">
        <v>16</v>
      </c>
      <c r="H3788">
        <v>0</v>
      </c>
      <c r="I3788" s="2" t="s">
        <v>288</v>
      </c>
      <c r="J3788" s="2">
        <v>320042116</v>
      </c>
      <c r="K3788">
        <v>20</v>
      </c>
      <c r="L3788">
        <v>20</v>
      </c>
      <c r="M3788">
        <v>20</v>
      </c>
    </row>
    <row r="3789" spans="1:13" x14ac:dyDescent="0.25">
      <c r="A3789" t="s">
        <v>8396</v>
      </c>
      <c r="B3789" t="s">
        <v>8395</v>
      </c>
      <c r="C3789" t="s">
        <v>496</v>
      </c>
      <c r="D3789" t="s">
        <v>2360</v>
      </c>
      <c r="G3789" t="s">
        <v>16</v>
      </c>
      <c r="H3789">
        <v>0</v>
      </c>
      <c r="I3789" s="2" t="s">
        <v>5085</v>
      </c>
      <c r="J3789" s="2" t="s">
        <v>8397</v>
      </c>
      <c r="K3789">
        <v>20</v>
      </c>
      <c r="L3789">
        <v>20</v>
      </c>
      <c r="M3789">
        <v>20</v>
      </c>
    </row>
    <row r="3790" spans="1:13" x14ac:dyDescent="0.25">
      <c r="A3790" t="s">
        <v>8398</v>
      </c>
      <c r="B3790" t="s">
        <v>8395</v>
      </c>
      <c r="C3790" t="s">
        <v>2493</v>
      </c>
      <c r="D3790" t="s">
        <v>2360</v>
      </c>
      <c r="G3790" t="s">
        <v>16</v>
      </c>
      <c r="H3790">
        <v>0</v>
      </c>
      <c r="I3790" s="2" t="s">
        <v>737</v>
      </c>
      <c r="J3790" s="2" t="s">
        <v>8399</v>
      </c>
      <c r="K3790">
        <v>20</v>
      </c>
      <c r="L3790">
        <v>20</v>
      </c>
      <c r="M3790">
        <v>20</v>
      </c>
    </row>
    <row r="3791" spans="1:13" x14ac:dyDescent="0.25">
      <c r="A3791" t="s">
        <v>8400</v>
      </c>
      <c r="B3791" t="s">
        <v>8401</v>
      </c>
      <c r="C3791" t="s">
        <v>496</v>
      </c>
      <c r="D3791" t="s">
        <v>2360</v>
      </c>
      <c r="F3791">
        <v>2</v>
      </c>
      <c r="G3791" t="s">
        <v>16</v>
      </c>
      <c r="H3791">
        <v>0</v>
      </c>
      <c r="I3791" s="2" t="s">
        <v>4105</v>
      </c>
      <c r="J3791" s="2">
        <v>713001020</v>
      </c>
      <c r="K3791">
        <v>20</v>
      </c>
      <c r="L3791">
        <v>20</v>
      </c>
      <c r="M3791">
        <v>20</v>
      </c>
    </row>
    <row r="3792" spans="1:13" x14ac:dyDescent="0.25">
      <c r="A3792" t="s">
        <v>8402</v>
      </c>
      <c r="B3792" t="s">
        <v>8401</v>
      </c>
      <c r="C3792" t="s">
        <v>496</v>
      </c>
      <c r="D3792" t="s">
        <v>2360</v>
      </c>
      <c r="F3792">
        <v>6</v>
      </c>
      <c r="G3792" t="s">
        <v>16</v>
      </c>
      <c r="H3792">
        <v>0</v>
      </c>
      <c r="I3792" s="2" t="s">
        <v>1538</v>
      </c>
      <c r="J3792" s="2">
        <v>6140340008</v>
      </c>
      <c r="K3792">
        <v>20</v>
      </c>
      <c r="L3792">
        <v>20</v>
      </c>
      <c r="M3792">
        <v>20</v>
      </c>
    </row>
    <row r="3793" spans="1:13" x14ac:dyDescent="0.25">
      <c r="A3793" t="s">
        <v>8403</v>
      </c>
      <c r="B3793" t="s">
        <v>8401</v>
      </c>
      <c r="C3793" t="s">
        <v>496</v>
      </c>
      <c r="D3793" t="s">
        <v>2360</v>
      </c>
      <c r="G3793" t="s">
        <v>16</v>
      </c>
      <c r="H3793">
        <v>0</v>
      </c>
      <c r="I3793" s="2" t="s">
        <v>408</v>
      </c>
      <c r="J3793" s="2" t="s">
        <v>8404</v>
      </c>
      <c r="K3793">
        <v>20</v>
      </c>
      <c r="L3793">
        <v>20</v>
      </c>
      <c r="M3793">
        <v>20</v>
      </c>
    </row>
    <row r="3794" spans="1:13" x14ac:dyDescent="0.25">
      <c r="A3794" t="s">
        <v>8405</v>
      </c>
      <c r="B3794" t="s">
        <v>8407</v>
      </c>
      <c r="C3794" t="s">
        <v>496</v>
      </c>
      <c r="D3794" t="s">
        <v>2360</v>
      </c>
      <c r="F3794">
        <v>2</v>
      </c>
      <c r="G3794" t="s">
        <v>16</v>
      </c>
      <c r="H3794">
        <v>0</v>
      </c>
      <c r="I3794" s="2" t="s">
        <v>765</v>
      </c>
      <c r="J3794" s="2" t="s">
        <v>8406</v>
      </c>
      <c r="K3794">
        <v>20</v>
      </c>
      <c r="L3794">
        <v>20</v>
      </c>
      <c r="M3794">
        <v>20</v>
      </c>
    </row>
    <row r="3795" spans="1:13" x14ac:dyDescent="0.25">
      <c r="A3795" t="s">
        <v>8408</v>
      </c>
      <c r="B3795" t="s">
        <v>8407</v>
      </c>
      <c r="C3795" t="s">
        <v>2493</v>
      </c>
      <c r="D3795" t="s">
        <v>2360</v>
      </c>
      <c r="F3795">
        <v>2</v>
      </c>
      <c r="G3795" t="s">
        <v>16</v>
      </c>
      <c r="H3795">
        <v>0</v>
      </c>
      <c r="I3795" s="2" t="s">
        <v>5085</v>
      </c>
      <c r="J3795" s="2" t="s">
        <v>8409</v>
      </c>
      <c r="K3795">
        <v>20</v>
      </c>
      <c r="L3795">
        <v>20</v>
      </c>
      <c r="M3795">
        <v>20</v>
      </c>
    </row>
    <row r="3796" spans="1:13" x14ac:dyDescent="0.25">
      <c r="A3796" t="s">
        <v>8410</v>
      </c>
      <c r="B3796" t="s">
        <v>8407</v>
      </c>
      <c r="C3796" t="s">
        <v>496</v>
      </c>
      <c r="D3796" t="s">
        <v>2360</v>
      </c>
      <c r="F3796">
        <v>0</v>
      </c>
      <c r="G3796" t="s">
        <v>16</v>
      </c>
      <c r="H3796">
        <v>0</v>
      </c>
      <c r="I3796" s="2" t="s">
        <v>64</v>
      </c>
      <c r="J3796" s="2">
        <v>10010239</v>
      </c>
      <c r="K3796">
        <v>20</v>
      </c>
      <c r="L3796">
        <v>20</v>
      </c>
      <c r="M3796">
        <v>20</v>
      </c>
    </row>
    <row r="3797" spans="1:13" x14ac:dyDescent="0.25">
      <c r="A3797" t="s">
        <v>8411</v>
      </c>
      <c r="B3797" t="s">
        <v>8407</v>
      </c>
      <c r="C3797" t="s">
        <v>2493</v>
      </c>
      <c r="D3797" t="s">
        <v>2360</v>
      </c>
      <c r="G3797" t="s">
        <v>16</v>
      </c>
      <c r="H3797">
        <v>0</v>
      </c>
      <c r="I3797" s="2" t="s">
        <v>245</v>
      </c>
      <c r="J3797" s="2" t="s">
        <v>8412</v>
      </c>
      <c r="K3797">
        <v>20</v>
      </c>
      <c r="L3797">
        <v>20</v>
      </c>
      <c r="M3797">
        <v>20</v>
      </c>
    </row>
    <row r="3798" spans="1:13" x14ac:dyDescent="0.25">
      <c r="A3798" t="s">
        <v>8413</v>
      </c>
      <c r="B3798" t="s">
        <v>8407</v>
      </c>
      <c r="C3798" t="s">
        <v>496</v>
      </c>
      <c r="D3798" t="s">
        <v>2360</v>
      </c>
      <c r="G3798" t="s">
        <v>16</v>
      </c>
      <c r="H3798">
        <v>0</v>
      </c>
      <c r="I3798" s="2" t="s">
        <v>5688</v>
      </c>
      <c r="J3798" s="2">
        <v>802039</v>
      </c>
      <c r="K3798">
        <v>20</v>
      </c>
      <c r="L3798">
        <v>20</v>
      </c>
      <c r="M3798">
        <v>20</v>
      </c>
    </row>
    <row r="3799" spans="1:13" x14ac:dyDescent="0.25">
      <c r="A3799" t="s">
        <v>8414</v>
      </c>
      <c r="B3799" t="s">
        <v>8407</v>
      </c>
      <c r="C3799" t="s">
        <v>496</v>
      </c>
      <c r="D3799" t="s">
        <v>2360</v>
      </c>
      <c r="F3799">
        <v>2</v>
      </c>
      <c r="G3799" t="s">
        <v>16</v>
      </c>
      <c r="H3799">
        <v>0</v>
      </c>
      <c r="I3799" s="2" t="s">
        <v>165</v>
      </c>
      <c r="J3799" s="2" t="s">
        <v>8415</v>
      </c>
      <c r="K3799">
        <v>20</v>
      </c>
      <c r="L3799">
        <v>20</v>
      </c>
      <c r="M3799">
        <v>20</v>
      </c>
    </row>
    <row r="3800" spans="1:13" x14ac:dyDescent="0.25">
      <c r="A3800" t="s">
        <v>8416</v>
      </c>
      <c r="B3800" t="s">
        <v>8407</v>
      </c>
      <c r="C3800" t="s">
        <v>496</v>
      </c>
      <c r="D3800" t="s">
        <v>2360</v>
      </c>
      <c r="G3800" t="s">
        <v>16</v>
      </c>
      <c r="H3800">
        <v>0</v>
      </c>
      <c r="I3800" s="2" t="s">
        <v>737</v>
      </c>
      <c r="J3800" s="2" t="s">
        <v>8417</v>
      </c>
      <c r="K3800">
        <v>20</v>
      </c>
      <c r="L3800">
        <v>20</v>
      </c>
      <c r="M3800">
        <v>20</v>
      </c>
    </row>
    <row r="3801" spans="1:13" x14ac:dyDescent="0.25">
      <c r="A3801" t="s">
        <v>8418</v>
      </c>
      <c r="B3801" t="s">
        <v>8419</v>
      </c>
      <c r="C3801" t="s">
        <v>496</v>
      </c>
      <c r="D3801" t="s">
        <v>2360</v>
      </c>
      <c r="F3801">
        <v>2</v>
      </c>
      <c r="G3801" t="s">
        <v>16</v>
      </c>
      <c r="H3801">
        <v>0</v>
      </c>
      <c r="I3801" s="2" t="b">
        <v>1</v>
      </c>
      <c r="J3801" s="2" t="s">
        <v>8420</v>
      </c>
      <c r="K3801">
        <v>20</v>
      </c>
      <c r="L3801">
        <v>20</v>
      </c>
      <c r="M3801">
        <v>20</v>
      </c>
    </row>
    <row r="3802" spans="1:13" x14ac:dyDescent="0.25">
      <c r="A3802" t="s">
        <v>8421</v>
      </c>
      <c r="B3802" t="s">
        <v>8419</v>
      </c>
      <c r="C3802" t="s">
        <v>496</v>
      </c>
      <c r="D3802" t="s">
        <v>2360</v>
      </c>
      <c r="G3802" t="s">
        <v>16</v>
      </c>
      <c r="H3802">
        <v>0</v>
      </c>
      <c r="I3802" s="2" t="s">
        <v>3945</v>
      </c>
      <c r="J3802" s="2">
        <v>6140340001</v>
      </c>
      <c r="K3802">
        <v>20</v>
      </c>
      <c r="L3802">
        <v>20</v>
      </c>
      <c r="M3802">
        <v>20</v>
      </c>
    </row>
    <row r="3803" spans="1:13" x14ac:dyDescent="0.25">
      <c r="A3803" t="s">
        <v>8422</v>
      </c>
      <c r="B3803" t="s">
        <v>8419</v>
      </c>
      <c r="C3803" t="s">
        <v>496</v>
      </c>
      <c r="D3803" t="s">
        <v>2360</v>
      </c>
      <c r="G3803" t="s">
        <v>16</v>
      </c>
      <c r="H3803">
        <v>0</v>
      </c>
      <c r="I3803" s="2" t="s">
        <v>737</v>
      </c>
      <c r="J3803" s="2" t="s">
        <v>8423</v>
      </c>
      <c r="K3803">
        <v>20</v>
      </c>
      <c r="L3803">
        <v>20</v>
      </c>
      <c r="M3803">
        <v>20</v>
      </c>
    </row>
    <row r="3804" spans="1:13" x14ac:dyDescent="0.25">
      <c r="A3804" t="s">
        <v>8424</v>
      </c>
      <c r="B3804" t="s">
        <v>8425</v>
      </c>
      <c r="C3804" t="s">
        <v>496</v>
      </c>
      <c r="D3804" t="s">
        <v>2360</v>
      </c>
      <c r="G3804" t="s">
        <v>16</v>
      </c>
      <c r="H3804">
        <v>0</v>
      </c>
      <c r="I3804" s="2" t="s">
        <v>245</v>
      </c>
      <c r="J3804" s="2" t="s">
        <v>8426</v>
      </c>
      <c r="K3804">
        <v>20</v>
      </c>
      <c r="L3804">
        <v>20</v>
      </c>
      <c r="M3804">
        <v>20</v>
      </c>
    </row>
    <row r="3805" spans="1:13" x14ac:dyDescent="0.25">
      <c r="A3805" t="s">
        <v>8427</v>
      </c>
      <c r="B3805" t="s">
        <v>8425</v>
      </c>
      <c r="C3805" t="s">
        <v>496</v>
      </c>
      <c r="D3805" t="s">
        <v>2360</v>
      </c>
      <c r="G3805" t="s">
        <v>16</v>
      </c>
      <c r="H3805">
        <v>0</v>
      </c>
      <c r="I3805" s="2" t="s">
        <v>737</v>
      </c>
      <c r="J3805" s="2" t="s">
        <v>8428</v>
      </c>
      <c r="K3805">
        <v>20</v>
      </c>
      <c r="L3805">
        <v>20</v>
      </c>
      <c r="M3805">
        <v>20</v>
      </c>
    </row>
    <row r="3806" spans="1:13" x14ac:dyDescent="0.25">
      <c r="A3806" t="s">
        <v>8429</v>
      </c>
      <c r="B3806" t="s">
        <v>8430</v>
      </c>
      <c r="C3806" t="s">
        <v>496</v>
      </c>
      <c r="D3806" t="s">
        <v>2360</v>
      </c>
      <c r="F3806">
        <v>0</v>
      </c>
      <c r="G3806" t="s">
        <v>16</v>
      </c>
      <c r="H3806">
        <v>0</v>
      </c>
      <c r="I3806" s="2" t="s">
        <v>288</v>
      </c>
      <c r="J3806" s="2" t="s">
        <v>8431</v>
      </c>
      <c r="K3806">
        <v>20</v>
      </c>
      <c r="L3806">
        <v>20</v>
      </c>
      <c r="M3806">
        <v>20</v>
      </c>
    </row>
    <row r="3807" spans="1:13" x14ac:dyDescent="0.25">
      <c r="A3807" t="s">
        <v>8432</v>
      </c>
      <c r="B3807" t="s">
        <v>8430</v>
      </c>
      <c r="C3807" t="s">
        <v>496</v>
      </c>
      <c r="D3807" t="s">
        <v>2360</v>
      </c>
      <c r="F3807">
        <v>4</v>
      </c>
      <c r="G3807" t="s">
        <v>16</v>
      </c>
      <c r="H3807">
        <v>0</v>
      </c>
      <c r="I3807" s="2" t="b">
        <v>1</v>
      </c>
      <c r="J3807" s="2" t="s">
        <v>8433</v>
      </c>
      <c r="K3807">
        <v>20</v>
      </c>
      <c r="L3807">
        <v>20</v>
      </c>
      <c r="M3807">
        <v>20</v>
      </c>
    </row>
    <row r="3808" spans="1:13" x14ac:dyDescent="0.25">
      <c r="A3808" t="s">
        <v>8434</v>
      </c>
      <c r="B3808" t="s">
        <v>8430</v>
      </c>
      <c r="C3808" t="s">
        <v>496</v>
      </c>
      <c r="D3808" t="s">
        <v>2360</v>
      </c>
      <c r="G3808" t="s">
        <v>16</v>
      </c>
      <c r="H3808">
        <v>0</v>
      </c>
      <c r="I3808" s="2" t="s">
        <v>248</v>
      </c>
      <c r="J3808" s="2" t="str">
        <f>"03373"</f>
        <v>03373</v>
      </c>
      <c r="K3808">
        <v>20</v>
      </c>
      <c r="L3808">
        <v>20</v>
      </c>
      <c r="M3808">
        <v>20</v>
      </c>
    </row>
    <row r="3809" spans="1:13" x14ac:dyDescent="0.25">
      <c r="A3809" t="s">
        <v>8435</v>
      </c>
      <c r="B3809" t="s">
        <v>8430</v>
      </c>
      <c r="C3809" t="s">
        <v>496</v>
      </c>
      <c r="D3809" t="s">
        <v>2360</v>
      </c>
      <c r="F3809">
        <v>0</v>
      </c>
      <c r="G3809" t="s">
        <v>16</v>
      </c>
      <c r="H3809">
        <v>0</v>
      </c>
      <c r="I3809" s="2" t="s">
        <v>5249</v>
      </c>
      <c r="J3809" s="2" t="s">
        <v>8436</v>
      </c>
      <c r="K3809">
        <v>20</v>
      </c>
      <c r="L3809">
        <v>20</v>
      </c>
      <c r="M3809">
        <v>20</v>
      </c>
    </row>
    <row r="3810" spans="1:13" x14ac:dyDescent="0.25">
      <c r="A3810" t="s">
        <v>8437</v>
      </c>
      <c r="B3810" t="s">
        <v>8430</v>
      </c>
      <c r="C3810" t="s">
        <v>496</v>
      </c>
      <c r="D3810" t="s">
        <v>2360</v>
      </c>
      <c r="G3810" t="s">
        <v>16</v>
      </c>
      <c r="H3810">
        <v>0</v>
      </c>
      <c r="I3810" s="2" t="s">
        <v>3289</v>
      </c>
      <c r="J3810" s="2" t="s">
        <v>8438</v>
      </c>
      <c r="K3810">
        <v>20</v>
      </c>
      <c r="L3810">
        <v>20</v>
      </c>
      <c r="M3810">
        <v>20</v>
      </c>
    </row>
    <row r="3811" spans="1:13" x14ac:dyDescent="0.25">
      <c r="A3811" t="s">
        <v>8439</v>
      </c>
      <c r="B3811" t="s">
        <v>8430</v>
      </c>
      <c r="C3811" t="s">
        <v>496</v>
      </c>
      <c r="D3811" t="s">
        <v>2360</v>
      </c>
      <c r="F3811">
        <v>0</v>
      </c>
      <c r="G3811" t="s">
        <v>16</v>
      </c>
      <c r="H3811">
        <v>0</v>
      </c>
      <c r="I3811" s="2" t="s">
        <v>64</v>
      </c>
      <c r="J3811" s="2">
        <v>10010249</v>
      </c>
      <c r="K3811">
        <v>20</v>
      </c>
      <c r="L3811">
        <v>20</v>
      </c>
      <c r="M3811">
        <v>20</v>
      </c>
    </row>
    <row r="3812" spans="1:13" x14ac:dyDescent="0.25">
      <c r="A3812" t="s">
        <v>8440</v>
      </c>
      <c r="B3812" t="s">
        <v>8430</v>
      </c>
      <c r="C3812" t="s">
        <v>496</v>
      </c>
      <c r="D3812" t="s">
        <v>2360</v>
      </c>
      <c r="F3812">
        <v>0</v>
      </c>
      <c r="G3812" t="s">
        <v>16</v>
      </c>
      <c r="H3812">
        <v>0</v>
      </c>
      <c r="I3812" s="2" t="s">
        <v>245</v>
      </c>
      <c r="J3812" s="2" t="s">
        <v>8441</v>
      </c>
      <c r="K3812">
        <v>20</v>
      </c>
      <c r="L3812">
        <v>20</v>
      </c>
      <c r="M3812">
        <v>20</v>
      </c>
    </row>
    <row r="3813" spans="1:13" x14ac:dyDescent="0.25">
      <c r="A3813" t="s">
        <v>8442</v>
      </c>
      <c r="B3813" t="s">
        <v>8430</v>
      </c>
      <c r="C3813" t="s">
        <v>496</v>
      </c>
      <c r="D3813" t="s">
        <v>2360</v>
      </c>
      <c r="G3813" t="s">
        <v>16</v>
      </c>
      <c r="H3813">
        <v>0</v>
      </c>
      <c r="I3813" s="2" t="s">
        <v>5688</v>
      </c>
      <c r="J3813" s="2">
        <v>802052</v>
      </c>
      <c r="K3813">
        <v>20</v>
      </c>
      <c r="L3813">
        <v>20</v>
      </c>
      <c r="M3813">
        <v>20</v>
      </c>
    </row>
    <row r="3814" spans="1:13" x14ac:dyDescent="0.25">
      <c r="A3814" t="s">
        <v>8443</v>
      </c>
      <c r="B3814" t="s">
        <v>8430</v>
      </c>
      <c r="C3814" t="s">
        <v>496</v>
      </c>
      <c r="D3814" t="s">
        <v>2360</v>
      </c>
      <c r="G3814" t="s">
        <v>16</v>
      </c>
      <c r="H3814">
        <v>0</v>
      </c>
      <c r="I3814" s="2" t="s">
        <v>486</v>
      </c>
      <c r="J3814" s="2">
        <v>40540010</v>
      </c>
      <c r="K3814">
        <v>20</v>
      </c>
      <c r="L3814">
        <v>20</v>
      </c>
      <c r="M3814">
        <v>20</v>
      </c>
    </row>
    <row r="3815" spans="1:13" x14ac:dyDescent="0.25">
      <c r="A3815" t="s">
        <v>8444</v>
      </c>
      <c r="B3815" t="s">
        <v>8430</v>
      </c>
      <c r="C3815" t="s">
        <v>496</v>
      </c>
      <c r="D3815" t="s">
        <v>2360</v>
      </c>
      <c r="F3815">
        <v>19</v>
      </c>
      <c r="G3815" t="s">
        <v>16</v>
      </c>
      <c r="H3815">
        <v>0</v>
      </c>
      <c r="I3815" s="2" t="s">
        <v>737</v>
      </c>
      <c r="J3815" s="2" t="s">
        <v>8445</v>
      </c>
      <c r="K3815">
        <v>20</v>
      </c>
      <c r="L3815">
        <v>20</v>
      </c>
      <c r="M3815">
        <v>20</v>
      </c>
    </row>
    <row r="3816" spans="1:13" x14ac:dyDescent="0.25">
      <c r="A3816" t="s">
        <v>8446</v>
      </c>
      <c r="B3816" t="s">
        <v>8447</v>
      </c>
      <c r="C3816" t="s">
        <v>496</v>
      </c>
      <c r="D3816" t="s">
        <v>2360</v>
      </c>
      <c r="G3816" t="s">
        <v>16</v>
      </c>
      <c r="H3816">
        <v>0</v>
      </c>
      <c r="I3816" s="2" t="b">
        <v>1</v>
      </c>
      <c r="J3816" s="2" t="s">
        <v>8448</v>
      </c>
      <c r="K3816">
        <v>20</v>
      </c>
      <c r="L3816">
        <v>20</v>
      </c>
      <c r="M3816">
        <v>20</v>
      </c>
    </row>
    <row r="3817" spans="1:13" x14ac:dyDescent="0.25">
      <c r="A3817" t="s">
        <v>8449</v>
      </c>
      <c r="B3817" t="s">
        <v>8447</v>
      </c>
      <c r="C3817" t="s">
        <v>496</v>
      </c>
      <c r="D3817" t="s">
        <v>2360</v>
      </c>
      <c r="F3817">
        <v>0</v>
      </c>
      <c r="G3817" t="s">
        <v>16</v>
      </c>
      <c r="H3817">
        <v>0</v>
      </c>
      <c r="I3817" s="2" t="s">
        <v>2466</v>
      </c>
      <c r="J3817" s="2">
        <v>2678301</v>
      </c>
      <c r="K3817">
        <v>20</v>
      </c>
      <c r="L3817">
        <v>20</v>
      </c>
      <c r="M3817">
        <v>20</v>
      </c>
    </row>
    <row r="3818" spans="1:13" x14ac:dyDescent="0.25">
      <c r="A3818" t="s">
        <v>8450</v>
      </c>
      <c r="B3818" t="s">
        <v>8447</v>
      </c>
      <c r="C3818" t="s">
        <v>496</v>
      </c>
      <c r="D3818" t="s">
        <v>2360</v>
      </c>
      <c r="F3818">
        <v>2</v>
      </c>
      <c r="G3818" t="s">
        <v>16</v>
      </c>
      <c r="H3818">
        <v>0</v>
      </c>
      <c r="I3818" s="2" t="s">
        <v>5688</v>
      </c>
      <c r="J3818" s="2">
        <v>802286</v>
      </c>
      <c r="K3818">
        <v>20</v>
      </c>
      <c r="L3818">
        <v>20</v>
      </c>
      <c r="M3818">
        <v>20</v>
      </c>
    </row>
    <row r="3819" spans="1:13" x14ac:dyDescent="0.25">
      <c r="A3819" t="s">
        <v>8451</v>
      </c>
      <c r="B3819" t="s">
        <v>8447</v>
      </c>
      <c r="C3819" t="s">
        <v>2493</v>
      </c>
      <c r="G3819" t="s">
        <v>16</v>
      </c>
      <c r="H3819">
        <v>0</v>
      </c>
      <c r="I3819" s="2" t="s">
        <v>737</v>
      </c>
      <c r="J3819" s="2" t="s">
        <v>8452</v>
      </c>
      <c r="K3819">
        <v>20</v>
      </c>
      <c r="L3819">
        <v>20</v>
      </c>
      <c r="M3819">
        <v>20</v>
      </c>
    </row>
    <row r="3820" spans="1:13" x14ac:dyDescent="0.25">
      <c r="A3820" t="s">
        <v>8453</v>
      </c>
      <c r="B3820" t="s">
        <v>8454</v>
      </c>
      <c r="C3820" t="s">
        <v>496</v>
      </c>
      <c r="D3820" t="s">
        <v>2360</v>
      </c>
      <c r="F3820">
        <v>2</v>
      </c>
      <c r="G3820" t="s">
        <v>16</v>
      </c>
      <c r="H3820">
        <v>0</v>
      </c>
      <c r="I3820" s="2" t="s">
        <v>486</v>
      </c>
      <c r="J3820" s="2">
        <v>40928118</v>
      </c>
      <c r="K3820">
        <v>20</v>
      </c>
      <c r="L3820">
        <v>20</v>
      </c>
      <c r="M3820">
        <v>20</v>
      </c>
    </row>
    <row r="3821" spans="1:13" x14ac:dyDescent="0.25">
      <c r="A3821" t="s">
        <v>8455</v>
      </c>
      <c r="B3821" t="s">
        <v>8456</v>
      </c>
      <c r="C3821" t="s">
        <v>496</v>
      </c>
      <c r="D3821" t="s">
        <v>2360</v>
      </c>
      <c r="F3821">
        <v>2</v>
      </c>
      <c r="G3821" t="s">
        <v>16</v>
      </c>
      <c r="H3821">
        <v>0</v>
      </c>
      <c r="I3821" s="2" t="b">
        <v>1</v>
      </c>
      <c r="J3821" s="2" t="s">
        <v>8457</v>
      </c>
      <c r="K3821">
        <v>20</v>
      </c>
      <c r="L3821">
        <v>20</v>
      </c>
      <c r="M3821">
        <v>20</v>
      </c>
    </row>
    <row r="3822" spans="1:13" x14ac:dyDescent="0.25">
      <c r="A3822" t="s">
        <v>8458</v>
      </c>
      <c r="B3822" t="s">
        <v>8456</v>
      </c>
      <c r="C3822" t="s">
        <v>496</v>
      </c>
      <c r="D3822" t="s">
        <v>2360</v>
      </c>
      <c r="F3822">
        <v>9</v>
      </c>
      <c r="G3822" t="s">
        <v>16</v>
      </c>
      <c r="H3822">
        <v>0</v>
      </c>
      <c r="I3822" s="2" t="s">
        <v>2466</v>
      </c>
      <c r="J3822" s="2">
        <v>2696001019</v>
      </c>
      <c r="K3822">
        <v>20</v>
      </c>
      <c r="L3822">
        <v>20</v>
      </c>
      <c r="M3822">
        <v>20</v>
      </c>
    </row>
    <row r="3823" spans="1:13" x14ac:dyDescent="0.25">
      <c r="A3823" t="s">
        <v>8459</v>
      </c>
      <c r="B3823" t="s">
        <v>8456</v>
      </c>
      <c r="C3823" t="s">
        <v>496</v>
      </c>
      <c r="D3823" t="s">
        <v>2360</v>
      </c>
      <c r="F3823">
        <v>2</v>
      </c>
      <c r="G3823" t="s">
        <v>16</v>
      </c>
      <c r="H3823">
        <v>0</v>
      </c>
      <c r="I3823" s="2" t="s">
        <v>5688</v>
      </c>
      <c r="J3823" s="2">
        <v>802269</v>
      </c>
      <c r="K3823">
        <v>20</v>
      </c>
      <c r="L3823">
        <v>20</v>
      </c>
      <c r="M3823">
        <v>20</v>
      </c>
    </row>
    <row r="3824" spans="1:13" x14ac:dyDescent="0.25">
      <c r="A3824" t="s">
        <v>8460</v>
      </c>
      <c r="B3824" t="s">
        <v>8456</v>
      </c>
      <c r="C3824" t="s">
        <v>2493</v>
      </c>
      <c r="D3824" t="s">
        <v>2360</v>
      </c>
      <c r="G3824" t="s">
        <v>16</v>
      </c>
      <c r="H3824">
        <v>0</v>
      </c>
      <c r="I3824" s="2" t="s">
        <v>737</v>
      </c>
      <c r="J3824" s="2" t="s">
        <v>8461</v>
      </c>
      <c r="K3824">
        <v>20</v>
      </c>
      <c r="L3824">
        <v>20</v>
      </c>
      <c r="M3824">
        <v>20</v>
      </c>
    </row>
    <row r="3825" spans="1:13" x14ac:dyDescent="0.25">
      <c r="A3825" t="s">
        <v>8462</v>
      </c>
      <c r="B3825" t="s">
        <v>8463</v>
      </c>
      <c r="C3825" t="s">
        <v>496</v>
      </c>
      <c r="D3825" t="s">
        <v>2360</v>
      </c>
      <c r="F3825">
        <v>0</v>
      </c>
      <c r="G3825" t="s">
        <v>16</v>
      </c>
      <c r="H3825">
        <v>0</v>
      </c>
      <c r="K3825">
        <v>20</v>
      </c>
      <c r="L3825">
        <v>20</v>
      </c>
      <c r="M3825">
        <v>20</v>
      </c>
    </row>
    <row r="3826" spans="1:13" x14ac:dyDescent="0.25">
      <c r="A3826" t="s">
        <v>8464</v>
      </c>
      <c r="B3826" t="s">
        <v>8463</v>
      </c>
      <c r="C3826" t="s">
        <v>496</v>
      </c>
      <c r="D3826" t="s">
        <v>2360</v>
      </c>
      <c r="F3826">
        <v>12</v>
      </c>
      <c r="G3826" t="s">
        <v>16</v>
      </c>
      <c r="H3826">
        <v>0</v>
      </c>
      <c r="I3826" s="2" t="s">
        <v>2466</v>
      </c>
      <c r="J3826" s="2">
        <v>3531201</v>
      </c>
      <c r="K3826">
        <v>20</v>
      </c>
      <c r="L3826">
        <v>20</v>
      </c>
      <c r="M3826">
        <v>20</v>
      </c>
    </row>
    <row r="3827" spans="1:13" x14ac:dyDescent="0.25">
      <c r="A3827" t="s">
        <v>8465</v>
      </c>
      <c r="B3827" t="s">
        <v>8463</v>
      </c>
      <c r="C3827" t="s">
        <v>496</v>
      </c>
      <c r="D3827" t="s">
        <v>2360</v>
      </c>
      <c r="F3827">
        <v>0</v>
      </c>
      <c r="G3827" t="s">
        <v>16</v>
      </c>
      <c r="H3827">
        <v>0</v>
      </c>
      <c r="I3827" s="2" t="s">
        <v>5155</v>
      </c>
      <c r="J3827" s="2" t="s">
        <v>8466</v>
      </c>
      <c r="K3827">
        <v>20</v>
      </c>
      <c r="L3827">
        <v>20</v>
      </c>
      <c r="M3827">
        <v>20</v>
      </c>
    </row>
    <row r="3828" spans="1:13" x14ac:dyDescent="0.25">
      <c r="A3828" t="s">
        <v>8467</v>
      </c>
      <c r="B3828" t="s">
        <v>8463</v>
      </c>
      <c r="C3828" t="s">
        <v>496</v>
      </c>
      <c r="D3828" t="s">
        <v>2360</v>
      </c>
      <c r="G3828" t="s">
        <v>16</v>
      </c>
      <c r="H3828">
        <v>0</v>
      </c>
      <c r="I3828" s="2" t="s">
        <v>5688</v>
      </c>
      <c r="J3828" s="2">
        <v>802536</v>
      </c>
      <c r="K3828">
        <v>20</v>
      </c>
      <c r="L3828">
        <v>20</v>
      </c>
      <c r="M3828">
        <v>20</v>
      </c>
    </row>
    <row r="3829" spans="1:13" x14ac:dyDescent="0.25">
      <c r="A3829" t="s">
        <v>8468</v>
      </c>
      <c r="B3829" t="s">
        <v>8463</v>
      </c>
      <c r="C3829" t="s">
        <v>496</v>
      </c>
      <c r="D3829" t="s">
        <v>2360</v>
      </c>
      <c r="G3829" t="s">
        <v>16</v>
      </c>
      <c r="H3829">
        <v>0</v>
      </c>
      <c r="I3829" s="2" t="s">
        <v>737</v>
      </c>
      <c r="J3829" s="2" t="s">
        <v>8469</v>
      </c>
      <c r="K3829">
        <v>20</v>
      </c>
      <c r="L3829">
        <v>20</v>
      </c>
      <c r="M3829">
        <v>20</v>
      </c>
    </row>
    <row r="3830" spans="1:13" x14ac:dyDescent="0.25">
      <c r="A3830" t="s">
        <v>8470</v>
      </c>
      <c r="B3830" t="s">
        <v>8471</v>
      </c>
      <c r="C3830" t="s">
        <v>496</v>
      </c>
      <c r="D3830" t="s">
        <v>2360</v>
      </c>
      <c r="G3830" t="s">
        <v>16</v>
      </c>
      <c r="H3830">
        <v>0</v>
      </c>
      <c r="I3830" s="2" t="s">
        <v>64</v>
      </c>
      <c r="J3830" s="2">
        <v>10010244</v>
      </c>
      <c r="K3830">
        <v>20</v>
      </c>
      <c r="L3830">
        <v>20</v>
      </c>
      <c r="M3830">
        <v>20</v>
      </c>
    </row>
    <row r="3831" spans="1:13" x14ac:dyDescent="0.25">
      <c r="A3831" t="s">
        <v>8472</v>
      </c>
      <c r="B3831" t="s">
        <v>8473</v>
      </c>
      <c r="C3831" t="s">
        <v>2493</v>
      </c>
      <c r="D3831" t="s">
        <v>2360</v>
      </c>
      <c r="G3831" t="s">
        <v>16</v>
      </c>
      <c r="H3831">
        <v>0</v>
      </c>
      <c r="I3831" s="2" t="s">
        <v>737</v>
      </c>
      <c r="J3831" s="2" t="s">
        <v>8474</v>
      </c>
      <c r="K3831">
        <v>20</v>
      </c>
      <c r="L3831">
        <v>20</v>
      </c>
      <c r="M3831">
        <v>20</v>
      </c>
    </row>
    <row r="3832" spans="1:13" x14ac:dyDescent="0.25">
      <c r="A3832" t="s">
        <v>8475</v>
      </c>
      <c r="B3832" t="s">
        <v>8476</v>
      </c>
      <c r="C3832" t="s">
        <v>496</v>
      </c>
      <c r="D3832" t="s">
        <v>2360</v>
      </c>
      <c r="F3832">
        <v>1</v>
      </c>
      <c r="G3832" t="s">
        <v>16</v>
      </c>
      <c r="H3832">
        <v>0</v>
      </c>
      <c r="I3832" s="2" t="s">
        <v>5500</v>
      </c>
      <c r="J3832" s="2" t="s">
        <v>8477</v>
      </c>
      <c r="K3832">
        <v>20</v>
      </c>
      <c r="L3832">
        <v>20</v>
      </c>
      <c r="M3832">
        <v>20</v>
      </c>
    </row>
    <row r="3833" spans="1:13" x14ac:dyDescent="0.25">
      <c r="A3833" t="s">
        <v>8478</v>
      </c>
      <c r="B3833" t="s">
        <v>8476</v>
      </c>
      <c r="C3833" t="s">
        <v>496</v>
      </c>
      <c r="D3833" t="s">
        <v>2360</v>
      </c>
      <c r="F3833">
        <v>0</v>
      </c>
      <c r="G3833" t="s">
        <v>16</v>
      </c>
      <c r="H3833">
        <v>0</v>
      </c>
      <c r="I3833" s="2" t="s">
        <v>64</v>
      </c>
      <c r="J3833" s="2">
        <v>15010636</v>
      </c>
      <c r="K3833">
        <v>20</v>
      </c>
      <c r="L3833">
        <v>20</v>
      </c>
      <c r="M3833">
        <v>20</v>
      </c>
    </row>
    <row r="3834" spans="1:13" x14ac:dyDescent="0.25">
      <c r="A3834" t="s">
        <v>8479</v>
      </c>
      <c r="B3834" t="s">
        <v>8476</v>
      </c>
      <c r="C3834" t="s">
        <v>496</v>
      </c>
      <c r="D3834" t="s">
        <v>2360</v>
      </c>
      <c r="F3834">
        <v>1</v>
      </c>
      <c r="G3834" t="s">
        <v>16</v>
      </c>
      <c r="H3834">
        <v>0</v>
      </c>
      <c r="I3834" s="2" t="s">
        <v>8480</v>
      </c>
      <c r="J3834" s="2" t="s">
        <v>8481</v>
      </c>
      <c r="K3834">
        <v>20</v>
      </c>
      <c r="L3834">
        <v>20</v>
      </c>
      <c r="M3834">
        <v>20</v>
      </c>
    </row>
    <row r="3835" spans="1:13" x14ac:dyDescent="0.25">
      <c r="A3835" t="s">
        <v>8482</v>
      </c>
      <c r="B3835" t="s">
        <v>8476</v>
      </c>
      <c r="C3835" t="s">
        <v>496</v>
      </c>
      <c r="D3835" t="s">
        <v>2360</v>
      </c>
      <c r="F3835">
        <v>1</v>
      </c>
      <c r="G3835" t="s">
        <v>16</v>
      </c>
      <c r="H3835">
        <v>0</v>
      </c>
      <c r="I3835" s="2" t="s">
        <v>5297</v>
      </c>
      <c r="J3835" s="2" t="s">
        <v>8483</v>
      </c>
      <c r="K3835">
        <v>20</v>
      </c>
      <c r="L3835">
        <v>20</v>
      </c>
      <c r="M3835">
        <v>20</v>
      </c>
    </row>
    <row r="3836" spans="1:13" x14ac:dyDescent="0.25">
      <c r="A3836" t="s">
        <v>8484</v>
      </c>
      <c r="B3836" t="s">
        <v>8476</v>
      </c>
      <c r="C3836" t="s">
        <v>496</v>
      </c>
      <c r="D3836" t="s">
        <v>2360</v>
      </c>
      <c r="G3836" t="s">
        <v>16</v>
      </c>
      <c r="H3836">
        <v>0</v>
      </c>
      <c r="I3836" s="2" t="s">
        <v>5688</v>
      </c>
      <c r="J3836" s="2">
        <v>315471</v>
      </c>
      <c r="K3836">
        <v>20</v>
      </c>
      <c r="L3836">
        <v>20</v>
      </c>
      <c r="M3836">
        <v>20</v>
      </c>
    </row>
    <row r="3837" spans="1:13" x14ac:dyDescent="0.25">
      <c r="A3837" t="s">
        <v>8485</v>
      </c>
      <c r="B3837" t="s">
        <v>8486</v>
      </c>
      <c r="C3837" t="s">
        <v>496</v>
      </c>
      <c r="D3837" t="s">
        <v>2360</v>
      </c>
      <c r="F3837">
        <v>1</v>
      </c>
      <c r="G3837" t="s">
        <v>16</v>
      </c>
      <c r="H3837">
        <v>0</v>
      </c>
      <c r="I3837" s="2" t="s">
        <v>5500</v>
      </c>
      <c r="J3837" s="2" t="s">
        <v>8487</v>
      </c>
      <c r="K3837">
        <v>20</v>
      </c>
      <c r="L3837">
        <v>20</v>
      </c>
      <c r="M3837">
        <v>20</v>
      </c>
    </row>
    <row r="3838" spans="1:13" x14ac:dyDescent="0.25">
      <c r="A3838" t="s">
        <v>8488</v>
      </c>
      <c r="B3838" t="s">
        <v>8486</v>
      </c>
      <c r="C3838" t="s">
        <v>496</v>
      </c>
      <c r="D3838" t="s">
        <v>2360</v>
      </c>
      <c r="F3838">
        <v>0</v>
      </c>
      <c r="G3838" t="s">
        <v>16</v>
      </c>
      <c r="H3838">
        <v>0</v>
      </c>
      <c r="I3838" s="2" t="s">
        <v>64</v>
      </c>
      <c r="J3838" s="2">
        <v>15010637</v>
      </c>
      <c r="K3838">
        <v>20</v>
      </c>
      <c r="L3838">
        <v>20</v>
      </c>
      <c r="M3838">
        <v>20</v>
      </c>
    </row>
    <row r="3839" spans="1:13" x14ac:dyDescent="0.25">
      <c r="A3839" t="s">
        <v>8489</v>
      </c>
      <c r="B3839" t="s">
        <v>8486</v>
      </c>
      <c r="C3839" t="s">
        <v>496</v>
      </c>
      <c r="D3839" t="s">
        <v>2360</v>
      </c>
      <c r="F3839">
        <v>1</v>
      </c>
      <c r="G3839" t="s">
        <v>16</v>
      </c>
      <c r="H3839">
        <v>0</v>
      </c>
      <c r="I3839" s="2" t="s">
        <v>8480</v>
      </c>
      <c r="J3839" s="2" t="s">
        <v>8490</v>
      </c>
      <c r="K3839">
        <v>20</v>
      </c>
      <c r="L3839">
        <v>20</v>
      </c>
      <c r="M3839">
        <v>20</v>
      </c>
    </row>
    <row r="3840" spans="1:13" x14ac:dyDescent="0.25">
      <c r="A3840" t="s">
        <v>8491</v>
      </c>
      <c r="B3840" t="s">
        <v>8486</v>
      </c>
      <c r="C3840" t="s">
        <v>496</v>
      </c>
      <c r="D3840" t="s">
        <v>2360</v>
      </c>
      <c r="F3840">
        <v>1</v>
      </c>
      <c r="G3840" t="s">
        <v>16</v>
      </c>
      <c r="H3840">
        <v>0</v>
      </c>
      <c r="I3840" s="2" t="s">
        <v>5297</v>
      </c>
      <c r="J3840" s="2" t="s">
        <v>8492</v>
      </c>
      <c r="K3840">
        <v>20</v>
      </c>
      <c r="L3840">
        <v>20</v>
      </c>
      <c r="M3840">
        <v>20</v>
      </c>
    </row>
    <row r="3841" spans="1:13" x14ac:dyDescent="0.25">
      <c r="A3841" t="s">
        <v>8493</v>
      </c>
      <c r="B3841" t="s">
        <v>8486</v>
      </c>
      <c r="C3841" t="s">
        <v>496</v>
      </c>
      <c r="D3841" t="s">
        <v>2360</v>
      </c>
      <c r="G3841" t="s">
        <v>16</v>
      </c>
      <c r="H3841">
        <v>0</v>
      </c>
      <c r="I3841" s="2" t="s">
        <v>5688</v>
      </c>
      <c r="J3841" s="2">
        <v>315472</v>
      </c>
      <c r="K3841">
        <v>20</v>
      </c>
      <c r="L3841">
        <v>20</v>
      </c>
      <c r="M3841">
        <v>20</v>
      </c>
    </row>
    <row r="3842" spans="1:13" x14ac:dyDescent="0.25">
      <c r="A3842" t="s">
        <v>8494</v>
      </c>
      <c r="B3842" t="s">
        <v>8486</v>
      </c>
      <c r="C3842" t="s">
        <v>496</v>
      </c>
      <c r="D3842" t="s">
        <v>2360</v>
      </c>
      <c r="G3842" t="s">
        <v>16</v>
      </c>
      <c r="H3842">
        <v>0</v>
      </c>
      <c r="I3842" s="2" t="s">
        <v>5044</v>
      </c>
      <c r="J3842" s="2" t="s">
        <v>8495</v>
      </c>
      <c r="K3842">
        <v>20</v>
      </c>
      <c r="L3842">
        <v>20</v>
      </c>
      <c r="M3842">
        <v>20</v>
      </c>
    </row>
    <row r="3843" spans="1:13" x14ac:dyDescent="0.25">
      <c r="A3843" t="s">
        <v>8496</v>
      </c>
      <c r="B3843" t="s">
        <v>8497</v>
      </c>
      <c r="C3843" t="s">
        <v>496</v>
      </c>
      <c r="D3843" t="s">
        <v>2360</v>
      </c>
      <c r="F3843">
        <v>2</v>
      </c>
      <c r="G3843" t="s">
        <v>16</v>
      </c>
      <c r="H3843">
        <v>0</v>
      </c>
      <c r="I3843" s="2" t="s">
        <v>2300</v>
      </c>
      <c r="J3843" s="2">
        <v>31508</v>
      </c>
      <c r="K3843">
        <v>20</v>
      </c>
      <c r="L3843">
        <v>20</v>
      </c>
      <c r="M3843">
        <v>20</v>
      </c>
    </row>
    <row r="3844" spans="1:13" x14ac:dyDescent="0.25">
      <c r="A3844" t="s">
        <v>8498</v>
      </c>
      <c r="B3844" t="s">
        <v>8499</v>
      </c>
      <c r="C3844" t="s">
        <v>496</v>
      </c>
      <c r="D3844" t="s">
        <v>2360</v>
      </c>
      <c r="G3844" t="s">
        <v>16</v>
      </c>
      <c r="H3844">
        <v>0</v>
      </c>
      <c r="I3844" s="2" t="s">
        <v>8500</v>
      </c>
      <c r="J3844" s="2" t="s">
        <v>8501</v>
      </c>
      <c r="K3844">
        <v>20</v>
      </c>
      <c r="L3844">
        <v>20</v>
      </c>
      <c r="M3844">
        <v>20</v>
      </c>
    </row>
    <row r="3845" spans="1:13" x14ac:dyDescent="0.25">
      <c r="A3845" t="s">
        <v>8502</v>
      </c>
      <c r="B3845" t="s">
        <v>8499</v>
      </c>
      <c r="C3845" t="s">
        <v>496</v>
      </c>
      <c r="D3845" t="s">
        <v>2360</v>
      </c>
      <c r="G3845" t="s">
        <v>16</v>
      </c>
      <c r="H3845">
        <v>0</v>
      </c>
      <c r="I3845" s="2" t="s">
        <v>288</v>
      </c>
      <c r="J3845" s="2" t="s">
        <v>8503</v>
      </c>
      <c r="K3845">
        <v>20</v>
      </c>
      <c r="L3845">
        <v>20</v>
      </c>
      <c r="M3845">
        <v>20</v>
      </c>
    </row>
    <row r="3846" spans="1:13" x14ac:dyDescent="0.25">
      <c r="A3846" t="s">
        <v>8504</v>
      </c>
      <c r="B3846" t="s">
        <v>8499</v>
      </c>
      <c r="C3846" t="s">
        <v>496</v>
      </c>
      <c r="D3846" t="s">
        <v>2360</v>
      </c>
      <c r="F3846">
        <v>12</v>
      </c>
      <c r="G3846" t="s">
        <v>16</v>
      </c>
      <c r="H3846">
        <v>0</v>
      </c>
      <c r="I3846" s="2" t="s">
        <v>6855</v>
      </c>
      <c r="J3846" s="2">
        <v>17168</v>
      </c>
      <c r="K3846">
        <v>20</v>
      </c>
      <c r="L3846">
        <v>20</v>
      </c>
      <c r="M3846">
        <v>20</v>
      </c>
    </row>
    <row r="3847" spans="1:13" x14ac:dyDescent="0.25">
      <c r="A3847" t="s">
        <v>8505</v>
      </c>
      <c r="B3847" t="s">
        <v>8499</v>
      </c>
      <c r="C3847" t="s">
        <v>496</v>
      </c>
      <c r="D3847" t="s">
        <v>2360</v>
      </c>
      <c r="G3847" t="s">
        <v>16</v>
      </c>
      <c r="H3847">
        <v>0</v>
      </c>
      <c r="I3847" s="2" t="s">
        <v>4105</v>
      </c>
      <c r="J3847" s="2">
        <v>713008220</v>
      </c>
      <c r="K3847">
        <v>20</v>
      </c>
      <c r="L3847">
        <v>20</v>
      </c>
      <c r="M3847">
        <v>20</v>
      </c>
    </row>
    <row r="3848" spans="1:13" x14ac:dyDescent="0.25">
      <c r="A3848" t="s">
        <v>8506</v>
      </c>
      <c r="B3848" t="s">
        <v>8499</v>
      </c>
      <c r="C3848" t="s">
        <v>2493</v>
      </c>
      <c r="D3848" t="s">
        <v>2360</v>
      </c>
      <c r="G3848" t="s">
        <v>16</v>
      </c>
      <c r="H3848">
        <v>0</v>
      </c>
      <c r="I3848" s="2" t="s">
        <v>8507</v>
      </c>
      <c r="J3848" s="2" t="s">
        <v>8508</v>
      </c>
      <c r="K3848">
        <v>20</v>
      </c>
      <c r="L3848">
        <v>20</v>
      </c>
      <c r="M3848">
        <v>20</v>
      </c>
    </row>
    <row r="3849" spans="1:13" x14ac:dyDescent="0.25">
      <c r="A3849" t="s">
        <v>8509</v>
      </c>
      <c r="B3849" t="s">
        <v>8499</v>
      </c>
      <c r="C3849" t="s">
        <v>496</v>
      </c>
      <c r="D3849" t="s">
        <v>2360</v>
      </c>
      <c r="F3849">
        <v>2</v>
      </c>
      <c r="G3849" t="s">
        <v>16</v>
      </c>
      <c r="H3849">
        <v>0</v>
      </c>
      <c r="I3849" s="2" t="s">
        <v>64</v>
      </c>
      <c r="J3849" s="2">
        <v>10010652</v>
      </c>
      <c r="K3849">
        <v>20</v>
      </c>
      <c r="L3849">
        <v>20</v>
      </c>
      <c r="M3849">
        <v>20</v>
      </c>
    </row>
    <row r="3850" spans="1:13" x14ac:dyDescent="0.25">
      <c r="A3850" t="s">
        <v>8510</v>
      </c>
      <c r="B3850" t="s">
        <v>8499</v>
      </c>
      <c r="C3850" t="s">
        <v>496</v>
      </c>
      <c r="D3850" t="s">
        <v>2360</v>
      </c>
      <c r="F3850">
        <v>0</v>
      </c>
      <c r="G3850" t="s">
        <v>16</v>
      </c>
      <c r="H3850">
        <v>0</v>
      </c>
      <c r="I3850" s="2" t="s">
        <v>2466</v>
      </c>
      <c r="J3850" s="2">
        <v>3373501009</v>
      </c>
      <c r="K3850">
        <v>20</v>
      </c>
      <c r="L3850">
        <v>20</v>
      </c>
      <c r="M3850">
        <v>20</v>
      </c>
    </row>
    <row r="3851" spans="1:13" x14ac:dyDescent="0.25">
      <c r="A3851" t="s">
        <v>8511</v>
      </c>
      <c r="B3851" t="s">
        <v>8499</v>
      </c>
      <c r="C3851" t="s">
        <v>496</v>
      </c>
      <c r="D3851" t="s">
        <v>2360</v>
      </c>
      <c r="G3851" t="s">
        <v>16</v>
      </c>
      <c r="H3851">
        <v>0</v>
      </c>
      <c r="I3851" s="2" t="s">
        <v>7399</v>
      </c>
      <c r="J3851" s="2">
        <v>802450009</v>
      </c>
      <c r="K3851">
        <v>20</v>
      </c>
      <c r="L3851">
        <v>20</v>
      </c>
      <c r="M3851">
        <v>20</v>
      </c>
    </row>
    <row r="3852" spans="1:13" x14ac:dyDescent="0.25">
      <c r="A3852" t="s">
        <v>8512</v>
      </c>
      <c r="B3852" t="s">
        <v>8499</v>
      </c>
      <c r="C3852" t="s">
        <v>496</v>
      </c>
      <c r="D3852" t="s">
        <v>2360</v>
      </c>
      <c r="G3852" t="s">
        <v>16</v>
      </c>
      <c r="H3852">
        <v>0</v>
      </c>
      <c r="I3852" s="2" t="s">
        <v>395</v>
      </c>
      <c r="J3852" s="2" t="s">
        <v>8513</v>
      </c>
      <c r="K3852">
        <v>20</v>
      </c>
      <c r="L3852">
        <v>20</v>
      </c>
      <c r="M3852">
        <v>20</v>
      </c>
    </row>
    <row r="3853" spans="1:13" x14ac:dyDescent="0.25">
      <c r="A3853" t="s">
        <v>8514</v>
      </c>
      <c r="B3853" t="s">
        <v>8516</v>
      </c>
      <c r="C3853" t="s">
        <v>496</v>
      </c>
      <c r="D3853" t="s">
        <v>2360</v>
      </c>
      <c r="F3853">
        <v>2</v>
      </c>
      <c r="G3853" t="s">
        <v>16</v>
      </c>
      <c r="H3853">
        <v>0</v>
      </c>
      <c r="I3853" s="2" t="s">
        <v>765</v>
      </c>
      <c r="J3853" s="2" t="s">
        <v>8515</v>
      </c>
      <c r="K3853">
        <v>20</v>
      </c>
      <c r="L3853">
        <v>20</v>
      </c>
      <c r="M3853">
        <v>20</v>
      </c>
    </row>
    <row r="3854" spans="1:13" x14ac:dyDescent="0.25">
      <c r="A3854" t="s">
        <v>8517</v>
      </c>
      <c r="B3854" t="s">
        <v>8516</v>
      </c>
      <c r="C3854" t="s">
        <v>496</v>
      </c>
      <c r="D3854" t="s">
        <v>2360</v>
      </c>
      <c r="F3854">
        <v>3</v>
      </c>
      <c r="G3854" t="s">
        <v>16</v>
      </c>
      <c r="H3854">
        <v>0</v>
      </c>
      <c r="I3854" s="2" t="s">
        <v>5500</v>
      </c>
      <c r="J3854" s="2" t="s">
        <v>8518</v>
      </c>
      <c r="K3854">
        <v>20</v>
      </c>
      <c r="L3854">
        <v>20</v>
      </c>
      <c r="M3854">
        <v>20</v>
      </c>
    </row>
    <row r="3855" spans="1:13" x14ac:dyDescent="0.25">
      <c r="A3855" t="s">
        <v>8519</v>
      </c>
      <c r="B3855" t="s">
        <v>8516</v>
      </c>
      <c r="C3855" t="s">
        <v>496</v>
      </c>
      <c r="D3855" t="s">
        <v>2360</v>
      </c>
      <c r="F3855">
        <v>1</v>
      </c>
      <c r="G3855" t="s">
        <v>16</v>
      </c>
      <c r="H3855">
        <v>0</v>
      </c>
      <c r="I3855" s="2" t="s">
        <v>6078</v>
      </c>
      <c r="J3855" s="2" t="s">
        <v>8520</v>
      </c>
      <c r="K3855">
        <v>20</v>
      </c>
      <c r="L3855">
        <v>20</v>
      </c>
      <c r="M3855">
        <v>20</v>
      </c>
    </row>
    <row r="3856" spans="1:13" x14ac:dyDescent="0.25">
      <c r="A3856" t="s">
        <v>8521</v>
      </c>
      <c r="B3856" t="s">
        <v>8516</v>
      </c>
      <c r="C3856" t="s">
        <v>496</v>
      </c>
      <c r="D3856" t="s">
        <v>2360</v>
      </c>
      <c r="G3856" t="s">
        <v>16</v>
      </c>
      <c r="H3856">
        <v>0</v>
      </c>
      <c r="I3856" s="2" t="s">
        <v>5297</v>
      </c>
      <c r="J3856" s="2" t="s">
        <v>8522</v>
      </c>
      <c r="K3856">
        <v>20</v>
      </c>
      <c r="L3856">
        <v>20</v>
      </c>
      <c r="M3856">
        <v>20</v>
      </c>
    </row>
    <row r="3857" spans="1:13" x14ac:dyDescent="0.25">
      <c r="A3857" t="s">
        <v>8523</v>
      </c>
      <c r="B3857" t="s">
        <v>8524</v>
      </c>
      <c r="C3857" t="s">
        <v>496</v>
      </c>
      <c r="D3857" t="s">
        <v>2360</v>
      </c>
      <c r="F3857">
        <v>1</v>
      </c>
      <c r="G3857" t="s">
        <v>16</v>
      </c>
      <c r="H3857">
        <v>0</v>
      </c>
      <c r="I3857" s="2" t="s">
        <v>5688</v>
      </c>
      <c r="J3857" s="2">
        <v>313566</v>
      </c>
      <c r="K3857">
        <v>20</v>
      </c>
      <c r="L3857">
        <v>20</v>
      </c>
      <c r="M3857">
        <v>20</v>
      </c>
    </row>
    <row r="3858" spans="1:13" x14ac:dyDescent="0.25">
      <c r="A3858" t="s">
        <v>8525</v>
      </c>
      <c r="B3858" t="s">
        <v>8516</v>
      </c>
      <c r="C3858" t="s">
        <v>496</v>
      </c>
      <c r="D3858" t="s">
        <v>2360</v>
      </c>
      <c r="F3858">
        <v>1</v>
      </c>
      <c r="G3858" t="s">
        <v>16</v>
      </c>
      <c r="H3858">
        <v>0</v>
      </c>
      <c r="I3858" s="2" t="s">
        <v>5057</v>
      </c>
      <c r="J3858" s="2" t="s">
        <v>8526</v>
      </c>
      <c r="K3858">
        <v>20</v>
      </c>
      <c r="L3858">
        <v>20</v>
      </c>
      <c r="M3858">
        <v>20</v>
      </c>
    </row>
    <row r="3859" spans="1:13" x14ac:dyDescent="0.25">
      <c r="A3859" t="s">
        <v>8527</v>
      </c>
      <c r="B3859" t="s">
        <v>8516</v>
      </c>
      <c r="C3859" t="s">
        <v>496</v>
      </c>
      <c r="D3859" t="s">
        <v>2360</v>
      </c>
      <c r="G3859" t="s">
        <v>16</v>
      </c>
      <c r="H3859">
        <v>0</v>
      </c>
      <c r="I3859" s="2" t="s">
        <v>5044</v>
      </c>
      <c r="J3859" s="2" t="s">
        <v>8528</v>
      </c>
      <c r="K3859">
        <v>20</v>
      </c>
      <c r="L3859">
        <v>20</v>
      </c>
      <c r="M3859">
        <v>20</v>
      </c>
    </row>
    <row r="3860" spans="1:13" x14ac:dyDescent="0.25">
      <c r="A3860" t="s">
        <v>8529</v>
      </c>
      <c r="B3860" t="s">
        <v>8531</v>
      </c>
      <c r="C3860" t="s">
        <v>496</v>
      </c>
      <c r="D3860" t="s">
        <v>2360</v>
      </c>
      <c r="F3860">
        <v>2</v>
      </c>
      <c r="G3860" t="s">
        <v>16</v>
      </c>
      <c r="H3860">
        <v>0</v>
      </c>
      <c r="I3860" s="2" t="s">
        <v>765</v>
      </c>
      <c r="J3860" s="2" t="s">
        <v>8530</v>
      </c>
      <c r="K3860">
        <v>20</v>
      </c>
      <c r="L3860">
        <v>20</v>
      </c>
      <c r="M3860">
        <v>20</v>
      </c>
    </row>
    <row r="3861" spans="1:13" x14ac:dyDescent="0.25">
      <c r="A3861" t="s">
        <v>8532</v>
      </c>
      <c r="B3861" t="s">
        <v>8531</v>
      </c>
      <c r="C3861" t="s">
        <v>496</v>
      </c>
      <c r="D3861" t="s">
        <v>2360</v>
      </c>
      <c r="F3861">
        <v>3</v>
      </c>
      <c r="G3861" t="s">
        <v>16</v>
      </c>
      <c r="H3861">
        <v>0</v>
      </c>
      <c r="I3861" s="2" t="s">
        <v>5500</v>
      </c>
      <c r="J3861" s="2" t="s">
        <v>8533</v>
      </c>
      <c r="K3861">
        <v>20</v>
      </c>
      <c r="L3861">
        <v>20</v>
      </c>
      <c r="M3861">
        <v>20</v>
      </c>
    </row>
    <row r="3862" spans="1:13" x14ac:dyDescent="0.25">
      <c r="A3862" t="s">
        <v>8534</v>
      </c>
      <c r="B3862" t="s">
        <v>8531</v>
      </c>
      <c r="C3862" t="s">
        <v>496</v>
      </c>
      <c r="D3862" t="s">
        <v>2360</v>
      </c>
      <c r="F3862">
        <v>1</v>
      </c>
      <c r="G3862" t="s">
        <v>16</v>
      </c>
      <c r="H3862">
        <v>0</v>
      </c>
      <c r="I3862" s="2" t="s">
        <v>8305</v>
      </c>
      <c r="J3862" s="2" t="s">
        <v>8535</v>
      </c>
      <c r="K3862">
        <v>20</v>
      </c>
      <c r="L3862">
        <v>20</v>
      </c>
      <c r="M3862">
        <v>20</v>
      </c>
    </row>
    <row r="3863" spans="1:13" x14ac:dyDescent="0.25">
      <c r="A3863" t="s">
        <v>8536</v>
      </c>
      <c r="B3863" t="s">
        <v>8531</v>
      </c>
      <c r="C3863" t="s">
        <v>496</v>
      </c>
      <c r="D3863" t="s">
        <v>2360</v>
      </c>
      <c r="G3863" t="s">
        <v>16</v>
      </c>
      <c r="H3863">
        <v>0</v>
      </c>
      <c r="I3863" s="2" t="s">
        <v>5297</v>
      </c>
      <c r="J3863" s="2" t="s">
        <v>8537</v>
      </c>
      <c r="K3863">
        <v>20</v>
      </c>
      <c r="L3863">
        <v>20</v>
      </c>
      <c r="M3863">
        <v>20</v>
      </c>
    </row>
    <row r="3864" spans="1:13" x14ac:dyDescent="0.25">
      <c r="A3864" t="s">
        <v>8538</v>
      </c>
      <c r="B3864" t="s">
        <v>8531</v>
      </c>
      <c r="C3864" t="s">
        <v>496</v>
      </c>
      <c r="D3864" t="s">
        <v>2360</v>
      </c>
      <c r="F3864">
        <v>1</v>
      </c>
      <c r="G3864" t="s">
        <v>16</v>
      </c>
      <c r="H3864">
        <v>0</v>
      </c>
      <c r="I3864" s="2" t="s">
        <v>7399</v>
      </c>
      <c r="J3864" s="2">
        <v>313568</v>
      </c>
      <c r="K3864">
        <v>20</v>
      </c>
      <c r="L3864">
        <v>20</v>
      </c>
      <c r="M3864">
        <v>20</v>
      </c>
    </row>
    <row r="3865" spans="1:13" x14ac:dyDescent="0.25">
      <c r="A3865" t="s">
        <v>8539</v>
      </c>
      <c r="B3865" t="s">
        <v>8531</v>
      </c>
      <c r="C3865" t="s">
        <v>496</v>
      </c>
      <c r="D3865" t="s">
        <v>2360</v>
      </c>
      <c r="F3865">
        <v>1</v>
      </c>
      <c r="G3865" t="s">
        <v>16</v>
      </c>
      <c r="H3865">
        <v>0</v>
      </c>
      <c r="I3865" s="2" t="s">
        <v>5057</v>
      </c>
      <c r="J3865" s="2" t="s">
        <v>8540</v>
      </c>
      <c r="K3865">
        <v>20</v>
      </c>
      <c r="L3865">
        <v>20</v>
      </c>
      <c r="M3865">
        <v>20</v>
      </c>
    </row>
    <row r="3866" spans="1:13" x14ac:dyDescent="0.25">
      <c r="A3866" t="s">
        <v>8541</v>
      </c>
      <c r="B3866" t="s">
        <v>8531</v>
      </c>
      <c r="C3866" t="s">
        <v>496</v>
      </c>
      <c r="D3866" t="s">
        <v>2360</v>
      </c>
      <c r="G3866" t="s">
        <v>16</v>
      </c>
      <c r="H3866">
        <v>0</v>
      </c>
      <c r="I3866" s="2" t="s">
        <v>5044</v>
      </c>
      <c r="J3866" s="2" t="s">
        <v>8542</v>
      </c>
      <c r="K3866">
        <v>20</v>
      </c>
      <c r="L3866">
        <v>20</v>
      </c>
      <c r="M3866">
        <v>20</v>
      </c>
    </row>
    <row r="3867" spans="1:13" x14ac:dyDescent="0.25">
      <c r="A3867" t="s">
        <v>8543</v>
      </c>
      <c r="B3867" t="s">
        <v>8544</v>
      </c>
      <c r="C3867" t="s">
        <v>496</v>
      </c>
      <c r="D3867" t="s">
        <v>2360</v>
      </c>
      <c r="F3867">
        <v>5</v>
      </c>
      <c r="G3867" t="s">
        <v>16</v>
      </c>
      <c r="H3867">
        <v>0</v>
      </c>
      <c r="I3867" s="2" t="s">
        <v>7939</v>
      </c>
      <c r="J3867" s="2">
        <v>713007520</v>
      </c>
      <c r="K3867">
        <v>20</v>
      </c>
      <c r="L3867">
        <v>20</v>
      </c>
      <c r="M3867">
        <v>20</v>
      </c>
    </row>
    <row r="3868" spans="1:13" x14ac:dyDescent="0.25">
      <c r="A3868" t="s">
        <v>8545</v>
      </c>
      <c r="B3868" t="s">
        <v>8544</v>
      </c>
      <c r="C3868" t="s">
        <v>496</v>
      </c>
      <c r="D3868" t="s">
        <v>2360</v>
      </c>
      <c r="G3868" t="s">
        <v>16</v>
      </c>
      <c r="H3868">
        <v>0</v>
      </c>
      <c r="I3868" s="2" t="s">
        <v>248</v>
      </c>
      <c r="J3868" s="2">
        <v>27996</v>
      </c>
      <c r="K3868">
        <v>20</v>
      </c>
      <c r="L3868">
        <v>20</v>
      </c>
      <c r="M3868">
        <v>20</v>
      </c>
    </row>
    <row r="3869" spans="1:13" x14ac:dyDescent="0.25">
      <c r="A3869" t="s">
        <v>8546</v>
      </c>
      <c r="B3869" t="s">
        <v>8544</v>
      </c>
      <c r="C3869" t="s">
        <v>496</v>
      </c>
      <c r="D3869" t="s">
        <v>2360</v>
      </c>
      <c r="F3869">
        <v>2</v>
      </c>
      <c r="G3869" t="s">
        <v>16</v>
      </c>
      <c r="H3869">
        <v>0</v>
      </c>
      <c r="I3869" s="2" t="s">
        <v>297</v>
      </c>
      <c r="J3869" s="2">
        <v>713007500</v>
      </c>
      <c r="K3869">
        <v>20</v>
      </c>
      <c r="L3869">
        <v>20</v>
      </c>
      <c r="M3869">
        <v>20</v>
      </c>
    </row>
    <row r="3870" spans="1:13" x14ac:dyDescent="0.25">
      <c r="A3870" t="s">
        <v>8547</v>
      </c>
      <c r="B3870" t="s">
        <v>8544</v>
      </c>
      <c r="C3870" t="s">
        <v>496</v>
      </c>
      <c r="D3870" t="s">
        <v>2360</v>
      </c>
      <c r="G3870" t="s">
        <v>16</v>
      </c>
      <c r="H3870">
        <v>0</v>
      </c>
      <c r="I3870" s="2" t="s">
        <v>504</v>
      </c>
      <c r="J3870" s="2" t="s">
        <v>8547</v>
      </c>
      <c r="K3870">
        <v>20</v>
      </c>
      <c r="L3870">
        <v>20</v>
      </c>
      <c r="M3870">
        <v>20</v>
      </c>
    </row>
    <row r="3871" spans="1:13" x14ac:dyDescent="0.25">
      <c r="A3871" t="s">
        <v>8548</v>
      </c>
      <c r="B3871" t="s">
        <v>8549</v>
      </c>
      <c r="C3871" t="s">
        <v>496</v>
      </c>
      <c r="D3871" t="s">
        <v>2360</v>
      </c>
      <c r="G3871" t="s">
        <v>16</v>
      </c>
      <c r="H3871">
        <v>0</v>
      </c>
      <c r="I3871" s="2" t="s">
        <v>8550</v>
      </c>
      <c r="J3871" s="2">
        <v>5108</v>
      </c>
      <c r="K3871">
        <v>20</v>
      </c>
      <c r="L3871">
        <v>20</v>
      </c>
      <c r="M3871">
        <v>20</v>
      </c>
    </row>
    <row r="3872" spans="1:13" x14ac:dyDescent="0.25">
      <c r="A3872" t="s">
        <v>8551</v>
      </c>
      <c r="B3872" t="s">
        <v>8552</v>
      </c>
      <c r="C3872" t="s">
        <v>496</v>
      </c>
      <c r="D3872" t="s">
        <v>2360</v>
      </c>
      <c r="G3872" t="s">
        <v>16</v>
      </c>
      <c r="H3872">
        <v>0</v>
      </c>
      <c r="I3872" s="2" t="s">
        <v>765</v>
      </c>
      <c r="J3872" s="2">
        <v>320263116</v>
      </c>
      <c r="K3872">
        <v>20</v>
      </c>
      <c r="L3872">
        <v>20</v>
      </c>
      <c r="M3872">
        <v>20</v>
      </c>
    </row>
    <row r="3873" spans="1:13" x14ac:dyDescent="0.25">
      <c r="A3873" t="s">
        <v>8553</v>
      </c>
      <c r="B3873" t="s">
        <v>8554</v>
      </c>
      <c r="C3873" t="s">
        <v>496</v>
      </c>
      <c r="D3873" t="s">
        <v>2360</v>
      </c>
      <c r="G3873" t="s">
        <v>16</v>
      </c>
      <c r="H3873">
        <v>0</v>
      </c>
      <c r="I3873" s="2" t="s">
        <v>8480</v>
      </c>
      <c r="J3873" s="2" t="s">
        <v>8555</v>
      </c>
      <c r="K3873">
        <v>20</v>
      </c>
      <c r="L3873">
        <v>20</v>
      </c>
      <c r="M3873">
        <v>20</v>
      </c>
    </row>
    <row r="3874" spans="1:13" x14ac:dyDescent="0.25">
      <c r="A3874" t="s">
        <v>8556</v>
      </c>
      <c r="B3874" t="s">
        <v>8552</v>
      </c>
      <c r="C3874" t="s">
        <v>496</v>
      </c>
      <c r="D3874" t="s">
        <v>2360</v>
      </c>
      <c r="F3874">
        <v>1</v>
      </c>
      <c r="G3874" t="s">
        <v>16</v>
      </c>
      <c r="H3874">
        <v>0</v>
      </c>
      <c r="I3874" s="2" t="s">
        <v>2670</v>
      </c>
      <c r="J3874" s="2" t="s">
        <v>8557</v>
      </c>
      <c r="K3874">
        <v>20</v>
      </c>
      <c r="L3874">
        <v>20</v>
      </c>
      <c r="M3874">
        <v>20</v>
      </c>
    </row>
    <row r="3875" spans="1:13" x14ac:dyDescent="0.25">
      <c r="A3875" t="s">
        <v>8558</v>
      </c>
      <c r="B3875" t="s">
        <v>8559</v>
      </c>
      <c r="C3875" t="s">
        <v>496</v>
      </c>
      <c r="D3875" t="s">
        <v>2360</v>
      </c>
      <c r="F3875">
        <v>2</v>
      </c>
      <c r="G3875" t="s">
        <v>16</v>
      </c>
      <c r="H3875">
        <v>0</v>
      </c>
      <c r="I3875" s="2" t="s">
        <v>5688</v>
      </c>
      <c r="J3875" s="2">
        <v>560263</v>
      </c>
      <c r="K3875">
        <v>20</v>
      </c>
      <c r="L3875">
        <v>20</v>
      </c>
      <c r="M3875">
        <v>20</v>
      </c>
    </row>
    <row r="3876" spans="1:13" x14ac:dyDescent="0.25">
      <c r="A3876" t="s">
        <v>8560</v>
      </c>
      <c r="B3876" t="s">
        <v>8561</v>
      </c>
      <c r="C3876" t="s">
        <v>496</v>
      </c>
      <c r="D3876" t="s">
        <v>2360</v>
      </c>
      <c r="G3876" t="s">
        <v>16</v>
      </c>
      <c r="H3876">
        <v>0</v>
      </c>
      <c r="I3876" s="2" t="s">
        <v>288</v>
      </c>
      <c r="J3876" s="2">
        <v>320264116</v>
      </c>
      <c r="K3876">
        <v>20</v>
      </c>
      <c r="L3876">
        <v>20</v>
      </c>
      <c r="M3876">
        <v>20</v>
      </c>
    </row>
    <row r="3877" spans="1:13" x14ac:dyDescent="0.25">
      <c r="A3877" t="s">
        <v>8562</v>
      </c>
      <c r="B3877" t="s">
        <v>8563</v>
      </c>
      <c r="C3877" t="s">
        <v>496</v>
      </c>
      <c r="D3877" t="s">
        <v>2360</v>
      </c>
      <c r="G3877" t="s">
        <v>16</v>
      </c>
      <c r="H3877">
        <v>0</v>
      </c>
      <c r="I3877" s="2" t="s">
        <v>7654</v>
      </c>
      <c r="J3877" s="2" t="s">
        <v>8564</v>
      </c>
      <c r="K3877">
        <v>20</v>
      </c>
      <c r="L3877">
        <v>20</v>
      </c>
      <c r="M3877">
        <v>20</v>
      </c>
    </row>
    <row r="3878" spans="1:13" x14ac:dyDescent="0.25">
      <c r="A3878" t="s">
        <v>8565</v>
      </c>
      <c r="B3878" t="s">
        <v>8561</v>
      </c>
      <c r="C3878" t="s">
        <v>496</v>
      </c>
      <c r="D3878" t="s">
        <v>2360</v>
      </c>
      <c r="F3878">
        <v>1</v>
      </c>
      <c r="G3878" t="s">
        <v>16</v>
      </c>
      <c r="H3878">
        <v>0</v>
      </c>
      <c r="I3878" s="2" t="s">
        <v>2670</v>
      </c>
      <c r="J3878" s="2" t="s">
        <v>8566</v>
      </c>
      <c r="K3878">
        <v>20</v>
      </c>
      <c r="L3878">
        <v>20</v>
      </c>
      <c r="M3878">
        <v>20</v>
      </c>
    </row>
    <row r="3879" spans="1:13" x14ac:dyDescent="0.25">
      <c r="A3879" t="s">
        <v>8567</v>
      </c>
      <c r="B3879" t="s">
        <v>8561</v>
      </c>
      <c r="C3879" t="s">
        <v>496</v>
      </c>
      <c r="D3879" t="s">
        <v>2360</v>
      </c>
      <c r="F3879">
        <v>2</v>
      </c>
      <c r="G3879" t="s">
        <v>16</v>
      </c>
      <c r="H3879">
        <v>0</v>
      </c>
      <c r="I3879" s="2" t="s">
        <v>7399</v>
      </c>
      <c r="J3879" s="2">
        <v>560264</v>
      </c>
      <c r="K3879">
        <v>20</v>
      </c>
      <c r="L3879">
        <v>20</v>
      </c>
      <c r="M3879">
        <v>20</v>
      </c>
    </row>
    <row r="3880" spans="1:13" x14ac:dyDescent="0.25">
      <c r="A3880" t="s">
        <v>8568</v>
      </c>
      <c r="B3880" t="s">
        <v>8569</v>
      </c>
      <c r="C3880" t="s">
        <v>496</v>
      </c>
      <c r="D3880" t="s">
        <v>2360</v>
      </c>
      <c r="F3880">
        <v>1</v>
      </c>
      <c r="G3880" t="s">
        <v>16</v>
      </c>
      <c r="H3880">
        <v>0</v>
      </c>
      <c r="I3880" s="2" t="s">
        <v>5528</v>
      </c>
      <c r="J3880" s="2" t="s">
        <v>8570</v>
      </c>
      <c r="K3880">
        <v>20</v>
      </c>
      <c r="L3880">
        <v>20</v>
      </c>
      <c r="M3880">
        <v>20</v>
      </c>
    </row>
    <row r="3881" spans="1:13" x14ac:dyDescent="0.25">
      <c r="A3881" t="s">
        <v>8571</v>
      </c>
      <c r="B3881" t="s">
        <v>8572</v>
      </c>
      <c r="C3881" t="s">
        <v>496</v>
      </c>
      <c r="D3881" t="s">
        <v>2360</v>
      </c>
      <c r="F3881">
        <v>2</v>
      </c>
      <c r="G3881" t="s">
        <v>16</v>
      </c>
      <c r="H3881">
        <v>0</v>
      </c>
      <c r="I3881" s="2" t="s">
        <v>5528</v>
      </c>
      <c r="J3881" s="2" t="s">
        <v>8573</v>
      </c>
      <c r="K3881">
        <v>20</v>
      </c>
      <c r="L3881">
        <v>20</v>
      </c>
      <c r="M3881">
        <v>20</v>
      </c>
    </row>
    <row r="3882" spans="1:13" x14ac:dyDescent="0.25">
      <c r="A3882" t="s">
        <v>8574</v>
      </c>
      <c r="B3882" t="s">
        <v>8576</v>
      </c>
      <c r="C3882" t="s">
        <v>496</v>
      </c>
      <c r="D3882" t="s">
        <v>2360</v>
      </c>
      <c r="G3882" t="s">
        <v>16</v>
      </c>
      <c r="H3882">
        <v>0</v>
      </c>
      <c r="I3882" s="2" t="s">
        <v>288</v>
      </c>
      <c r="J3882" s="2" t="s">
        <v>8575</v>
      </c>
      <c r="K3882">
        <v>20</v>
      </c>
      <c r="L3882">
        <v>20</v>
      </c>
      <c r="M3882">
        <v>20</v>
      </c>
    </row>
    <row r="3883" spans="1:13" x14ac:dyDescent="0.25">
      <c r="A3883" t="s">
        <v>8577</v>
      </c>
      <c r="B3883" t="s">
        <v>8576</v>
      </c>
      <c r="C3883" t="s">
        <v>496</v>
      </c>
      <c r="D3883" t="s">
        <v>2360</v>
      </c>
      <c r="G3883" t="s">
        <v>16</v>
      </c>
      <c r="H3883">
        <v>0</v>
      </c>
      <c r="I3883" s="2" t="s">
        <v>8578</v>
      </c>
      <c r="J3883" s="2">
        <v>91192</v>
      </c>
      <c r="K3883">
        <v>20</v>
      </c>
      <c r="L3883">
        <v>20</v>
      </c>
      <c r="M3883">
        <v>20</v>
      </c>
    </row>
    <row r="3884" spans="1:13" x14ac:dyDescent="0.25">
      <c r="A3884" t="s">
        <v>8579</v>
      </c>
      <c r="B3884" t="s">
        <v>8580</v>
      </c>
      <c r="C3884" t="s">
        <v>496</v>
      </c>
      <c r="G3884" t="s">
        <v>16</v>
      </c>
      <c r="H3884">
        <v>0</v>
      </c>
      <c r="I3884" s="2" t="s">
        <v>500</v>
      </c>
      <c r="J3884" s="2" t="s">
        <v>8581</v>
      </c>
      <c r="K3884">
        <v>20</v>
      </c>
      <c r="L3884">
        <v>20</v>
      </c>
      <c r="M3884">
        <v>20</v>
      </c>
    </row>
    <row r="3885" spans="1:13" x14ac:dyDescent="0.25">
      <c r="A3885" t="s">
        <v>8582</v>
      </c>
      <c r="B3885" t="s">
        <v>8583</v>
      </c>
      <c r="C3885" t="s">
        <v>2493</v>
      </c>
      <c r="D3885" t="s">
        <v>2360</v>
      </c>
      <c r="G3885" t="s">
        <v>16</v>
      </c>
      <c r="H3885">
        <v>0</v>
      </c>
      <c r="I3885" s="2" t="s">
        <v>245</v>
      </c>
      <c r="J3885" s="2" t="s">
        <v>8584</v>
      </c>
      <c r="K3885">
        <v>20</v>
      </c>
      <c r="L3885">
        <v>20</v>
      </c>
      <c r="M3885">
        <v>20</v>
      </c>
    </row>
    <row r="3886" spans="1:13" x14ac:dyDescent="0.25">
      <c r="A3886" t="s">
        <v>8585</v>
      </c>
      <c r="B3886" t="s">
        <v>8586</v>
      </c>
      <c r="C3886" t="s">
        <v>496</v>
      </c>
      <c r="D3886" t="s">
        <v>2360</v>
      </c>
      <c r="F3886">
        <v>2</v>
      </c>
      <c r="G3886" t="s">
        <v>16</v>
      </c>
      <c r="H3886">
        <v>0</v>
      </c>
      <c r="I3886" s="2" t="s">
        <v>7399</v>
      </c>
      <c r="J3886" s="2">
        <v>317495</v>
      </c>
      <c r="K3886">
        <v>20</v>
      </c>
      <c r="L3886">
        <v>20</v>
      </c>
      <c r="M3886">
        <v>20</v>
      </c>
    </row>
    <row r="3887" spans="1:13" x14ac:dyDescent="0.25">
      <c r="A3887" t="s">
        <v>8587</v>
      </c>
      <c r="B3887" t="s">
        <v>8588</v>
      </c>
      <c r="C3887" t="s">
        <v>496</v>
      </c>
      <c r="D3887" t="s">
        <v>2360</v>
      </c>
      <c r="F3887">
        <v>2</v>
      </c>
      <c r="G3887" t="s">
        <v>16</v>
      </c>
      <c r="H3887">
        <v>0</v>
      </c>
      <c r="I3887" s="2" t="s">
        <v>7399</v>
      </c>
      <c r="J3887" s="2">
        <v>317496</v>
      </c>
      <c r="K3887">
        <v>20</v>
      </c>
      <c r="L3887">
        <v>20</v>
      </c>
      <c r="M3887">
        <v>20</v>
      </c>
    </row>
    <row r="3888" spans="1:13" x14ac:dyDescent="0.25">
      <c r="A3888" t="s">
        <v>8589</v>
      </c>
      <c r="B3888" t="s">
        <v>8590</v>
      </c>
      <c r="C3888" t="s">
        <v>2493</v>
      </c>
      <c r="G3888" t="s">
        <v>16</v>
      </c>
      <c r="H3888">
        <v>0</v>
      </c>
      <c r="I3888" s="2" t="s">
        <v>245</v>
      </c>
      <c r="J3888" s="2" t="s">
        <v>8591</v>
      </c>
      <c r="K3888">
        <v>20</v>
      </c>
      <c r="L3888">
        <v>20</v>
      </c>
      <c r="M3888">
        <v>20</v>
      </c>
    </row>
    <row r="3889" spans="1:13" x14ac:dyDescent="0.25">
      <c r="A3889" t="s">
        <v>8592</v>
      </c>
      <c r="B3889" t="s">
        <v>8593</v>
      </c>
      <c r="C3889" t="s">
        <v>496</v>
      </c>
      <c r="D3889" t="s">
        <v>2360</v>
      </c>
      <c r="G3889" t="s">
        <v>16</v>
      </c>
      <c r="H3889">
        <v>0</v>
      </c>
      <c r="I3889" s="2" t="s">
        <v>238</v>
      </c>
      <c r="J3889" s="2">
        <v>15620</v>
      </c>
      <c r="K3889">
        <v>20</v>
      </c>
      <c r="L3889">
        <v>20</v>
      </c>
      <c r="M3889">
        <v>20</v>
      </c>
    </row>
    <row r="3890" spans="1:13" x14ac:dyDescent="0.25">
      <c r="A3890" t="s">
        <v>8594</v>
      </c>
      <c r="B3890" t="s">
        <v>8596</v>
      </c>
      <c r="C3890" t="s">
        <v>496</v>
      </c>
      <c r="D3890" t="s">
        <v>2360</v>
      </c>
      <c r="F3890">
        <v>4</v>
      </c>
      <c r="G3890" t="s">
        <v>16</v>
      </c>
      <c r="H3890">
        <v>0</v>
      </c>
      <c r="I3890" s="2" t="s">
        <v>765</v>
      </c>
      <c r="J3890" s="2" t="s">
        <v>8595</v>
      </c>
      <c r="K3890">
        <v>20</v>
      </c>
      <c r="L3890">
        <v>20</v>
      </c>
      <c r="M3890">
        <v>20</v>
      </c>
    </row>
    <row r="3891" spans="1:13" x14ac:dyDescent="0.25">
      <c r="A3891" t="s">
        <v>8597</v>
      </c>
      <c r="B3891" t="s">
        <v>8596</v>
      </c>
      <c r="C3891" t="s">
        <v>496</v>
      </c>
      <c r="D3891" t="s">
        <v>2360</v>
      </c>
      <c r="F3891">
        <v>5</v>
      </c>
      <c r="G3891" t="s">
        <v>16</v>
      </c>
      <c r="H3891">
        <v>0</v>
      </c>
      <c r="I3891" s="2" t="b">
        <v>1</v>
      </c>
      <c r="J3891" s="2" t="s">
        <v>8598</v>
      </c>
      <c r="K3891">
        <v>20</v>
      </c>
      <c r="L3891">
        <v>20</v>
      </c>
      <c r="M3891">
        <v>20</v>
      </c>
    </row>
    <row r="3892" spans="1:13" x14ac:dyDescent="0.25">
      <c r="A3892" t="s">
        <v>8599</v>
      </c>
      <c r="B3892" t="s">
        <v>8601</v>
      </c>
      <c r="C3892" t="s">
        <v>496</v>
      </c>
      <c r="D3892" t="s">
        <v>2360</v>
      </c>
      <c r="F3892">
        <v>8</v>
      </c>
      <c r="G3892" t="s">
        <v>16</v>
      </c>
      <c r="H3892">
        <v>0</v>
      </c>
      <c r="I3892" s="2" t="s">
        <v>288</v>
      </c>
      <c r="J3892" s="2" t="s">
        <v>8600</v>
      </c>
      <c r="K3892">
        <v>20</v>
      </c>
      <c r="L3892">
        <v>20</v>
      </c>
      <c r="M3892">
        <v>20</v>
      </c>
    </row>
    <row r="3893" spans="1:13" x14ac:dyDescent="0.25">
      <c r="A3893" t="s">
        <v>8602</v>
      </c>
      <c r="B3893" t="s">
        <v>8601</v>
      </c>
      <c r="C3893" t="s">
        <v>496</v>
      </c>
      <c r="D3893" t="s">
        <v>2360</v>
      </c>
      <c r="F3893">
        <v>4</v>
      </c>
      <c r="G3893" t="s">
        <v>16</v>
      </c>
      <c r="H3893">
        <v>0</v>
      </c>
      <c r="I3893" s="2" t="s">
        <v>737</v>
      </c>
      <c r="J3893" s="2" t="s">
        <v>8603</v>
      </c>
      <c r="K3893">
        <v>20</v>
      </c>
      <c r="L3893">
        <v>20</v>
      </c>
      <c r="M3893">
        <v>20</v>
      </c>
    </row>
    <row r="3894" spans="1:13" x14ac:dyDescent="0.25">
      <c r="A3894" t="s">
        <v>8604</v>
      </c>
      <c r="B3894" t="s">
        <v>8605</v>
      </c>
      <c r="C3894" t="s">
        <v>2493</v>
      </c>
      <c r="G3894" t="s">
        <v>16</v>
      </c>
      <c r="H3894">
        <v>0</v>
      </c>
      <c r="I3894" s="2" t="s">
        <v>245</v>
      </c>
      <c r="J3894" s="2" t="s">
        <v>8606</v>
      </c>
      <c r="K3894">
        <v>20</v>
      </c>
      <c r="L3894">
        <v>20</v>
      </c>
      <c r="M3894">
        <v>20</v>
      </c>
    </row>
    <row r="3895" spans="1:13" x14ac:dyDescent="0.25">
      <c r="A3895" t="s">
        <v>8607</v>
      </c>
      <c r="B3895" t="s">
        <v>8608</v>
      </c>
      <c r="C3895" t="s">
        <v>496</v>
      </c>
      <c r="D3895" t="s">
        <v>2360</v>
      </c>
      <c r="G3895" t="s">
        <v>16</v>
      </c>
      <c r="H3895">
        <v>0</v>
      </c>
      <c r="I3895" s="2" t="s">
        <v>288</v>
      </c>
      <c r="J3895" s="2">
        <v>323040116</v>
      </c>
      <c r="K3895">
        <v>20</v>
      </c>
      <c r="L3895">
        <v>20</v>
      </c>
      <c r="M3895">
        <v>20</v>
      </c>
    </row>
    <row r="3896" spans="1:13" x14ac:dyDescent="0.25">
      <c r="A3896" t="s">
        <v>8609</v>
      </c>
      <c r="B3896" t="s">
        <v>8611</v>
      </c>
      <c r="C3896" t="s">
        <v>496</v>
      </c>
      <c r="D3896" t="s">
        <v>2360</v>
      </c>
      <c r="F3896">
        <v>6</v>
      </c>
      <c r="G3896" t="s">
        <v>16</v>
      </c>
      <c r="H3896">
        <v>0</v>
      </c>
      <c r="I3896" s="2" t="s">
        <v>765</v>
      </c>
      <c r="J3896" s="2" t="s">
        <v>8610</v>
      </c>
      <c r="K3896">
        <v>20</v>
      </c>
      <c r="L3896">
        <v>20</v>
      </c>
      <c r="M3896">
        <v>20</v>
      </c>
    </row>
    <row r="3897" spans="1:13" x14ac:dyDescent="0.25">
      <c r="A3897" t="s">
        <v>8612</v>
      </c>
      <c r="B3897" t="s">
        <v>8613</v>
      </c>
      <c r="C3897" t="s">
        <v>2493</v>
      </c>
      <c r="G3897" t="s">
        <v>16</v>
      </c>
      <c r="H3897">
        <v>0</v>
      </c>
      <c r="I3897" s="2" t="s">
        <v>2533</v>
      </c>
      <c r="J3897" s="2" t="s">
        <v>8614</v>
      </c>
      <c r="K3897">
        <v>20</v>
      </c>
      <c r="L3897">
        <v>20</v>
      </c>
      <c r="M3897">
        <v>20</v>
      </c>
    </row>
    <row r="3898" spans="1:13" x14ac:dyDescent="0.25">
      <c r="A3898" t="s">
        <v>8615</v>
      </c>
      <c r="B3898" t="s">
        <v>8616</v>
      </c>
      <c r="C3898" t="s">
        <v>496</v>
      </c>
      <c r="G3898" t="s">
        <v>16</v>
      </c>
      <c r="H3898">
        <v>0</v>
      </c>
      <c r="I3898" s="2" t="s">
        <v>245</v>
      </c>
      <c r="J3898" s="2" t="s">
        <v>8617</v>
      </c>
      <c r="K3898">
        <v>20</v>
      </c>
      <c r="L3898">
        <v>20</v>
      </c>
      <c r="M3898">
        <v>20</v>
      </c>
    </row>
    <row r="3899" spans="1:13" x14ac:dyDescent="0.25">
      <c r="A3899" t="s">
        <v>8618</v>
      </c>
      <c r="B3899" t="s">
        <v>8619</v>
      </c>
      <c r="C3899" t="s">
        <v>496</v>
      </c>
      <c r="D3899" t="s">
        <v>2360</v>
      </c>
      <c r="G3899" t="s">
        <v>16</v>
      </c>
      <c r="H3899">
        <v>0</v>
      </c>
      <c r="I3899" s="2" t="s">
        <v>2533</v>
      </c>
      <c r="J3899" s="2" t="s">
        <v>8620</v>
      </c>
      <c r="K3899">
        <v>20</v>
      </c>
      <c r="L3899">
        <v>20</v>
      </c>
      <c r="M3899">
        <v>20</v>
      </c>
    </row>
    <row r="3900" spans="1:13" x14ac:dyDescent="0.25">
      <c r="A3900" t="s">
        <v>8621</v>
      </c>
      <c r="B3900" t="s">
        <v>8619</v>
      </c>
      <c r="C3900" t="s">
        <v>496</v>
      </c>
      <c r="D3900" t="s">
        <v>2360</v>
      </c>
      <c r="G3900" t="s">
        <v>16</v>
      </c>
      <c r="H3900">
        <v>0</v>
      </c>
      <c r="I3900" s="2" t="s">
        <v>941</v>
      </c>
      <c r="J3900" s="2" t="s">
        <v>8622</v>
      </c>
      <c r="K3900">
        <v>20</v>
      </c>
      <c r="L3900">
        <v>20</v>
      </c>
      <c r="M3900">
        <v>20</v>
      </c>
    </row>
    <row r="3901" spans="1:13" x14ac:dyDescent="0.25">
      <c r="A3901" t="s">
        <v>8623</v>
      </c>
      <c r="B3901" t="s">
        <v>8619</v>
      </c>
      <c r="C3901" t="s">
        <v>496</v>
      </c>
      <c r="D3901" t="s">
        <v>2360</v>
      </c>
      <c r="F3901">
        <v>1</v>
      </c>
      <c r="G3901" t="s">
        <v>16</v>
      </c>
      <c r="H3901">
        <v>0</v>
      </c>
      <c r="I3901" s="2" t="s">
        <v>5040</v>
      </c>
      <c r="J3901" s="2" t="s">
        <v>8624</v>
      </c>
      <c r="K3901">
        <v>20</v>
      </c>
      <c r="L3901">
        <v>20</v>
      </c>
      <c r="M3901">
        <v>20</v>
      </c>
    </row>
    <row r="3902" spans="1:13" x14ac:dyDescent="0.25">
      <c r="A3902" t="s">
        <v>8625</v>
      </c>
      <c r="B3902" t="s">
        <v>8619</v>
      </c>
      <c r="C3902" t="s">
        <v>496</v>
      </c>
      <c r="D3902" t="s">
        <v>2360</v>
      </c>
      <c r="F3902">
        <v>1</v>
      </c>
      <c r="G3902" t="s">
        <v>16</v>
      </c>
      <c r="H3902">
        <v>0</v>
      </c>
      <c r="I3902" s="2" t="s">
        <v>64</v>
      </c>
      <c r="J3902" s="2">
        <v>13040239</v>
      </c>
      <c r="K3902">
        <v>20</v>
      </c>
      <c r="L3902">
        <v>20</v>
      </c>
      <c r="M3902">
        <v>20</v>
      </c>
    </row>
    <row r="3903" spans="1:13" x14ac:dyDescent="0.25">
      <c r="A3903" t="s">
        <v>8626</v>
      </c>
      <c r="B3903" t="s">
        <v>8619</v>
      </c>
      <c r="C3903" t="s">
        <v>496</v>
      </c>
      <c r="D3903" t="s">
        <v>2360</v>
      </c>
      <c r="F3903">
        <v>2</v>
      </c>
      <c r="G3903" t="s">
        <v>16</v>
      </c>
      <c r="H3903">
        <v>0</v>
      </c>
      <c r="I3903" s="2" t="s">
        <v>266</v>
      </c>
      <c r="J3903" s="2" t="s">
        <v>8627</v>
      </c>
      <c r="K3903">
        <v>20</v>
      </c>
      <c r="L3903">
        <v>20</v>
      </c>
      <c r="M3903">
        <v>20</v>
      </c>
    </row>
    <row r="3904" spans="1:13" x14ac:dyDescent="0.25">
      <c r="A3904" t="s">
        <v>8628</v>
      </c>
      <c r="B3904" t="s">
        <v>8629</v>
      </c>
      <c r="C3904" t="s">
        <v>496</v>
      </c>
      <c r="D3904" t="s">
        <v>2360</v>
      </c>
      <c r="F3904">
        <v>2</v>
      </c>
      <c r="G3904" t="s">
        <v>16</v>
      </c>
      <c r="H3904">
        <v>0</v>
      </c>
      <c r="I3904" s="2" t="s">
        <v>2533</v>
      </c>
      <c r="J3904" s="2" t="s">
        <v>8630</v>
      </c>
      <c r="K3904">
        <v>20</v>
      </c>
      <c r="L3904">
        <v>20</v>
      </c>
      <c r="M3904">
        <v>20</v>
      </c>
    </row>
    <row r="3905" spans="1:13" x14ac:dyDescent="0.25">
      <c r="A3905" t="s">
        <v>8631</v>
      </c>
      <c r="B3905" t="s">
        <v>8629</v>
      </c>
      <c r="C3905" t="s">
        <v>496</v>
      </c>
      <c r="D3905" t="s">
        <v>2360</v>
      </c>
      <c r="G3905" t="s">
        <v>16</v>
      </c>
      <c r="H3905">
        <v>0</v>
      </c>
      <c r="I3905" s="2" t="s">
        <v>707</v>
      </c>
      <c r="J3905" s="2" t="s">
        <v>8632</v>
      </c>
      <c r="K3905">
        <v>20</v>
      </c>
      <c r="L3905">
        <v>20</v>
      </c>
      <c r="M3905">
        <v>20</v>
      </c>
    </row>
    <row r="3906" spans="1:13" x14ac:dyDescent="0.25">
      <c r="A3906" t="s">
        <v>8633</v>
      </c>
      <c r="B3906" t="s">
        <v>8629</v>
      </c>
      <c r="C3906" t="s">
        <v>496</v>
      </c>
      <c r="D3906" t="s">
        <v>2360</v>
      </c>
      <c r="F3906">
        <v>2</v>
      </c>
      <c r="G3906" t="s">
        <v>16</v>
      </c>
      <c r="H3906">
        <v>0</v>
      </c>
      <c r="I3906" s="2" t="s">
        <v>5040</v>
      </c>
      <c r="J3906" s="2" t="s">
        <v>8634</v>
      </c>
      <c r="K3906">
        <v>20</v>
      </c>
      <c r="L3906">
        <v>20</v>
      </c>
      <c r="M3906">
        <v>20</v>
      </c>
    </row>
    <row r="3907" spans="1:13" x14ac:dyDescent="0.25">
      <c r="A3907" t="s">
        <v>8635</v>
      </c>
      <c r="B3907" t="s">
        <v>8629</v>
      </c>
      <c r="C3907" t="s">
        <v>496</v>
      </c>
      <c r="G3907" t="s">
        <v>16</v>
      </c>
      <c r="H3907">
        <v>0</v>
      </c>
      <c r="I3907" s="2" t="s">
        <v>64</v>
      </c>
      <c r="J3907" s="2">
        <v>13040240</v>
      </c>
      <c r="K3907">
        <v>20</v>
      </c>
      <c r="L3907">
        <v>20</v>
      </c>
      <c r="M3907">
        <v>20</v>
      </c>
    </row>
    <row r="3908" spans="1:13" x14ac:dyDescent="0.25">
      <c r="A3908" t="s">
        <v>8636</v>
      </c>
      <c r="B3908" t="s">
        <v>8629</v>
      </c>
      <c r="C3908" t="s">
        <v>496</v>
      </c>
      <c r="D3908" t="s">
        <v>2360</v>
      </c>
      <c r="F3908">
        <v>1</v>
      </c>
      <c r="G3908" t="s">
        <v>16</v>
      </c>
      <c r="H3908">
        <v>0</v>
      </c>
      <c r="I3908" s="2" t="s">
        <v>5180</v>
      </c>
      <c r="J3908" s="2" t="s">
        <v>8637</v>
      </c>
      <c r="K3908">
        <v>20</v>
      </c>
      <c r="L3908">
        <v>20</v>
      </c>
      <c r="M3908">
        <v>20</v>
      </c>
    </row>
    <row r="3909" spans="1:13" x14ac:dyDescent="0.25">
      <c r="A3909" t="s">
        <v>8638</v>
      </c>
      <c r="B3909" t="s">
        <v>8639</v>
      </c>
      <c r="C3909" t="s">
        <v>496</v>
      </c>
      <c r="D3909" t="s">
        <v>2360</v>
      </c>
      <c r="F3909">
        <v>2</v>
      </c>
      <c r="G3909" t="s">
        <v>16</v>
      </c>
      <c r="H3909">
        <v>0</v>
      </c>
      <c r="I3909" s="2" t="s">
        <v>5180</v>
      </c>
      <c r="J3909" s="2" t="s">
        <v>8640</v>
      </c>
      <c r="K3909">
        <v>20</v>
      </c>
      <c r="L3909">
        <v>20</v>
      </c>
      <c r="M3909">
        <v>20</v>
      </c>
    </row>
    <row r="3910" spans="1:13" x14ac:dyDescent="0.25">
      <c r="A3910" t="s">
        <v>8641</v>
      </c>
      <c r="B3910" t="s">
        <v>8643</v>
      </c>
      <c r="C3910" t="s">
        <v>496</v>
      </c>
      <c r="D3910" t="s">
        <v>2360</v>
      </c>
      <c r="F3910">
        <v>6</v>
      </c>
      <c r="G3910" t="s">
        <v>16</v>
      </c>
      <c r="H3910">
        <v>0</v>
      </c>
      <c r="I3910" s="2" t="s">
        <v>288</v>
      </c>
      <c r="J3910" s="2" t="s">
        <v>8642</v>
      </c>
      <c r="K3910">
        <v>20</v>
      </c>
      <c r="L3910">
        <v>20</v>
      </c>
      <c r="M3910">
        <v>20</v>
      </c>
    </row>
    <row r="3911" spans="1:13" x14ac:dyDescent="0.25">
      <c r="A3911" t="s">
        <v>8644</v>
      </c>
      <c r="B3911" t="s">
        <v>8643</v>
      </c>
      <c r="C3911" t="s">
        <v>496</v>
      </c>
      <c r="D3911" t="s">
        <v>2360</v>
      </c>
      <c r="F3911">
        <v>5</v>
      </c>
      <c r="G3911" t="s">
        <v>16</v>
      </c>
      <c r="H3911">
        <v>0</v>
      </c>
      <c r="I3911" s="2" t="b">
        <v>1</v>
      </c>
      <c r="J3911" s="2" t="s">
        <v>8645</v>
      </c>
      <c r="K3911">
        <v>20</v>
      </c>
      <c r="L3911">
        <v>20</v>
      </c>
      <c r="M3911">
        <v>20</v>
      </c>
    </row>
    <row r="3912" spans="1:13" x14ac:dyDescent="0.25">
      <c r="A3912" t="s">
        <v>8646</v>
      </c>
      <c r="B3912" t="s">
        <v>8647</v>
      </c>
      <c r="C3912" t="s">
        <v>2493</v>
      </c>
      <c r="G3912" t="s">
        <v>16</v>
      </c>
      <c r="H3912">
        <v>0</v>
      </c>
      <c r="I3912" s="2" t="s">
        <v>2533</v>
      </c>
      <c r="J3912" s="2" t="s">
        <v>8648</v>
      </c>
      <c r="K3912">
        <v>20</v>
      </c>
      <c r="L3912">
        <v>20</v>
      </c>
      <c r="M3912">
        <v>20</v>
      </c>
    </row>
    <row r="3913" spans="1:13" x14ac:dyDescent="0.25">
      <c r="A3913" t="s">
        <v>8649</v>
      </c>
      <c r="B3913" t="s">
        <v>8650</v>
      </c>
      <c r="C3913" t="s">
        <v>2493</v>
      </c>
      <c r="G3913" t="s">
        <v>16</v>
      </c>
      <c r="H3913">
        <v>0</v>
      </c>
      <c r="I3913" s="2" t="s">
        <v>5040</v>
      </c>
      <c r="J3913" s="2" t="s">
        <v>8651</v>
      </c>
      <c r="K3913">
        <v>20</v>
      </c>
      <c r="L3913">
        <v>20</v>
      </c>
      <c r="M3913">
        <v>20</v>
      </c>
    </row>
    <row r="3914" spans="1:13" x14ac:dyDescent="0.25">
      <c r="A3914" t="s">
        <v>8652</v>
      </c>
      <c r="B3914" t="s">
        <v>8653</v>
      </c>
      <c r="C3914" t="s">
        <v>496</v>
      </c>
      <c r="G3914" t="s">
        <v>16</v>
      </c>
      <c r="H3914">
        <v>0</v>
      </c>
      <c r="I3914" s="2" t="s">
        <v>2533</v>
      </c>
      <c r="J3914" s="2" t="s">
        <v>8654</v>
      </c>
      <c r="K3914">
        <v>20</v>
      </c>
      <c r="L3914">
        <v>20</v>
      </c>
      <c r="M3914">
        <v>20</v>
      </c>
    </row>
    <row r="3915" spans="1:13" x14ac:dyDescent="0.25">
      <c r="A3915" t="s">
        <v>8655</v>
      </c>
      <c r="B3915" t="s">
        <v>8653</v>
      </c>
      <c r="C3915" t="s">
        <v>496</v>
      </c>
      <c r="G3915" t="s">
        <v>16</v>
      </c>
      <c r="H3915">
        <v>0</v>
      </c>
      <c r="I3915" s="2" t="s">
        <v>941</v>
      </c>
      <c r="J3915" s="2" t="s">
        <v>8656</v>
      </c>
      <c r="K3915">
        <v>20</v>
      </c>
      <c r="L3915">
        <v>20</v>
      </c>
      <c r="M3915">
        <v>20</v>
      </c>
    </row>
    <row r="3916" spans="1:13" x14ac:dyDescent="0.25">
      <c r="A3916" t="s">
        <v>8657</v>
      </c>
      <c r="B3916" t="s">
        <v>8653</v>
      </c>
      <c r="C3916" t="s">
        <v>496</v>
      </c>
      <c r="G3916" t="s">
        <v>16</v>
      </c>
      <c r="H3916">
        <v>0</v>
      </c>
      <c r="I3916" s="2" t="s">
        <v>5040</v>
      </c>
      <c r="J3916" s="2" t="s">
        <v>8658</v>
      </c>
      <c r="K3916">
        <v>20</v>
      </c>
      <c r="L3916">
        <v>20</v>
      </c>
      <c r="M3916">
        <v>20</v>
      </c>
    </row>
    <row r="3917" spans="1:13" x14ac:dyDescent="0.25">
      <c r="A3917" t="s">
        <v>8659</v>
      </c>
      <c r="B3917" t="s">
        <v>8653</v>
      </c>
      <c r="C3917" t="s">
        <v>496</v>
      </c>
      <c r="D3917" t="s">
        <v>2360</v>
      </c>
      <c r="F3917">
        <v>4</v>
      </c>
      <c r="G3917" t="s">
        <v>16</v>
      </c>
      <c r="H3917">
        <v>0</v>
      </c>
      <c r="I3917" s="2" t="s">
        <v>64</v>
      </c>
      <c r="J3917" s="2">
        <v>13040191</v>
      </c>
      <c r="K3917">
        <v>20</v>
      </c>
      <c r="L3917">
        <v>20</v>
      </c>
      <c r="M3917">
        <v>20</v>
      </c>
    </row>
    <row r="3918" spans="1:13" x14ac:dyDescent="0.25">
      <c r="A3918" t="s">
        <v>8660</v>
      </c>
      <c r="B3918" t="s">
        <v>8653</v>
      </c>
      <c r="C3918" t="s">
        <v>496</v>
      </c>
      <c r="G3918" t="s">
        <v>16</v>
      </c>
      <c r="H3918">
        <v>0</v>
      </c>
      <c r="I3918" s="2" t="s">
        <v>6147</v>
      </c>
      <c r="J3918" s="2" t="str">
        <f>"00803"</f>
        <v>00803</v>
      </c>
      <c r="K3918">
        <v>20</v>
      </c>
      <c r="L3918">
        <v>20</v>
      </c>
      <c r="M3918">
        <v>20</v>
      </c>
    </row>
    <row r="3919" spans="1:13" x14ac:dyDescent="0.25">
      <c r="A3919" t="s">
        <v>8661</v>
      </c>
      <c r="B3919" t="s">
        <v>8653</v>
      </c>
      <c r="C3919" t="s">
        <v>496</v>
      </c>
      <c r="D3919" t="s">
        <v>2360</v>
      </c>
      <c r="F3919">
        <v>1</v>
      </c>
      <c r="G3919" t="s">
        <v>16</v>
      </c>
      <c r="H3919">
        <v>0</v>
      </c>
      <c r="I3919" s="2" t="s">
        <v>5180</v>
      </c>
      <c r="J3919" s="2" t="s">
        <v>8662</v>
      </c>
      <c r="K3919">
        <v>20</v>
      </c>
      <c r="L3919">
        <v>20</v>
      </c>
      <c r="M3919">
        <v>20</v>
      </c>
    </row>
    <row r="3920" spans="1:13" x14ac:dyDescent="0.25">
      <c r="A3920" t="s">
        <v>8663</v>
      </c>
      <c r="B3920" t="s">
        <v>8665</v>
      </c>
      <c r="C3920" t="s">
        <v>496</v>
      </c>
      <c r="D3920" t="s">
        <v>2360</v>
      </c>
      <c r="F3920">
        <v>2</v>
      </c>
      <c r="G3920" t="s">
        <v>16</v>
      </c>
      <c r="H3920">
        <v>0</v>
      </c>
      <c r="I3920" s="2" t="s">
        <v>288</v>
      </c>
      <c r="J3920" s="2" t="s">
        <v>8664</v>
      </c>
      <c r="K3920">
        <v>20</v>
      </c>
      <c r="L3920">
        <v>20</v>
      </c>
      <c r="M3920">
        <v>20</v>
      </c>
    </row>
    <row r="3921" spans="1:13" x14ac:dyDescent="0.25">
      <c r="A3921" t="s">
        <v>8666</v>
      </c>
      <c r="B3921" t="s">
        <v>8667</v>
      </c>
      <c r="C3921" t="s">
        <v>496</v>
      </c>
      <c r="F3921">
        <v>4</v>
      </c>
      <c r="G3921" t="s">
        <v>16</v>
      </c>
      <c r="H3921">
        <v>0</v>
      </c>
      <c r="I3921" s="2" t="s">
        <v>2517</v>
      </c>
      <c r="J3921" s="2" t="s">
        <v>8668</v>
      </c>
      <c r="K3921">
        <v>20</v>
      </c>
      <c r="L3921">
        <v>20</v>
      </c>
      <c r="M3921">
        <v>20</v>
      </c>
    </row>
    <row r="3922" spans="1:13" x14ac:dyDescent="0.25">
      <c r="A3922" t="s">
        <v>8669</v>
      </c>
      <c r="B3922" t="s">
        <v>8667</v>
      </c>
      <c r="C3922" t="s">
        <v>2493</v>
      </c>
      <c r="G3922" t="s">
        <v>16</v>
      </c>
      <c r="H3922">
        <v>0</v>
      </c>
      <c r="I3922" s="2" t="s">
        <v>5040</v>
      </c>
      <c r="J3922" s="2" t="s">
        <v>8670</v>
      </c>
      <c r="K3922">
        <v>20</v>
      </c>
      <c r="L3922">
        <v>20</v>
      </c>
      <c r="M3922">
        <v>20</v>
      </c>
    </row>
    <row r="3923" spans="1:13" x14ac:dyDescent="0.25">
      <c r="A3923" t="s">
        <v>8671</v>
      </c>
      <c r="B3923" t="s">
        <v>8667</v>
      </c>
      <c r="C3923" t="s">
        <v>496</v>
      </c>
      <c r="D3923" t="s">
        <v>2360</v>
      </c>
      <c r="G3923" t="s">
        <v>16</v>
      </c>
      <c r="H3923">
        <v>0</v>
      </c>
      <c r="I3923" s="2" t="s">
        <v>64</v>
      </c>
      <c r="J3923" s="2">
        <v>13040038</v>
      </c>
      <c r="K3923">
        <v>20</v>
      </c>
      <c r="L3923">
        <v>20</v>
      </c>
      <c r="M3923">
        <v>20</v>
      </c>
    </row>
    <row r="3924" spans="1:13" x14ac:dyDescent="0.25">
      <c r="A3924" t="s">
        <v>8672</v>
      </c>
      <c r="B3924" t="s">
        <v>8667</v>
      </c>
      <c r="C3924" t="s">
        <v>496</v>
      </c>
      <c r="D3924" t="s">
        <v>2360</v>
      </c>
      <c r="F3924">
        <v>2</v>
      </c>
      <c r="G3924" t="s">
        <v>16</v>
      </c>
      <c r="H3924">
        <v>0</v>
      </c>
      <c r="I3924" s="2" t="s">
        <v>5180</v>
      </c>
      <c r="J3924" s="2" t="s">
        <v>8673</v>
      </c>
      <c r="K3924">
        <v>20</v>
      </c>
      <c r="L3924">
        <v>20</v>
      </c>
      <c r="M3924">
        <v>20</v>
      </c>
    </row>
    <row r="3925" spans="1:13" x14ac:dyDescent="0.25">
      <c r="A3925" t="s">
        <v>8674</v>
      </c>
      <c r="B3925" t="s">
        <v>8676</v>
      </c>
      <c r="C3925" t="s">
        <v>496</v>
      </c>
      <c r="D3925" t="s">
        <v>2360</v>
      </c>
      <c r="F3925">
        <v>30</v>
      </c>
      <c r="G3925" t="s">
        <v>16</v>
      </c>
      <c r="H3925">
        <v>0</v>
      </c>
      <c r="I3925" s="2" t="s">
        <v>765</v>
      </c>
      <c r="J3925" s="2" t="s">
        <v>8675</v>
      </c>
      <c r="K3925">
        <v>20</v>
      </c>
      <c r="L3925">
        <v>20</v>
      </c>
      <c r="M3925">
        <v>20</v>
      </c>
    </row>
    <row r="3926" spans="1:13" x14ac:dyDescent="0.25">
      <c r="A3926" t="s">
        <v>8677</v>
      </c>
      <c r="B3926" t="s">
        <v>8676</v>
      </c>
      <c r="C3926" t="s">
        <v>496</v>
      </c>
      <c r="F3926">
        <v>0</v>
      </c>
      <c r="G3926" t="s">
        <v>16</v>
      </c>
      <c r="H3926">
        <v>0</v>
      </c>
      <c r="I3926" s="2" t="s">
        <v>2517</v>
      </c>
      <c r="J3926" s="2" t="s">
        <v>8678</v>
      </c>
      <c r="K3926">
        <v>20</v>
      </c>
      <c r="L3926">
        <v>20</v>
      </c>
      <c r="M3926">
        <v>20</v>
      </c>
    </row>
    <row r="3927" spans="1:13" x14ac:dyDescent="0.25">
      <c r="A3927" t="s">
        <v>8679</v>
      </c>
      <c r="B3927" t="s">
        <v>8676</v>
      </c>
      <c r="C3927" t="s">
        <v>496</v>
      </c>
      <c r="G3927" t="s">
        <v>16</v>
      </c>
      <c r="H3927">
        <v>0</v>
      </c>
      <c r="I3927" s="2" t="s">
        <v>941</v>
      </c>
      <c r="J3927" s="2" t="s">
        <v>8680</v>
      </c>
      <c r="K3927">
        <v>20</v>
      </c>
      <c r="L3927">
        <v>20</v>
      </c>
      <c r="M3927">
        <v>20</v>
      </c>
    </row>
    <row r="3928" spans="1:13" x14ac:dyDescent="0.25">
      <c r="A3928" t="s">
        <v>8681</v>
      </c>
      <c r="B3928" t="s">
        <v>8676</v>
      </c>
      <c r="C3928" t="s">
        <v>496</v>
      </c>
      <c r="D3928" t="s">
        <v>2360</v>
      </c>
      <c r="F3928">
        <v>8</v>
      </c>
      <c r="G3928" t="s">
        <v>16</v>
      </c>
      <c r="H3928">
        <v>0</v>
      </c>
      <c r="I3928" s="2" t="s">
        <v>5500</v>
      </c>
      <c r="J3928" s="2" t="s">
        <v>8682</v>
      </c>
      <c r="K3928">
        <v>20</v>
      </c>
      <c r="L3928">
        <v>20</v>
      </c>
      <c r="M3928">
        <v>20</v>
      </c>
    </row>
    <row r="3929" spans="1:13" x14ac:dyDescent="0.25">
      <c r="A3929" t="s">
        <v>8683</v>
      </c>
      <c r="B3929" t="s">
        <v>8676</v>
      </c>
      <c r="C3929" t="s">
        <v>496</v>
      </c>
      <c r="D3929" t="s">
        <v>2360</v>
      </c>
      <c r="G3929" t="s">
        <v>16</v>
      </c>
      <c r="H3929">
        <v>0</v>
      </c>
      <c r="I3929" s="2" t="s">
        <v>5040</v>
      </c>
      <c r="J3929" s="2" t="s">
        <v>8684</v>
      </c>
      <c r="K3929">
        <v>20</v>
      </c>
      <c r="L3929">
        <v>20</v>
      </c>
      <c r="M3929">
        <v>20</v>
      </c>
    </row>
    <row r="3930" spans="1:13" x14ac:dyDescent="0.25">
      <c r="A3930" t="s">
        <v>8685</v>
      </c>
      <c r="B3930" t="s">
        <v>8676</v>
      </c>
      <c r="C3930" t="s">
        <v>496</v>
      </c>
      <c r="F3930">
        <v>2</v>
      </c>
      <c r="G3930" t="s">
        <v>16</v>
      </c>
      <c r="H3930">
        <v>0</v>
      </c>
      <c r="I3930" s="2" t="s">
        <v>8049</v>
      </c>
      <c r="J3930" s="2">
        <v>13040192</v>
      </c>
      <c r="K3930">
        <v>20</v>
      </c>
      <c r="L3930">
        <v>20</v>
      </c>
      <c r="M3930">
        <v>20</v>
      </c>
    </row>
    <row r="3931" spans="1:13" x14ac:dyDescent="0.25">
      <c r="A3931" t="s">
        <v>8686</v>
      </c>
      <c r="B3931" t="s">
        <v>8676</v>
      </c>
      <c r="C3931" t="s">
        <v>496</v>
      </c>
      <c r="D3931" t="s">
        <v>2360</v>
      </c>
      <c r="F3931">
        <v>6</v>
      </c>
      <c r="G3931" t="s">
        <v>16</v>
      </c>
      <c r="H3931">
        <v>0</v>
      </c>
      <c r="I3931" s="2" t="s">
        <v>4214</v>
      </c>
      <c r="J3931" s="2" t="s">
        <v>8687</v>
      </c>
      <c r="K3931">
        <v>20</v>
      </c>
      <c r="L3931">
        <v>20</v>
      </c>
      <c r="M3931">
        <v>20</v>
      </c>
    </row>
    <row r="3932" spans="1:13" x14ac:dyDescent="0.25">
      <c r="A3932" t="s">
        <v>8688</v>
      </c>
      <c r="B3932" t="s">
        <v>8676</v>
      </c>
      <c r="C3932" t="s">
        <v>496</v>
      </c>
      <c r="D3932" t="s">
        <v>2360</v>
      </c>
      <c r="F3932">
        <v>2</v>
      </c>
      <c r="G3932" t="s">
        <v>16</v>
      </c>
      <c r="H3932">
        <v>0</v>
      </c>
      <c r="I3932" s="2" t="s">
        <v>5044</v>
      </c>
      <c r="J3932" s="2" t="s">
        <v>8689</v>
      </c>
      <c r="K3932">
        <v>20</v>
      </c>
      <c r="L3932">
        <v>20</v>
      </c>
      <c r="M3932">
        <v>20</v>
      </c>
    </row>
    <row r="3933" spans="1:13" x14ac:dyDescent="0.25">
      <c r="A3933" t="s">
        <v>8690</v>
      </c>
      <c r="B3933" t="s">
        <v>8691</v>
      </c>
      <c r="C3933" t="s">
        <v>496</v>
      </c>
      <c r="D3933" t="s">
        <v>2360</v>
      </c>
      <c r="G3933" t="s">
        <v>16</v>
      </c>
      <c r="H3933">
        <v>0</v>
      </c>
      <c r="I3933" s="2" t="s">
        <v>2533</v>
      </c>
      <c r="J3933" s="2" t="s">
        <v>8692</v>
      </c>
      <c r="K3933">
        <v>20</v>
      </c>
      <c r="L3933">
        <v>20</v>
      </c>
      <c r="M3933">
        <v>20</v>
      </c>
    </row>
    <row r="3934" spans="1:13" x14ac:dyDescent="0.25">
      <c r="A3934" t="s">
        <v>8693</v>
      </c>
      <c r="B3934" t="s">
        <v>8695</v>
      </c>
      <c r="C3934" t="s">
        <v>496</v>
      </c>
      <c r="D3934" t="s">
        <v>2360</v>
      </c>
      <c r="F3934">
        <v>26</v>
      </c>
      <c r="G3934" t="s">
        <v>16</v>
      </c>
      <c r="H3934">
        <v>0</v>
      </c>
      <c r="I3934" s="2" t="s">
        <v>288</v>
      </c>
      <c r="J3934" s="2" t="s">
        <v>8694</v>
      </c>
      <c r="K3934">
        <v>20</v>
      </c>
      <c r="L3934">
        <v>20</v>
      </c>
      <c r="M3934">
        <v>20</v>
      </c>
    </row>
    <row r="3935" spans="1:13" x14ac:dyDescent="0.25">
      <c r="A3935" t="s">
        <v>8696</v>
      </c>
      <c r="B3935" t="s">
        <v>8695</v>
      </c>
      <c r="C3935" t="s">
        <v>496</v>
      </c>
      <c r="G3935" t="s">
        <v>16</v>
      </c>
      <c r="H3935">
        <v>0</v>
      </c>
      <c r="I3935" s="2" t="s">
        <v>2533</v>
      </c>
      <c r="J3935" s="2" t="s">
        <v>8697</v>
      </c>
      <c r="K3935">
        <v>20</v>
      </c>
      <c r="L3935">
        <v>20</v>
      </c>
      <c r="M3935">
        <v>20</v>
      </c>
    </row>
    <row r="3936" spans="1:13" x14ac:dyDescent="0.25">
      <c r="A3936" t="s">
        <v>8698</v>
      </c>
      <c r="B3936" t="s">
        <v>8699</v>
      </c>
      <c r="C3936" t="s">
        <v>496</v>
      </c>
      <c r="D3936" t="s">
        <v>2360</v>
      </c>
      <c r="G3936" t="s">
        <v>16</v>
      </c>
      <c r="H3936">
        <v>0</v>
      </c>
      <c r="I3936" s="2" t="s">
        <v>8700</v>
      </c>
      <c r="J3936" s="2" t="s">
        <v>8701</v>
      </c>
      <c r="K3936">
        <v>20</v>
      </c>
      <c r="L3936">
        <v>20</v>
      </c>
      <c r="M3936">
        <v>20</v>
      </c>
    </row>
    <row r="3937" spans="1:13" x14ac:dyDescent="0.25">
      <c r="A3937" t="s">
        <v>8702</v>
      </c>
      <c r="B3937" t="s">
        <v>8699</v>
      </c>
      <c r="C3937" t="s">
        <v>496</v>
      </c>
      <c r="F3937">
        <v>5</v>
      </c>
      <c r="G3937" t="s">
        <v>16</v>
      </c>
      <c r="H3937">
        <v>0</v>
      </c>
      <c r="I3937" s="2" t="s">
        <v>5040</v>
      </c>
      <c r="J3937" s="2" t="s">
        <v>8703</v>
      </c>
      <c r="K3937">
        <v>20</v>
      </c>
      <c r="L3937">
        <v>20</v>
      </c>
      <c r="M3937">
        <v>20</v>
      </c>
    </row>
    <row r="3938" spans="1:13" x14ac:dyDescent="0.25">
      <c r="A3938" t="s">
        <v>8704</v>
      </c>
      <c r="B3938" t="s">
        <v>8695</v>
      </c>
      <c r="C3938" t="s">
        <v>496</v>
      </c>
      <c r="D3938" t="s">
        <v>2360</v>
      </c>
      <c r="G3938" t="s">
        <v>16</v>
      </c>
      <c r="H3938">
        <v>0</v>
      </c>
      <c r="I3938" s="2" t="s">
        <v>5155</v>
      </c>
      <c r="J3938" s="2" t="s">
        <v>8705</v>
      </c>
      <c r="K3938">
        <v>20</v>
      </c>
      <c r="L3938">
        <v>20</v>
      </c>
      <c r="M3938">
        <v>20</v>
      </c>
    </row>
    <row r="3939" spans="1:13" x14ac:dyDescent="0.25">
      <c r="A3939" t="s">
        <v>8706</v>
      </c>
      <c r="B3939" t="s">
        <v>8699</v>
      </c>
      <c r="C3939" t="s">
        <v>496</v>
      </c>
      <c r="D3939" t="s">
        <v>2360</v>
      </c>
      <c r="F3939">
        <v>10</v>
      </c>
      <c r="G3939" t="s">
        <v>16</v>
      </c>
      <c r="H3939">
        <v>0</v>
      </c>
      <c r="I3939" s="2" t="s">
        <v>266</v>
      </c>
      <c r="J3939" s="2" t="s">
        <v>8707</v>
      </c>
      <c r="K3939">
        <v>20</v>
      </c>
      <c r="L3939">
        <v>20</v>
      </c>
      <c r="M3939">
        <v>20</v>
      </c>
    </row>
    <row r="3940" spans="1:13" x14ac:dyDescent="0.25">
      <c r="A3940" t="s">
        <v>8708</v>
      </c>
      <c r="B3940" t="s">
        <v>8695</v>
      </c>
      <c r="C3940" t="s">
        <v>496</v>
      </c>
      <c r="G3940" t="s">
        <v>16</v>
      </c>
      <c r="H3940">
        <v>0</v>
      </c>
      <c r="I3940" s="2" t="s">
        <v>737</v>
      </c>
      <c r="J3940" s="2" t="s">
        <v>8709</v>
      </c>
      <c r="K3940">
        <v>20</v>
      </c>
      <c r="L3940">
        <v>20</v>
      </c>
      <c r="M3940">
        <v>20</v>
      </c>
    </row>
    <row r="3941" spans="1:13" x14ac:dyDescent="0.25">
      <c r="A3941" t="s">
        <v>8710</v>
      </c>
      <c r="B3941" t="s">
        <v>8711</v>
      </c>
      <c r="C3941" t="s">
        <v>496</v>
      </c>
      <c r="D3941" t="s">
        <v>2360</v>
      </c>
      <c r="F3941">
        <v>8</v>
      </c>
      <c r="G3941" t="s">
        <v>16</v>
      </c>
      <c r="H3941">
        <v>0</v>
      </c>
      <c r="I3941" s="2" t="s">
        <v>87</v>
      </c>
      <c r="J3941" s="2" t="s">
        <v>8712</v>
      </c>
      <c r="K3941">
        <v>20</v>
      </c>
      <c r="L3941">
        <v>20</v>
      </c>
      <c r="M3941">
        <v>20</v>
      </c>
    </row>
    <row r="3942" spans="1:13" x14ac:dyDescent="0.25">
      <c r="A3942" t="s">
        <v>8713</v>
      </c>
      <c r="B3942" t="s">
        <v>8714</v>
      </c>
      <c r="C3942" t="s">
        <v>496</v>
      </c>
      <c r="F3942">
        <v>12</v>
      </c>
      <c r="G3942" t="s">
        <v>16</v>
      </c>
      <c r="H3942">
        <v>0</v>
      </c>
      <c r="I3942" s="2" t="s">
        <v>2533</v>
      </c>
      <c r="J3942" s="2" t="s">
        <v>8715</v>
      </c>
      <c r="K3942">
        <v>20</v>
      </c>
      <c r="L3942">
        <v>20</v>
      </c>
      <c r="M3942">
        <v>20</v>
      </c>
    </row>
    <row r="3943" spans="1:13" x14ac:dyDescent="0.25">
      <c r="A3943" t="s">
        <v>8716</v>
      </c>
      <c r="B3943" t="s">
        <v>8717</v>
      </c>
      <c r="C3943" t="s">
        <v>496</v>
      </c>
      <c r="D3943" t="s">
        <v>2360</v>
      </c>
      <c r="G3943" t="s">
        <v>16</v>
      </c>
      <c r="H3943">
        <v>0</v>
      </c>
      <c r="I3943" s="2" t="s">
        <v>941</v>
      </c>
      <c r="J3943" s="2" t="s">
        <v>8718</v>
      </c>
      <c r="K3943">
        <v>20</v>
      </c>
      <c r="L3943">
        <v>20</v>
      </c>
      <c r="M3943">
        <v>20</v>
      </c>
    </row>
    <row r="3944" spans="1:13" x14ac:dyDescent="0.25">
      <c r="A3944" t="s">
        <v>8719</v>
      </c>
      <c r="B3944" t="s">
        <v>8714</v>
      </c>
      <c r="C3944" t="s">
        <v>496</v>
      </c>
      <c r="D3944" t="s">
        <v>2360</v>
      </c>
      <c r="G3944" t="s">
        <v>16</v>
      </c>
      <c r="H3944">
        <v>0</v>
      </c>
      <c r="I3944" s="2" t="s">
        <v>108</v>
      </c>
      <c r="J3944" s="3">
        <v>3591215001</v>
      </c>
      <c r="K3944">
        <v>20</v>
      </c>
      <c r="L3944">
        <v>20</v>
      </c>
      <c r="M3944">
        <v>20</v>
      </c>
    </row>
    <row r="3945" spans="1:13" x14ac:dyDescent="0.25">
      <c r="A3945" t="s">
        <v>8720</v>
      </c>
      <c r="B3945" t="s">
        <v>8714</v>
      </c>
      <c r="C3945" t="s">
        <v>496</v>
      </c>
      <c r="D3945" t="s">
        <v>2360</v>
      </c>
      <c r="F3945">
        <v>0</v>
      </c>
      <c r="G3945" t="s">
        <v>16</v>
      </c>
      <c r="H3945">
        <v>0</v>
      </c>
      <c r="I3945" s="2" t="s">
        <v>5040</v>
      </c>
      <c r="J3945" s="2" t="s">
        <v>8721</v>
      </c>
      <c r="K3945">
        <v>20</v>
      </c>
      <c r="L3945">
        <v>20</v>
      </c>
      <c r="M3945">
        <v>20</v>
      </c>
    </row>
    <row r="3946" spans="1:13" x14ac:dyDescent="0.25">
      <c r="A3946" t="s">
        <v>8722</v>
      </c>
      <c r="B3946" t="s">
        <v>8714</v>
      </c>
      <c r="C3946" t="s">
        <v>496</v>
      </c>
      <c r="D3946" t="s">
        <v>2360</v>
      </c>
      <c r="F3946">
        <v>2</v>
      </c>
      <c r="G3946" t="s">
        <v>16</v>
      </c>
      <c r="H3946">
        <v>0</v>
      </c>
      <c r="I3946" s="2" t="s">
        <v>64</v>
      </c>
      <c r="J3946" s="2">
        <v>13040154</v>
      </c>
      <c r="K3946">
        <v>20</v>
      </c>
      <c r="L3946">
        <v>20</v>
      </c>
      <c r="M3946">
        <v>20</v>
      </c>
    </row>
    <row r="3947" spans="1:13" x14ac:dyDescent="0.25">
      <c r="A3947" t="s">
        <v>8723</v>
      </c>
      <c r="B3947" t="s">
        <v>8717</v>
      </c>
      <c r="C3947" t="s">
        <v>496</v>
      </c>
      <c r="D3947" t="s">
        <v>2360</v>
      </c>
      <c r="F3947">
        <v>-2</v>
      </c>
      <c r="G3947" t="s">
        <v>16</v>
      </c>
      <c r="H3947">
        <v>0</v>
      </c>
      <c r="I3947" s="2" t="s">
        <v>5155</v>
      </c>
      <c r="J3947" s="2" t="s">
        <v>8724</v>
      </c>
      <c r="K3947">
        <v>20</v>
      </c>
      <c r="L3947">
        <v>20</v>
      </c>
      <c r="M3947">
        <v>20</v>
      </c>
    </row>
    <row r="3948" spans="1:13" x14ac:dyDescent="0.25">
      <c r="A3948" t="s">
        <v>8725</v>
      </c>
      <c r="B3948" t="s">
        <v>8714</v>
      </c>
      <c r="C3948" t="s">
        <v>496</v>
      </c>
      <c r="D3948" t="s">
        <v>2360</v>
      </c>
      <c r="F3948">
        <v>0</v>
      </c>
      <c r="G3948" t="s">
        <v>16</v>
      </c>
      <c r="H3948">
        <v>0</v>
      </c>
      <c r="I3948" s="2" t="s">
        <v>5180</v>
      </c>
      <c r="J3948" s="2" t="s">
        <v>8726</v>
      </c>
      <c r="K3948">
        <v>20</v>
      </c>
      <c r="L3948">
        <v>20</v>
      </c>
      <c r="M3948">
        <v>20</v>
      </c>
    </row>
    <row r="3949" spans="1:13" x14ac:dyDescent="0.25">
      <c r="A3949" t="s">
        <v>8727</v>
      </c>
      <c r="B3949" t="s">
        <v>8714</v>
      </c>
      <c r="C3949" t="s">
        <v>496</v>
      </c>
      <c r="D3949" t="s">
        <v>2360</v>
      </c>
      <c r="F3949">
        <v>4</v>
      </c>
      <c r="G3949" t="s">
        <v>16</v>
      </c>
      <c r="H3949">
        <v>0</v>
      </c>
      <c r="I3949" s="2" t="s">
        <v>266</v>
      </c>
      <c r="J3949" s="2" t="s">
        <v>8728</v>
      </c>
      <c r="K3949">
        <v>20</v>
      </c>
      <c r="L3949">
        <v>20</v>
      </c>
      <c r="M3949">
        <v>20</v>
      </c>
    </row>
    <row r="3950" spans="1:13" x14ac:dyDescent="0.25">
      <c r="A3950" t="s">
        <v>8729</v>
      </c>
      <c r="B3950" t="s">
        <v>8717</v>
      </c>
      <c r="C3950" t="s">
        <v>496</v>
      </c>
      <c r="D3950" t="s">
        <v>2360</v>
      </c>
      <c r="G3950" t="s">
        <v>16</v>
      </c>
      <c r="H3950">
        <v>0</v>
      </c>
      <c r="I3950" s="2" t="s">
        <v>5267</v>
      </c>
      <c r="J3950" s="2" t="s">
        <v>8730</v>
      </c>
      <c r="K3950">
        <v>20</v>
      </c>
      <c r="L3950">
        <v>20</v>
      </c>
      <c r="M3950">
        <v>20</v>
      </c>
    </row>
    <row r="3951" spans="1:13" x14ac:dyDescent="0.25">
      <c r="A3951" t="s">
        <v>8731</v>
      </c>
      <c r="B3951" t="s">
        <v>8714</v>
      </c>
      <c r="C3951" t="s">
        <v>496</v>
      </c>
      <c r="D3951" t="s">
        <v>2360</v>
      </c>
      <c r="G3951" t="s">
        <v>16</v>
      </c>
      <c r="H3951">
        <v>0</v>
      </c>
      <c r="I3951" s="2" t="s">
        <v>5057</v>
      </c>
      <c r="J3951" s="2" t="s">
        <v>8732</v>
      </c>
      <c r="K3951">
        <v>20</v>
      </c>
      <c r="L3951">
        <v>20</v>
      </c>
      <c r="M3951">
        <v>20</v>
      </c>
    </row>
    <row r="3952" spans="1:13" x14ac:dyDescent="0.25">
      <c r="A3952" t="s">
        <v>8733</v>
      </c>
      <c r="B3952" t="s">
        <v>8714</v>
      </c>
      <c r="C3952" t="s">
        <v>496</v>
      </c>
      <c r="D3952" t="s">
        <v>2360</v>
      </c>
      <c r="F3952">
        <v>4</v>
      </c>
      <c r="G3952" t="s">
        <v>16</v>
      </c>
      <c r="H3952">
        <v>0</v>
      </c>
      <c r="I3952" s="2" t="s">
        <v>5044</v>
      </c>
      <c r="J3952" s="2" t="s">
        <v>8734</v>
      </c>
      <c r="K3952">
        <v>20</v>
      </c>
      <c r="L3952">
        <v>20</v>
      </c>
      <c r="M3952">
        <v>20</v>
      </c>
    </row>
    <row r="3953" spans="1:13" x14ac:dyDescent="0.25">
      <c r="A3953" t="s">
        <v>8735</v>
      </c>
      <c r="B3953" t="s">
        <v>8737</v>
      </c>
      <c r="C3953" t="s">
        <v>496</v>
      </c>
      <c r="D3953" t="s">
        <v>2360</v>
      </c>
      <c r="F3953">
        <v>14</v>
      </c>
      <c r="G3953" t="s">
        <v>16</v>
      </c>
      <c r="H3953">
        <v>0</v>
      </c>
      <c r="I3953" s="2" t="s">
        <v>288</v>
      </c>
      <c r="J3953" s="2" t="s">
        <v>8736</v>
      </c>
      <c r="K3953">
        <v>20</v>
      </c>
      <c r="L3953">
        <v>20</v>
      </c>
      <c r="M3953">
        <v>20</v>
      </c>
    </row>
    <row r="3954" spans="1:13" x14ac:dyDescent="0.25">
      <c r="A3954" t="s">
        <v>8738</v>
      </c>
      <c r="B3954" t="s">
        <v>8737</v>
      </c>
      <c r="C3954" t="s">
        <v>496</v>
      </c>
      <c r="D3954" t="s">
        <v>2360</v>
      </c>
      <c r="F3954">
        <v>8</v>
      </c>
      <c r="G3954" t="s">
        <v>16</v>
      </c>
      <c r="H3954">
        <v>0</v>
      </c>
      <c r="I3954" s="2" t="s">
        <v>2517</v>
      </c>
      <c r="J3954" s="2" t="s">
        <v>8739</v>
      </c>
      <c r="K3954">
        <v>20</v>
      </c>
      <c r="L3954">
        <v>20</v>
      </c>
      <c r="M3954">
        <v>20</v>
      </c>
    </row>
    <row r="3955" spans="1:13" x14ac:dyDescent="0.25">
      <c r="A3955" t="s">
        <v>8740</v>
      </c>
      <c r="B3955" t="s">
        <v>8737</v>
      </c>
      <c r="C3955" t="s">
        <v>496</v>
      </c>
      <c r="D3955" t="s">
        <v>2360</v>
      </c>
      <c r="G3955" t="s">
        <v>16</v>
      </c>
      <c r="H3955">
        <v>0</v>
      </c>
      <c r="I3955" s="2" t="s">
        <v>5040</v>
      </c>
      <c r="J3955" s="2" t="s">
        <v>8741</v>
      </c>
      <c r="K3955">
        <v>20</v>
      </c>
      <c r="L3955">
        <v>20</v>
      </c>
      <c r="M3955">
        <v>20</v>
      </c>
    </row>
    <row r="3956" spans="1:13" x14ac:dyDescent="0.25">
      <c r="A3956" t="s">
        <v>8742</v>
      </c>
      <c r="B3956" t="s">
        <v>8737</v>
      </c>
      <c r="C3956" t="s">
        <v>496</v>
      </c>
      <c r="F3956">
        <v>4</v>
      </c>
      <c r="G3956" t="s">
        <v>16</v>
      </c>
      <c r="H3956">
        <v>0</v>
      </c>
      <c r="I3956" s="2" t="s">
        <v>64</v>
      </c>
      <c r="J3956" s="2">
        <v>13040115</v>
      </c>
      <c r="K3956">
        <v>20</v>
      </c>
      <c r="L3956">
        <v>20</v>
      </c>
      <c r="M3956">
        <v>20</v>
      </c>
    </row>
    <row r="3957" spans="1:13" x14ac:dyDescent="0.25">
      <c r="A3957" t="s">
        <v>8743</v>
      </c>
      <c r="B3957" t="s">
        <v>8737</v>
      </c>
      <c r="C3957" t="s">
        <v>496</v>
      </c>
      <c r="D3957" t="s">
        <v>2360</v>
      </c>
      <c r="G3957" t="s">
        <v>16</v>
      </c>
      <c r="H3957">
        <v>0</v>
      </c>
      <c r="I3957" s="2" t="s">
        <v>5155</v>
      </c>
      <c r="J3957" s="2" t="s">
        <v>8744</v>
      </c>
      <c r="K3957">
        <v>20</v>
      </c>
      <c r="L3957">
        <v>20</v>
      </c>
      <c r="M3957">
        <v>20</v>
      </c>
    </row>
    <row r="3958" spans="1:13" x14ac:dyDescent="0.25">
      <c r="A3958" t="s">
        <v>8745</v>
      </c>
      <c r="B3958" t="s">
        <v>8737</v>
      </c>
      <c r="C3958" t="s">
        <v>496</v>
      </c>
      <c r="D3958" t="s">
        <v>2360</v>
      </c>
      <c r="F3958">
        <v>2</v>
      </c>
      <c r="G3958" t="s">
        <v>16</v>
      </c>
      <c r="H3958">
        <v>0</v>
      </c>
      <c r="I3958" s="2" t="s">
        <v>5180</v>
      </c>
      <c r="J3958" s="2" t="s">
        <v>8746</v>
      </c>
      <c r="K3958">
        <v>20</v>
      </c>
      <c r="L3958">
        <v>20</v>
      </c>
      <c r="M3958">
        <v>20</v>
      </c>
    </row>
    <row r="3959" spans="1:13" x14ac:dyDescent="0.25">
      <c r="A3959" t="s">
        <v>8747</v>
      </c>
      <c r="B3959" t="s">
        <v>8737</v>
      </c>
      <c r="C3959" t="s">
        <v>496</v>
      </c>
      <c r="D3959" t="s">
        <v>2360</v>
      </c>
      <c r="F3959">
        <v>4</v>
      </c>
      <c r="G3959" t="s">
        <v>16</v>
      </c>
      <c r="H3959">
        <v>0</v>
      </c>
      <c r="I3959" s="2" t="s">
        <v>266</v>
      </c>
      <c r="J3959" s="2" t="s">
        <v>8748</v>
      </c>
      <c r="K3959">
        <v>20</v>
      </c>
      <c r="L3959">
        <v>20</v>
      </c>
      <c r="M3959">
        <v>20</v>
      </c>
    </row>
    <row r="3960" spans="1:13" x14ac:dyDescent="0.25">
      <c r="A3960" t="s">
        <v>8749</v>
      </c>
      <c r="B3960" t="s">
        <v>8751</v>
      </c>
      <c r="C3960" t="s">
        <v>496</v>
      </c>
      <c r="D3960" t="s">
        <v>2360</v>
      </c>
      <c r="F3960">
        <v>0</v>
      </c>
      <c r="G3960" t="s">
        <v>16</v>
      </c>
      <c r="H3960">
        <v>0</v>
      </c>
      <c r="I3960" s="2" t="s">
        <v>288</v>
      </c>
      <c r="J3960" s="2" t="s">
        <v>8750</v>
      </c>
      <c r="K3960">
        <v>20</v>
      </c>
      <c r="L3960">
        <v>20</v>
      </c>
      <c r="M3960">
        <v>20</v>
      </c>
    </row>
    <row r="3961" spans="1:13" x14ac:dyDescent="0.25">
      <c r="A3961" t="s">
        <v>8752</v>
      </c>
      <c r="B3961" t="s">
        <v>8751</v>
      </c>
      <c r="C3961" t="s">
        <v>2493</v>
      </c>
      <c r="D3961" t="s">
        <v>2360</v>
      </c>
      <c r="F3961">
        <v>2</v>
      </c>
      <c r="G3961" t="s">
        <v>16</v>
      </c>
      <c r="H3961">
        <v>0</v>
      </c>
      <c r="I3961" s="2" t="s">
        <v>238</v>
      </c>
      <c r="J3961" s="2">
        <v>37854</v>
      </c>
      <c r="K3961">
        <v>20</v>
      </c>
      <c r="L3961">
        <v>20</v>
      </c>
      <c r="M3961">
        <v>20</v>
      </c>
    </row>
    <row r="3962" spans="1:13" x14ac:dyDescent="0.25">
      <c r="A3962" t="s">
        <v>8753</v>
      </c>
      <c r="B3962" t="s">
        <v>8754</v>
      </c>
      <c r="C3962" t="s">
        <v>2493</v>
      </c>
      <c r="F3962">
        <v>1</v>
      </c>
      <c r="G3962" t="s">
        <v>16</v>
      </c>
      <c r="H3962">
        <v>0</v>
      </c>
      <c r="I3962" s="2" t="s">
        <v>108</v>
      </c>
      <c r="J3962" s="3">
        <v>2561206014</v>
      </c>
      <c r="K3962">
        <v>20</v>
      </c>
      <c r="L3962">
        <v>20</v>
      </c>
      <c r="M3962">
        <v>20</v>
      </c>
    </row>
    <row r="3963" spans="1:13" x14ac:dyDescent="0.25">
      <c r="A3963" t="s">
        <v>8755</v>
      </c>
      <c r="B3963" t="s">
        <v>8756</v>
      </c>
      <c r="C3963" t="s">
        <v>2493</v>
      </c>
      <c r="F3963">
        <v>1</v>
      </c>
      <c r="G3963" t="s">
        <v>16</v>
      </c>
      <c r="H3963">
        <v>0</v>
      </c>
      <c r="I3963" s="2" t="s">
        <v>108</v>
      </c>
      <c r="J3963" s="3">
        <v>2561206008</v>
      </c>
      <c r="K3963">
        <v>20</v>
      </c>
      <c r="L3963">
        <v>20</v>
      </c>
      <c r="M3963">
        <v>20</v>
      </c>
    </row>
    <row r="3964" spans="1:13" x14ac:dyDescent="0.25">
      <c r="A3964" t="s">
        <v>8757</v>
      </c>
      <c r="B3964" t="s">
        <v>8758</v>
      </c>
      <c r="C3964" t="s">
        <v>2493</v>
      </c>
      <c r="F3964">
        <v>1</v>
      </c>
      <c r="G3964" t="s">
        <v>16</v>
      </c>
      <c r="H3964">
        <v>0</v>
      </c>
      <c r="I3964" s="2" t="s">
        <v>108</v>
      </c>
      <c r="J3964" s="3">
        <v>2691206011</v>
      </c>
      <c r="K3964">
        <v>20</v>
      </c>
      <c r="L3964">
        <v>20</v>
      </c>
      <c r="M3964">
        <v>20</v>
      </c>
    </row>
    <row r="3965" spans="1:13" x14ac:dyDescent="0.25">
      <c r="A3965" t="s">
        <v>8759</v>
      </c>
      <c r="B3965" t="s">
        <v>8760</v>
      </c>
      <c r="C3965" t="s">
        <v>496</v>
      </c>
      <c r="D3965" t="s">
        <v>2360</v>
      </c>
      <c r="F3965">
        <v>1</v>
      </c>
      <c r="G3965" t="s">
        <v>16</v>
      </c>
      <c r="H3965">
        <v>0</v>
      </c>
      <c r="I3965" s="2" t="s">
        <v>2533</v>
      </c>
      <c r="J3965" s="2" t="s">
        <v>8761</v>
      </c>
      <c r="K3965">
        <v>20</v>
      </c>
      <c r="L3965">
        <v>20</v>
      </c>
      <c r="M3965">
        <v>20</v>
      </c>
    </row>
    <row r="3966" spans="1:13" x14ac:dyDescent="0.25">
      <c r="A3966" t="s">
        <v>8762</v>
      </c>
      <c r="B3966" t="s">
        <v>8760</v>
      </c>
      <c r="C3966" t="s">
        <v>496</v>
      </c>
      <c r="F3966">
        <v>1</v>
      </c>
      <c r="G3966" t="s">
        <v>16</v>
      </c>
      <c r="H3966">
        <v>0</v>
      </c>
      <c r="I3966" s="2" t="s">
        <v>108</v>
      </c>
      <c r="J3966" s="3">
        <v>2691206005</v>
      </c>
      <c r="K3966">
        <v>20</v>
      </c>
      <c r="L3966">
        <v>20</v>
      </c>
      <c r="M3966">
        <v>20</v>
      </c>
    </row>
    <row r="3967" spans="1:13" x14ac:dyDescent="0.25">
      <c r="A3967" t="s">
        <v>8763</v>
      </c>
      <c r="B3967" t="s">
        <v>8758</v>
      </c>
      <c r="C3967" t="s">
        <v>2493</v>
      </c>
      <c r="G3967" t="s">
        <v>16</v>
      </c>
      <c r="H3967">
        <v>0</v>
      </c>
      <c r="I3967" s="2" t="s">
        <v>5040</v>
      </c>
      <c r="J3967" s="2" t="s">
        <v>8764</v>
      </c>
      <c r="K3967">
        <v>20</v>
      </c>
      <c r="L3967">
        <v>20</v>
      </c>
      <c r="M3967">
        <v>20</v>
      </c>
    </row>
    <row r="3968" spans="1:13" x14ac:dyDescent="0.25">
      <c r="A3968" t="s">
        <v>8765</v>
      </c>
      <c r="B3968" t="s">
        <v>8766</v>
      </c>
      <c r="C3968" t="s">
        <v>496</v>
      </c>
      <c r="F3968">
        <v>0</v>
      </c>
      <c r="G3968" t="s">
        <v>16</v>
      </c>
      <c r="H3968">
        <v>0</v>
      </c>
      <c r="I3968" s="2" t="s">
        <v>6147</v>
      </c>
      <c r="J3968" s="2" t="str">
        <f>"00898"</f>
        <v>00898</v>
      </c>
      <c r="K3968">
        <v>20</v>
      </c>
      <c r="L3968">
        <v>20</v>
      </c>
      <c r="M3968">
        <v>20</v>
      </c>
    </row>
    <row r="3969" spans="1:13" x14ac:dyDescent="0.25">
      <c r="A3969" t="s">
        <v>8767</v>
      </c>
      <c r="B3969" t="s">
        <v>8760</v>
      </c>
      <c r="C3969" t="s">
        <v>496</v>
      </c>
      <c r="D3969" t="s">
        <v>2360</v>
      </c>
      <c r="F3969">
        <v>1</v>
      </c>
      <c r="G3969" t="s">
        <v>16</v>
      </c>
      <c r="H3969">
        <v>0</v>
      </c>
      <c r="I3969" s="2" t="s">
        <v>266</v>
      </c>
      <c r="J3969" s="2" t="s">
        <v>8768</v>
      </c>
      <c r="K3969">
        <v>20</v>
      </c>
      <c r="L3969">
        <v>20</v>
      </c>
      <c r="M3969">
        <v>20</v>
      </c>
    </row>
    <row r="3970" spans="1:13" x14ac:dyDescent="0.25">
      <c r="A3970" t="s">
        <v>8769</v>
      </c>
      <c r="B3970" t="s">
        <v>8760</v>
      </c>
      <c r="C3970" t="s">
        <v>2493</v>
      </c>
      <c r="G3970" t="s">
        <v>16</v>
      </c>
      <c r="H3970">
        <v>0</v>
      </c>
      <c r="I3970" s="2" t="s">
        <v>4214</v>
      </c>
      <c r="J3970" s="2" t="s">
        <v>8770</v>
      </c>
      <c r="K3970">
        <v>20</v>
      </c>
      <c r="L3970">
        <v>20</v>
      </c>
      <c r="M3970">
        <v>20</v>
      </c>
    </row>
    <row r="3971" spans="1:13" x14ac:dyDescent="0.25">
      <c r="A3971" t="s">
        <v>8771</v>
      </c>
      <c r="B3971" t="s">
        <v>8772</v>
      </c>
      <c r="C3971" t="s">
        <v>496</v>
      </c>
      <c r="D3971" t="s">
        <v>2360</v>
      </c>
      <c r="F3971">
        <v>1</v>
      </c>
      <c r="G3971" t="s">
        <v>16</v>
      </c>
      <c r="H3971">
        <v>0</v>
      </c>
      <c r="I3971" s="2" t="s">
        <v>2517</v>
      </c>
      <c r="J3971" s="2" t="s">
        <v>8773</v>
      </c>
      <c r="K3971">
        <v>20</v>
      </c>
      <c r="L3971">
        <v>20</v>
      </c>
      <c r="M3971">
        <v>20</v>
      </c>
    </row>
    <row r="3972" spans="1:13" x14ac:dyDescent="0.25">
      <c r="A3972" t="s">
        <v>8774</v>
      </c>
      <c r="B3972" t="s">
        <v>8772</v>
      </c>
      <c r="C3972" t="s">
        <v>496</v>
      </c>
      <c r="D3972" t="s">
        <v>2360</v>
      </c>
      <c r="F3972">
        <v>0</v>
      </c>
      <c r="G3972" t="s">
        <v>16</v>
      </c>
      <c r="H3972">
        <v>0</v>
      </c>
      <c r="I3972" s="2" t="s">
        <v>941</v>
      </c>
      <c r="J3972" s="2" t="s">
        <v>8775</v>
      </c>
      <c r="K3972">
        <v>20</v>
      </c>
      <c r="L3972">
        <v>20</v>
      </c>
      <c r="M3972">
        <v>20</v>
      </c>
    </row>
    <row r="3973" spans="1:13" x14ac:dyDescent="0.25">
      <c r="A3973" t="s">
        <v>8776</v>
      </c>
      <c r="B3973" t="s">
        <v>8777</v>
      </c>
      <c r="C3973" t="s">
        <v>496</v>
      </c>
      <c r="D3973" t="s">
        <v>2360</v>
      </c>
      <c r="F3973">
        <v>0</v>
      </c>
      <c r="G3973" t="s">
        <v>16</v>
      </c>
      <c r="H3973">
        <v>0</v>
      </c>
      <c r="I3973" s="2" t="s">
        <v>108</v>
      </c>
      <c r="J3973" s="3">
        <v>2541206003</v>
      </c>
      <c r="K3973">
        <v>20</v>
      </c>
      <c r="L3973">
        <v>20</v>
      </c>
      <c r="M3973">
        <v>20</v>
      </c>
    </row>
    <row r="3974" spans="1:13" x14ac:dyDescent="0.25">
      <c r="A3974" t="s">
        <v>8778</v>
      </c>
      <c r="B3974" t="s">
        <v>8772</v>
      </c>
      <c r="C3974" t="s">
        <v>496</v>
      </c>
      <c r="D3974" t="s">
        <v>2360</v>
      </c>
      <c r="F3974">
        <v>1</v>
      </c>
      <c r="G3974" t="s">
        <v>16</v>
      </c>
      <c r="H3974">
        <v>0</v>
      </c>
      <c r="I3974" s="2" t="s">
        <v>64</v>
      </c>
      <c r="J3974" s="2">
        <v>13050070</v>
      </c>
      <c r="K3974">
        <v>20</v>
      </c>
      <c r="L3974">
        <v>20</v>
      </c>
      <c r="M3974">
        <v>20</v>
      </c>
    </row>
    <row r="3975" spans="1:13" x14ac:dyDescent="0.25">
      <c r="A3975" t="s">
        <v>8779</v>
      </c>
      <c r="B3975" t="s">
        <v>8772</v>
      </c>
      <c r="C3975" t="s">
        <v>496</v>
      </c>
      <c r="D3975" t="s">
        <v>2360</v>
      </c>
      <c r="F3975">
        <v>1</v>
      </c>
      <c r="G3975" t="s">
        <v>16</v>
      </c>
      <c r="H3975">
        <v>0</v>
      </c>
      <c r="I3975" s="2" t="s">
        <v>6147</v>
      </c>
      <c r="J3975" s="2" t="str">
        <f>"00965"</f>
        <v>00965</v>
      </c>
      <c r="K3975">
        <v>20</v>
      </c>
      <c r="L3975">
        <v>20</v>
      </c>
      <c r="M3975">
        <v>20</v>
      </c>
    </row>
    <row r="3976" spans="1:13" x14ac:dyDescent="0.25">
      <c r="A3976" t="s">
        <v>8780</v>
      </c>
      <c r="B3976" t="s">
        <v>8772</v>
      </c>
      <c r="C3976" t="s">
        <v>496</v>
      </c>
      <c r="D3976" t="s">
        <v>2360</v>
      </c>
      <c r="F3976">
        <v>1</v>
      </c>
      <c r="G3976" t="s">
        <v>16</v>
      </c>
      <c r="H3976">
        <v>0</v>
      </c>
      <c r="I3976" s="2" t="s">
        <v>4214</v>
      </c>
      <c r="J3976" s="2" t="s">
        <v>8781</v>
      </c>
      <c r="K3976">
        <v>20</v>
      </c>
      <c r="L3976">
        <v>20</v>
      </c>
      <c r="M3976">
        <v>20</v>
      </c>
    </row>
    <row r="3977" spans="1:13" x14ac:dyDescent="0.25">
      <c r="A3977" t="s">
        <v>8782</v>
      </c>
      <c r="B3977" t="s">
        <v>8777</v>
      </c>
      <c r="C3977" t="s">
        <v>496</v>
      </c>
      <c r="D3977" t="s">
        <v>2360</v>
      </c>
      <c r="F3977">
        <v>2</v>
      </c>
      <c r="G3977" t="s">
        <v>16</v>
      </c>
      <c r="H3977">
        <v>0</v>
      </c>
      <c r="I3977" s="2" t="s">
        <v>5044</v>
      </c>
      <c r="J3977" s="2" t="s">
        <v>8783</v>
      </c>
      <c r="K3977">
        <v>20</v>
      </c>
      <c r="L3977">
        <v>20</v>
      </c>
      <c r="M3977">
        <v>20</v>
      </c>
    </row>
    <row r="3978" spans="1:13" x14ac:dyDescent="0.25">
      <c r="A3978" t="s">
        <v>8784</v>
      </c>
      <c r="B3978" t="s">
        <v>8785</v>
      </c>
      <c r="C3978" t="s">
        <v>496</v>
      </c>
      <c r="D3978" t="s">
        <v>2360</v>
      </c>
      <c r="F3978">
        <v>1</v>
      </c>
      <c r="G3978" t="s">
        <v>16</v>
      </c>
      <c r="H3978">
        <v>0</v>
      </c>
      <c r="I3978" s="2" t="s">
        <v>5044</v>
      </c>
      <c r="J3978" s="2" t="s">
        <v>8786</v>
      </c>
      <c r="K3978">
        <v>20</v>
      </c>
      <c r="L3978">
        <v>20</v>
      </c>
      <c r="M3978">
        <v>20</v>
      </c>
    </row>
    <row r="3979" spans="1:13" x14ac:dyDescent="0.25">
      <c r="A3979" t="s">
        <v>8787</v>
      </c>
      <c r="B3979" t="s">
        <v>8788</v>
      </c>
      <c r="C3979" t="s">
        <v>496</v>
      </c>
      <c r="F3979">
        <v>2</v>
      </c>
      <c r="G3979" t="s">
        <v>16</v>
      </c>
      <c r="H3979">
        <v>0</v>
      </c>
      <c r="I3979" s="2" t="s">
        <v>2533</v>
      </c>
      <c r="J3979" s="2" t="s">
        <v>8789</v>
      </c>
      <c r="K3979">
        <v>20</v>
      </c>
      <c r="L3979">
        <v>20</v>
      </c>
      <c r="M3979">
        <v>20</v>
      </c>
    </row>
    <row r="3980" spans="1:13" x14ac:dyDescent="0.25">
      <c r="A3980" t="s">
        <v>8790</v>
      </c>
      <c r="B3980" t="s">
        <v>8788</v>
      </c>
      <c r="C3980" t="s">
        <v>496</v>
      </c>
      <c r="G3980" t="s">
        <v>16</v>
      </c>
      <c r="H3980">
        <v>0</v>
      </c>
      <c r="I3980" s="2" t="s">
        <v>941</v>
      </c>
      <c r="J3980" s="2" t="s">
        <v>8791</v>
      </c>
      <c r="K3980">
        <v>20</v>
      </c>
      <c r="L3980">
        <v>20</v>
      </c>
      <c r="M3980">
        <v>20</v>
      </c>
    </row>
    <row r="3981" spans="1:13" x14ac:dyDescent="0.25">
      <c r="A3981" t="s">
        <v>8792</v>
      </c>
      <c r="B3981" t="s">
        <v>8788</v>
      </c>
      <c r="C3981" t="s">
        <v>2493</v>
      </c>
      <c r="G3981" t="s">
        <v>16</v>
      </c>
      <c r="H3981">
        <v>0</v>
      </c>
      <c r="I3981" s="2" t="s">
        <v>108</v>
      </c>
      <c r="J3981" s="3">
        <v>2571206004</v>
      </c>
      <c r="K3981">
        <v>20</v>
      </c>
      <c r="L3981">
        <v>20</v>
      </c>
      <c r="M3981">
        <v>20</v>
      </c>
    </row>
    <row r="3982" spans="1:13" x14ac:dyDescent="0.25">
      <c r="A3982" t="s">
        <v>8793</v>
      </c>
      <c r="B3982" t="s">
        <v>8788</v>
      </c>
      <c r="C3982" t="s">
        <v>496</v>
      </c>
      <c r="F3982">
        <v>2</v>
      </c>
      <c r="G3982" t="s">
        <v>16</v>
      </c>
      <c r="H3982">
        <v>0</v>
      </c>
      <c r="I3982" s="2" t="s">
        <v>5267</v>
      </c>
      <c r="J3982" s="2" t="s">
        <v>8794</v>
      </c>
      <c r="K3982">
        <v>20</v>
      </c>
      <c r="L3982">
        <v>20</v>
      </c>
      <c r="M3982">
        <v>20</v>
      </c>
    </row>
    <row r="3983" spans="1:13" x14ac:dyDescent="0.25">
      <c r="A3983" t="s">
        <v>8795</v>
      </c>
      <c r="B3983" t="s">
        <v>8796</v>
      </c>
      <c r="C3983" t="s">
        <v>496</v>
      </c>
      <c r="F3983">
        <v>3</v>
      </c>
      <c r="G3983" t="s">
        <v>16</v>
      </c>
      <c r="H3983">
        <v>0</v>
      </c>
      <c r="I3983" s="2" t="s">
        <v>2517</v>
      </c>
      <c r="J3983" s="2" t="s">
        <v>8797</v>
      </c>
      <c r="K3983">
        <v>20</v>
      </c>
      <c r="L3983">
        <v>20</v>
      </c>
      <c r="M3983">
        <v>20</v>
      </c>
    </row>
    <row r="3984" spans="1:13" x14ac:dyDescent="0.25">
      <c r="A3984" t="s">
        <v>8798</v>
      </c>
      <c r="B3984" t="s">
        <v>8796</v>
      </c>
      <c r="C3984" t="s">
        <v>496</v>
      </c>
      <c r="F3984">
        <v>0</v>
      </c>
      <c r="G3984" t="s">
        <v>16</v>
      </c>
      <c r="H3984">
        <v>0</v>
      </c>
      <c r="I3984" s="2" t="s">
        <v>5040</v>
      </c>
      <c r="J3984" s="2" t="str">
        <f>"04-70916"</f>
        <v>04-70916</v>
      </c>
      <c r="K3984">
        <v>20</v>
      </c>
      <c r="L3984">
        <v>20</v>
      </c>
      <c r="M3984">
        <v>20</v>
      </c>
    </row>
    <row r="3985" spans="1:13" x14ac:dyDescent="0.25">
      <c r="A3985" t="s">
        <v>8799</v>
      </c>
      <c r="B3985" t="s">
        <v>8800</v>
      </c>
      <c r="C3985" t="s">
        <v>2493</v>
      </c>
      <c r="G3985" t="s">
        <v>16</v>
      </c>
      <c r="H3985">
        <v>0</v>
      </c>
      <c r="I3985" s="2" t="s">
        <v>2517</v>
      </c>
      <c r="J3985" s="2" t="s">
        <v>8801</v>
      </c>
      <c r="K3985">
        <v>20</v>
      </c>
      <c r="L3985">
        <v>20</v>
      </c>
      <c r="M3985">
        <v>20</v>
      </c>
    </row>
    <row r="3986" spans="1:13" x14ac:dyDescent="0.25">
      <c r="A3986" t="s">
        <v>8802</v>
      </c>
      <c r="B3986" t="s">
        <v>8800</v>
      </c>
      <c r="C3986" t="s">
        <v>496</v>
      </c>
      <c r="F3986">
        <v>0</v>
      </c>
      <c r="G3986" t="s">
        <v>16</v>
      </c>
      <c r="H3986">
        <v>0</v>
      </c>
      <c r="I3986" s="2" t="s">
        <v>5040</v>
      </c>
      <c r="J3986" s="2" t="s">
        <v>8803</v>
      </c>
      <c r="K3986">
        <v>20</v>
      </c>
      <c r="L3986">
        <v>20</v>
      </c>
      <c r="M3986">
        <v>20</v>
      </c>
    </row>
    <row r="3987" spans="1:13" x14ac:dyDescent="0.25">
      <c r="A3987" t="s">
        <v>8804</v>
      </c>
      <c r="B3987" t="s">
        <v>8805</v>
      </c>
      <c r="C3987" t="s">
        <v>496</v>
      </c>
      <c r="F3987">
        <v>1</v>
      </c>
      <c r="G3987" t="s">
        <v>16</v>
      </c>
      <c r="H3987">
        <v>0</v>
      </c>
      <c r="I3987" s="2" t="s">
        <v>2517</v>
      </c>
      <c r="J3987" s="2" t="s">
        <v>8806</v>
      </c>
      <c r="K3987">
        <v>20</v>
      </c>
      <c r="L3987">
        <v>20</v>
      </c>
      <c r="M3987">
        <v>20</v>
      </c>
    </row>
    <row r="3988" spans="1:13" x14ac:dyDescent="0.25">
      <c r="A3988" t="s">
        <v>8807</v>
      </c>
      <c r="B3988" t="s">
        <v>8805</v>
      </c>
      <c r="C3988" t="s">
        <v>496</v>
      </c>
      <c r="F3988">
        <v>1</v>
      </c>
      <c r="G3988" t="s">
        <v>16</v>
      </c>
      <c r="H3988">
        <v>0</v>
      </c>
      <c r="I3988" s="2" t="s">
        <v>108</v>
      </c>
      <c r="J3988" s="3">
        <v>2551206005</v>
      </c>
      <c r="K3988">
        <v>20</v>
      </c>
      <c r="L3988">
        <v>20</v>
      </c>
      <c r="M3988">
        <v>20</v>
      </c>
    </row>
    <row r="3989" spans="1:13" x14ac:dyDescent="0.25">
      <c r="A3989" t="s">
        <v>8808</v>
      </c>
      <c r="B3989" t="s">
        <v>8805</v>
      </c>
      <c r="C3989" t="s">
        <v>496</v>
      </c>
      <c r="F3989">
        <v>1</v>
      </c>
      <c r="G3989" t="s">
        <v>16</v>
      </c>
      <c r="H3989">
        <v>0</v>
      </c>
      <c r="I3989" s="2" t="s">
        <v>5040</v>
      </c>
      <c r="J3989" s="2" t="s">
        <v>8809</v>
      </c>
      <c r="K3989">
        <v>20</v>
      </c>
      <c r="L3989">
        <v>20</v>
      </c>
      <c r="M3989">
        <v>20</v>
      </c>
    </row>
    <row r="3990" spans="1:13" x14ac:dyDescent="0.25">
      <c r="A3990" t="s">
        <v>8810</v>
      </c>
      <c r="B3990" t="s">
        <v>8805</v>
      </c>
      <c r="C3990" t="s">
        <v>496</v>
      </c>
      <c r="F3990">
        <v>1</v>
      </c>
      <c r="G3990" t="s">
        <v>16</v>
      </c>
      <c r="H3990">
        <v>0</v>
      </c>
      <c r="I3990" s="2" t="s">
        <v>4086</v>
      </c>
      <c r="J3990" s="2" t="str">
        <f>"01022"</f>
        <v>01022</v>
      </c>
      <c r="K3990">
        <v>20</v>
      </c>
      <c r="L3990">
        <v>20</v>
      </c>
      <c r="M3990">
        <v>20</v>
      </c>
    </row>
    <row r="3991" spans="1:13" x14ac:dyDescent="0.25">
      <c r="A3991" t="s">
        <v>8811</v>
      </c>
      <c r="B3991" t="s">
        <v>8812</v>
      </c>
      <c r="C3991" t="s">
        <v>496</v>
      </c>
      <c r="D3991" t="s">
        <v>2360</v>
      </c>
      <c r="F3991">
        <v>0</v>
      </c>
      <c r="G3991" t="s">
        <v>16</v>
      </c>
      <c r="H3991">
        <v>0</v>
      </c>
      <c r="I3991" s="2" t="s">
        <v>108</v>
      </c>
      <c r="J3991" s="3">
        <v>1681206002</v>
      </c>
      <c r="K3991">
        <v>20</v>
      </c>
      <c r="L3991">
        <v>20</v>
      </c>
      <c r="M3991">
        <v>20</v>
      </c>
    </row>
    <row r="3992" spans="1:13" x14ac:dyDescent="0.25">
      <c r="A3992" t="s">
        <v>8813</v>
      </c>
      <c r="B3992" t="s">
        <v>8814</v>
      </c>
      <c r="C3992" t="s">
        <v>2493</v>
      </c>
      <c r="G3992" t="s">
        <v>16</v>
      </c>
      <c r="H3992">
        <v>0</v>
      </c>
      <c r="I3992" s="2" t="s">
        <v>2533</v>
      </c>
      <c r="J3992" s="2" t="s">
        <v>8815</v>
      </c>
      <c r="K3992">
        <v>20</v>
      </c>
      <c r="L3992">
        <v>20</v>
      </c>
      <c r="M3992">
        <v>20</v>
      </c>
    </row>
    <row r="3993" spans="1:13" x14ac:dyDescent="0.25">
      <c r="A3993" t="s">
        <v>8816</v>
      </c>
      <c r="B3993" t="s">
        <v>8817</v>
      </c>
      <c r="C3993" t="s">
        <v>496</v>
      </c>
      <c r="D3993" t="s">
        <v>2360</v>
      </c>
      <c r="G3993" t="s">
        <v>16</v>
      </c>
      <c r="H3993">
        <v>0</v>
      </c>
      <c r="I3993" s="2" t="s">
        <v>108</v>
      </c>
      <c r="J3993" s="3">
        <v>2581206001</v>
      </c>
      <c r="K3993">
        <v>20</v>
      </c>
      <c r="L3993">
        <v>20</v>
      </c>
      <c r="M3993">
        <v>20</v>
      </c>
    </row>
    <row r="3994" spans="1:13" x14ac:dyDescent="0.25">
      <c r="A3994" t="s">
        <v>8818</v>
      </c>
      <c r="B3994" t="s">
        <v>8819</v>
      </c>
      <c r="C3994" t="s">
        <v>496</v>
      </c>
      <c r="F3994">
        <v>1</v>
      </c>
      <c r="G3994" t="s">
        <v>16</v>
      </c>
      <c r="H3994">
        <v>0</v>
      </c>
      <c r="I3994" s="2" t="s">
        <v>2517</v>
      </c>
      <c r="J3994" s="2" t="s">
        <v>8820</v>
      </c>
      <c r="K3994">
        <v>20</v>
      </c>
      <c r="L3994">
        <v>20</v>
      </c>
      <c r="M3994">
        <v>20</v>
      </c>
    </row>
    <row r="3995" spans="1:13" x14ac:dyDescent="0.25">
      <c r="A3995" t="s">
        <v>8821</v>
      </c>
      <c r="B3995" t="s">
        <v>8819</v>
      </c>
      <c r="C3995" t="s">
        <v>496</v>
      </c>
      <c r="D3995" t="s">
        <v>2360</v>
      </c>
      <c r="F3995">
        <v>1</v>
      </c>
      <c r="G3995" t="s">
        <v>16</v>
      </c>
      <c r="H3995">
        <v>0</v>
      </c>
      <c r="I3995" s="2" t="s">
        <v>3421</v>
      </c>
      <c r="J3995" s="2" t="s">
        <v>8822</v>
      </c>
      <c r="K3995">
        <v>20</v>
      </c>
      <c r="L3995">
        <v>20</v>
      </c>
      <c r="M3995">
        <v>20</v>
      </c>
    </row>
    <row r="3996" spans="1:13" x14ac:dyDescent="0.25">
      <c r="A3996" t="s">
        <v>8823</v>
      </c>
      <c r="B3996" t="s">
        <v>8824</v>
      </c>
      <c r="C3996" t="s">
        <v>496</v>
      </c>
      <c r="F3996">
        <v>1</v>
      </c>
      <c r="G3996" t="s">
        <v>16</v>
      </c>
      <c r="H3996">
        <v>0</v>
      </c>
      <c r="I3996" s="2" t="s">
        <v>108</v>
      </c>
      <c r="J3996" s="3">
        <v>3031206002</v>
      </c>
      <c r="K3996">
        <v>20</v>
      </c>
      <c r="L3996">
        <v>20</v>
      </c>
      <c r="M3996">
        <v>20</v>
      </c>
    </row>
    <row r="3997" spans="1:13" x14ac:dyDescent="0.25">
      <c r="A3997" t="s">
        <v>8825</v>
      </c>
      <c r="B3997" t="s">
        <v>8826</v>
      </c>
      <c r="C3997" t="s">
        <v>496</v>
      </c>
      <c r="F3997">
        <v>1</v>
      </c>
      <c r="G3997" t="s">
        <v>16</v>
      </c>
      <c r="H3997">
        <v>0</v>
      </c>
      <c r="I3997" s="2" t="s">
        <v>5040</v>
      </c>
      <c r="J3997" s="2" t="str">
        <f>"04-70924"</f>
        <v>04-70924</v>
      </c>
      <c r="K3997">
        <v>20</v>
      </c>
      <c r="L3997">
        <v>20</v>
      </c>
      <c r="M3997">
        <v>20</v>
      </c>
    </row>
    <row r="3998" spans="1:13" x14ac:dyDescent="0.25">
      <c r="A3998" t="s">
        <v>8827</v>
      </c>
      <c r="B3998" t="s">
        <v>8819</v>
      </c>
      <c r="C3998" t="s">
        <v>496</v>
      </c>
      <c r="G3998" t="s">
        <v>16</v>
      </c>
      <c r="H3998">
        <v>0</v>
      </c>
      <c r="I3998" s="2" t="s">
        <v>5044</v>
      </c>
      <c r="J3998" s="2" t="s">
        <v>8828</v>
      </c>
      <c r="K3998">
        <v>20</v>
      </c>
      <c r="L3998">
        <v>20</v>
      </c>
      <c r="M3998">
        <v>20</v>
      </c>
    </row>
    <row r="3999" spans="1:13" x14ac:dyDescent="0.25">
      <c r="A3999" t="s">
        <v>8829</v>
      </c>
      <c r="B3999" t="s">
        <v>8830</v>
      </c>
      <c r="C3999" t="s">
        <v>496</v>
      </c>
      <c r="D3999" t="s">
        <v>2360</v>
      </c>
      <c r="F3999">
        <v>2</v>
      </c>
      <c r="G3999" t="s">
        <v>16</v>
      </c>
      <c r="H3999">
        <v>0</v>
      </c>
      <c r="I3999" s="2" t="s">
        <v>2533</v>
      </c>
      <c r="J3999" s="2" t="s">
        <v>8831</v>
      </c>
      <c r="K3999">
        <v>20</v>
      </c>
      <c r="L3999">
        <v>20</v>
      </c>
      <c r="M3999">
        <v>20</v>
      </c>
    </row>
    <row r="4000" spans="1:13" x14ac:dyDescent="0.25">
      <c r="A4000" t="s">
        <v>8832</v>
      </c>
      <c r="B4000" t="s">
        <v>8830</v>
      </c>
      <c r="C4000" t="s">
        <v>496</v>
      </c>
      <c r="D4000" t="s">
        <v>2360</v>
      </c>
      <c r="F4000">
        <v>2</v>
      </c>
      <c r="G4000" t="s">
        <v>16</v>
      </c>
      <c r="H4000">
        <v>0</v>
      </c>
      <c r="I4000" s="2" t="s">
        <v>5040</v>
      </c>
      <c r="J4000" s="2" t="str">
        <f>"07-70446"</f>
        <v>07-70446</v>
      </c>
      <c r="K4000">
        <v>20</v>
      </c>
      <c r="L4000">
        <v>20</v>
      </c>
      <c r="M4000">
        <v>20</v>
      </c>
    </row>
    <row r="4001" spans="1:13" x14ac:dyDescent="0.25">
      <c r="A4001" t="s">
        <v>8833</v>
      </c>
      <c r="B4001" t="s">
        <v>8830</v>
      </c>
      <c r="C4001" t="s">
        <v>496</v>
      </c>
      <c r="D4001" t="s">
        <v>2360</v>
      </c>
      <c r="F4001">
        <v>1</v>
      </c>
      <c r="G4001" t="s">
        <v>16</v>
      </c>
      <c r="H4001">
        <v>0</v>
      </c>
      <c r="I4001" s="2" t="s">
        <v>64</v>
      </c>
      <c r="J4001" s="2">
        <v>13050044</v>
      </c>
      <c r="K4001">
        <v>20</v>
      </c>
      <c r="L4001">
        <v>20</v>
      </c>
      <c r="M4001">
        <v>20</v>
      </c>
    </row>
    <row r="4002" spans="1:13" x14ac:dyDescent="0.25">
      <c r="A4002" t="s">
        <v>8834</v>
      </c>
      <c r="B4002" t="s">
        <v>8830</v>
      </c>
      <c r="C4002" t="s">
        <v>496</v>
      </c>
      <c r="D4002" t="s">
        <v>2360</v>
      </c>
      <c r="F4002">
        <v>1</v>
      </c>
      <c r="G4002" t="s">
        <v>16</v>
      </c>
      <c r="H4002">
        <v>0</v>
      </c>
      <c r="I4002" s="2" t="s">
        <v>4086</v>
      </c>
      <c r="J4002" s="2" t="str">
        <f>"00293"</f>
        <v>00293</v>
      </c>
      <c r="K4002">
        <v>20</v>
      </c>
      <c r="L4002">
        <v>20</v>
      </c>
      <c r="M4002">
        <v>20</v>
      </c>
    </row>
    <row r="4003" spans="1:13" x14ac:dyDescent="0.25">
      <c r="A4003" t="s">
        <v>8835</v>
      </c>
      <c r="B4003" t="s">
        <v>8837</v>
      </c>
      <c r="C4003" t="s">
        <v>496</v>
      </c>
      <c r="D4003" t="s">
        <v>2360</v>
      </c>
      <c r="F4003">
        <v>3</v>
      </c>
      <c r="G4003" t="s">
        <v>16</v>
      </c>
      <c r="H4003">
        <v>0</v>
      </c>
      <c r="I4003" s="2" t="s">
        <v>288</v>
      </c>
      <c r="J4003" s="2" t="s">
        <v>8836</v>
      </c>
      <c r="K4003">
        <v>20</v>
      </c>
      <c r="L4003">
        <v>20</v>
      </c>
      <c r="M4003">
        <v>20</v>
      </c>
    </row>
    <row r="4004" spans="1:13" x14ac:dyDescent="0.25">
      <c r="A4004" t="s">
        <v>8838</v>
      </c>
      <c r="B4004" t="s">
        <v>8837</v>
      </c>
      <c r="C4004" t="s">
        <v>496</v>
      </c>
      <c r="D4004" t="s">
        <v>2360</v>
      </c>
      <c r="F4004">
        <v>1</v>
      </c>
      <c r="G4004" t="s">
        <v>16</v>
      </c>
      <c r="H4004">
        <v>0</v>
      </c>
      <c r="I4004" s="2" t="s">
        <v>2533</v>
      </c>
      <c r="J4004" s="2" t="s">
        <v>8839</v>
      </c>
      <c r="K4004">
        <v>20</v>
      </c>
      <c r="L4004">
        <v>20</v>
      </c>
      <c r="M4004">
        <v>20</v>
      </c>
    </row>
    <row r="4005" spans="1:13" x14ac:dyDescent="0.25">
      <c r="A4005" t="s">
        <v>8840</v>
      </c>
      <c r="B4005" t="s">
        <v>8837</v>
      </c>
      <c r="C4005" t="s">
        <v>496</v>
      </c>
      <c r="G4005" t="s">
        <v>16</v>
      </c>
      <c r="H4005">
        <v>0</v>
      </c>
      <c r="I4005" s="2" t="s">
        <v>707</v>
      </c>
      <c r="J4005" s="2" t="s">
        <v>8841</v>
      </c>
      <c r="K4005">
        <v>20</v>
      </c>
      <c r="L4005">
        <v>20</v>
      </c>
      <c r="M4005">
        <v>20</v>
      </c>
    </row>
    <row r="4006" spans="1:13" x14ac:dyDescent="0.25">
      <c r="A4006" t="s">
        <v>8842</v>
      </c>
      <c r="B4006" t="s">
        <v>8837</v>
      </c>
      <c r="C4006" t="s">
        <v>496</v>
      </c>
      <c r="D4006" t="s">
        <v>2360</v>
      </c>
      <c r="F4006">
        <v>2</v>
      </c>
      <c r="G4006" t="s">
        <v>16</v>
      </c>
      <c r="H4006">
        <v>0</v>
      </c>
      <c r="I4006" s="2" t="s">
        <v>5500</v>
      </c>
      <c r="J4006" s="2" t="s">
        <v>8843</v>
      </c>
      <c r="K4006">
        <v>20</v>
      </c>
      <c r="L4006">
        <v>20</v>
      </c>
      <c r="M4006">
        <v>20</v>
      </c>
    </row>
    <row r="4007" spans="1:13" x14ac:dyDescent="0.25">
      <c r="A4007" t="s">
        <v>8844</v>
      </c>
      <c r="B4007" t="s">
        <v>8837</v>
      </c>
      <c r="C4007" t="s">
        <v>496</v>
      </c>
      <c r="F4007">
        <v>0</v>
      </c>
      <c r="G4007" t="s">
        <v>16</v>
      </c>
      <c r="H4007">
        <v>0</v>
      </c>
      <c r="I4007" s="2" t="s">
        <v>108</v>
      </c>
      <c r="J4007" s="3">
        <v>3581206005</v>
      </c>
      <c r="K4007">
        <v>20</v>
      </c>
      <c r="L4007">
        <v>20</v>
      </c>
      <c r="M4007">
        <v>20</v>
      </c>
    </row>
    <row r="4008" spans="1:13" x14ac:dyDescent="0.25">
      <c r="A4008" t="s">
        <v>8845</v>
      </c>
      <c r="B4008" t="s">
        <v>8837</v>
      </c>
      <c r="C4008" t="s">
        <v>496</v>
      </c>
      <c r="G4008" t="s">
        <v>16</v>
      </c>
      <c r="H4008">
        <v>0</v>
      </c>
      <c r="I4008" s="2" t="s">
        <v>5040</v>
      </c>
      <c r="J4008" s="2" t="s">
        <v>8846</v>
      </c>
      <c r="K4008">
        <v>20</v>
      </c>
      <c r="L4008">
        <v>20</v>
      </c>
      <c r="M4008">
        <v>20</v>
      </c>
    </row>
    <row r="4009" spans="1:13" x14ac:dyDescent="0.25">
      <c r="A4009" t="s">
        <v>8847</v>
      </c>
      <c r="B4009" t="s">
        <v>8837</v>
      </c>
      <c r="C4009" t="s">
        <v>496</v>
      </c>
      <c r="D4009" t="s">
        <v>2360</v>
      </c>
      <c r="G4009" t="s">
        <v>16</v>
      </c>
      <c r="H4009">
        <v>0</v>
      </c>
      <c r="I4009" s="2" t="s">
        <v>6147</v>
      </c>
      <c r="J4009" s="2" t="str">
        <f>"00846"</f>
        <v>00846</v>
      </c>
      <c r="K4009">
        <v>20</v>
      </c>
      <c r="L4009">
        <v>20</v>
      </c>
      <c r="M4009">
        <v>20</v>
      </c>
    </row>
    <row r="4010" spans="1:13" x14ac:dyDescent="0.25">
      <c r="A4010" t="s">
        <v>8848</v>
      </c>
      <c r="B4010" t="s">
        <v>8837</v>
      </c>
      <c r="C4010" t="s">
        <v>496</v>
      </c>
      <c r="D4010" t="s">
        <v>2360</v>
      </c>
      <c r="F4010">
        <v>2</v>
      </c>
      <c r="G4010" t="s">
        <v>16</v>
      </c>
      <c r="H4010">
        <v>0</v>
      </c>
      <c r="I4010" s="2" t="s">
        <v>266</v>
      </c>
      <c r="J4010" s="2" t="s">
        <v>8849</v>
      </c>
      <c r="K4010">
        <v>20</v>
      </c>
      <c r="L4010">
        <v>20</v>
      </c>
      <c r="M4010">
        <v>20</v>
      </c>
    </row>
    <row r="4011" spans="1:13" x14ac:dyDescent="0.25">
      <c r="A4011" t="s">
        <v>8850</v>
      </c>
      <c r="B4011" t="s">
        <v>8837</v>
      </c>
      <c r="C4011" t="s">
        <v>496</v>
      </c>
      <c r="D4011" t="s">
        <v>2360</v>
      </c>
      <c r="F4011">
        <v>1</v>
      </c>
      <c r="G4011" t="s">
        <v>16</v>
      </c>
      <c r="H4011">
        <v>0</v>
      </c>
      <c r="I4011" s="2" t="s">
        <v>5044</v>
      </c>
      <c r="J4011" s="2" t="s">
        <v>8851</v>
      </c>
      <c r="K4011">
        <v>20</v>
      </c>
      <c r="L4011">
        <v>20</v>
      </c>
      <c r="M4011">
        <v>20</v>
      </c>
    </row>
    <row r="4012" spans="1:13" x14ac:dyDescent="0.25">
      <c r="A4012" t="s">
        <v>8852</v>
      </c>
      <c r="B4012" t="s">
        <v>8837</v>
      </c>
      <c r="C4012" t="s">
        <v>496</v>
      </c>
      <c r="F4012">
        <v>3</v>
      </c>
      <c r="G4012" t="s">
        <v>16</v>
      </c>
      <c r="H4012">
        <v>0</v>
      </c>
      <c r="I4012" s="2" t="s">
        <v>737</v>
      </c>
      <c r="J4012" s="2" t="s">
        <v>8853</v>
      </c>
      <c r="K4012">
        <v>20</v>
      </c>
      <c r="L4012">
        <v>20</v>
      </c>
      <c r="M4012">
        <v>20</v>
      </c>
    </row>
    <row r="4013" spans="1:13" x14ac:dyDescent="0.25">
      <c r="A4013" t="s">
        <v>8854</v>
      </c>
      <c r="B4013" t="s">
        <v>8856</v>
      </c>
      <c r="C4013" t="s">
        <v>496</v>
      </c>
      <c r="D4013" t="s">
        <v>2360</v>
      </c>
      <c r="F4013">
        <v>4</v>
      </c>
      <c r="G4013" t="s">
        <v>16</v>
      </c>
      <c r="H4013">
        <v>0</v>
      </c>
      <c r="I4013" s="2" t="s">
        <v>288</v>
      </c>
      <c r="J4013" s="2" t="s">
        <v>8855</v>
      </c>
      <c r="K4013">
        <v>20</v>
      </c>
      <c r="L4013">
        <v>20</v>
      </c>
      <c r="M4013">
        <v>20</v>
      </c>
    </row>
    <row r="4014" spans="1:13" x14ac:dyDescent="0.25">
      <c r="A4014" t="s">
        <v>8857</v>
      </c>
      <c r="B4014" t="s">
        <v>8856</v>
      </c>
      <c r="C4014" t="s">
        <v>496</v>
      </c>
      <c r="D4014" t="s">
        <v>2360</v>
      </c>
      <c r="F4014">
        <v>1</v>
      </c>
      <c r="G4014" t="s">
        <v>16</v>
      </c>
      <c r="H4014">
        <v>0</v>
      </c>
      <c r="I4014" s="2" t="s">
        <v>2533</v>
      </c>
      <c r="J4014" s="2" t="s">
        <v>8858</v>
      </c>
      <c r="K4014">
        <v>20</v>
      </c>
      <c r="L4014">
        <v>20</v>
      </c>
      <c r="M4014">
        <v>20</v>
      </c>
    </row>
    <row r="4015" spans="1:13" x14ac:dyDescent="0.25">
      <c r="A4015" t="s">
        <v>8859</v>
      </c>
      <c r="B4015" t="s">
        <v>8856</v>
      </c>
      <c r="C4015" t="s">
        <v>496</v>
      </c>
      <c r="D4015" t="s">
        <v>2360</v>
      </c>
      <c r="G4015" t="s">
        <v>16</v>
      </c>
      <c r="H4015">
        <v>0</v>
      </c>
      <c r="I4015" s="2" t="s">
        <v>707</v>
      </c>
      <c r="J4015" s="2" t="s">
        <v>8860</v>
      </c>
      <c r="K4015">
        <v>20</v>
      </c>
      <c r="L4015">
        <v>20</v>
      </c>
      <c r="M4015">
        <v>20</v>
      </c>
    </row>
    <row r="4016" spans="1:13" x14ac:dyDescent="0.25">
      <c r="A4016" t="s">
        <v>8861</v>
      </c>
      <c r="B4016" t="s">
        <v>8856</v>
      </c>
      <c r="C4016" t="s">
        <v>496</v>
      </c>
      <c r="D4016" t="s">
        <v>2360</v>
      </c>
      <c r="F4016">
        <v>2</v>
      </c>
      <c r="G4016" t="s">
        <v>16</v>
      </c>
      <c r="H4016">
        <v>0</v>
      </c>
      <c r="I4016" s="2" t="s">
        <v>5500</v>
      </c>
      <c r="J4016" s="2" t="s">
        <v>8862</v>
      </c>
      <c r="K4016">
        <v>20</v>
      </c>
      <c r="L4016">
        <v>20</v>
      </c>
      <c r="M4016">
        <v>20</v>
      </c>
    </row>
    <row r="4017" spans="1:13" x14ac:dyDescent="0.25">
      <c r="A4017" t="s">
        <v>8863</v>
      </c>
      <c r="B4017" t="s">
        <v>8856</v>
      </c>
      <c r="C4017" t="s">
        <v>496</v>
      </c>
      <c r="D4017" t="s">
        <v>2360</v>
      </c>
      <c r="F4017">
        <v>0</v>
      </c>
      <c r="G4017" t="s">
        <v>16</v>
      </c>
      <c r="H4017">
        <v>0</v>
      </c>
      <c r="I4017" s="2" t="s">
        <v>8864</v>
      </c>
      <c r="J4017" s="2" t="s">
        <v>8865</v>
      </c>
      <c r="K4017">
        <v>20</v>
      </c>
      <c r="L4017">
        <v>20</v>
      </c>
      <c r="M4017">
        <v>20</v>
      </c>
    </row>
    <row r="4018" spans="1:13" x14ac:dyDescent="0.25">
      <c r="A4018" t="s">
        <v>8866</v>
      </c>
      <c r="B4018" t="s">
        <v>8856</v>
      </c>
      <c r="C4018" t="s">
        <v>496</v>
      </c>
      <c r="F4018">
        <v>1</v>
      </c>
      <c r="G4018" t="s">
        <v>16</v>
      </c>
      <c r="H4018">
        <v>0</v>
      </c>
      <c r="I4018" s="2" t="s">
        <v>64</v>
      </c>
      <c r="J4018" s="2">
        <v>13050067</v>
      </c>
      <c r="K4018">
        <v>20</v>
      </c>
      <c r="L4018">
        <v>20</v>
      </c>
      <c r="M4018">
        <v>20</v>
      </c>
    </row>
    <row r="4019" spans="1:13" x14ac:dyDescent="0.25">
      <c r="A4019" t="s">
        <v>8867</v>
      </c>
      <c r="B4019" t="s">
        <v>8856</v>
      </c>
      <c r="C4019" t="s">
        <v>496</v>
      </c>
      <c r="D4019" t="s">
        <v>2360</v>
      </c>
      <c r="G4019" t="s">
        <v>16</v>
      </c>
      <c r="H4019">
        <v>0</v>
      </c>
      <c r="I4019" s="2" t="s">
        <v>6147</v>
      </c>
      <c r="J4019" s="2" t="str">
        <f>"00847"</f>
        <v>00847</v>
      </c>
      <c r="K4019">
        <v>20</v>
      </c>
      <c r="L4019">
        <v>20</v>
      </c>
      <c r="M4019">
        <v>20</v>
      </c>
    </row>
    <row r="4020" spans="1:13" x14ac:dyDescent="0.25">
      <c r="A4020" t="s">
        <v>8868</v>
      </c>
      <c r="B4020" t="s">
        <v>8856</v>
      </c>
      <c r="C4020" t="s">
        <v>496</v>
      </c>
      <c r="D4020" t="s">
        <v>2360</v>
      </c>
      <c r="F4020">
        <v>3</v>
      </c>
      <c r="G4020" t="s">
        <v>16</v>
      </c>
      <c r="H4020">
        <v>0</v>
      </c>
      <c r="I4020" s="2" t="s">
        <v>266</v>
      </c>
      <c r="J4020" s="2" t="s">
        <v>8869</v>
      </c>
      <c r="K4020">
        <v>20</v>
      </c>
      <c r="L4020">
        <v>20</v>
      </c>
      <c r="M4020">
        <v>20</v>
      </c>
    </row>
    <row r="4021" spans="1:13" x14ac:dyDescent="0.25">
      <c r="A4021" t="s">
        <v>8870</v>
      </c>
      <c r="B4021" t="s">
        <v>8856</v>
      </c>
      <c r="C4021" t="s">
        <v>496</v>
      </c>
      <c r="D4021" t="s">
        <v>2360</v>
      </c>
      <c r="F4021">
        <v>1</v>
      </c>
      <c r="G4021" t="s">
        <v>16</v>
      </c>
      <c r="H4021">
        <v>0</v>
      </c>
      <c r="I4021" s="2" t="s">
        <v>4214</v>
      </c>
      <c r="J4021" s="2" t="s">
        <v>8871</v>
      </c>
      <c r="K4021">
        <v>20</v>
      </c>
      <c r="L4021">
        <v>20</v>
      </c>
      <c r="M4021">
        <v>20</v>
      </c>
    </row>
    <row r="4022" spans="1:13" x14ac:dyDescent="0.25">
      <c r="A4022" t="s">
        <v>8872</v>
      </c>
      <c r="B4022" t="s">
        <v>8856</v>
      </c>
      <c r="C4022" t="s">
        <v>496</v>
      </c>
      <c r="D4022" t="s">
        <v>2360</v>
      </c>
      <c r="F4022">
        <v>1</v>
      </c>
      <c r="G4022" t="s">
        <v>16</v>
      </c>
      <c r="H4022">
        <v>0</v>
      </c>
      <c r="I4022" s="2" t="s">
        <v>5044</v>
      </c>
      <c r="J4022" s="2" t="s">
        <v>8873</v>
      </c>
      <c r="K4022">
        <v>20</v>
      </c>
      <c r="L4022">
        <v>20</v>
      </c>
      <c r="M4022">
        <v>20</v>
      </c>
    </row>
    <row r="4023" spans="1:13" x14ac:dyDescent="0.25">
      <c r="A4023" t="s">
        <v>8874</v>
      </c>
      <c r="B4023" t="s">
        <v>8856</v>
      </c>
      <c r="C4023" t="s">
        <v>496</v>
      </c>
      <c r="G4023" t="s">
        <v>16</v>
      </c>
      <c r="H4023">
        <v>0</v>
      </c>
      <c r="I4023" s="2" t="s">
        <v>737</v>
      </c>
      <c r="J4023" s="2" t="s">
        <v>8875</v>
      </c>
      <c r="K4023">
        <v>20</v>
      </c>
      <c r="L4023">
        <v>20</v>
      </c>
      <c r="M4023">
        <v>20</v>
      </c>
    </row>
    <row r="4024" spans="1:13" x14ac:dyDescent="0.25">
      <c r="A4024" t="s">
        <v>8876</v>
      </c>
      <c r="B4024" t="s">
        <v>8878</v>
      </c>
      <c r="C4024" t="s">
        <v>496</v>
      </c>
      <c r="D4024" t="s">
        <v>2360</v>
      </c>
      <c r="G4024" t="s">
        <v>16</v>
      </c>
      <c r="H4024">
        <v>0</v>
      </c>
      <c r="I4024" s="2" t="s">
        <v>288</v>
      </c>
      <c r="J4024" s="2" t="s">
        <v>8877</v>
      </c>
      <c r="K4024">
        <v>20</v>
      </c>
      <c r="L4024">
        <v>20</v>
      </c>
      <c r="M4024">
        <v>20</v>
      </c>
    </row>
    <row r="4025" spans="1:13" x14ac:dyDescent="0.25">
      <c r="A4025" t="s">
        <v>8879</v>
      </c>
      <c r="B4025" t="s">
        <v>8878</v>
      </c>
      <c r="C4025" t="s">
        <v>496</v>
      </c>
      <c r="D4025" t="s">
        <v>2360</v>
      </c>
      <c r="G4025" t="s">
        <v>16</v>
      </c>
      <c r="H4025">
        <v>0</v>
      </c>
      <c r="I4025" s="2" t="s">
        <v>2533</v>
      </c>
      <c r="J4025" s="2" t="s">
        <v>8880</v>
      </c>
      <c r="K4025">
        <v>20</v>
      </c>
      <c r="L4025">
        <v>20</v>
      </c>
      <c r="M4025">
        <v>20</v>
      </c>
    </row>
    <row r="4026" spans="1:13" x14ac:dyDescent="0.25">
      <c r="A4026" t="s">
        <v>8881</v>
      </c>
      <c r="B4026" t="s">
        <v>8878</v>
      </c>
      <c r="C4026" t="s">
        <v>496</v>
      </c>
      <c r="D4026" t="s">
        <v>2360</v>
      </c>
      <c r="G4026" t="s">
        <v>16</v>
      </c>
      <c r="H4026">
        <v>0</v>
      </c>
      <c r="I4026" s="2" t="s">
        <v>6147</v>
      </c>
      <c r="J4026" s="2" t="str">
        <f>"03327"</f>
        <v>03327</v>
      </c>
      <c r="K4026">
        <v>20</v>
      </c>
      <c r="L4026">
        <v>20</v>
      </c>
      <c r="M4026">
        <v>20</v>
      </c>
    </row>
    <row r="4027" spans="1:13" x14ac:dyDescent="0.25">
      <c r="A4027" t="s">
        <v>8882</v>
      </c>
      <c r="B4027" t="s">
        <v>8884</v>
      </c>
      <c r="C4027" t="s">
        <v>496</v>
      </c>
      <c r="G4027" t="s">
        <v>16</v>
      </c>
      <c r="H4027">
        <v>0</v>
      </c>
      <c r="I4027" s="2" t="s">
        <v>288</v>
      </c>
      <c r="J4027" s="2" t="s">
        <v>8883</v>
      </c>
      <c r="K4027">
        <v>20</v>
      </c>
      <c r="L4027">
        <v>20</v>
      </c>
      <c r="M4027">
        <v>20</v>
      </c>
    </row>
    <row r="4028" spans="1:13" x14ac:dyDescent="0.25">
      <c r="A4028" t="s">
        <v>8885</v>
      </c>
      <c r="B4028" t="s">
        <v>8884</v>
      </c>
      <c r="C4028" t="s">
        <v>496</v>
      </c>
      <c r="F4028">
        <v>1</v>
      </c>
      <c r="G4028" t="s">
        <v>16</v>
      </c>
      <c r="H4028">
        <v>0</v>
      </c>
      <c r="I4028" s="2" t="s">
        <v>2533</v>
      </c>
      <c r="J4028" s="2" t="s">
        <v>8886</v>
      </c>
      <c r="K4028">
        <v>20</v>
      </c>
      <c r="L4028">
        <v>20</v>
      </c>
      <c r="M4028">
        <v>20</v>
      </c>
    </row>
    <row r="4029" spans="1:13" x14ac:dyDescent="0.25">
      <c r="A4029" t="s">
        <v>8887</v>
      </c>
      <c r="B4029" t="s">
        <v>8884</v>
      </c>
      <c r="C4029" t="s">
        <v>496</v>
      </c>
      <c r="G4029" t="s">
        <v>16</v>
      </c>
      <c r="H4029">
        <v>0</v>
      </c>
      <c r="I4029" s="2" t="s">
        <v>4086</v>
      </c>
      <c r="J4029" s="2" t="str">
        <f>"00878"</f>
        <v>00878</v>
      </c>
      <c r="K4029">
        <v>20</v>
      </c>
      <c r="L4029">
        <v>20</v>
      </c>
      <c r="M4029">
        <v>20</v>
      </c>
    </row>
    <row r="4030" spans="1:13" x14ac:dyDescent="0.25">
      <c r="A4030" t="s">
        <v>8888</v>
      </c>
      <c r="B4030" t="s">
        <v>8884</v>
      </c>
      <c r="C4030" t="s">
        <v>496</v>
      </c>
      <c r="D4030" t="s">
        <v>2360</v>
      </c>
      <c r="F4030">
        <v>0</v>
      </c>
      <c r="G4030" t="s">
        <v>16</v>
      </c>
      <c r="H4030">
        <v>0</v>
      </c>
      <c r="I4030" s="2" t="s">
        <v>4214</v>
      </c>
      <c r="J4030" s="2" t="s">
        <v>8889</v>
      </c>
      <c r="K4030">
        <v>20</v>
      </c>
      <c r="L4030">
        <v>20</v>
      </c>
      <c r="M4030">
        <v>20</v>
      </c>
    </row>
    <row r="4031" spans="1:13" x14ac:dyDescent="0.25">
      <c r="A4031" t="s">
        <v>8890</v>
      </c>
      <c r="B4031" t="s">
        <v>8892</v>
      </c>
      <c r="C4031" t="s">
        <v>496</v>
      </c>
      <c r="F4031">
        <v>1</v>
      </c>
      <c r="G4031" t="s">
        <v>16</v>
      </c>
      <c r="H4031">
        <v>0</v>
      </c>
      <c r="I4031" s="2" t="s">
        <v>765</v>
      </c>
      <c r="J4031" s="2" t="s">
        <v>8891</v>
      </c>
      <c r="K4031">
        <v>20</v>
      </c>
      <c r="L4031">
        <v>20</v>
      </c>
      <c r="M4031">
        <v>20</v>
      </c>
    </row>
    <row r="4032" spans="1:13" x14ac:dyDescent="0.25">
      <c r="A4032" t="s">
        <v>8893</v>
      </c>
      <c r="B4032" t="s">
        <v>8892</v>
      </c>
      <c r="C4032" t="s">
        <v>496</v>
      </c>
      <c r="G4032" t="s">
        <v>16</v>
      </c>
      <c r="H4032">
        <v>0</v>
      </c>
      <c r="I4032" s="2" t="s">
        <v>4086</v>
      </c>
      <c r="J4032" s="2" t="str">
        <f>"00879"</f>
        <v>00879</v>
      </c>
      <c r="K4032">
        <v>20</v>
      </c>
      <c r="L4032">
        <v>20</v>
      </c>
      <c r="M4032">
        <v>20</v>
      </c>
    </row>
    <row r="4033" spans="1:13" x14ac:dyDescent="0.25">
      <c r="A4033" t="s">
        <v>8894</v>
      </c>
      <c r="B4033" t="s">
        <v>8896</v>
      </c>
      <c r="C4033" t="s">
        <v>496</v>
      </c>
      <c r="D4033" t="s">
        <v>2360</v>
      </c>
      <c r="F4033">
        <v>1</v>
      </c>
      <c r="G4033" t="s">
        <v>16</v>
      </c>
      <c r="H4033">
        <v>0</v>
      </c>
      <c r="I4033" s="2" t="s">
        <v>288</v>
      </c>
      <c r="J4033" s="2" t="s">
        <v>8895</v>
      </c>
      <c r="K4033">
        <v>20</v>
      </c>
      <c r="L4033">
        <v>20</v>
      </c>
      <c r="M4033">
        <v>20</v>
      </c>
    </row>
    <row r="4034" spans="1:13" x14ac:dyDescent="0.25">
      <c r="A4034" t="s">
        <v>8897</v>
      </c>
      <c r="B4034" t="s">
        <v>8896</v>
      </c>
      <c r="C4034" t="s">
        <v>496</v>
      </c>
      <c r="D4034" t="s">
        <v>2360</v>
      </c>
      <c r="F4034">
        <v>1</v>
      </c>
      <c r="G4034" t="s">
        <v>16</v>
      </c>
      <c r="H4034">
        <v>0</v>
      </c>
      <c r="I4034" s="2" t="s">
        <v>2517</v>
      </c>
      <c r="J4034" s="2" t="s">
        <v>8898</v>
      </c>
      <c r="K4034">
        <v>20</v>
      </c>
      <c r="L4034">
        <v>20</v>
      </c>
      <c r="M4034">
        <v>20</v>
      </c>
    </row>
    <row r="4035" spans="1:13" x14ac:dyDescent="0.25">
      <c r="A4035" t="s">
        <v>8899</v>
      </c>
      <c r="B4035" t="s">
        <v>8896</v>
      </c>
      <c r="C4035" t="s">
        <v>496</v>
      </c>
      <c r="D4035" t="s">
        <v>2360</v>
      </c>
      <c r="G4035" t="s">
        <v>16</v>
      </c>
      <c r="H4035">
        <v>0</v>
      </c>
      <c r="I4035" s="2" t="s">
        <v>64</v>
      </c>
      <c r="J4035" s="2">
        <v>13050338</v>
      </c>
      <c r="K4035">
        <v>20</v>
      </c>
      <c r="L4035">
        <v>20</v>
      </c>
      <c r="M4035">
        <v>20</v>
      </c>
    </row>
    <row r="4036" spans="1:13" x14ac:dyDescent="0.25">
      <c r="A4036" t="s">
        <v>8900</v>
      </c>
      <c r="B4036" t="s">
        <v>8896</v>
      </c>
      <c r="C4036" t="s">
        <v>496</v>
      </c>
      <c r="D4036" t="s">
        <v>2360</v>
      </c>
      <c r="G4036" t="s">
        <v>16</v>
      </c>
      <c r="H4036">
        <v>0</v>
      </c>
      <c r="I4036" s="2" t="s">
        <v>4086</v>
      </c>
      <c r="J4036" s="2" t="str">
        <f>"03328"</f>
        <v>03328</v>
      </c>
      <c r="K4036">
        <v>20</v>
      </c>
      <c r="L4036">
        <v>20</v>
      </c>
      <c r="M4036">
        <v>20</v>
      </c>
    </row>
    <row r="4037" spans="1:13" x14ac:dyDescent="0.25">
      <c r="A4037" t="s">
        <v>8901</v>
      </c>
      <c r="B4037" t="s">
        <v>8902</v>
      </c>
      <c r="C4037" t="s">
        <v>2493</v>
      </c>
      <c r="F4037">
        <v>1</v>
      </c>
      <c r="G4037" t="s">
        <v>16</v>
      </c>
      <c r="H4037">
        <v>0</v>
      </c>
      <c r="I4037" s="2" t="s">
        <v>108</v>
      </c>
      <c r="J4037" s="3">
        <v>2561206013</v>
      </c>
      <c r="K4037">
        <v>20</v>
      </c>
      <c r="L4037">
        <v>20</v>
      </c>
      <c r="M4037">
        <v>20</v>
      </c>
    </row>
    <row r="4038" spans="1:13" x14ac:dyDescent="0.25">
      <c r="A4038" t="s">
        <v>8903</v>
      </c>
      <c r="B4038" t="s">
        <v>8904</v>
      </c>
      <c r="C4038" t="s">
        <v>2493</v>
      </c>
      <c r="F4038">
        <v>1</v>
      </c>
      <c r="G4038" t="s">
        <v>16</v>
      </c>
      <c r="H4038">
        <v>0</v>
      </c>
      <c r="I4038" s="2" t="s">
        <v>108</v>
      </c>
      <c r="J4038" s="3">
        <v>2691206004</v>
      </c>
      <c r="K4038">
        <v>20</v>
      </c>
      <c r="L4038">
        <v>20</v>
      </c>
      <c r="M4038">
        <v>20</v>
      </c>
    </row>
    <row r="4039" spans="1:13" x14ac:dyDescent="0.25">
      <c r="A4039" t="s">
        <v>8905</v>
      </c>
      <c r="B4039" t="s">
        <v>8906</v>
      </c>
      <c r="C4039" t="s">
        <v>496</v>
      </c>
      <c r="F4039">
        <v>2</v>
      </c>
      <c r="G4039" t="s">
        <v>16</v>
      </c>
      <c r="H4039">
        <v>0</v>
      </c>
      <c r="I4039" s="2" t="s">
        <v>2517</v>
      </c>
      <c r="J4039" s="2" t="s">
        <v>8907</v>
      </c>
      <c r="K4039">
        <v>20</v>
      </c>
      <c r="L4039">
        <v>20</v>
      </c>
      <c r="M4039">
        <v>20</v>
      </c>
    </row>
    <row r="4040" spans="1:13" x14ac:dyDescent="0.25">
      <c r="A4040" t="s">
        <v>8908</v>
      </c>
      <c r="B4040" t="s">
        <v>8909</v>
      </c>
      <c r="C4040" t="s">
        <v>496</v>
      </c>
      <c r="D4040" t="s">
        <v>2360</v>
      </c>
      <c r="G4040" t="s">
        <v>16</v>
      </c>
      <c r="H4040">
        <v>0</v>
      </c>
      <c r="I4040" s="2" t="s">
        <v>108</v>
      </c>
      <c r="J4040" s="3">
        <v>2541206002</v>
      </c>
      <c r="K4040">
        <v>20</v>
      </c>
      <c r="L4040">
        <v>20</v>
      </c>
      <c r="M4040">
        <v>20</v>
      </c>
    </row>
    <row r="4041" spans="1:13" x14ac:dyDescent="0.25">
      <c r="A4041" t="s">
        <v>8910</v>
      </c>
      <c r="B4041" t="s">
        <v>8906</v>
      </c>
      <c r="C4041" t="s">
        <v>496</v>
      </c>
      <c r="D4041" t="s">
        <v>2360</v>
      </c>
      <c r="F4041">
        <v>0</v>
      </c>
      <c r="G4041" t="s">
        <v>16</v>
      </c>
      <c r="H4041">
        <v>0</v>
      </c>
      <c r="I4041" s="2" t="s">
        <v>64</v>
      </c>
      <c r="J4041" s="2">
        <v>13050071</v>
      </c>
      <c r="K4041">
        <v>20</v>
      </c>
      <c r="L4041">
        <v>20</v>
      </c>
      <c r="M4041">
        <v>20</v>
      </c>
    </row>
    <row r="4042" spans="1:13" x14ac:dyDescent="0.25">
      <c r="A4042" t="s">
        <v>8911</v>
      </c>
      <c r="B4042" t="s">
        <v>8906</v>
      </c>
      <c r="C4042" t="s">
        <v>496</v>
      </c>
      <c r="D4042" t="s">
        <v>2360</v>
      </c>
      <c r="G4042" t="s">
        <v>16</v>
      </c>
      <c r="H4042">
        <v>0</v>
      </c>
      <c r="I4042" s="2" t="s">
        <v>4214</v>
      </c>
      <c r="J4042" s="2" t="s">
        <v>8912</v>
      </c>
      <c r="K4042">
        <v>20</v>
      </c>
      <c r="L4042">
        <v>20</v>
      </c>
      <c r="M4042">
        <v>20</v>
      </c>
    </row>
    <row r="4043" spans="1:13" x14ac:dyDescent="0.25">
      <c r="A4043" t="s">
        <v>8913</v>
      </c>
      <c r="B4043" t="s">
        <v>8909</v>
      </c>
      <c r="C4043" t="s">
        <v>496</v>
      </c>
      <c r="D4043" t="s">
        <v>2360</v>
      </c>
      <c r="F4043">
        <v>1</v>
      </c>
      <c r="G4043" t="s">
        <v>16</v>
      </c>
      <c r="H4043">
        <v>0</v>
      </c>
      <c r="I4043" s="2" t="s">
        <v>5044</v>
      </c>
      <c r="J4043" s="2" t="s">
        <v>8783</v>
      </c>
      <c r="K4043">
        <v>20</v>
      </c>
      <c r="L4043">
        <v>20</v>
      </c>
      <c r="M4043">
        <v>20</v>
      </c>
    </row>
    <row r="4044" spans="1:13" x14ac:dyDescent="0.25">
      <c r="A4044" t="s">
        <v>8914</v>
      </c>
      <c r="B4044" t="s">
        <v>8915</v>
      </c>
      <c r="C4044" t="s">
        <v>496</v>
      </c>
      <c r="D4044" t="s">
        <v>2360</v>
      </c>
      <c r="F4044">
        <v>1</v>
      </c>
      <c r="G4044" t="s">
        <v>16</v>
      </c>
      <c r="H4044">
        <v>0</v>
      </c>
      <c r="I4044" s="2" t="s">
        <v>5044</v>
      </c>
      <c r="J4044" s="2" t="s">
        <v>8916</v>
      </c>
      <c r="K4044">
        <v>20</v>
      </c>
      <c r="L4044">
        <v>20</v>
      </c>
      <c r="M4044">
        <v>20</v>
      </c>
    </row>
    <row r="4045" spans="1:13" x14ac:dyDescent="0.25">
      <c r="A4045" t="s">
        <v>8917</v>
      </c>
      <c r="B4045" t="s">
        <v>8918</v>
      </c>
      <c r="C4045" t="s">
        <v>2493</v>
      </c>
      <c r="F4045">
        <v>1</v>
      </c>
      <c r="G4045" t="s">
        <v>16</v>
      </c>
      <c r="H4045">
        <v>0</v>
      </c>
      <c r="I4045" s="2" t="s">
        <v>108</v>
      </c>
      <c r="J4045" s="3">
        <v>2691206010</v>
      </c>
      <c r="K4045">
        <v>20</v>
      </c>
      <c r="L4045">
        <v>20</v>
      </c>
      <c r="M4045">
        <v>20</v>
      </c>
    </row>
    <row r="4046" spans="1:13" x14ac:dyDescent="0.25">
      <c r="A4046" t="s">
        <v>8919</v>
      </c>
      <c r="B4046" t="s">
        <v>8920</v>
      </c>
      <c r="C4046" t="s">
        <v>496</v>
      </c>
      <c r="D4046" t="s">
        <v>2360</v>
      </c>
      <c r="F4046">
        <v>1</v>
      </c>
      <c r="G4046" t="s">
        <v>16</v>
      </c>
      <c r="H4046">
        <v>0</v>
      </c>
      <c r="I4046" s="2" t="s">
        <v>2517</v>
      </c>
      <c r="J4046" s="2" t="s">
        <v>8921</v>
      </c>
      <c r="K4046">
        <v>20</v>
      </c>
      <c r="L4046">
        <v>20</v>
      </c>
      <c r="M4046">
        <v>20</v>
      </c>
    </row>
    <row r="4047" spans="1:13" x14ac:dyDescent="0.25">
      <c r="A4047" t="s">
        <v>8922</v>
      </c>
      <c r="B4047" t="s">
        <v>8923</v>
      </c>
      <c r="C4047" t="s">
        <v>2493</v>
      </c>
      <c r="G4047" t="s">
        <v>16</v>
      </c>
      <c r="H4047">
        <v>0</v>
      </c>
      <c r="I4047" s="2" t="s">
        <v>707</v>
      </c>
      <c r="J4047" s="2" t="s">
        <v>8924</v>
      </c>
      <c r="K4047">
        <v>20</v>
      </c>
      <c r="L4047">
        <v>20</v>
      </c>
      <c r="M4047">
        <v>20</v>
      </c>
    </row>
    <row r="4048" spans="1:13" x14ac:dyDescent="0.25">
      <c r="A4048" t="s">
        <v>8925</v>
      </c>
      <c r="B4048" t="s">
        <v>8923</v>
      </c>
      <c r="C4048" t="s">
        <v>2493</v>
      </c>
      <c r="F4048">
        <v>1</v>
      </c>
      <c r="G4048" t="s">
        <v>16</v>
      </c>
      <c r="H4048">
        <v>0</v>
      </c>
      <c r="I4048" s="2" t="s">
        <v>108</v>
      </c>
      <c r="J4048" s="3">
        <v>2561206009</v>
      </c>
      <c r="K4048">
        <v>20</v>
      </c>
      <c r="L4048">
        <v>20</v>
      </c>
      <c r="M4048">
        <v>20</v>
      </c>
    </row>
    <row r="4049" spans="1:13" x14ac:dyDescent="0.25">
      <c r="A4049" t="s">
        <v>8926</v>
      </c>
      <c r="B4049" t="s">
        <v>8918</v>
      </c>
      <c r="C4049" t="s">
        <v>496</v>
      </c>
      <c r="D4049" t="s">
        <v>2360</v>
      </c>
      <c r="G4049" t="s">
        <v>16</v>
      </c>
      <c r="H4049">
        <v>0</v>
      </c>
      <c r="I4049" s="2" t="s">
        <v>5040</v>
      </c>
      <c r="J4049" s="2" t="s">
        <v>8927</v>
      </c>
      <c r="K4049">
        <v>20</v>
      </c>
      <c r="L4049">
        <v>20</v>
      </c>
      <c r="M4049">
        <v>20</v>
      </c>
    </row>
    <row r="4050" spans="1:13" x14ac:dyDescent="0.25">
      <c r="A4050" t="s">
        <v>8928</v>
      </c>
      <c r="B4050" t="s">
        <v>8918</v>
      </c>
      <c r="C4050" t="s">
        <v>496</v>
      </c>
      <c r="D4050" t="s">
        <v>2360</v>
      </c>
      <c r="F4050">
        <v>0</v>
      </c>
      <c r="G4050" t="s">
        <v>16</v>
      </c>
      <c r="H4050">
        <v>0</v>
      </c>
      <c r="I4050" s="2" t="s">
        <v>6147</v>
      </c>
      <c r="J4050" s="2" t="str">
        <f>"00899"</f>
        <v>00899</v>
      </c>
      <c r="K4050">
        <v>20</v>
      </c>
      <c r="L4050">
        <v>20</v>
      </c>
      <c r="M4050">
        <v>20</v>
      </c>
    </row>
    <row r="4051" spans="1:13" x14ac:dyDescent="0.25">
      <c r="A4051" t="s">
        <v>8929</v>
      </c>
      <c r="B4051" t="s">
        <v>8920</v>
      </c>
      <c r="C4051" t="s">
        <v>496</v>
      </c>
      <c r="D4051" t="s">
        <v>2360</v>
      </c>
      <c r="F4051">
        <v>2</v>
      </c>
      <c r="G4051" t="s">
        <v>16</v>
      </c>
      <c r="H4051">
        <v>0</v>
      </c>
      <c r="I4051" s="2" t="s">
        <v>266</v>
      </c>
      <c r="J4051" s="2" t="s">
        <v>8930</v>
      </c>
      <c r="K4051">
        <v>20</v>
      </c>
      <c r="L4051">
        <v>20</v>
      </c>
      <c r="M4051">
        <v>20</v>
      </c>
    </row>
    <row r="4052" spans="1:13" x14ac:dyDescent="0.25">
      <c r="A4052" t="s">
        <v>8931</v>
      </c>
      <c r="B4052" t="s">
        <v>8923</v>
      </c>
      <c r="C4052" t="s">
        <v>496</v>
      </c>
      <c r="F4052">
        <v>1</v>
      </c>
      <c r="G4052" t="s">
        <v>16</v>
      </c>
      <c r="H4052">
        <v>0</v>
      </c>
      <c r="I4052" s="2" t="s">
        <v>4214</v>
      </c>
      <c r="J4052" s="2" t="s">
        <v>8932</v>
      </c>
      <c r="K4052">
        <v>20</v>
      </c>
      <c r="L4052">
        <v>20</v>
      </c>
      <c r="M4052">
        <v>20</v>
      </c>
    </row>
    <row r="4053" spans="1:13" x14ac:dyDescent="0.25">
      <c r="A4053" t="s">
        <v>8933</v>
      </c>
      <c r="B4053" t="s">
        <v>8934</v>
      </c>
      <c r="C4053" t="s">
        <v>496</v>
      </c>
      <c r="F4053">
        <v>2</v>
      </c>
      <c r="G4053" t="s">
        <v>16</v>
      </c>
      <c r="H4053">
        <v>0</v>
      </c>
      <c r="I4053" s="2" t="s">
        <v>2533</v>
      </c>
      <c r="J4053" s="2" t="s">
        <v>8935</v>
      </c>
      <c r="K4053">
        <v>20</v>
      </c>
      <c r="L4053">
        <v>20</v>
      </c>
      <c r="M4053">
        <v>20</v>
      </c>
    </row>
    <row r="4054" spans="1:13" x14ac:dyDescent="0.25">
      <c r="A4054" t="s">
        <v>8936</v>
      </c>
      <c r="B4054" t="s">
        <v>8934</v>
      </c>
      <c r="C4054" t="s">
        <v>496</v>
      </c>
      <c r="D4054" t="s">
        <v>2360</v>
      </c>
      <c r="G4054" t="s">
        <v>16</v>
      </c>
      <c r="H4054">
        <v>0</v>
      </c>
      <c r="I4054" s="2" t="s">
        <v>707</v>
      </c>
      <c r="J4054" s="2" t="s">
        <v>8937</v>
      </c>
      <c r="K4054">
        <v>20</v>
      </c>
      <c r="L4054">
        <v>20</v>
      </c>
      <c r="M4054">
        <v>20</v>
      </c>
    </row>
    <row r="4055" spans="1:13" x14ac:dyDescent="0.25">
      <c r="A4055" t="s">
        <v>8938</v>
      </c>
      <c r="B4055" t="s">
        <v>8934</v>
      </c>
      <c r="C4055" t="s">
        <v>496</v>
      </c>
      <c r="G4055" t="s">
        <v>16</v>
      </c>
      <c r="H4055">
        <v>0</v>
      </c>
      <c r="I4055" s="2" t="s">
        <v>108</v>
      </c>
      <c r="J4055" s="3">
        <v>2571206003</v>
      </c>
      <c r="K4055">
        <v>20</v>
      </c>
      <c r="L4055">
        <v>20</v>
      </c>
      <c r="M4055">
        <v>20</v>
      </c>
    </row>
    <row r="4056" spans="1:13" x14ac:dyDescent="0.25">
      <c r="A4056" t="s">
        <v>8939</v>
      </c>
      <c r="B4056" t="s">
        <v>8940</v>
      </c>
      <c r="C4056" t="s">
        <v>496</v>
      </c>
      <c r="D4056" t="s">
        <v>2360</v>
      </c>
      <c r="F4056">
        <v>1</v>
      </c>
      <c r="G4056" t="s">
        <v>16</v>
      </c>
      <c r="H4056">
        <v>0</v>
      </c>
      <c r="I4056" s="2" t="s">
        <v>266</v>
      </c>
      <c r="J4056" s="2" t="s">
        <v>8941</v>
      </c>
      <c r="K4056">
        <v>20</v>
      </c>
      <c r="L4056">
        <v>20</v>
      </c>
      <c r="M4056">
        <v>20</v>
      </c>
    </row>
    <row r="4057" spans="1:13" x14ac:dyDescent="0.25">
      <c r="A4057" t="s">
        <v>8942</v>
      </c>
      <c r="B4057" t="s">
        <v>8940</v>
      </c>
      <c r="C4057" t="s">
        <v>496</v>
      </c>
      <c r="F4057">
        <v>2</v>
      </c>
      <c r="G4057" t="s">
        <v>16</v>
      </c>
      <c r="H4057">
        <v>0</v>
      </c>
      <c r="I4057" s="2" t="s">
        <v>5267</v>
      </c>
      <c r="J4057" s="2" t="s">
        <v>8943</v>
      </c>
      <c r="K4057">
        <v>20</v>
      </c>
      <c r="L4057">
        <v>20</v>
      </c>
      <c r="M4057">
        <v>20</v>
      </c>
    </row>
    <row r="4058" spans="1:13" x14ac:dyDescent="0.25">
      <c r="A4058" t="s">
        <v>8944</v>
      </c>
      <c r="B4058" t="s">
        <v>8945</v>
      </c>
      <c r="C4058" t="s">
        <v>496</v>
      </c>
      <c r="F4058">
        <v>2</v>
      </c>
      <c r="G4058" t="s">
        <v>16</v>
      </c>
      <c r="H4058">
        <v>0</v>
      </c>
      <c r="I4058" s="2" t="s">
        <v>2517</v>
      </c>
      <c r="J4058" s="2" t="s">
        <v>8946</v>
      </c>
      <c r="K4058">
        <v>20</v>
      </c>
      <c r="L4058">
        <v>20</v>
      </c>
      <c r="M4058">
        <v>20</v>
      </c>
    </row>
    <row r="4059" spans="1:13" x14ac:dyDescent="0.25">
      <c r="A4059" t="s">
        <v>8947</v>
      </c>
      <c r="B4059" t="s">
        <v>8945</v>
      </c>
      <c r="C4059" t="s">
        <v>496</v>
      </c>
      <c r="F4059">
        <v>0</v>
      </c>
      <c r="G4059" t="s">
        <v>16</v>
      </c>
      <c r="H4059">
        <v>0</v>
      </c>
      <c r="I4059" s="2" t="s">
        <v>8864</v>
      </c>
      <c r="J4059" s="2" t="str">
        <f>"04-70917"</f>
        <v>04-70917</v>
      </c>
      <c r="K4059">
        <v>20</v>
      </c>
      <c r="L4059">
        <v>20</v>
      </c>
      <c r="M4059">
        <v>20</v>
      </c>
    </row>
    <row r="4060" spans="1:13" x14ac:dyDescent="0.25">
      <c r="A4060" t="s">
        <v>8948</v>
      </c>
      <c r="B4060" t="s">
        <v>8949</v>
      </c>
      <c r="C4060" t="s">
        <v>496</v>
      </c>
      <c r="D4060" t="s">
        <v>2360</v>
      </c>
      <c r="F4060">
        <v>0</v>
      </c>
      <c r="G4060" t="s">
        <v>16</v>
      </c>
      <c r="H4060">
        <v>0</v>
      </c>
      <c r="I4060" s="2" t="s">
        <v>2517</v>
      </c>
      <c r="J4060" s="2" t="s">
        <v>8950</v>
      </c>
      <c r="K4060">
        <v>20</v>
      </c>
      <c r="L4060">
        <v>20</v>
      </c>
      <c r="M4060">
        <v>20</v>
      </c>
    </row>
    <row r="4061" spans="1:13" x14ac:dyDescent="0.25">
      <c r="A4061" t="s">
        <v>8951</v>
      </c>
      <c r="B4061" t="s">
        <v>8952</v>
      </c>
      <c r="C4061" t="s">
        <v>2493</v>
      </c>
      <c r="G4061" t="s">
        <v>16</v>
      </c>
      <c r="H4061">
        <v>0</v>
      </c>
      <c r="I4061" s="2" t="s">
        <v>2517</v>
      </c>
      <c r="J4061" s="2" t="s">
        <v>8953</v>
      </c>
      <c r="K4061">
        <v>20</v>
      </c>
      <c r="L4061">
        <v>20</v>
      </c>
      <c r="M4061">
        <v>20</v>
      </c>
    </row>
    <row r="4062" spans="1:13" x14ac:dyDescent="0.25">
      <c r="A4062" t="s">
        <v>8954</v>
      </c>
      <c r="B4062" t="s">
        <v>8952</v>
      </c>
      <c r="C4062" t="s">
        <v>496</v>
      </c>
      <c r="D4062" t="s">
        <v>2360</v>
      </c>
      <c r="F4062">
        <v>1</v>
      </c>
      <c r="G4062" t="s">
        <v>16</v>
      </c>
      <c r="H4062">
        <v>0</v>
      </c>
      <c r="I4062" s="2" t="s">
        <v>5040</v>
      </c>
      <c r="J4062" s="2" t="s">
        <v>8955</v>
      </c>
      <c r="K4062">
        <v>20</v>
      </c>
      <c r="L4062">
        <v>20</v>
      </c>
      <c r="M4062">
        <v>20</v>
      </c>
    </row>
    <row r="4063" spans="1:13" x14ac:dyDescent="0.25">
      <c r="A4063" t="s">
        <v>8956</v>
      </c>
      <c r="B4063" t="s">
        <v>8952</v>
      </c>
      <c r="C4063" t="s">
        <v>496</v>
      </c>
      <c r="D4063" t="s">
        <v>2360</v>
      </c>
      <c r="F4063">
        <v>0</v>
      </c>
      <c r="G4063" t="s">
        <v>16</v>
      </c>
      <c r="H4063">
        <v>0</v>
      </c>
      <c r="I4063" s="2" t="s">
        <v>4086</v>
      </c>
      <c r="J4063" s="2" t="str">
        <f>"02431"</f>
        <v>02431</v>
      </c>
      <c r="K4063">
        <v>20</v>
      </c>
      <c r="L4063">
        <v>20</v>
      </c>
      <c r="M4063">
        <v>20</v>
      </c>
    </row>
    <row r="4064" spans="1:13" x14ac:dyDescent="0.25">
      <c r="A4064" t="s">
        <v>8957</v>
      </c>
      <c r="B4064" t="s">
        <v>8958</v>
      </c>
      <c r="C4064" t="s">
        <v>496</v>
      </c>
      <c r="D4064" t="s">
        <v>2360</v>
      </c>
      <c r="F4064">
        <v>1</v>
      </c>
      <c r="G4064" t="s">
        <v>16</v>
      </c>
      <c r="H4064">
        <v>0</v>
      </c>
      <c r="I4064" s="2" t="s">
        <v>2517</v>
      </c>
      <c r="J4064" s="2" t="s">
        <v>8959</v>
      </c>
      <c r="K4064">
        <v>20</v>
      </c>
      <c r="L4064">
        <v>20</v>
      </c>
      <c r="M4064">
        <v>20</v>
      </c>
    </row>
    <row r="4065" spans="1:13" x14ac:dyDescent="0.25">
      <c r="A4065" t="s">
        <v>8960</v>
      </c>
      <c r="B4065" t="s">
        <v>8958</v>
      </c>
      <c r="C4065" t="s">
        <v>496</v>
      </c>
      <c r="F4065">
        <v>1</v>
      </c>
      <c r="G4065" t="s">
        <v>16</v>
      </c>
      <c r="H4065">
        <v>0</v>
      </c>
      <c r="I4065" s="2" t="s">
        <v>108</v>
      </c>
      <c r="J4065" s="3">
        <v>2551206006</v>
      </c>
      <c r="K4065">
        <v>20</v>
      </c>
      <c r="L4065">
        <v>20</v>
      </c>
      <c r="M4065">
        <v>20</v>
      </c>
    </row>
    <row r="4066" spans="1:13" x14ac:dyDescent="0.25">
      <c r="A4066" t="s">
        <v>8961</v>
      </c>
      <c r="B4066" t="s">
        <v>8958</v>
      </c>
      <c r="C4066" t="s">
        <v>496</v>
      </c>
      <c r="F4066">
        <v>1</v>
      </c>
      <c r="G4066" t="s">
        <v>16</v>
      </c>
      <c r="H4066">
        <v>0</v>
      </c>
      <c r="I4066" s="2" t="s">
        <v>5040</v>
      </c>
      <c r="J4066" s="2" t="s">
        <v>8962</v>
      </c>
      <c r="K4066">
        <v>20</v>
      </c>
      <c r="L4066">
        <v>20</v>
      </c>
      <c r="M4066">
        <v>20</v>
      </c>
    </row>
    <row r="4067" spans="1:13" x14ac:dyDescent="0.25">
      <c r="A4067" t="s">
        <v>8963</v>
      </c>
      <c r="B4067" t="s">
        <v>8964</v>
      </c>
      <c r="C4067" t="s">
        <v>496</v>
      </c>
      <c r="D4067" t="s">
        <v>2360</v>
      </c>
      <c r="F4067">
        <v>0</v>
      </c>
      <c r="G4067" t="s">
        <v>16</v>
      </c>
      <c r="H4067">
        <v>0</v>
      </c>
      <c r="I4067" s="2" t="s">
        <v>108</v>
      </c>
      <c r="J4067" s="3">
        <v>1681206001</v>
      </c>
      <c r="K4067">
        <v>20</v>
      </c>
      <c r="L4067">
        <v>20</v>
      </c>
      <c r="M4067">
        <v>20</v>
      </c>
    </row>
    <row r="4068" spans="1:13" x14ac:dyDescent="0.25">
      <c r="A4068" t="s">
        <v>8965</v>
      </c>
      <c r="B4068" t="s">
        <v>8966</v>
      </c>
      <c r="C4068" t="s">
        <v>2493</v>
      </c>
      <c r="G4068" t="s">
        <v>16</v>
      </c>
      <c r="H4068">
        <v>0</v>
      </c>
      <c r="I4068" s="2" t="s">
        <v>2533</v>
      </c>
      <c r="J4068" s="2" t="s">
        <v>8967</v>
      </c>
      <c r="K4068">
        <v>20</v>
      </c>
      <c r="L4068">
        <v>20</v>
      </c>
      <c r="M4068">
        <v>20</v>
      </c>
    </row>
    <row r="4069" spans="1:13" x14ac:dyDescent="0.25">
      <c r="A4069" t="s">
        <v>8968</v>
      </c>
      <c r="B4069" t="s">
        <v>8969</v>
      </c>
      <c r="C4069" t="s">
        <v>496</v>
      </c>
      <c r="F4069">
        <v>0</v>
      </c>
      <c r="G4069" t="s">
        <v>16</v>
      </c>
      <c r="H4069">
        <v>0</v>
      </c>
      <c r="I4069" s="2" t="s">
        <v>108</v>
      </c>
      <c r="J4069" s="3">
        <v>2581206002</v>
      </c>
      <c r="K4069">
        <v>20</v>
      </c>
      <c r="L4069">
        <v>20</v>
      </c>
      <c r="M4069">
        <v>20</v>
      </c>
    </row>
    <row r="4070" spans="1:13" x14ac:dyDescent="0.25">
      <c r="A4070" t="s">
        <v>8970</v>
      </c>
      <c r="B4070" t="s">
        <v>8971</v>
      </c>
      <c r="C4070" t="s">
        <v>496</v>
      </c>
      <c r="F4070">
        <v>1</v>
      </c>
      <c r="G4070" t="s">
        <v>16</v>
      </c>
      <c r="H4070">
        <v>0</v>
      </c>
      <c r="I4070" s="2" t="s">
        <v>2517</v>
      </c>
      <c r="J4070" s="2" t="s">
        <v>8972</v>
      </c>
      <c r="K4070">
        <v>20</v>
      </c>
      <c r="L4070">
        <v>20</v>
      </c>
      <c r="M4070">
        <v>20</v>
      </c>
    </row>
    <row r="4071" spans="1:13" x14ac:dyDescent="0.25">
      <c r="A4071" t="s">
        <v>8973</v>
      </c>
      <c r="B4071" t="s">
        <v>8971</v>
      </c>
      <c r="C4071" t="s">
        <v>496</v>
      </c>
      <c r="F4071">
        <v>0</v>
      </c>
      <c r="G4071" t="s">
        <v>16</v>
      </c>
      <c r="H4071">
        <v>0</v>
      </c>
      <c r="I4071" s="2" t="s">
        <v>8864</v>
      </c>
      <c r="J4071" s="2" t="str">
        <f>"07-70447"</f>
        <v>07-70447</v>
      </c>
      <c r="K4071">
        <v>20</v>
      </c>
      <c r="L4071">
        <v>20</v>
      </c>
      <c r="M4071">
        <v>20</v>
      </c>
    </row>
    <row r="4072" spans="1:13" x14ac:dyDescent="0.25">
      <c r="A4072" t="s">
        <v>8974</v>
      </c>
      <c r="B4072" t="s">
        <v>8975</v>
      </c>
      <c r="C4072" t="s">
        <v>496</v>
      </c>
      <c r="D4072" t="s">
        <v>2360</v>
      </c>
      <c r="F4072">
        <v>2</v>
      </c>
      <c r="G4072" t="s">
        <v>16</v>
      </c>
      <c r="H4072">
        <v>0</v>
      </c>
      <c r="I4072" s="2" t="s">
        <v>64</v>
      </c>
      <c r="J4072" s="2">
        <v>13050045</v>
      </c>
      <c r="K4072">
        <v>20</v>
      </c>
      <c r="L4072">
        <v>20</v>
      </c>
      <c r="M4072">
        <v>20</v>
      </c>
    </row>
    <row r="4073" spans="1:13" x14ac:dyDescent="0.25">
      <c r="A4073" t="s">
        <v>8976</v>
      </c>
      <c r="B4073" t="s">
        <v>8971</v>
      </c>
      <c r="C4073" t="s">
        <v>496</v>
      </c>
      <c r="D4073" t="s">
        <v>2360</v>
      </c>
      <c r="F4073">
        <v>0</v>
      </c>
      <c r="G4073" t="s">
        <v>16</v>
      </c>
      <c r="H4073">
        <v>0</v>
      </c>
      <c r="I4073" s="2" t="s">
        <v>4086</v>
      </c>
      <c r="J4073" s="2" t="str">
        <f>"00294"</f>
        <v>00294</v>
      </c>
      <c r="K4073">
        <v>20</v>
      </c>
      <c r="L4073">
        <v>20</v>
      </c>
      <c r="M4073">
        <v>20</v>
      </c>
    </row>
    <row r="4074" spans="1:13" x14ac:dyDescent="0.25">
      <c r="A4074" t="s">
        <v>8977</v>
      </c>
      <c r="B4074" t="s">
        <v>8971</v>
      </c>
      <c r="C4074" t="s">
        <v>496</v>
      </c>
      <c r="G4074" t="s">
        <v>16</v>
      </c>
      <c r="H4074">
        <v>0</v>
      </c>
      <c r="I4074" s="2" t="s">
        <v>5267</v>
      </c>
      <c r="J4074" s="2" t="s">
        <v>8978</v>
      </c>
      <c r="K4074">
        <v>20</v>
      </c>
      <c r="L4074">
        <v>20</v>
      </c>
      <c r="M4074">
        <v>20</v>
      </c>
    </row>
    <row r="4075" spans="1:13" x14ac:dyDescent="0.25">
      <c r="A4075" t="s">
        <v>8979</v>
      </c>
      <c r="B4075" t="s">
        <v>8826</v>
      </c>
      <c r="C4075" t="s">
        <v>496</v>
      </c>
      <c r="F4075">
        <v>1</v>
      </c>
      <c r="G4075" t="s">
        <v>16</v>
      </c>
      <c r="H4075">
        <v>0</v>
      </c>
      <c r="I4075" s="2" t="s">
        <v>2517</v>
      </c>
      <c r="J4075" s="2" t="s">
        <v>8980</v>
      </c>
      <c r="K4075">
        <v>20</v>
      </c>
      <c r="L4075">
        <v>20</v>
      </c>
      <c r="M4075">
        <v>20</v>
      </c>
    </row>
    <row r="4076" spans="1:13" x14ac:dyDescent="0.25">
      <c r="A4076" t="s">
        <v>8981</v>
      </c>
      <c r="B4076" t="s">
        <v>8826</v>
      </c>
      <c r="C4076" t="s">
        <v>496</v>
      </c>
      <c r="D4076" t="s">
        <v>2360</v>
      </c>
      <c r="F4076">
        <v>1</v>
      </c>
      <c r="G4076" t="s">
        <v>16</v>
      </c>
      <c r="H4076">
        <v>0</v>
      </c>
      <c r="I4076" s="2" t="s">
        <v>3421</v>
      </c>
      <c r="J4076" s="2" t="s">
        <v>8982</v>
      </c>
      <c r="K4076">
        <v>20</v>
      </c>
      <c r="L4076">
        <v>20</v>
      </c>
      <c r="M4076">
        <v>20</v>
      </c>
    </row>
    <row r="4077" spans="1:13" x14ac:dyDescent="0.25">
      <c r="A4077" t="s">
        <v>8983</v>
      </c>
      <c r="B4077" t="s">
        <v>8826</v>
      </c>
      <c r="C4077" t="s">
        <v>496</v>
      </c>
      <c r="D4077" t="s">
        <v>2360</v>
      </c>
      <c r="F4077">
        <v>1</v>
      </c>
      <c r="G4077" t="s">
        <v>16</v>
      </c>
      <c r="H4077">
        <v>0</v>
      </c>
      <c r="I4077" s="2" t="s">
        <v>6145</v>
      </c>
      <c r="J4077" s="2" t="str">
        <f>"04-70925"</f>
        <v>04-70925</v>
      </c>
      <c r="K4077">
        <v>20</v>
      </c>
      <c r="L4077">
        <v>20</v>
      </c>
      <c r="M4077">
        <v>20</v>
      </c>
    </row>
    <row r="4078" spans="1:13" x14ac:dyDescent="0.25">
      <c r="A4078" t="s">
        <v>8984</v>
      </c>
      <c r="B4078" t="s">
        <v>8826</v>
      </c>
      <c r="C4078" t="s">
        <v>2493</v>
      </c>
      <c r="G4078" t="s">
        <v>16</v>
      </c>
      <c r="H4078">
        <v>0</v>
      </c>
      <c r="I4078" s="2" t="s">
        <v>6147</v>
      </c>
      <c r="J4078" s="2" t="str">
        <f>"02770"</f>
        <v>02770</v>
      </c>
      <c r="K4078">
        <v>20</v>
      </c>
      <c r="L4078">
        <v>20</v>
      </c>
      <c r="M4078">
        <v>20</v>
      </c>
    </row>
    <row r="4079" spans="1:13" x14ac:dyDescent="0.25">
      <c r="A4079" t="s">
        <v>8985</v>
      </c>
      <c r="B4079" t="s">
        <v>8986</v>
      </c>
      <c r="C4079" t="s">
        <v>2493</v>
      </c>
      <c r="G4079" t="s">
        <v>16</v>
      </c>
      <c r="H4079">
        <v>0</v>
      </c>
      <c r="I4079" s="2" t="s">
        <v>4214</v>
      </c>
      <c r="J4079" s="2" t="s">
        <v>8987</v>
      </c>
      <c r="K4079">
        <v>20</v>
      </c>
      <c r="L4079">
        <v>20</v>
      </c>
      <c r="M4079">
        <v>20</v>
      </c>
    </row>
    <row r="4080" spans="1:13" x14ac:dyDescent="0.25">
      <c r="A4080" t="s">
        <v>8988</v>
      </c>
      <c r="B4080" t="s">
        <v>8826</v>
      </c>
      <c r="C4080" t="s">
        <v>2493</v>
      </c>
      <c r="G4080" t="s">
        <v>16</v>
      </c>
      <c r="H4080">
        <v>0</v>
      </c>
      <c r="I4080" s="2" t="s">
        <v>5044</v>
      </c>
      <c r="J4080" s="2" t="s">
        <v>8989</v>
      </c>
      <c r="K4080">
        <v>20</v>
      </c>
      <c r="L4080">
        <v>20</v>
      </c>
      <c r="M4080">
        <v>20</v>
      </c>
    </row>
    <row r="4081" spans="1:13" x14ac:dyDescent="0.25">
      <c r="A4081" t="s">
        <v>8990</v>
      </c>
      <c r="B4081" t="s">
        <v>2526</v>
      </c>
      <c r="C4081" t="s">
        <v>496</v>
      </c>
      <c r="D4081" t="s">
        <v>2360</v>
      </c>
      <c r="G4081" t="s">
        <v>16</v>
      </c>
      <c r="H4081">
        <v>0</v>
      </c>
      <c r="I4081" s="2" t="s">
        <v>108</v>
      </c>
      <c r="J4081" s="3">
        <v>3801206002</v>
      </c>
      <c r="K4081">
        <v>20</v>
      </c>
      <c r="L4081">
        <v>20</v>
      </c>
      <c r="M4081">
        <v>20</v>
      </c>
    </row>
    <row r="4082" spans="1:13" x14ac:dyDescent="0.25">
      <c r="A4082" t="s">
        <v>8991</v>
      </c>
      <c r="B4082" t="s">
        <v>8993</v>
      </c>
      <c r="C4082" t="s">
        <v>496</v>
      </c>
      <c r="D4082" t="s">
        <v>2360</v>
      </c>
      <c r="G4082" t="s">
        <v>16</v>
      </c>
      <c r="H4082">
        <v>0</v>
      </c>
      <c r="I4082" s="2" t="s">
        <v>288</v>
      </c>
      <c r="J4082" s="2" t="s">
        <v>8992</v>
      </c>
      <c r="K4082">
        <v>20</v>
      </c>
      <c r="L4082">
        <v>20</v>
      </c>
      <c r="M4082">
        <v>20</v>
      </c>
    </row>
    <row r="4083" spans="1:13" x14ac:dyDescent="0.25">
      <c r="A4083" t="s">
        <v>8994</v>
      </c>
      <c r="B4083" t="s">
        <v>8993</v>
      </c>
      <c r="C4083" t="s">
        <v>496</v>
      </c>
      <c r="D4083" t="s">
        <v>2360</v>
      </c>
      <c r="F4083">
        <v>1</v>
      </c>
      <c r="G4083" t="s">
        <v>16</v>
      </c>
      <c r="H4083">
        <v>0</v>
      </c>
      <c r="I4083" s="2" t="s">
        <v>2517</v>
      </c>
      <c r="J4083" s="2" t="s">
        <v>8995</v>
      </c>
      <c r="K4083">
        <v>20</v>
      </c>
      <c r="L4083">
        <v>20</v>
      </c>
      <c r="M4083">
        <v>20</v>
      </c>
    </row>
    <row r="4084" spans="1:13" x14ac:dyDescent="0.25">
      <c r="A4084" t="s">
        <v>8996</v>
      </c>
      <c r="B4084" t="s">
        <v>8993</v>
      </c>
      <c r="C4084" t="s">
        <v>496</v>
      </c>
      <c r="D4084" t="s">
        <v>2360</v>
      </c>
      <c r="G4084" t="s">
        <v>16</v>
      </c>
      <c r="H4084">
        <v>0</v>
      </c>
      <c r="I4084" s="2" t="s">
        <v>707</v>
      </c>
      <c r="J4084" s="2" t="s">
        <v>8997</v>
      </c>
      <c r="K4084">
        <v>20</v>
      </c>
      <c r="L4084">
        <v>20</v>
      </c>
      <c r="M4084">
        <v>20</v>
      </c>
    </row>
    <row r="4085" spans="1:13" x14ac:dyDescent="0.25">
      <c r="A4085" t="s">
        <v>8998</v>
      </c>
      <c r="B4085" t="s">
        <v>8993</v>
      </c>
      <c r="C4085" t="s">
        <v>2493</v>
      </c>
      <c r="G4085" t="s">
        <v>16</v>
      </c>
      <c r="H4085">
        <v>0</v>
      </c>
      <c r="I4085" s="2" t="s">
        <v>4086</v>
      </c>
      <c r="J4085" s="2" t="str">
        <f>"00796"</f>
        <v>00796</v>
      </c>
      <c r="K4085">
        <v>20</v>
      </c>
      <c r="L4085">
        <v>20</v>
      </c>
      <c r="M4085">
        <v>20</v>
      </c>
    </row>
    <row r="4086" spans="1:13" x14ac:dyDescent="0.25">
      <c r="A4086" t="s">
        <v>8999</v>
      </c>
      <c r="B4086" t="s">
        <v>8993</v>
      </c>
      <c r="C4086" t="s">
        <v>496</v>
      </c>
      <c r="D4086" t="s">
        <v>2360</v>
      </c>
      <c r="F4086">
        <v>1</v>
      </c>
      <c r="G4086" t="s">
        <v>16</v>
      </c>
      <c r="H4086">
        <v>0</v>
      </c>
      <c r="I4086" s="2" t="s">
        <v>4214</v>
      </c>
      <c r="J4086" s="2" t="s">
        <v>9000</v>
      </c>
      <c r="K4086">
        <v>20</v>
      </c>
      <c r="L4086">
        <v>20</v>
      </c>
      <c r="M4086">
        <v>20</v>
      </c>
    </row>
    <row r="4087" spans="1:13" x14ac:dyDescent="0.25">
      <c r="A4087" t="s">
        <v>9001</v>
      </c>
      <c r="B4087" t="s">
        <v>9003</v>
      </c>
      <c r="C4087" t="s">
        <v>496</v>
      </c>
      <c r="F4087">
        <v>1</v>
      </c>
      <c r="G4087" t="s">
        <v>16</v>
      </c>
      <c r="H4087">
        <v>0</v>
      </c>
      <c r="I4087" s="2" t="s">
        <v>288</v>
      </c>
      <c r="J4087" s="2" t="s">
        <v>9002</v>
      </c>
      <c r="K4087">
        <v>20</v>
      </c>
      <c r="L4087">
        <v>20</v>
      </c>
      <c r="M4087">
        <v>20</v>
      </c>
    </row>
    <row r="4088" spans="1:13" x14ac:dyDescent="0.25">
      <c r="A4088" t="s">
        <v>9004</v>
      </c>
      <c r="B4088" t="s">
        <v>9003</v>
      </c>
      <c r="C4088" t="s">
        <v>496</v>
      </c>
      <c r="F4088">
        <v>1</v>
      </c>
      <c r="G4088" t="s">
        <v>16</v>
      </c>
      <c r="H4088">
        <v>0</v>
      </c>
      <c r="I4088" s="2" t="s">
        <v>2517</v>
      </c>
      <c r="J4088" s="2" t="s">
        <v>9005</v>
      </c>
      <c r="K4088">
        <v>20</v>
      </c>
      <c r="L4088">
        <v>20</v>
      </c>
      <c r="M4088">
        <v>20</v>
      </c>
    </row>
    <row r="4089" spans="1:13" x14ac:dyDescent="0.25">
      <c r="A4089" t="s">
        <v>9006</v>
      </c>
      <c r="B4089" t="s">
        <v>9003</v>
      </c>
      <c r="C4089" t="s">
        <v>496</v>
      </c>
      <c r="D4089" t="s">
        <v>2360</v>
      </c>
      <c r="G4089" t="s">
        <v>16</v>
      </c>
      <c r="H4089">
        <v>0</v>
      </c>
      <c r="I4089" s="2" t="s">
        <v>941</v>
      </c>
      <c r="J4089" s="2" t="s">
        <v>9007</v>
      </c>
      <c r="K4089">
        <v>20</v>
      </c>
      <c r="L4089">
        <v>20</v>
      </c>
      <c r="M4089">
        <v>20</v>
      </c>
    </row>
    <row r="4090" spans="1:13" x14ac:dyDescent="0.25">
      <c r="A4090" t="s">
        <v>9008</v>
      </c>
      <c r="B4090" t="s">
        <v>9003</v>
      </c>
      <c r="C4090" t="s">
        <v>496</v>
      </c>
      <c r="D4090" t="s">
        <v>2360</v>
      </c>
      <c r="G4090" t="s">
        <v>16</v>
      </c>
      <c r="H4090">
        <v>0</v>
      </c>
      <c r="I4090" s="2" t="s">
        <v>4086</v>
      </c>
      <c r="J4090" s="2" t="str">
        <f>"00795"</f>
        <v>00795</v>
      </c>
      <c r="K4090">
        <v>20</v>
      </c>
      <c r="L4090">
        <v>20</v>
      </c>
      <c r="M4090">
        <v>20</v>
      </c>
    </row>
    <row r="4091" spans="1:13" x14ac:dyDescent="0.25">
      <c r="A4091" t="s">
        <v>9009</v>
      </c>
      <c r="B4091" t="s">
        <v>9010</v>
      </c>
      <c r="C4091" t="s">
        <v>2493</v>
      </c>
      <c r="G4091" t="s">
        <v>16</v>
      </c>
      <c r="H4091">
        <v>0</v>
      </c>
      <c r="I4091" s="2" t="b">
        <v>1</v>
      </c>
      <c r="J4091" s="2" t="s">
        <v>9011</v>
      </c>
      <c r="K4091">
        <v>20</v>
      </c>
      <c r="L4091">
        <v>20</v>
      </c>
      <c r="M4091">
        <v>20</v>
      </c>
    </row>
    <row r="4092" spans="1:13" x14ac:dyDescent="0.25">
      <c r="A4092" t="s">
        <v>9012</v>
      </c>
      <c r="B4092" t="s">
        <v>9013</v>
      </c>
      <c r="C4092" t="s">
        <v>496</v>
      </c>
      <c r="D4092" t="s">
        <v>2360</v>
      </c>
      <c r="G4092" t="s">
        <v>16</v>
      </c>
      <c r="H4092">
        <v>0</v>
      </c>
      <c r="I4092" s="2" t="s">
        <v>288</v>
      </c>
      <c r="J4092" s="2" t="s">
        <v>9014</v>
      </c>
      <c r="K4092">
        <v>20</v>
      </c>
      <c r="L4092">
        <v>20</v>
      </c>
      <c r="M4092">
        <v>20</v>
      </c>
    </row>
    <row r="4093" spans="1:13" x14ac:dyDescent="0.25">
      <c r="A4093" t="s">
        <v>9015</v>
      </c>
      <c r="B4093" t="s">
        <v>9017</v>
      </c>
      <c r="C4093" t="s">
        <v>496</v>
      </c>
      <c r="D4093" t="s">
        <v>2360</v>
      </c>
      <c r="F4093">
        <v>2</v>
      </c>
      <c r="G4093" t="s">
        <v>16</v>
      </c>
      <c r="H4093">
        <v>0</v>
      </c>
      <c r="I4093" s="2" t="s">
        <v>288</v>
      </c>
      <c r="J4093" s="2" t="s">
        <v>9016</v>
      </c>
      <c r="K4093">
        <v>20</v>
      </c>
      <c r="L4093">
        <v>20</v>
      </c>
      <c r="M4093">
        <v>20</v>
      </c>
    </row>
    <row r="4094" spans="1:13" x14ac:dyDescent="0.25">
      <c r="A4094" t="s">
        <v>9018</v>
      </c>
      <c r="B4094" t="s">
        <v>9017</v>
      </c>
      <c r="C4094" t="s">
        <v>496</v>
      </c>
      <c r="D4094" t="s">
        <v>2360</v>
      </c>
      <c r="F4094">
        <v>1</v>
      </c>
      <c r="G4094" t="s">
        <v>16</v>
      </c>
      <c r="H4094">
        <v>0</v>
      </c>
      <c r="I4094" s="2" t="s">
        <v>2517</v>
      </c>
      <c r="J4094" s="2" t="s">
        <v>9019</v>
      </c>
      <c r="K4094">
        <v>20</v>
      </c>
      <c r="L4094">
        <v>20</v>
      </c>
      <c r="M4094">
        <v>20</v>
      </c>
    </row>
    <row r="4095" spans="1:13" x14ac:dyDescent="0.25">
      <c r="A4095" t="s">
        <v>9020</v>
      </c>
      <c r="B4095" t="s">
        <v>9022</v>
      </c>
      <c r="C4095" t="s">
        <v>496</v>
      </c>
      <c r="D4095" t="s">
        <v>2360</v>
      </c>
      <c r="F4095">
        <v>1</v>
      </c>
      <c r="G4095" t="s">
        <v>16</v>
      </c>
      <c r="H4095">
        <v>0</v>
      </c>
      <c r="I4095" s="2" t="s">
        <v>288</v>
      </c>
      <c r="J4095" s="2" t="s">
        <v>9021</v>
      </c>
      <c r="K4095">
        <v>20</v>
      </c>
      <c r="L4095">
        <v>20</v>
      </c>
      <c r="M4095">
        <v>20</v>
      </c>
    </row>
    <row r="4096" spans="1:13" x14ac:dyDescent="0.25">
      <c r="A4096" t="s">
        <v>9023</v>
      </c>
      <c r="B4096" t="s">
        <v>9025</v>
      </c>
      <c r="C4096" t="s">
        <v>496</v>
      </c>
      <c r="D4096" t="s">
        <v>2360</v>
      </c>
      <c r="F4096">
        <v>1</v>
      </c>
      <c r="G4096" t="s">
        <v>16</v>
      </c>
      <c r="H4096">
        <v>0</v>
      </c>
      <c r="I4096" s="2" t="s">
        <v>288</v>
      </c>
      <c r="J4096" s="2" t="s">
        <v>9024</v>
      </c>
      <c r="K4096">
        <v>20</v>
      </c>
      <c r="L4096">
        <v>20</v>
      </c>
      <c r="M4096">
        <v>20</v>
      </c>
    </row>
    <row r="4097" spans="1:13" x14ac:dyDescent="0.25">
      <c r="A4097" t="s">
        <v>9026</v>
      </c>
      <c r="B4097" t="s">
        <v>9025</v>
      </c>
      <c r="C4097" t="s">
        <v>496</v>
      </c>
      <c r="D4097" t="s">
        <v>2360</v>
      </c>
      <c r="F4097">
        <v>2</v>
      </c>
      <c r="G4097" t="s">
        <v>16</v>
      </c>
      <c r="H4097">
        <v>0</v>
      </c>
      <c r="I4097" s="2" t="s">
        <v>2517</v>
      </c>
      <c r="J4097" s="2" t="s">
        <v>9027</v>
      </c>
      <c r="K4097">
        <v>20</v>
      </c>
      <c r="L4097">
        <v>20</v>
      </c>
      <c r="M4097">
        <v>20</v>
      </c>
    </row>
    <row r="4098" spans="1:13" x14ac:dyDescent="0.25">
      <c r="A4098" t="s">
        <v>9028</v>
      </c>
      <c r="B4098" t="s">
        <v>9029</v>
      </c>
      <c r="C4098" t="s">
        <v>496</v>
      </c>
      <c r="G4098" t="s">
        <v>16</v>
      </c>
      <c r="H4098">
        <v>0</v>
      </c>
      <c r="I4098" s="2" t="s">
        <v>2533</v>
      </c>
      <c r="J4098" s="2" t="s">
        <v>9030</v>
      </c>
      <c r="K4098">
        <v>20</v>
      </c>
      <c r="L4098">
        <v>20</v>
      </c>
      <c r="M4098">
        <v>20</v>
      </c>
    </row>
    <row r="4099" spans="1:13" x14ac:dyDescent="0.25">
      <c r="A4099" t="s">
        <v>9031</v>
      </c>
      <c r="B4099" t="s">
        <v>9029</v>
      </c>
      <c r="C4099" t="s">
        <v>496</v>
      </c>
      <c r="F4099">
        <v>3</v>
      </c>
      <c r="G4099" t="s">
        <v>16</v>
      </c>
      <c r="H4099">
        <v>0</v>
      </c>
      <c r="I4099" s="2" t="s">
        <v>707</v>
      </c>
      <c r="J4099" s="2" t="s">
        <v>9032</v>
      </c>
      <c r="K4099">
        <v>20</v>
      </c>
      <c r="L4099">
        <v>20</v>
      </c>
      <c r="M4099">
        <v>20</v>
      </c>
    </row>
    <row r="4100" spans="1:13" x14ac:dyDescent="0.25">
      <c r="A4100" t="s">
        <v>9033</v>
      </c>
      <c r="B4100" t="s">
        <v>9029</v>
      </c>
      <c r="C4100" t="s">
        <v>2493</v>
      </c>
      <c r="G4100" t="s">
        <v>16</v>
      </c>
      <c r="H4100">
        <v>0</v>
      </c>
      <c r="I4100" s="2" t="s">
        <v>5040</v>
      </c>
      <c r="J4100" s="2" t="s">
        <v>9034</v>
      </c>
      <c r="K4100">
        <v>20</v>
      </c>
      <c r="L4100">
        <v>20</v>
      </c>
      <c r="M4100">
        <v>20</v>
      </c>
    </row>
    <row r="4101" spans="1:13" x14ac:dyDescent="0.25">
      <c r="A4101" t="s">
        <v>9035</v>
      </c>
      <c r="B4101" t="s">
        <v>9029</v>
      </c>
      <c r="C4101" t="s">
        <v>496</v>
      </c>
      <c r="D4101" t="s">
        <v>2360</v>
      </c>
      <c r="F4101">
        <v>2</v>
      </c>
      <c r="G4101" t="s">
        <v>16</v>
      </c>
      <c r="H4101">
        <v>0</v>
      </c>
      <c r="I4101" s="2" t="s">
        <v>64</v>
      </c>
      <c r="J4101" s="2">
        <v>13010077</v>
      </c>
      <c r="K4101">
        <v>20</v>
      </c>
      <c r="L4101">
        <v>20</v>
      </c>
      <c r="M4101">
        <v>20</v>
      </c>
    </row>
    <row r="4102" spans="1:13" x14ac:dyDescent="0.25">
      <c r="A4102" t="s">
        <v>9036</v>
      </c>
      <c r="B4102" t="s">
        <v>9037</v>
      </c>
      <c r="C4102" t="s">
        <v>496</v>
      </c>
      <c r="D4102" t="s">
        <v>2360</v>
      </c>
      <c r="F4102">
        <v>4</v>
      </c>
      <c r="G4102" t="s">
        <v>16</v>
      </c>
      <c r="H4102">
        <v>0</v>
      </c>
      <c r="I4102" s="2" t="s">
        <v>737</v>
      </c>
      <c r="J4102" s="2" t="s">
        <v>9038</v>
      </c>
      <c r="K4102">
        <v>20</v>
      </c>
      <c r="L4102">
        <v>20</v>
      </c>
      <c r="M4102">
        <v>20</v>
      </c>
    </row>
    <row r="4103" spans="1:13" x14ac:dyDescent="0.25">
      <c r="A4103" t="s">
        <v>9039</v>
      </c>
      <c r="B4103" t="s">
        <v>9040</v>
      </c>
      <c r="C4103" t="s">
        <v>2493</v>
      </c>
      <c r="G4103" t="s">
        <v>16</v>
      </c>
      <c r="H4103">
        <v>0</v>
      </c>
      <c r="I4103" s="2" t="s">
        <v>5085</v>
      </c>
      <c r="J4103" s="2" t="s">
        <v>9041</v>
      </c>
      <c r="K4103">
        <v>20</v>
      </c>
      <c r="L4103">
        <v>20</v>
      </c>
      <c r="M4103">
        <v>20</v>
      </c>
    </row>
    <row r="4104" spans="1:13" x14ac:dyDescent="0.25">
      <c r="A4104" t="s">
        <v>9042</v>
      </c>
      <c r="B4104" t="s">
        <v>9040</v>
      </c>
      <c r="C4104" t="s">
        <v>2493</v>
      </c>
      <c r="G4104" t="s">
        <v>16</v>
      </c>
      <c r="H4104">
        <v>0</v>
      </c>
      <c r="I4104" s="2" t="s">
        <v>737</v>
      </c>
      <c r="J4104" s="2" t="s">
        <v>9043</v>
      </c>
      <c r="K4104">
        <v>20</v>
      </c>
      <c r="L4104">
        <v>20</v>
      </c>
      <c r="M4104">
        <v>20</v>
      </c>
    </row>
    <row r="4105" spans="1:13" x14ac:dyDescent="0.25">
      <c r="A4105" t="s">
        <v>9044</v>
      </c>
      <c r="B4105" t="s">
        <v>9045</v>
      </c>
      <c r="C4105" t="s">
        <v>2493</v>
      </c>
      <c r="G4105" t="s">
        <v>16</v>
      </c>
      <c r="H4105">
        <v>0</v>
      </c>
      <c r="I4105" s="2" t="s">
        <v>737</v>
      </c>
      <c r="J4105" s="2" t="s">
        <v>9046</v>
      </c>
      <c r="K4105">
        <v>20</v>
      </c>
      <c r="L4105">
        <v>20</v>
      </c>
      <c r="M4105">
        <v>20</v>
      </c>
    </row>
    <row r="4106" spans="1:13" x14ac:dyDescent="0.25">
      <c r="A4106" t="s">
        <v>9047</v>
      </c>
      <c r="B4106" t="s">
        <v>9048</v>
      </c>
      <c r="C4106" t="s">
        <v>2493</v>
      </c>
      <c r="G4106" t="s">
        <v>16</v>
      </c>
      <c r="H4106">
        <v>0</v>
      </c>
      <c r="I4106" s="2" t="s">
        <v>737</v>
      </c>
      <c r="J4106" s="2" t="s">
        <v>9049</v>
      </c>
      <c r="K4106">
        <v>20</v>
      </c>
      <c r="L4106">
        <v>20</v>
      </c>
      <c r="M4106">
        <v>20</v>
      </c>
    </row>
    <row r="4107" spans="1:13" x14ac:dyDescent="0.25">
      <c r="A4107" t="s">
        <v>9050</v>
      </c>
      <c r="B4107" t="s">
        <v>9051</v>
      </c>
      <c r="C4107" t="s">
        <v>496</v>
      </c>
      <c r="F4107">
        <v>2</v>
      </c>
      <c r="G4107" t="s">
        <v>16</v>
      </c>
      <c r="H4107">
        <v>0</v>
      </c>
      <c r="I4107" s="2" t="s">
        <v>5044</v>
      </c>
      <c r="J4107" s="2" t="s">
        <v>9052</v>
      </c>
      <c r="K4107">
        <v>20</v>
      </c>
      <c r="L4107">
        <v>20</v>
      </c>
      <c r="M4107">
        <v>20</v>
      </c>
    </row>
    <row r="4108" spans="1:13" x14ac:dyDescent="0.25">
      <c r="A4108" t="s">
        <v>9053</v>
      </c>
      <c r="B4108" t="s">
        <v>9054</v>
      </c>
      <c r="C4108" t="s">
        <v>496</v>
      </c>
      <c r="D4108" t="s">
        <v>2360</v>
      </c>
      <c r="G4108" t="s">
        <v>16</v>
      </c>
      <c r="H4108">
        <v>0</v>
      </c>
      <c r="I4108" s="2" t="s">
        <v>9055</v>
      </c>
      <c r="J4108" s="2">
        <v>2104005</v>
      </c>
      <c r="K4108">
        <v>20</v>
      </c>
      <c r="L4108">
        <v>20</v>
      </c>
      <c r="M4108">
        <v>20</v>
      </c>
    </row>
    <row r="4109" spans="1:13" x14ac:dyDescent="0.25">
      <c r="A4109" t="s">
        <v>9056</v>
      </c>
      <c r="B4109" t="s">
        <v>9057</v>
      </c>
      <c r="C4109" t="s">
        <v>496</v>
      </c>
      <c r="F4109">
        <v>1</v>
      </c>
      <c r="G4109" t="s">
        <v>16</v>
      </c>
      <c r="H4109">
        <v>0</v>
      </c>
      <c r="I4109" s="2" t="s">
        <v>4214</v>
      </c>
      <c r="J4109" s="2" t="s">
        <v>9058</v>
      </c>
      <c r="K4109">
        <v>20</v>
      </c>
      <c r="L4109">
        <v>20</v>
      </c>
      <c r="M4109">
        <v>20</v>
      </c>
    </row>
    <row r="4110" spans="1:13" x14ac:dyDescent="0.25">
      <c r="A4110" t="s">
        <v>9059</v>
      </c>
      <c r="B4110" t="s">
        <v>9060</v>
      </c>
      <c r="C4110" t="s">
        <v>496</v>
      </c>
      <c r="F4110">
        <v>2</v>
      </c>
      <c r="G4110" t="s">
        <v>16</v>
      </c>
      <c r="H4110">
        <v>0</v>
      </c>
      <c r="I4110" s="2" t="s">
        <v>2533</v>
      </c>
      <c r="J4110" s="2" t="s">
        <v>9061</v>
      </c>
      <c r="K4110">
        <v>20</v>
      </c>
      <c r="L4110">
        <v>20</v>
      </c>
      <c r="M4110">
        <v>20</v>
      </c>
    </row>
    <row r="4111" spans="1:13" x14ac:dyDescent="0.25">
      <c r="A4111" t="s">
        <v>9062</v>
      </c>
      <c r="B4111" t="s">
        <v>9060</v>
      </c>
      <c r="C4111" t="s">
        <v>496</v>
      </c>
      <c r="F4111">
        <v>2</v>
      </c>
      <c r="G4111" t="s">
        <v>16</v>
      </c>
      <c r="H4111">
        <v>0</v>
      </c>
      <c r="I4111" s="2" t="s">
        <v>108</v>
      </c>
      <c r="J4111" s="3">
        <v>2691201009</v>
      </c>
      <c r="K4111">
        <v>20</v>
      </c>
      <c r="L4111">
        <v>20</v>
      </c>
      <c r="M4111">
        <v>20</v>
      </c>
    </row>
    <row r="4112" spans="1:13" x14ac:dyDescent="0.25">
      <c r="A4112" t="s">
        <v>9063</v>
      </c>
      <c r="B4112" t="s">
        <v>9064</v>
      </c>
      <c r="C4112" t="s">
        <v>496</v>
      </c>
      <c r="F4112">
        <v>0</v>
      </c>
      <c r="G4112" t="s">
        <v>16</v>
      </c>
      <c r="H4112">
        <v>0</v>
      </c>
      <c r="I4112" s="2" t="s">
        <v>2533</v>
      </c>
      <c r="J4112" s="2" t="s">
        <v>9065</v>
      </c>
      <c r="K4112">
        <v>20</v>
      </c>
      <c r="L4112">
        <v>20</v>
      </c>
      <c r="M4112">
        <v>20</v>
      </c>
    </row>
    <row r="4113" spans="1:13" x14ac:dyDescent="0.25">
      <c r="A4113" t="s">
        <v>9066</v>
      </c>
      <c r="B4113" t="s">
        <v>9064</v>
      </c>
      <c r="C4113" t="s">
        <v>496</v>
      </c>
      <c r="D4113" t="s">
        <v>2360</v>
      </c>
      <c r="F4113">
        <v>2</v>
      </c>
      <c r="G4113" t="s">
        <v>16</v>
      </c>
      <c r="H4113">
        <v>0</v>
      </c>
      <c r="I4113" s="2" t="s">
        <v>108</v>
      </c>
      <c r="J4113" s="3">
        <v>2571201002</v>
      </c>
      <c r="K4113">
        <v>20</v>
      </c>
      <c r="L4113">
        <v>20</v>
      </c>
      <c r="M4113">
        <v>20</v>
      </c>
    </row>
    <row r="4114" spans="1:13" x14ac:dyDescent="0.25">
      <c r="A4114" t="s">
        <v>9067</v>
      </c>
      <c r="B4114" t="s">
        <v>9064</v>
      </c>
      <c r="C4114" t="s">
        <v>2493</v>
      </c>
      <c r="G4114" t="s">
        <v>16</v>
      </c>
      <c r="H4114">
        <v>0</v>
      </c>
      <c r="I4114" s="2" t="s">
        <v>8700</v>
      </c>
      <c r="J4114" s="2" t="s">
        <v>9068</v>
      </c>
      <c r="K4114">
        <v>20</v>
      </c>
      <c r="L4114">
        <v>20</v>
      </c>
      <c r="M4114">
        <v>20</v>
      </c>
    </row>
    <row r="4115" spans="1:13" x14ac:dyDescent="0.25">
      <c r="A4115" t="s">
        <v>9069</v>
      </c>
      <c r="B4115" t="s">
        <v>9064</v>
      </c>
      <c r="C4115" t="s">
        <v>2493</v>
      </c>
      <c r="G4115" t="s">
        <v>16</v>
      </c>
      <c r="H4115">
        <v>0</v>
      </c>
      <c r="I4115" s="2" t="s">
        <v>5040</v>
      </c>
      <c r="J4115" s="2" t="s">
        <v>9070</v>
      </c>
      <c r="K4115">
        <v>20</v>
      </c>
      <c r="L4115">
        <v>20</v>
      </c>
      <c r="M4115">
        <v>20</v>
      </c>
    </row>
    <row r="4116" spans="1:13" x14ac:dyDescent="0.25">
      <c r="A4116" t="s">
        <v>9071</v>
      </c>
      <c r="B4116" t="s">
        <v>9064</v>
      </c>
      <c r="C4116" t="s">
        <v>496</v>
      </c>
      <c r="G4116" t="s">
        <v>16</v>
      </c>
      <c r="H4116">
        <v>0</v>
      </c>
      <c r="I4116" s="2" t="s">
        <v>64</v>
      </c>
      <c r="J4116" s="2">
        <v>13010080</v>
      </c>
      <c r="K4116">
        <v>20</v>
      </c>
      <c r="L4116">
        <v>20</v>
      </c>
      <c r="M4116">
        <v>20</v>
      </c>
    </row>
    <row r="4117" spans="1:13" x14ac:dyDescent="0.25">
      <c r="A4117" t="s">
        <v>9072</v>
      </c>
      <c r="B4117" t="s">
        <v>9064</v>
      </c>
      <c r="C4117" t="s">
        <v>496</v>
      </c>
      <c r="D4117" t="s">
        <v>2360</v>
      </c>
      <c r="F4117">
        <v>2</v>
      </c>
      <c r="G4117" t="s">
        <v>16</v>
      </c>
      <c r="H4117">
        <v>0</v>
      </c>
      <c r="I4117" s="2" t="s">
        <v>5180</v>
      </c>
      <c r="J4117" s="2" t="s">
        <v>9073</v>
      </c>
      <c r="K4117">
        <v>20</v>
      </c>
      <c r="L4117">
        <v>20</v>
      </c>
      <c r="M4117">
        <v>20</v>
      </c>
    </row>
    <row r="4118" spans="1:13" x14ac:dyDescent="0.25">
      <c r="A4118" t="s">
        <v>9074</v>
      </c>
      <c r="B4118" t="s">
        <v>9064</v>
      </c>
      <c r="C4118" t="s">
        <v>2493</v>
      </c>
      <c r="G4118" t="s">
        <v>16</v>
      </c>
      <c r="H4118">
        <v>0</v>
      </c>
      <c r="I4118" s="2" t="s">
        <v>5044</v>
      </c>
      <c r="J4118" s="2" t="s">
        <v>9075</v>
      </c>
      <c r="K4118">
        <v>20</v>
      </c>
      <c r="L4118">
        <v>20</v>
      </c>
      <c r="M4118">
        <v>20</v>
      </c>
    </row>
    <row r="4119" spans="1:13" x14ac:dyDescent="0.25">
      <c r="A4119" t="s">
        <v>9076</v>
      </c>
      <c r="B4119" t="s">
        <v>9077</v>
      </c>
      <c r="C4119" t="s">
        <v>496</v>
      </c>
      <c r="G4119" t="s">
        <v>16</v>
      </c>
      <c r="H4119">
        <v>0</v>
      </c>
      <c r="I4119" s="2" t="s">
        <v>2533</v>
      </c>
      <c r="J4119" s="2" t="s">
        <v>9078</v>
      </c>
      <c r="K4119">
        <v>20</v>
      </c>
      <c r="L4119">
        <v>20</v>
      </c>
      <c r="M4119">
        <v>20</v>
      </c>
    </row>
    <row r="4120" spans="1:13" x14ac:dyDescent="0.25">
      <c r="A4120" t="s">
        <v>9079</v>
      </c>
      <c r="B4120" t="s">
        <v>9080</v>
      </c>
      <c r="C4120" t="s">
        <v>496</v>
      </c>
      <c r="D4120" t="s">
        <v>2360</v>
      </c>
      <c r="F4120">
        <v>2</v>
      </c>
      <c r="G4120" t="s">
        <v>16</v>
      </c>
      <c r="H4120">
        <v>0</v>
      </c>
      <c r="I4120" s="2" t="s">
        <v>2517</v>
      </c>
      <c r="J4120" s="2" t="s">
        <v>9081</v>
      </c>
      <c r="K4120">
        <v>20</v>
      </c>
      <c r="L4120">
        <v>20</v>
      </c>
      <c r="M4120">
        <v>20</v>
      </c>
    </row>
    <row r="4121" spans="1:13" x14ac:dyDescent="0.25">
      <c r="A4121" t="s">
        <v>9082</v>
      </c>
      <c r="B4121" t="s">
        <v>9083</v>
      </c>
      <c r="C4121" t="s">
        <v>496</v>
      </c>
      <c r="D4121" t="s">
        <v>2360</v>
      </c>
      <c r="F4121">
        <v>2</v>
      </c>
      <c r="G4121" t="s">
        <v>16</v>
      </c>
      <c r="H4121">
        <v>0</v>
      </c>
      <c r="I4121" s="2" t="s">
        <v>707</v>
      </c>
      <c r="J4121" s="2" t="s">
        <v>9084</v>
      </c>
      <c r="K4121">
        <v>20</v>
      </c>
      <c r="L4121">
        <v>20</v>
      </c>
      <c r="M4121">
        <v>20</v>
      </c>
    </row>
    <row r="4122" spans="1:13" x14ac:dyDescent="0.25">
      <c r="A4122" t="s">
        <v>9085</v>
      </c>
      <c r="B4122" t="s">
        <v>9086</v>
      </c>
      <c r="C4122" t="s">
        <v>496</v>
      </c>
      <c r="D4122" t="s">
        <v>2360</v>
      </c>
      <c r="G4122" t="s">
        <v>16</v>
      </c>
      <c r="H4122">
        <v>0</v>
      </c>
      <c r="I4122" s="2" t="s">
        <v>5040</v>
      </c>
      <c r="J4122" s="2" t="s">
        <v>9087</v>
      </c>
      <c r="K4122">
        <v>20</v>
      </c>
      <c r="L4122">
        <v>20</v>
      </c>
      <c r="M4122">
        <v>20</v>
      </c>
    </row>
    <row r="4123" spans="1:13" x14ac:dyDescent="0.25">
      <c r="A4123" t="s">
        <v>9088</v>
      </c>
      <c r="B4123" t="s">
        <v>9086</v>
      </c>
      <c r="C4123" t="s">
        <v>496</v>
      </c>
      <c r="D4123" t="s">
        <v>2360</v>
      </c>
      <c r="F4123">
        <v>3</v>
      </c>
      <c r="G4123" t="s">
        <v>16</v>
      </c>
      <c r="H4123">
        <v>0</v>
      </c>
      <c r="I4123" s="2" t="s">
        <v>5267</v>
      </c>
      <c r="J4123" s="2" t="s">
        <v>9089</v>
      </c>
      <c r="K4123">
        <v>20</v>
      </c>
      <c r="L4123">
        <v>20</v>
      </c>
      <c r="M4123">
        <v>20</v>
      </c>
    </row>
    <row r="4124" spans="1:13" x14ac:dyDescent="0.25">
      <c r="A4124" t="s">
        <v>9090</v>
      </c>
      <c r="B4124" t="s">
        <v>9091</v>
      </c>
      <c r="C4124" t="s">
        <v>496</v>
      </c>
      <c r="D4124" t="s">
        <v>2360</v>
      </c>
      <c r="F4124">
        <v>0</v>
      </c>
      <c r="G4124" t="s">
        <v>16</v>
      </c>
      <c r="H4124">
        <v>0</v>
      </c>
      <c r="I4124" s="2" t="s">
        <v>4214</v>
      </c>
      <c r="J4124" s="2" t="s">
        <v>9092</v>
      </c>
      <c r="K4124">
        <v>20</v>
      </c>
      <c r="L4124">
        <v>20</v>
      </c>
      <c r="M4124">
        <v>20</v>
      </c>
    </row>
    <row r="4125" spans="1:13" x14ac:dyDescent="0.25">
      <c r="A4125" t="s">
        <v>9093</v>
      </c>
      <c r="B4125" t="s">
        <v>9094</v>
      </c>
      <c r="C4125" t="s">
        <v>496</v>
      </c>
      <c r="D4125" t="s">
        <v>2360</v>
      </c>
      <c r="F4125">
        <v>2</v>
      </c>
      <c r="G4125" t="s">
        <v>16</v>
      </c>
      <c r="H4125">
        <v>0</v>
      </c>
      <c r="I4125" s="2" t="s">
        <v>2517</v>
      </c>
      <c r="J4125" s="2" t="s">
        <v>9095</v>
      </c>
      <c r="K4125">
        <v>20</v>
      </c>
      <c r="L4125">
        <v>20</v>
      </c>
      <c r="M4125">
        <v>20</v>
      </c>
    </row>
    <row r="4126" spans="1:13" x14ac:dyDescent="0.25">
      <c r="A4126" t="s">
        <v>9096</v>
      </c>
      <c r="B4126" t="s">
        <v>9097</v>
      </c>
      <c r="C4126" t="s">
        <v>496</v>
      </c>
      <c r="D4126" t="s">
        <v>4083</v>
      </c>
      <c r="F4126">
        <v>1</v>
      </c>
      <c r="G4126" t="s">
        <v>16</v>
      </c>
      <c r="H4126">
        <v>0</v>
      </c>
      <c r="I4126" s="2" t="s">
        <v>87</v>
      </c>
      <c r="J4126" s="2" t="s">
        <v>9098</v>
      </c>
      <c r="K4126">
        <v>20</v>
      </c>
      <c r="L4126">
        <v>20</v>
      </c>
      <c r="M4126">
        <v>20</v>
      </c>
    </row>
    <row r="4127" spans="1:13" x14ac:dyDescent="0.25">
      <c r="A4127" t="s">
        <v>9099</v>
      </c>
      <c r="B4127" t="s">
        <v>9097</v>
      </c>
      <c r="C4127" t="s">
        <v>496</v>
      </c>
      <c r="D4127" t="s">
        <v>4083</v>
      </c>
      <c r="G4127" t="s">
        <v>16</v>
      </c>
      <c r="H4127">
        <v>0</v>
      </c>
      <c r="I4127" s="2" t="s">
        <v>64</v>
      </c>
      <c r="J4127" s="2" t="str">
        <f>"01030148"</f>
        <v>01030148</v>
      </c>
      <c r="K4127">
        <v>20</v>
      </c>
      <c r="L4127">
        <v>20</v>
      </c>
      <c r="M4127">
        <v>20</v>
      </c>
    </row>
    <row r="4128" spans="1:13" x14ac:dyDescent="0.25">
      <c r="A4128" t="s">
        <v>9100</v>
      </c>
      <c r="B4128" t="s">
        <v>9101</v>
      </c>
      <c r="C4128" t="s">
        <v>496</v>
      </c>
      <c r="F4128">
        <v>1</v>
      </c>
      <c r="G4128" t="s">
        <v>16</v>
      </c>
      <c r="H4128">
        <v>0</v>
      </c>
      <c r="I4128" s="2" t="s">
        <v>87</v>
      </c>
      <c r="J4128" s="2" t="s">
        <v>9102</v>
      </c>
      <c r="K4128">
        <v>20</v>
      </c>
      <c r="L4128">
        <v>20</v>
      </c>
      <c r="M4128">
        <v>20</v>
      </c>
    </row>
    <row r="4129" spans="1:13" x14ac:dyDescent="0.25">
      <c r="A4129" t="s">
        <v>9103</v>
      </c>
      <c r="B4129" t="s">
        <v>9104</v>
      </c>
      <c r="C4129" t="s">
        <v>496</v>
      </c>
      <c r="F4129">
        <v>1</v>
      </c>
      <c r="G4129" t="s">
        <v>16</v>
      </c>
      <c r="H4129">
        <v>0</v>
      </c>
      <c r="I4129" s="2" t="s">
        <v>87</v>
      </c>
      <c r="J4129" s="2" t="s">
        <v>9105</v>
      </c>
      <c r="K4129">
        <v>20</v>
      </c>
      <c r="L4129">
        <v>20</v>
      </c>
      <c r="M4129">
        <v>20</v>
      </c>
    </row>
    <row r="4130" spans="1:13" x14ac:dyDescent="0.25">
      <c r="A4130" t="s">
        <v>9106</v>
      </c>
      <c r="B4130" t="s">
        <v>9107</v>
      </c>
      <c r="C4130" t="s">
        <v>496</v>
      </c>
      <c r="D4130" t="s">
        <v>2360</v>
      </c>
      <c r="F4130">
        <v>1</v>
      </c>
      <c r="G4130" t="s">
        <v>16</v>
      </c>
      <c r="H4130">
        <v>0</v>
      </c>
      <c r="I4130" s="2" t="s">
        <v>87</v>
      </c>
      <c r="J4130" s="2" t="s">
        <v>9108</v>
      </c>
      <c r="K4130">
        <v>20</v>
      </c>
      <c r="L4130">
        <v>20</v>
      </c>
      <c r="M4130">
        <v>20</v>
      </c>
    </row>
    <row r="4131" spans="1:13" x14ac:dyDescent="0.25">
      <c r="A4131" t="s">
        <v>9109</v>
      </c>
      <c r="B4131" t="s">
        <v>9110</v>
      </c>
      <c r="C4131" t="s">
        <v>496</v>
      </c>
      <c r="D4131" t="s">
        <v>2360</v>
      </c>
      <c r="F4131">
        <v>1</v>
      </c>
      <c r="G4131" t="s">
        <v>16</v>
      </c>
      <c r="H4131">
        <v>0</v>
      </c>
      <c r="I4131" s="2" t="s">
        <v>245</v>
      </c>
      <c r="J4131" s="2" t="s">
        <v>9111</v>
      </c>
      <c r="K4131">
        <v>20</v>
      </c>
      <c r="L4131">
        <v>20</v>
      </c>
      <c r="M4131">
        <v>20</v>
      </c>
    </row>
    <row r="4132" spans="1:13" x14ac:dyDescent="0.25">
      <c r="A4132" t="s">
        <v>9112</v>
      </c>
      <c r="B4132" t="s">
        <v>9114</v>
      </c>
      <c r="C4132" t="s">
        <v>496</v>
      </c>
      <c r="D4132" t="s">
        <v>4083</v>
      </c>
      <c r="F4132">
        <v>6</v>
      </c>
      <c r="G4132" t="s">
        <v>16</v>
      </c>
      <c r="H4132">
        <v>0</v>
      </c>
      <c r="I4132" s="2" t="s">
        <v>288</v>
      </c>
      <c r="J4132" s="2" t="s">
        <v>9113</v>
      </c>
      <c r="K4132">
        <v>20</v>
      </c>
      <c r="L4132">
        <v>20</v>
      </c>
      <c r="M4132">
        <v>20</v>
      </c>
    </row>
    <row r="4133" spans="1:13" x14ac:dyDescent="0.25">
      <c r="A4133" t="s">
        <v>9115</v>
      </c>
      <c r="B4133" t="s">
        <v>9114</v>
      </c>
      <c r="C4133" t="s">
        <v>496</v>
      </c>
      <c r="D4133" t="s">
        <v>4083</v>
      </c>
      <c r="F4133">
        <v>1</v>
      </c>
      <c r="G4133" t="s">
        <v>16</v>
      </c>
      <c r="H4133">
        <v>0</v>
      </c>
      <c r="I4133" s="2" t="s">
        <v>851</v>
      </c>
      <c r="J4133" s="2">
        <v>844009</v>
      </c>
      <c r="K4133">
        <v>20</v>
      </c>
      <c r="L4133">
        <v>20</v>
      </c>
      <c r="M4133">
        <v>20</v>
      </c>
    </row>
    <row r="4134" spans="1:13" x14ac:dyDescent="0.25">
      <c r="A4134" t="s">
        <v>9116</v>
      </c>
      <c r="B4134" t="s">
        <v>9114</v>
      </c>
      <c r="C4134" t="s">
        <v>496</v>
      </c>
      <c r="D4134" t="s">
        <v>5072</v>
      </c>
      <c r="G4134" t="s">
        <v>16</v>
      </c>
      <c r="H4134">
        <v>0</v>
      </c>
      <c r="I4134" s="2" t="s">
        <v>491</v>
      </c>
      <c r="J4134" s="2">
        <v>359002501510</v>
      </c>
      <c r="K4134">
        <v>20</v>
      </c>
      <c r="L4134">
        <v>20</v>
      </c>
      <c r="M4134">
        <v>20</v>
      </c>
    </row>
    <row r="4135" spans="1:13" x14ac:dyDescent="0.25">
      <c r="A4135" t="s">
        <v>9117</v>
      </c>
      <c r="B4135" t="s">
        <v>9114</v>
      </c>
      <c r="C4135" t="s">
        <v>496</v>
      </c>
      <c r="D4135" t="s">
        <v>4083</v>
      </c>
      <c r="F4135">
        <v>1</v>
      </c>
      <c r="G4135" t="s">
        <v>16</v>
      </c>
      <c r="H4135">
        <v>0</v>
      </c>
      <c r="I4135" s="2" t="s">
        <v>266</v>
      </c>
      <c r="J4135" s="2">
        <v>62434</v>
      </c>
      <c r="K4135">
        <v>20</v>
      </c>
      <c r="L4135">
        <v>20</v>
      </c>
      <c r="M4135">
        <v>20</v>
      </c>
    </row>
    <row r="4136" spans="1:13" x14ac:dyDescent="0.25">
      <c r="A4136" t="s">
        <v>9118</v>
      </c>
      <c r="B4136" t="s">
        <v>9119</v>
      </c>
      <c r="C4136" t="s">
        <v>496</v>
      </c>
      <c r="D4136" t="s">
        <v>4083</v>
      </c>
      <c r="G4136" t="s">
        <v>16</v>
      </c>
      <c r="H4136">
        <v>0</v>
      </c>
      <c r="I4136" s="2" t="s">
        <v>6120</v>
      </c>
      <c r="J4136" s="2" t="s">
        <v>9120</v>
      </c>
      <c r="K4136">
        <v>20</v>
      </c>
      <c r="L4136">
        <v>20</v>
      </c>
      <c r="M4136">
        <v>20</v>
      </c>
    </row>
    <row r="4137" spans="1:13" x14ac:dyDescent="0.25">
      <c r="A4137" t="s">
        <v>9121</v>
      </c>
      <c r="B4137" t="s">
        <v>9123</v>
      </c>
      <c r="C4137" t="s">
        <v>496</v>
      </c>
      <c r="D4137" t="s">
        <v>4083</v>
      </c>
      <c r="F4137">
        <v>2</v>
      </c>
      <c r="G4137" t="s">
        <v>16</v>
      </c>
      <c r="H4137">
        <v>0</v>
      </c>
      <c r="I4137" s="2" t="s">
        <v>765</v>
      </c>
      <c r="J4137" s="2" t="s">
        <v>9122</v>
      </c>
      <c r="K4137">
        <v>20</v>
      </c>
      <c r="L4137">
        <v>20</v>
      </c>
      <c r="M4137">
        <v>20</v>
      </c>
    </row>
    <row r="4138" spans="1:13" x14ac:dyDescent="0.25">
      <c r="A4138" t="s">
        <v>9124</v>
      </c>
      <c r="B4138" t="s">
        <v>9123</v>
      </c>
      <c r="C4138" t="s">
        <v>496</v>
      </c>
      <c r="D4138" t="s">
        <v>5072</v>
      </c>
      <c r="G4138" t="s">
        <v>16</v>
      </c>
      <c r="H4138">
        <v>0</v>
      </c>
      <c r="I4138" s="2" t="s">
        <v>162</v>
      </c>
      <c r="J4138" s="2">
        <v>70331</v>
      </c>
      <c r="K4138">
        <v>20</v>
      </c>
      <c r="L4138">
        <v>20</v>
      </c>
      <c r="M4138">
        <v>20</v>
      </c>
    </row>
    <row r="4139" spans="1:13" x14ac:dyDescent="0.25">
      <c r="A4139" t="s">
        <v>9125</v>
      </c>
      <c r="B4139" t="s">
        <v>9127</v>
      </c>
      <c r="C4139" t="s">
        <v>496</v>
      </c>
      <c r="D4139" t="s">
        <v>4083</v>
      </c>
      <c r="F4139">
        <v>4</v>
      </c>
      <c r="G4139" t="s">
        <v>16</v>
      </c>
      <c r="H4139">
        <v>0</v>
      </c>
      <c r="I4139" s="2" t="s">
        <v>288</v>
      </c>
      <c r="J4139" s="2" t="s">
        <v>9126</v>
      </c>
      <c r="K4139">
        <v>20</v>
      </c>
      <c r="L4139">
        <v>20</v>
      </c>
      <c r="M4139">
        <v>20</v>
      </c>
    </row>
    <row r="4140" spans="1:13" x14ac:dyDescent="0.25">
      <c r="A4140" t="s">
        <v>9128</v>
      </c>
      <c r="B4140" t="s">
        <v>9130</v>
      </c>
      <c r="C4140" t="s">
        <v>496</v>
      </c>
      <c r="D4140" t="s">
        <v>4083</v>
      </c>
      <c r="F4140">
        <v>2</v>
      </c>
      <c r="G4140" t="s">
        <v>16</v>
      </c>
      <c r="H4140">
        <v>0</v>
      </c>
      <c r="I4140" s="2" t="s">
        <v>288</v>
      </c>
      <c r="J4140" s="2" t="s">
        <v>9129</v>
      </c>
      <c r="K4140">
        <v>20</v>
      </c>
      <c r="L4140">
        <v>20</v>
      </c>
      <c r="M4140">
        <v>20</v>
      </c>
    </row>
    <row r="4141" spans="1:13" x14ac:dyDescent="0.25">
      <c r="A4141" t="s">
        <v>9131</v>
      </c>
      <c r="B4141" t="s">
        <v>9132</v>
      </c>
      <c r="C4141" t="s">
        <v>496</v>
      </c>
      <c r="D4141" t="s">
        <v>4083</v>
      </c>
      <c r="G4141" t="s">
        <v>16</v>
      </c>
      <c r="H4141">
        <v>0</v>
      </c>
      <c r="I4141" s="2" t="s">
        <v>92</v>
      </c>
      <c r="J4141" s="2" t="str">
        <f>"01033292B"</f>
        <v>01033292B</v>
      </c>
      <c r="K4141">
        <v>20</v>
      </c>
      <c r="L4141">
        <v>20</v>
      </c>
      <c r="M4141">
        <v>20</v>
      </c>
    </row>
    <row r="4142" spans="1:13" x14ac:dyDescent="0.25">
      <c r="A4142" t="s">
        <v>9133</v>
      </c>
      <c r="B4142" t="s">
        <v>9134</v>
      </c>
      <c r="C4142" t="s">
        <v>496</v>
      </c>
      <c r="D4142" t="s">
        <v>4083</v>
      </c>
      <c r="F4142">
        <v>4</v>
      </c>
      <c r="G4142" t="s">
        <v>16</v>
      </c>
      <c r="H4142">
        <v>0</v>
      </c>
      <c r="I4142" s="2" t="s">
        <v>2542</v>
      </c>
      <c r="J4142" s="2">
        <v>90342143</v>
      </c>
      <c r="K4142">
        <v>20</v>
      </c>
      <c r="L4142">
        <v>20</v>
      </c>
      <c r="M4142">
        <v>20</v>
      </c>
    </row>
    <row r="4143" spans="1:13" x14ac:dyDescent="0.25">
      <c r="A4143" t="s">
        <v>9135</v>
      </c>
      <c r="B4143" t="s">
        <v>9132</v>
      </c>
      <c r="C4143" t="s">
        <v>496</v>
      </c>
      <c r="D4143" t="s">
        <v>5072</v>
      </c>
      <c r="F4143">
        <v>4</v>
      </c>
      <c r="G4143" t="s">
        <v>16</v>
      </c>
      <c r="H4143">
        <v>0</v>
      </c>
      <c r="I4143" s="2" t="s">
        <v>57</v>
      </c>
      <c r="J4143" s="2" t="str">
        <f>"045884-V"</f>
        <v>045884-V</v>
      </c>
      <c r="K4143">
        <v>20</v>
      </c>
      <c r="L4143">
        <v>20</v>
      </c>
      <c r="M4143">
        <v>20</v>
      </c>
    </row>
    <row r="4144" spans="1:13" x14ac:dyDescent="0.25">
      <c r="A4144" t="s">
        <v>9136</v>
      </c>
      <c r="B4144" t="s">
        <v>9138</v>
      </c>
      <c r="C4144" t="s">
        <v>496</v>
      </c>
      <c r="D4144" t="s">
        <v>4083</v>
      </c>
      <c r="G4144" t="s">
        <v>16</v>
      </c>
      <c r="H4144">
        <v>0</v>
      </c>
      <c r="I4144" s="2" t="s">
        <v>288</v>
      </c>
      <c r="J4144" s="2" t="s">
        <v>9137</v>
      </c>
      <c r="K4144">
        <v>20</v>
      </c>
      <c r="L4144">
        <v>20</v>
      </c>
      <c r="M4144">
        <v>20</v>
      </c>
    </row>
    <row r="4145" spans="1:13" x14ac:dyDescent="0.25">
      <c r="A4145" t="s">
        <v>9139</v>
      </c>
      <c r="B4145" t="s">
        <v>9138</v>
      </c>
      <c r="C4145" t="s">
        <v>496</v>
      </c>
      <c r="D4145" t="s">
        <v>5072</v>
      </c>
      <c r="G4145" t="s">
        <v>16</v>
      </c>
      <c r="H4145">
        <v>0</v>
      </c>
      <c r="I4145" s="2" t="s">
        <v>491</v>
      </c>
      <c r="J4145" s="2">
        <v>359002502400</v>
      </c>
      <c r="K4145">
        <v>20</v>
      </c>
      <c r="L4145">
        <v>20</v>
      </c>
      <c r="M4145">
        <v>20</v>
      </c>
    </row>
    <row r="4146" spans="1:13" x14ac:dyDescent="0.25">
      <c r="A4146" t="s">
        <v>9140</v>
      </c>
      <c r="B4146" t="s">
        <v>9141</v>
      </c>
      <c r="C4146" t="s">
        <v>496</v>
      </c>
      <c r="D4146" t="s">
        <v>4083</v>
      </c>
      <c r="F4146">
        <v>1</v>
      </c>
      <c r="G4146" t="s">
        <v>16</v>
      </c>
      <c r="H4146">
        <v>0</v>
      </c>
      <c r="I4146" s="2" t="s">
        <v>92</v>
      </c>
      <c r="J4146" s="2" t="s">
        <v>9142</v>
      </c>
      <c r="K4146">
        <v>20</v>
      </c>
      <c r="L4146">
        <v>20</v>
      </c>
      <c r="M4146">
        <v>20</v>
      </c>
    </row>
    <row r="4147" spans="1:13" x14ac:dyDescent="0.25">
      <c r="A4147" t="s">
        <v>9143</v>
      </c>
      <c r="B4147" t="s">
        <v>9141</v>
      </c>
      <c r="C4147" t="s">
        <v>496</v>
      </c>
      <c r="D4147" t="s">
        <v>4083</v>
      </c>
      <c r="F4147">
        <v>8</v>
      </c>
      <c r="G4147" t="s">
        <v>16</v>
      </c>
      <c r="H4147">
        <v>0</v>
      </c>
      <c r="I4147" s="2" t="s">
        <v>508</v>
      </c>
      <c r="J4147" s="2">
        <v>90288278</v>
      </c>
      <c r="K4147">
        <v>20</v>
      </c>
      <c r="L4147">
        <v>20</v>
      </c>
      <c r="M4147">
        <v>20</v>
      </c>
    </row>
    <row r="4148" spans="1:13" x14ac:dyDescent="0.25">
      <c r="A4148" t="s">
        <v>9144</v>
      </c>
      <c r="B4148" t="s">
        <v>9141</v>
      </c>
      <c r="C4148" t="s">
        <v>496</v>
      </c>
      <c r="D4148" t="s">
        <v>4083</v>
      </c>
      <c r="F4148">
        <v>2</v>
      </c>
      <c r="G4148" t="s">
        <v>16</v>
      </c>
      <c r="H4148">
        <v>0</v>
      </c>
      <c r="I4148" s="2" t="s">
        <v>209</v>
      </c>
      <c r="J4148" s="2" t="str">
        <f>"045883"</f>
        <v>045883</v>
      </c>
      <c r="K4148">
        <v>20</v>
      </c>
      <c r="L4148">
        <v>20</v>
      </c>
      <c r="M4148">
        <v>20</v>
      </c>
    </row>
    <row r="4149" spans="1:13" x14ac:dyDescent="0.25">
      <c r="A4149" t="s">
        <v>9145</v>
      </c>
      <c r="B4149" t="s">
        <v>9146</v>
      </c>
      <c r="C4149" t="s">
        <v>496</v>
      </c>
      <c r="D4149" t="s">
        <v>5072</v>
      </c>
      <c r="G4149" t="s">
        <v>16</v>
      </c>
      <c r="H4149">
        <v>0</v>
      </c>
      <c r="I4149" s="2" t="s">
        <v>165</v>
      </c>
      <c r="J4149" s="2">
        <v>200533</v>
      </c>
      <c r="K4149">
        <v>20</v>
      </c>
      <c r="L4149">
        <v>20</v>
      </c>
      <c r="M4149">
        <v>20</v>
      </c>
    </row>
    <row r="4150" spans="1:13" x14ac:dyDescent="0.25">
      <c r="A4150" t="s">
        <v>9147</v>
      </c>
      <c r="B4150" t="s">
        <v>9148</v>
      </c>
      <c r="C4150" t="s">
        <v>496</v>
      </c>
      <c r="D4150" t="s">
        <v>4083</v>
      </c>
      <c r="F4150">
        <v>1</v>
      </c>
      <c r="G4150" t="s">
        <v>16</v>
      </c>
      <c r="H4150">
        <v>0</v>
      </c>
      <c r="I4150" s="2" t="s">
        <v>64</v>
      </c>
      <c r="J4150" s="2" t="str">
        <f>"01010294"</f>
        <v>01010294</v>
      </c>
      <c r="K4150">
        <v>20</v>
      </c>
      <c r="L4150">
        <v>20</v>
      </c>
      <c r="M4150">
        <v>20</v>
      </c>
    </row>
    <row r="4151" spans="1:13" x14ac:dyDescent="0.25">
      <c r="A4151" t="s">
        <v>9149</v>
      </c>
      <c r="B4151" t="s">
        <v>9148</v>
      </c>
      <c r="C4151" t="s">
        <v>496</v>
      </c>
      <c r="D4151" t="s">
        <v>4083</v>
      </c>
      <c r="F4151">
        <v>1</v>
      </c>
      <c r="G4151" t="s">
        <v>16</v>
      </c>
      <c r="H4151">
        <v>0</v>
      </c>
      <c r="I4151" s="2" t="s">
        <v>162</v>
      </c>
      <c r="J4151" s="2">
        <v>70320</v>
      </c>
      <c r="K4151">
        <v>20</v>
      </c>
      <c r="L4151">
        <v>20</v>
      </c>
      <c r="M4151">
        <v>20</v>
      </c>
    </row>
    <row r="4152" spans="1:13" x14ac:dyDescent="0.25">
      <c r="A4152" t="s">
        <v>9150</v>
      </c>
      <c r="B4152" t="s">
        <v>9151</v>
      </c>
      <c r="C4152" t="s">
        <v>496</v>
      </c>
      <c r="D4152" t="s">
        <v>4083</v>
      </c>
      <c r="F4152">
        <v>0</v>
      </c>
      <c r="G4152" t="s">
        <v>16</v>
      </c>
      <c r="H4152">
        <v>0</v>
      </c>
      <c r="I4152" s="2" t="s">
        <v>64</v>
      </c>
      <c r="J4152" s="2" t="str">
        <f>"01010289"</f>
        <v>01010289</v>
      </c>
      <c r="K4152">
        <v>20</v>
      </c>
      <c r="L4152">
        <v>20</v>
      </c>
      <c r="M4152">
        <v>20</v>
      </c>
    </row>
    <row r="4153" spans="1:13" x14ac:dyDescent="0.25">
      <c r="A4153" t="s">
        <v>9152</v>
      </c>
      <c r="B4153" t="s">
        <v>9153</v>
      </c>
      <c r="C4153" t="s">
        <v>496</v>
      </c>
      <c r="D4153" t="s">
        <v>5072</v>
      </c>
      <c r="G4153" t="s">
        <v>16</v>
      </c>
      <c r="H4153">
        <v>0</v>
      </c>
      <c r="I4153" s="2" t="s">
        <v>491</v>
      </c>
      <c r="J4153" s="2">
        <v>359002501530</v>
      </c>
      <c r="K4153">
        <v>20</v>
      </c>
      <c r="L4153">
        <v>20</v>
      </c>
      <c r="M4153">
        <v>20</v>
      </c>
    </row>
    <row r="4154" spans="1:13" x14ac:dyDescent="0.25">
      <c r="A4154" t="s">
        <v>9154</v>
      </c>
      <c r="B4154" t="s">
        <v>9156</v>
      </c>
      <c r="C4154" t="s">
        <v>496</v>
      </c>
      <c r="D4154" t="s">
        <v>4083</v>
      </c>
      <c r="F4154">
        <v>1</v>
      </c>
      <c r="G4154" t="s">
        <v>16</v>
      </c>
      <c r="H4154">
        <v>0</v>
      </c>
      <c r="I4154" s="2" t="s">
        <v>765</v>
      </c>
      <c r="J4154" s="2" t="s">
        <v>9155</v>
      </c>
      <c r="K4154">
        <v>20</v>
      </c>
      <c r="L4154">
        <v>20</v>
      </c>
      <c r="M4154">
        <v>20</v>
      </c>
    </row>
    <row r="4155" spans="1:13" x14ac:dyDescent="0.25">
      <c r="A4155" t="s">
        <v>9157</v>
      </c>
      <c r="B4155" t="s">
        <v>9158</v>
      </c>
      <c r="C4155" t="s">
        <v>496</v>
      </c>
      <c r="D4155" t="s">
        <v>4083</v>
      </c>
      <c r="F4155">
        <v>1</v>
      </c>
      <c r="G4155" t="s">
        <v>16</v>
      </c>
      <c r="H4155">
        <v>0</v>
      </c>
      <c r="I4155" s="2" t="s">
        <v>64</v>
      </c>
      <c r="J4155" s="2" t="str">
        <f>"01010094"</f>
        <v>01010094</v>
      </c>
      <c r="K4155">
        <v>20</v>
      </c>
      <c r="L4155">
        <v>20</v>
      </c>
      <c r="M4155">
        <v>20</v>
      </c>
    </row>
    <row r="4156" spans="1:13" x14ac:dyDescent="0.25">
      <c r="A4156" t="s">
        <v>9159</v>
      </c>
      <c r="B4156" t="s">
        <v>9161</v>
      </c>
      <c r="C4156" t="s">
        <v>496</v>
      </c>
      <c r="D4156" t="s">
        <v>4083</v>
      </c>
      <c r="F4156">
        <v>1</v>
      </c>
      <c r="G4156" t="s">
        <v>16</v>
      </c>
      <c r="H4156">
        <v>0</v>
      </c>
      <c r="I4156" s="2" t="s">
        <v>288</v>
      </c>
      <c r="J4156" s="2" t="s">
        <v>9160</v>
      </c>
      <c r="K4156">
        <v>20</v>
      </c>
      <c r="L4156">
        <v>20</v>
      </c>
      <c r="M4156">
        <v>20</v>
      </c>
    </row>
    <row r="4157" spans="1:13" x14ac:dyDescent="0.25">
      <c r="A4157" t="s">
        <v>9162</v>
      </c>
      <c r="B4157" t="s">
        <v>9163</v>
      </c>
      <c r="C4157" t="s">
        <v>496</v>
      </c>
      <c r="D4157" t="s">
        <v>4083</v>
      </c>
      <c r="F4157">
        <v>1</v>
      </c>
      <c r="G4157" t="s">
        <v>16</v>
      </c>
      <c r="H4157">
        <v>0</v>
      </c>
      <c r="I4157" s="2" t="s">
        <v>64</v>
      </c>
      <c r="J4157" s="2" t="str">
        <f>"01010093"</f>
        <v>01010093</v>
      </c>
      <c r="K4157">
        <v>20</v>
      </c>
      <c r="L4157">
        <v>20</v>
      </c>
      <c r="M4157">
        <v>20</v>
      </c>
    </row>
    <row r="4158" spans="1:13" x14ac:dyDescent="0.25">
      <c r="A4158" t="s">
        <v>9164</v>
      </c>
      <c r="B4158" t="s">
        <v>9166</v>
      </c>
      <c r="C4158" t="s">
        <v>496</v>
      </c>
      <c r="D4158" t="s">
        <v>5072</v>
      </c>
      <c r="F4158">
        <v>2</v>
      </c>
      <c r="G4158" t="s">
        <v>16</v>
      </c>
      <c r="H4158">
        <v>0</v>
      </c>
      <c r="I4158" s="2" t="s">
        <v>288</v>
      </c>
      <c r="J4158" s="2" t="s">
        <v>9165</v>
      </c>
      <c r="K4158">
        <v>20</v>
      </c>
      <c r="L4158">
        <v>20</v>
      </c>
      <c r="M4158">
        <v>20</v>
      </c>
    </row>
    <row r="4159" spans="1:13" x14ac:dyDescent="0.25">
      <c r="A4159" t="s">
        <v>9167</v>
      </c>
      <c r="B4159" t="s">
        <v>9168</v>
      </c>
      <c r="C4159" t="s">
        <v>2493</v>
      </c>
      <c r="D4159" t="s">
        <v>5072</v>
      </c>
      <c r="G4159" t="s">
        <v>16</v>
      </c>
      <c r="H4159">
        <v>0</v>
      </c>
      <c r="I4159" s="2" t="s">
        <v>491</v>
      </c>
      <c r="J4159" s="2">
        <v>359002501690</v>
      </c>
      <c r="K4159">
        <v>20</v>
      </c>
      <c r="L4159">
        <v>20</v>
      </c>
      <c r="M4159">
        <v>20</v>
      </c>
    </row>
    <row r="4160" spans="1:13" x14ac:dyDescent="0.25">
      <c r="A4160" t="s">
        <v>9169</v>
      </c>
      <c r="B4160" t="s">
        <v>9171</v>
      </c>
      <c r="C4160" t="s">
        <v>496</v>
      </c>
      <c r="D4160" t="s">
        <v>4083</v>
      </c>
      <c r="F4160">
        <v>4</v>
      </c>
      <c r="G4160" t="s">
        <v>16</v>
      </c>
      <c r="H4160">
        <v>0</v>
      </c>
      <c r="I4160" s="2" t="s">
        <v>765</v>
      </c>
      <c r="J4160" s="2" t="s">
        <v>9170</v>
      </c>
      <c r="K4160">
        <v>20</v>
      </c>
      <c r="L4160">
        <v>20</v>
      </c>
      <c r="M4160">
        <v>20</v>
      </c>
    </row>
    <row r="4161" spans="1:13" x14ac:dyDescent="0.25">
      <c r="A4161" t="s">
        <v>9172</v>
      </c>
      <c r="B4161" t="s">
        <v>9173</v>
      </c>
      <c r="C4161" t="s">
        <v>496</v>
      </c>
      <c r="D4161" t="s">
        <v>4083</v>
      </c>
      <c r="F4161">
        <v>1</v>
      </c>
      <c r="G4161" t="s">
        <v>16</v>
      </c>
      <c r="H4161">
        <v>0</v>
      </c>
      <c r="I4161" s="2" t="s">
        <v>851</v>
      </c>
      <c r="J4161" s="2">
        <v>260013</v>
      </c>
      <c r="K4161">
        <v>20</v>
      </c>
      <c r="L4161">
        <v>20</v>
      </c>
      <c r="M4161">
        <v>20</v>
      </c>
    </row>
    <row r="4162" spans="1:13" x14ac:dyDescent="0.25">
      <c r="A4162" t="s">
        <v>9174</v>
      </c>
      <c r="B4162" t="s">
        <v>9173</v>
      </c>
      <c r="C4162" t="s">
        <v>496</v>
      </c>
      <c r="D4162" t="s">
        <v>4083</v>
      </c>
      <c r="F4162">
        <v>0</v>
      </c>
      <c r="G4162" t="s">
        <v>16</v>
      </c>
      <c r="H4162">
        <v>0</v>
      </c>
      <c r="I4162" s="2" t="s">
        <v>64</v>
      </c>
      <c r="J4162" s="2" t="str">
        <f>"01010097"</f>
        <v>01010097</v>
      </c>
      <c r="K4162">
        <v>20</v>
      </c>
      <c r="L4162">
        <v>20</v>
      </c>
      <c r="M4162">
        <v>20</v>
      </c>
    </row>
    <row r="4163" spans="1:13" x14ac:dyDescent="0.25">
      <c r="A4163" t="s">
        <v>9175</v>
      </c>
      <c r="B4163" t="s">
        <v>9176</v>
      </c>
      <c r="C4163" t="s">
        <v>496</v>
      </c>
      <c r="D4163" t="s">
        <v>4083</v>
      </c>
      <c r="F4163">
        <v>0</v>
      </c>
      <c r="G4163" t="s">
        <v>16</v>
      </c>
      <c r="H4163">
        <v>0</v>
      </c>
      <c r="I4163" s="2" t="s">
        <v>64</v>
      </c>
      <c r="J4163" s="2" t="str">
        <f>"01010098"</f>
        <v>01010098</v>
      </c>
      <c r="K4163">
        <v>20</v>
      </c>
      <c r="L4163">
        <v>20</v>
      </c>
      <c r="M4163">
        <v>20</v>
      </c>
    </row>
    <row r="4164" spans="1:13" x14ac:dyDescent="0.25">
      <c r="A4164" t="s">
        <v>9177</v>
      </c>
      <c r="B4164" t="s">
        <v>9179</v>
      </c>
      <c r="C4164" t="s">
        <v>496</v>
      </c>
      <c r="D4164" t="s">
        <v>4083</v>
      </c>
      <c r="F4164">
        <v>1</v>
      </c>
      <c r="G4164" t="s">
        <v>16</v>
      </c>
      <c r="H4164">
        <v>0</v>
      </c>
      <c r="I4164" s="2" t="s">
        <v>288</v>
      </c>
      <c r="J4164" s="2" t="s">
        <v>9178</v>
      </c>
      <c r="K4164">
        <v>20</v>
      </c>
      <c r="L4164">
        <v>20</v>
      </c>
      <c r="M4164">
        <v>20</v>
      </c>
    </row>
    <row r="4165" spans="1:13" x14ac:dyDescent="0.25">
      <c r="A4165" t="s">
        <v>9180</v>
      </c>
      <c r="B4165" t="s">
        <v>9182</v>
      </c>
      <c r="C4165" t="s">
        <v>496</v>
      </c>
      <c r="D4165" t="s">
        <v>4083</v>
      </c>
      <c r="F4165">
        <v>1</v>
      </c>
      <c r="G4165" t="s">
        <v>16</v>
      </c>
      <c r="H4165">
        <v>0</v>
      </c>
      <c r="I4165" s="2" t="s">
        <v>288</v>
      </c>
      <c r="J4165" s="2" t="s">
        <v>9181</v>
      </c>
      <c r="K4165">
        <v>20</v>
      </c>
      <c r="L4165">
        <v>20</v>
      </c>
      <c r="M4165">
        <v>20</v>
      </c>
    </row>
    <row r="4166" spans="1:13" x14ac:dyDescent="0.25">
      <c r="A4166" t="s">
        <v>9183</v>
      </c>
      <c r="B4166" t="s">
        <v>9185</v>
      </c>
      <c r="C4166" t="s">
        <v>496</v>
      </c>
      <c r="D4166" t="s">
        <v>4083</v>
      </c>
      <c r="F4166">
        <v>2</v>
      </c>
      <c r="G4166" t="s">
        <v>16</v>
      </c>
      <c r="H4166">
        <v>0</v>
      </c>
      <c r="I4166" s="2" t="s">
        <v>765</v>
      </c>
      <c r="J4166" s="2" t="s">
        <v>9184</v>
      </c>
      <c r="K4166">
        <v>20</v>
      </c>
      <c r="L4166">
        <v>20</v>
      </c>
      <c r="M4166">
        <v>20</v>
      </c>
    </row>
    <row r="4167" spans="1:13" x14ac:dyDescent="0.25">
      <c r="A4167" t="s">
        <v>9186</v>
      </c>
      <c r="B4167" t="s">
        <v>9185</v>
      </c>
      <c r="C4167" t="s">
        <v>496</v>
      </c>
      <c r="D4167" t="s">
        <v>4083</v>
      </c>
      <c r="F4167">
        <v>1</v>
      </c>
      <c r="G4167" t="s">
        <v>16</v>
      </c>
      <c r="H4167">
        <v>0</v>
      </c>
      <c r="I4167" s="2" t="s">
        <v>266</v>
      </c>
      <c r="J4167" s="2">
        <v>62442</v>
      </c>
      <c r="K4167">
        <v>20</v>
      </c>
      <c r="L4167">
        <v>20</v>
      </c>
      <c r="M4167">
        <v>20</v>
      </c>
    </row>
    <row r="4168" spans="1:13" x14ac:dyDescent="0.25">
      <c r="A4168" t="s">
        <v>9187</v>
      </c>
      <c r="B4168" t="s">
        <v>9153</v>
      </c>
      <c r="C4168" t="s">
        <v>496</v>
      </c>
      <c r="D4168" t="s">
        <v>4083</v>
      </c>
      <c r="F4168">
        <v>2</v>
      </c>
      <c r="G4168" t="s">
        <v>16</v>
      </c>
      <c r="H4168">
        <v>0</v>
      </c>
      <c r="I4168" s="2" t="s">
        <v>288</v>
      </c>
      <c r="J4168" s="2" t="s">
        <v>9188</v>
      </c>
      <c r="K4168">
        <v>20</v>
      </c>
      <c r="L4168">
        <v>20</v>
      </c>
      <c r="M4168">
        <v>20</v>
      </c>
    </row>
    <row r="4169" spans="1:13" x14ac:dyDescent="0.25">
      <c r="A4169" t="s">
        <v>9189</v>
      </c>
      <c r="B4169" t="s">
        <v>9153</v>
      </c>
      <c r="C4169" t="s">
        <v>496</v>
      </c>
      <c r="D4169" t="s">
        <v>4083</v>
      </c>
      <c r="F4169">
        <v>2</v>
      </c>
      <c r="G4169" t="s">
        <v>16</v>
      </c>
      <c r="H4169">
        <v>0</v>
      </c>
      <c r="I4169" s="2" t="s">
        <v>64</v>
      </c>
      <c r="J4169" s="2" t="str">
        <f>"01020081"</f>
        <v>01020081</v>
      </c>
      <c r="K4169">
        <v>20</v>
      </c>
      <c r="L4169">
        <v>20</v>
      </c>
      <c r="M4169">
        <v>20</v>
      </c>
    </row>
    <row r="4170" spans="1:13" x14ac:dyDescent="0.25">
      <c r="A4170" t="s">
        <v>9190</v>
      </c>
      <c r="B4170" t="s">
        <v>9192</v>
      </c>
      <c r="C4170" t="s">
        <v>496</v>
      </c>
      <c r="D4170" t="s">
        <v>4083</v>
      </c>
      <c r="F4170">
        <v>2</v>
      </c>
      <c r="G4170" t="s">
        <v>16</v>
      </c>
      <c r="H4170">
        <v>0</v>
      </c>
      <c r="I4170" s="2" t="s">
        <v>288</v>
      </c>
      <c r="J4170" s="2" t="s">
        <v>9191</v>
      </c>
      <c r="K4170">
        <v>20</v>
      </c>
      <c r="L4170">
        <v>20</v>
      </c>
      <c r="M4170">
        <v>20</v>
      </c>
    </row>
    <row r="4171" spans="1:13" x14ac:dyDescent="0.25">
      <c r="A4171" t="s">
        <v>9193</v>
      </c>
      <c r="B4171" t="s">
        <v>9192</v>
      </c>
      <c r="C4171" t="s">
        <v>496</v>
      </c>
      <c r="D4171" t="s">
        <v>4083</v>
      </c>
      <c r="F4171">
        <v>2</v>
      </c>
      <c r="G4171" t="s">
        <v>16</v>
      </c>
      <c r="H4171">
        <v>0</v>
      </c>
      <c r="I4171" s="2" t="s">
        <v>64</v>
      </c>
      <c r="J4171" s="2" t="str">
        <f>"01010095"</f>
        <v>01010095</v>
      </c>
      <c r="K4171">
        <v>20</v>
      </c>
      <c r="L4171">
        <v>20</v>
      </c>
      <c r="M4171">
        <v>20</v>
      </c>
    </row>
    <row r="4172" spans="1:13" x14ac:dyDescent="0.25">
      <c r="A4172" t="s">
        <v>9194</v>
      </c>
      <c r="B4172" t="s">
        <v>9196</v>
      </c>
      <c r="C4172" t="s">
        <v>496</v>
      </c>
      <c r="D4172" t="s">
        <v>4083</v>
      </c>
      <c r="F4172">
        <v>1</v>
      </c>
      <c r="G4172" t="s">
        <v>16</v>
      </c>
      <c r="H4172">
        <v>0</v>
      </c>
      <c r="I4172" s="2" t="s">
        <v>288</v>
      </c>
      <c r="J4172" s="2" t="s">
        <v>9195</v>
      </c>
      <c r="K4172">
        <v>20</v>
      </c>
      <c r="L4172">
        <v>20</v>
      </c>
      <c r="M4172">
        <v>20</v>
      </c>
    </row>
    <row r="4173" spans="1:13" x14ac:dyDescent="0.25">
      <c r="A4173" t="s">
        <v>9197</v>
      </c>
      <c r="B4173" t="s">
        <v>9196</v>
      </c>
      <c r="C4173" t="s">
        <v>496</v>
      </c>
      <c r="D4173" t="s">
        <v>4083</v>
      </c>
      <c r="F4173">
        <v>1</v>
      </c>
      <c r="G4173" t="s">
        <v>16</v>
      </c>
      <c r="H4173">
        <v>0</v>
      </c>
      <c r="I4173" s="2" t="s">
        <v>64</v>
      </c>
      <c r="J4173" s="2" t="str">
        <f>"01010096"</f>
        <v>01010096</v>
      </c>
      <c r="K4173">
        <v>20</v>
      </c>
      <c r="L4173">
        <v>20</v>
      </c>
      <c r="M4173">
        <v>20</v>
      </c>
    </row>
    <row r="4174" spans="1:13" x14ac:dyDescent="0.25">
      <c r="A4174" t="s">
        <v>9198</v>
      </c>
      <c r="B4174" t="s">
        <v>9199</v>
      </c>
      <c r="C4174" t="s">
        <v>496</v>
      </c>
      <c r="D4174" t="s">
        <v>4083</v>
      </c>
      <c r="F4174">
        <v>1</v>
      </c>
      <c r="G4174" t="s">
        <v>16</v>
      </c>
      <c r="H4174">
        <v>0</v>
      </c>
      <c r="I4174" s="2" t="s">
        <v>851</v>
      </c>
      <c r="J4174" s="2">
        <v>244028</v>
      </c>
      <c r="K4174">
        <v>20</v>
      </c>
      <c r="L4174">
        <v>20</v>
      </c>
      <c r="M4174">
        <v>20</v>
      </c>
    </row>
    <row r="4175" spans="1:13" x14ac:dyDescent="0.25">
      <c r="A4175" t="s">
        <v>9200</v>
      </c>
      <c r="B4175" t="s">
        <v>9201</v>
      </c>
      <c r="C4175" t="s">
        <v>496</v>
      </c>
      <c r="D4175" t="s">
        <v>4083</v>
      </c>
      <c r="F4175">
        <v>1</v>
      </c>
      <c r="G4175" t="s">
        <v>16</v>
      </c>
      <c r="H4175">
        <v>0</v>
      </c>
      <c r="I4175" s="2" t="s">
        <v>851</v>
      </c>
      <c r="J4175" s="2">
        <v>244030</v>
      </c>
      <c r="K4175">
        <v>20</v>
      </c>
      <c r="L4175">
        <v>20</v>
      </c>
      <c r="M4175">
        <v>20</v>
      </c>
    </row>
    <row r="4176" spans="1:13" x14ac:dyDescent="0.25">
      <c r="A4176" t="s">
        <v>9202</v>
      </c>
      <c r="B4176" t="s">
        <v>9203</v>
      </c>
      <c r="C4176" t="s">
        <v>496</v>
      </c>
      <c r="D4176" t="s">
        <v>4083</v>
      </c>
      <c r="F4176">
        <v>2</v>
      </c>
      <c r="G4176" t="s">
        <v>16</v>
      </c>
      <c r="H4176">
        <v>0</v>
      </c>
      <c r="I4176" s="2" t="s">
        <v>64</v>
      </c>
      <c r="J4176" s="2" t="str">
        <f>"01010267"</f>
        <v>01010267</v>
      </c>
      <c r="K4176">
        <v>20</v>
      </c>
      <c r="L4176">
        <v>20</v>
      </c>
      <c r="M4176">
        <v>20</v>
      </c>
    </row>
    <row r="4177" spans="1:13" x14ac:dyDescent="0.25">
      <c r="A4177" t="s">
        <v>9204</v>
      </c>
      <c r="B4177" t="s">
        <v>9203</v>
      </c>
      <c r="C4177" t="s">
        <v>496</v>
      </c>
      <c r="D4177" t="s">
        <v>4083</v>
      </c>
      <c r="F4177">
        <v>1</v>
      </c>
      <c r="G4177" t="s">
        <v>16</v>
      </c>
      <c r="H4177">
        <v>0</v>
      </c>
      <c r="I4177" s="2" t="s">
        <v>9205</v>
      </c>
      <c r="J4177" s="2" t="s">
        <v>9206</v>
      </c>
      <c r="K4177">
        <v>20</v>
      </c>
      <c r="L4177">
        <v>20</v>
      </c>
      <c r="M4177">
        <v>20</v>
      </c>
    </row>
    <row r="4178" spans="1:13" x14ac:dyDescent="0.25">
      <c r="A4178" t="s">
        <v>9207</v>
      </c>
      <c r="B4178" t="s">
        <v>9208</v>
      </c>
      <c r="C4178" t="s">
        <v>1432</v>
      </c>
      <c r="F4178">
        <v>1</v>
      </c>
      <c r="G4178" t="s">
        <v>16</v>
      </c>
      <c r="H4178">
        <v>0</v>
      </c>
      <c r="I4178" s="2" t="s">
        <v>73</v>
      </c>
      <c r="J4178" s="2" t="s">
        <v>9209</v>
      </c>
      <c r="K4178">
        <v>20</v>
      </c>
      <c r="L4178">
        <v>20</v>
      </c>
      <c r="M4178">
        <v>20</v>
      </c>
    </row>
    <row r="4179" spans="1:13" x14ac:dyDescent="0.25">
      <c r="A4179" t="s">
        <v>9210</v>
      </c>
      <c r="B4179" t="s">
        <v>9211</v>
      </c>
      <c r="C4179" t="s">
        <v>1432</v>
      </c>
      <c r="F4179">
        <v>1</v>
      </c>
      <c r="G4179" t="s">
        <v>16</v>
      </c>
      <c r="H4179">
        <v>0</v>
      </c>
      <c r="I4179" s="2" t="s">
        <v>165</v>
      </c>
      <c r="J4179" s="2">
        <v>207319</v>
      </c>
      <c r="K4179">
        <v>20</v>
      </c>
      <c r="L4179">
        <v>20</v>
      </c>
      <c r="M4179">
        <v>20</v>
      </c>
    </row>
    <row r="4180" spans="1:13" x14ac:dyDescent="0.25">
      <c r="A4180" t="s">
        <v>9212</v>
      </c>
      <c r="B4180" t="s">
        <v>9213</v>
      </c>
      <c r="C4180" t="s">
        <v>496</v>
      </c>
      <c r="D4180" t="s">
        <v>4083</v>
      </c>
      <c r="F4180">
        <v>3</v>
      </c>
      <c r="G4180" t="s">
        <v>16</v>
      </c>
      <c r="H4180">
        <v>0</v>
      </c>
      <c r="I4180" s="2" t="s">
        <v>73</v>
      </c>
      <c r="J4180" s="2">
        <v>82033965</v>
      </c>
      <c r="K4180">
        <v>20</v>
      </c>
      <c r="L4180">
        <v>20</v>
      </c>
      <c r="M4180">
        <v>20</v>
      </c>
    </row>
    <row r="4181" spans="1:13" x14ac:dyDescent="0.25">
      <c r="A4181" t="s">
        <v>9214</v>
      </c>
      <c r="B4181" t="s">
        <v>9215</v>
      </c>
      <c r="C4181" t="s">
        <v>496</v>
      </c>
      <c r="D4181" t="s">
        <v>4083</v>
      </c>
      <c r="F4181">
        <v>1</v>
      </c>
      <c r="G4181" t="s">
        <v>16</v>
      </c>
      <c r="H4181">
        <v>0</v>
      </c>
      <c r="I4181" s="2" t="s">
        <v>851</v>
      </c>
      <c r="J4181" s="2">
        <v>244051</v>
      </c>
      <c r="K4181">
        <v>20</v>
      </c>
      <c r="L4181">
        <v>20</v>
      </c>
      <c r="M4181">
        <v>20</v>
      </c>
    </row>
    <row r="4182" spans="1:13" x14ac:dyDescent="0.25">
      <c r="A4182" t="s">
        <v>9216</v>
      </c>
      <c r="B4182" t="s">
        <v>9217</v>
      </c>
      <c r="C4182" t="s">
        <v>496</v>
      </c>
      <c r="D4182" t="s">
        <v>4083</v>
      </c>
      <c r="F4182">
        <v>1</v>
      </c>
      <c r="G4182" t="s">
        <v>16</v>
      </c>
      <c r="H4182">
        <v>0</v>
      </c>
      <c r="I4182" s="2" t="s">
        <v>64</v>
      </c>
      <c r="J4182" s="2" t="str">
        <f>"01010266"</f>
        <v>01010266</v>
      </c>
      <c r="K4182">
        <v>20</v>
      </c>
      <c r="L4182">
        <v>20</v>
      </c>
      <c r="M4182">
        <v>20</v>
      </c>
    </row>
    <row r="4183" spans="1:13" x14ac:dyDescent="0.25">
      <c r="A4183" t="s">
        <v>9218</v>
      </c>
      <c r="B4183" t="s">
        <v>9215</v>
      </c>
      <c r="C4183" t="s">
        <v>496</v>
      </c>
      <c r="D4183" t="s">
        <v>4083</v>
      </c>
      <c r="F4183">
        <v>0</v>
      </c>
      <c r="G4183" t="s">
        <v>16</v>
      </c>
      <c r="H4183">
        <v>0</v>
      </c>
      <c r="I4183" s="2" t="s">
        <v>162</v>
      </c>
      <c r="J4183" s="2">
        <v>70325</v>
      </c>
      <c r="K4183">
        <v>20</v>
      </c>
      <c r="L4183">
        <v>20</v>
      </c>
      <c r="M4183">
        <v>20</v>
      </c>
    </row>
    <row r="4184" spans="1:13" x14ac:dyDescent="0.25">
      <c r="A4184" t="s">
        <v>9219</v>
      </c>
      <c r="B4184" t="s">
        <v>9220</v>
      </c>
      <c r="C4184" t="s">
        <v>496</v>
      </c>
      <c r="D4184" t="s">
        <v>4083</v>
      </c>
      <c r="F4184">
        <v>0</v>
      </c>
      <c r="G4184" t="s">
        <v>16</v>
      </c>
      <c r="H4184">
        <v>0</v>
      </c>
      <c r="I4184" s="2" t="s">
        <v>1175</v>
      </c>
      <c r="J4184" s="2" t="s">
        <v>9221</v>
      </c>
      <c r="K4184">
        <v>20</v>
      </c>
      <c r="L4184">
        <v>20</v>
      </c>
      <c r="M4184">
        <v>20</v>
      </c>
    </row>
    <row r="4185" spans="1:13" x14ac:dyDescent="0.25">
      <c r="A4185" t="s">
        <v>9222</v>
      </c>
      <c r="B4185" t="s">
        <v>9223</v>
      </c>
      <c r="C4185" t="s">
        <v>496</v>
      </c>
      <c r="D4185" t="s">
        <v>4083</v>
      </c>
      <c r="F4185">
        <v>0</v>
      </c>
      <c r="G4185" t="s">
        <v>16</v>
      </c>
      <c r="H4185">
        <v>0</v>
      </c>
      <c r="I4185" s="2" t="s">
        <v>500</v>
      </c>
      <c r="J4185" s="2" t="s">
        <v>9224</v>
      </c>
      <c r="K4185">
        <v>20</v>
      </c>
      <c r="L4185">
        <v>20</v>
      </c>
      <c r="M4185">
        <v>20</v>
      </c>
    </row>
    <row r="4186" spans="1:13" x14ac:dyDescent="0.25">
      <c r="A4186" t="s">
        <v>9225</v>
      </c>
      <c r="B4186" t="s">
        <v>9226</v>
      </c>
      <c r="C4186" t="s">
        <v>496</v>
      </c>
      <c r="D4186" t="s">
        <v>4083</v>
      </c>
      <c r="F4186">
        <v>0</v>
      </c>
      <c r="G4186" t="s">
        <v>16</v>
      </c>
      <c r="H4186">
        <v>0</v>
      </c>
      <c r="I4186" s="2" t="s">
        <v>8700</v>
      </c>
      <c r="J4186" s="2" t="s">
        <v>9227</v>
      </c>
      <c r="K4186">
        <v>20</v>
      </c>
      <c r="L4186">
        <v>20</v>
      </c>
      <c r="M4186">
        <v>20</v>
      </c>
    </row>
    <row r="4187" spans="1:13" x14ac:dyDescent="0.25">
      <c r="A4187" t="s">
        <v>9228</v>
      </c>
      <c r="B4187" t="s">
        <v>9229</v>
      </c>
      <c r="C4187" t="s">
        <v>496</v>
      </c>
      <c r="D4187" t="s">
        <v>4083</v>
      </c>
      <c r="F4187">
        <v>1</v>
      </c>
      <c r="G4187" t="s">
        <v>16</v>
      </c>
      <c r="H4187">
        <v>0</v>
      </c>
      <c r="I4187" s="2" t="s">
        <v>64</v>
      </c>
      <c r="J4187" s="2" t="str">
        <f>"01010389"</f>
        <v>01010389</v>
      </c>
      <c r="K4187">
        <v>20</v>
      </c>
      <c r="L4187">
        <v>20</v>
      </c>
      <c r="M4187">
        <v>20</v>
      </c>
    </row>
    <row r="4188" spans="1:13" x14ac:dyDescent="0.25">
      <c r="A4188" t="s">
        <v>9230</v>
      </c>
      <c r="B4188" t="s">
        <v>9231</v>
      </c>
      <c r="C4188" t="s">
        <v>496</v>
      </c>
      <c r="D4188" t="s">
        <v>5072</v>
      </c>
      <c r="G4188" t="s">
        <v>16</v>
      </c>
      <c r="H4188">
        <v>0</v>
      </c>
      <c r="I4188" s="2" t="s">
        <v>491</v>
      </c>
      <c r="J4188" s="2">
        <v>359002500840</v>
      </c>
      <c r="K4188">
        <v>20</v>
      </c>
      <c r="L4188">
        <v>20</v>
      </c>
      <c r="M4188">
        <v>20</v>
      </c>
    </row>
    <row r="4189" spans="1:13" x14ac:dyDescent="0.25">
      <c r="A4189" t="s">
        <v>9232</v>
      </c>
      <c r="B4189" t="s">
        <v>9231</v>
      </c>
      <c r="C4189" t="s">
        <v>496</v>
      </c>
      <c r="D4189" t="s">
        <v>4083</v>
      </c>
      <c r="F4189">
        <v>0</v>
      </c>
      <c r="G4189" t="s">
        <v>16</v>
      </c>
      <c r="H4189">
        <v>0</v>
      </c>
      <c r="I4189" s="2" t="s">
        <v>162</v>
      </c>
      <c r="J4189" s="2">
        <v>70340</v>
      </c>
      <c r="K4189">
        <v>20</v>
      </c>
      <c r="L4189">
        <v>20</v>
      </c>
      <c r="M4189">
        <v>20</v>
      </c>
    </row>
    <row r="4190" spans="1:13" x14ac:dyDescent="0.25">
      <c r="A4190" t="s">
        <v>9233</v>
      </c>
      <c r="B4190" t="s">
        <v>9234</v>
      </c>
      <c r="C4190" t="s">
        <v>2493</v>
      </c>
      <c r="D4190" t="s">
        <v>5072</v>
      </c>
      <c r="G4190" t="s">
        <v>16</v>
      </c>
      <c r="H4190">
        <v>0</v>
      </c>
      <c r="I4190" s="2" t="s">
        <v>491</v>
      </c>
      <c r="J4190" s="2">
        <v>359002500980</v>
      </c>
      <c r="K4190">
        <v>20</v>
      </c>
      <c r="L4190">
        <v>20</v>
      </c>
      <c r="M4190">
        <v>20</v>
      </c>
    </row>
    <row r="4191" spans="1:13" x14ac:dyDescent="0.25">
      <c r="A4191" t="s">
        <v>9235</v>
      </c>
      <c r="B4191" t="s">
        <v>9236</v>
      </c>
      <c r="C4191" t="s">
        <v>496</v>
      </c>
      <c r="D4191" t="s">
        <v>4101</v>
      </c>
      <c r="G4191" t="s">
        <v>16</v>
      </c>
      <c r="H4191">
        <v>0</v>
      </c>
      <c r="I4191" s="2" t="s">
        <v>3783</v>
      </c>
      <c r="J4191" s="2" t="s">
        <v>9237</v>
      </c>
      <c r="K4191">
        <v>20</v>
      </c>
      <c r="L4191">
        <v>20</v>
      </c>
      <c r="M4191">
        <v>20</v>
      </c>
    </row>
    <row r="4192" spans="1:13" x14ac:dyDescent="0.25">
      <c r="A4192" t="s">
        <v>9238</v>
      </c>
      <c r="B4192" t="s">
        <v>9236</v>
      </c>
      <c r="C4192" t="s">
        <v>496</v>
      </c>
      <c r="D4192" t="s">
        <v>4101</v>
      </c>
      <c r="G4192" t="s">
        <v>16</v>
      </c>
      <c r="H4192">
        <v>0</v>
      </c>
      <c r="I4192" s="2" t="s">
        <v>1674</v>
      </c>
      <c r="J4192" s="2" t="s">
        <v>9239</v>
      </c>
      <c r="K4192">
        <v>20</v>
      </c>
      <c r="L4192">
        <v>20</v>
      </c>
      <c r="M4192">
        <v>20</v>
      </c>
    </row>
    <row r="4193" spans="1:13" x14ac:dyDescent="0.25">
      <c r="A4193" t="s">
        <v>9240</v>
      </c>
      <c r="B4193" t="s">
        <v>9241</v>
      </c>
      <c r="C4193" t="s">
        <v>496</v>
      </c>
      <c r="D4193" t="s">
        <v>4101</v>
      </c>
      <c r="G4193" t="s">
        <v>16</v>
      </c>
      <c r="H4193">
        <v>0</v>
      </c>
      <c r="I4193" s="2" t="s">
        <v>285</v>
      </c>
      <c r="J4193" s="2">
        <v>72266</v>
      </c>
      <c r="K4193">
        <v>20</v>
      </c>
      <c r="L4193">
        <v>20</v>
      </c>
      <c r="M4193">
        <v>20</v>
      </c>
    </row>
    <row r="4194" spans="1:13" x14ac:dyDescent="0.25">
      <c r="A4194" t="s">
        <v>9242</v>
      </c>
      <c r="B4194" t="s">
        <v>9243</v>
      </c>
      <c r="C4194" t="s">
        <v>496</v>
      </c>
      <c r="D4194" t="s">
        <v>4101</v>
      </c>
      <c r="F4194">
        <v>2</v>
      </c>
      <c r="G4194" t="s">
        <v>16</v>
      </c>
      <c r="H4194">
        <v>0</v>
      </c>
      <c r="I4194" s="2" t="s">
        <v>5403</v>
      </c>
      <c r="J4194" s="2">
        <v>818079</v>
      </c>
      <c r="K4194">
        <v>20</v>
      </c>
      <c r="L4194">
        <v>20</v>
      </c>
      <c r="M4194">
        <v>20</v>
      </c>
    </row>
    <row r="4195" spans="1:13" x14ac:dyDescent="0.25">
      <c r="A4195" t="s">
        <v>9244</v>
      </c>
      <c r="B4195" t="s">
        <v>9243</v>
      </c>
      <c r="C4195" t="s">
        <v>496</v>
      </c>
      <c r="D4195" t="s">
        <v>4101</v>
      </c>
      <c r="F4195">
        <v>3</v>
      </c>
      <c r="G4195" t="s">
        <v>16</v>
      </c>
      <c r="H4195">
        <v>0</v>
      </c>
      <c r="I4195" s="2" t="s">
        <v>5297</v>
      </c>
      <c r="J4195" s="2" t="s">
        <v>9245</v>
      </c>
      <c r="K4195">
        <v>20</v>
      </c>
      <c r="L4195">
        <v>20</v>
      </c>
      <c r="M4195">
        <v>20</v>
      </c>
    </row>
    <row r="4196" spans="1:13" x14ac:dyDescent="0.25">
      <c r="A4196" t="s">
        <v>9246</v>
      </c>
      <c r="B4196" t="s">
        <v>9243</v>
      </c>
      <c r="C4196" t="s">
        <v>496</v>
      </c>
      <c r="D4196" t="s">
        <v>4101</v>
      </c>
      <c r="F4196">
        <v>2</v>
      </c>
      <c r="G4196" t="s">
        <v>16</v>
      </c>
      <c r="H4196">
        <v>0</v>
      </c>
      <c r="I4196" s="2" t="s">
        <v>5403</v>
      </c>
      <c r="J4196" s="2" t="s">
        <v>9247</v>
      </c>
      <c r="K4196">
        <v>20</v>
      </c>
      <c r="L4196">
        <v>20</v>
      </c>
      <c r="M4196">
        <v>20</v>
      </c>
    </row>
    <row r="4197" spans="1:13" x14ac:dyDescent="0.25">
      <c r="A4197" t="s">
        <v>9248</v>
      </c>
      <c r="B4197" t="s">
        <v>9243</v>
      </c>
      <c r="C4197" t="s">
        <v>496</v>
      </c>
      <c r="D4197" t="s">
        <v>4101</v>
      </c>
      <c r="G4197" t="s">
        <v>16</v>
      </c>
      <c r="H4197">
        <v>0</v>
      </c>
      <c r="I4197" s="2" t="s">
        <v>1674</v>
      </c>
      <c r="J4197" s="2" t="s">
        <v>9249</v>
      </c>
      <c r="K4197">
        <v>20</v>
      </c>
      <c r="L4197">
        <v>20</v>
      </c>
      <c r="M4197">
        <v>20</v>
      </c>
    </row>
    <row r="4198" spans="1:13" x14ac:dyDescent="0.25">
      <c r="A4198" t="s">
        <v>9250</v>
      </c>
      <c r="B4198" t="s">
        <v>9243</v>
      </c>
      <c r="C4198" t="s">
        <v>2493</v>
      </c>
      <c r="D4198" t="s">
        <v>4101</v>
      </c>
      <c r="F4198">
        <v>2</v>
      </c>
      <c r="G4198" t="s">
        <v>16</v>
      </c>
      <c r="H4198">
        <v>0</v>
      </c>
      <c r="I4198" s="2" t="s">
        <v>9251</v>
      </c>
      <c r="J4198" s="2" t="s">
        <v>9252</v>
      </c>
      <c r="K4198">
        <v>20</v>
      </c>
      <c r="L4198">
        <v>20</v>
      </c>
      <c r="M4198">
        <v>20</v>
      </c>
    </row>
    <row r="4199" spans="1:13" x14ac:dyDescent="0.25">
      <c r="A4199" t="s">
        <v>9253</v>
      </c>
      <c r="B4199" t="s">
        <v>9254</v>
      </c>
      <c r="C4199" t="s">
        <v>496</v>
      </c>
      <c r="D4199" t="s">
        <v>4101</v>
      </c>
      <c r="F4199">
        <v>1</v>
      </c>
      <c r="G4199" t="s">
        <v>16</v>
      </c>
      <c r="H4199">
        <v>0</v>
      </c>
      <c r="I4199" s="2" t="s">
        <v>5297</v>
      </c>
      <c r="J4199" s="2" t="s">
        <v>9255</v>
      </c>
      <c r="K4199">
        <v>20</v>
      </c>
      <c r="L4199">
        <v>20</v>
      </c>
      <c r="M4199">
        <v>20</v>
      </c>
    </row>
    <row r="4200" spans="1:13" x14ac:dyDescent="0.25">
      <c r="A4200" t="s">
        <v>9256</v>
      </c>
      <c r="B4200" t="s">
        <v>9257</v>
      </c>
      <c r="C4200" t="s">
        <v>496</v>
      </c>
      <c r="D4200" t="s">
        <v>4101</v>
      </c>
      <c r="F4200">
        <v>2</v>
      </c>
      <c r="G4200" t="s">
        <v>16</v>
      </c>
      <c r="H4200">
        <v>0</v>
      </c>
      <c r="I4200" s="2" t="s">
        <v>3808</v>
      </c>
      <c r="J4200" s="2" t="s">
        <v>9258</v>
      </c>
      <c r="K4200">
        <v>20</v>
      </c>
      <c r="L4200">
        <v>20</v>
      </c>
      <c r="M4200">
        <v>20</v>
      </c>
    </row>
    <row r="4201" spans="1:13" x14ac:dyDescent="0.25">
      <c r="A4201" t="s">
        <v>9259</v>
      </c>
      <c r="B4201" t="s">
        <v>9260</v>
      </c>
      <c r="C4201" t="s">
        <v>496</v>
      </c>
      <c r="D4201" t="s">
        <v>4101</v>
      </c>
      <c r="F4201">
        <v>2</v>
      </c>
      <c r="G4201" t="s">
        <v>16</v>
      </c>
      <c r="H4201">
        <v>0</v>
      </c>
      <c r="I4201" s="2" t="s">
        <v>7790</v>
      </c>
      <c r="J4201" s="2" t="s">
        <v>9261</v>
      </c>
      <c r="K4201">
        <v>20</v>
      </c>
      <c r="L4201">
        <v>20</v>
      </c>
      <c r="M4201">
        <v>20</v>
      </c>
    </row>
    <row r="4202" spans="1:13" x14ac:dyDescent="0.25">
      <c r="A4202" t="s">
        <v>9262</v>
      </c>
      <c r="B4202" t="s">
        <v>9263</v>
      </c>
      <c r="C4202" t="s">
        <v>496</v>
      </c>
      <c r="D4202" t="s">
        <v>4101</v>
      </c>
      <c r="F4202">
        <v>2</v>
      </c>
      <c r="G4202" t="s">
        <v>16</v>
      </c>
      <c r="H4202">
        <v>0</v>
      </c>
      <c r="I4202" s="2" t="s">
        <v>64</v>
      </c>
      <c r="J4202" s="2">
        <v>14020084</v>
      </c>
      <c r="K4202">
        <v>20</v>
      </c>
      <c r="L4202">
        <v>20</v>
      </c>
      <c r="M4202">
        <v>20</v>
      </c>
    </row>
    <row r="4203" spans="1:13" x14ac:dyDescent="0.25">
      <c r="A4203" t="s">
        <v>9264</v>
      </c>
      <c r="B4203" t="s">
        <v>9260</v>
      </c>
      <c r="C4203" t="s">
        <v>496</v>
      </c>
      <c r="D4203" t="s">
        <v>4101</v>
      </c>
      <c r="G4203" t="s">
        <v>16</v>
      </c>
      <c r="H4203">
        <v>0</v>
      </c>
      <c r="I4203" s="2" t="s">
        <v>414</v>
      </c>
      <c r="J4203" s="2" t="s">
        <v>9265</v>
      </c>
      <c r="K4203">
        <v>20</v>
      </c>
      <c r="L4203">
        <v>20</v>
      </c>
      <c r="M4203">
        <v>20</v>
      </c>
    </row>
    <row r="4204" spans="1:13" x14ac:dyDescent="0.25">
      <c r="A4204" t="s">
        <v>9266</v>
      </c>
      <c r="B4204" t="s">
        <v>9267</v>
      </c>
      <c r="C4204" t="s">
        <v>496</v>
      </c>
      <c r="D4204" t="s">
        <v>4101</v>
      </c>
      <c r="F4204">
        <v>3</v>
      </c>
      <c r="G4204" t="s">
        <v>16</v>
      </c>
      <c r="H4204">
        <v>0</v>
      </c>
      <c r="I4204" s="2" t="s">
        <v>2670</v>
      </c>
      <c r="J4204" s="2" t="s">
        <v>9268</v>
      </c>
      <c r="K4204">
        <v>20</v>
      </c>
      <c r="L4204">
        <v>20</v>
      </c>
      <c r="M4204">
        <v>20</v>
      </c>
    </row>
    <row r="4205" spans="1:13" x14ac:dyDescent="0.25">
      <c r="A4205" t="s">
        <v>9269</v>
      </c>
      <c r="B4205" t="s">
        <v>9270</v>
      </c>
      <c r="C4205" t="s">
        <v>496</v>
      </c>
      <c r="D4205" t="s">
        <v>4101</v>
      </c>
      <c r="F4205">
        <v>5</v>
      </c>
      <c r="G4205" t="s">
        <v>16</v>
      </c>
      <c r="H4205">
        <v>0</v>
      </c>
      <c r="I4205" s="2" t="s">
        <v>3808</v>
      </c>
      <c r="J4205" s="2" t="s">
        <v>9271</v>
      </c>
      <c r="K4205">
        <v>20</v>
      </c>
      <c r="L4205">
        <v>20</v>
      </c>
      <c r="M4205">
        <v>20</v>
      </c>
    </row>
    <row r="4206" spans="1:13" x14ac:dyDescent="0.25">
      <c r="A4206" t="s">
        <v>9272</v>
      </c>
      <c r="B4206" t="s">
        <v>9273</v>
      </c>
      <c r="C4206" t="s">
        <v>2493</v>
      </c>
      <c r="D4206" t="s">
        <v>4101</v>
      </c>
      <c r="F4206">
        <v>2</v>
      </c>
      <c r="G4206" t="s">
        <v>16</v>
      </c>
      <c r="H4206">
        <v>0</v>
      </c>
      <c r="I4206" s="2" t="s">
        <v>3808</v>
      </c>
      <c r="J4206" s="2" t="s">
        <v>9274</v>
      </c>
      <c r="K4206">
        <v>20</v>
      </c>
      <c r="L4206">
        <v>20</v>
      </c>
      <c r="M4206">
        <v>20</v>
      </c>
    </row>
    <row r="4207" spans="1:13" x14ac:dyDescent="0.25">
      <c r="A4207" t="s">
        <v>9275</v>
      </c>
      <c r="B4207" t="s">
        <v>9276</v>
      </c>
      <c r="C4207" t="s">
        <v>496</v>
      </c>
      <c r="D4207" t="s">
        <v>4101</v>
      </c>
      <c r="F4207">
        <v>-1</v>
      </c>
      <c r="G4207" t="s">
        <v>16</v>
      </c>
      <c r="H4207">
        <v>0</v>
      </c>
      <c r="I4207" s="2" t="s">
        <v>87</v>
      </c>
      <c r="J4207" s="2" t="s">
        <v>9277</v>
      </c>
      <c r="K4207">
        <v>20</v>
      </c>
      <c r="L4207">
        <v>20</v>
      </c>
      <c r="M4207">
        <v>20</v>
      </c>
    </row>
    <row r="4208" spans="1:13" x14ac:dyDescent="0.25">
      <c r="A4208" t="s">
        <v>9278</v>
      </c>
      <c r="B4208" t="s">
        <v>9279</v>
      </c>
      <c r="C4208" t="s">
        <v>496</v>
      </c>
      <c r="D4208" t="s">
        <v>4101</v>
      </c>
      <c r="F4208">
        <v>3</v>
      </c>
      <c r="G4208" t="s">
        <v>16</v>
      </c>
      <c r="H4208">
        <v>0</v>
      </c>
      <c r="I4208" s="2" t="s">
        <v>7781</v>
      </c>
      <c r="J4208" s="2" t="s">
        <v>9280</v>
      </c>
      <c r="K4208">
        <v>20</v>
      </c>
      <c r="L4208">
        <v>20</v>
      </c>
      <c r="M4208">
        <v>20</v>
      </c>
    </row>
    <row r="4209" spans="1:13" x14ac:dyDescent="0.25">
      <c r="A4209" t="s">
        <v>9281</v>
      </c>
      <c r="B4209" t="s">
        <v>9276</v>
      </c>
      <c r="C4209" t="s">
        <v>496</v>
      </c>
      <c r="D4209" t="s">
        <v>4101</v>
      </c>
      <c r="G4209" t="s">
        <v>16</v>
      </c>
      <c r="H4209">
        <v>0</v>
      </c>
      <c r="I4209" s="2" t="s">
        <v>7790</v>
      </c>
      <c r="J4209" s="2" t="s">
        <v>9282</v>
      </c>
      <c r="K4209">
        <v>20</v>
      </c>
      <c r="L4209">
        <v>20</v>
      </c>
      <c r="M4209">
        <v>20</v>
      </c>
    </row>
    <row r="4210" spans="1:13" x14ac:dyDescent="0.25">
      <c r="A4210" t="s">
        <v>9283</v>
      </c>
      <c r="B4210" t="s">
        <v>9276</v>
      </c>
      <c r="C4210" t="s">
        <v>496</v>
      </c>
      <c r="D4210" t="s">
        <v>4101</v>
      </c>
      <c r="F4210">
        <v>2</v>
      </c>
      <c r="G4210" t="s">
        <v>16</v>
      </c>
      <c r="H4210">
        <v>0</v>
      </c>
      <c r="I4210" s="2" t="s">
        <v>3808</v>
      </c>
      <c r="J4210" s="2" t="s">
        <v>9284</v>
      </c>
      <c r="K4210">
        <v>20</v>
      </c>
      <c r="L4210">
        <v>20</v>
      </c>
      <c r="M4210">
        <v>20</v>
      </c>
    </row>
    <row r="4211" spans="1:13" x14ac:dyDescent="0.25">
      <c r="A4211" t="s">
        <v>9285</v>
      </c>
      <c r="B4211" t="s">
        <v>9287</v>
      </c>
      <c r="C4211" t="s">
        <v>496</v>
      </c>
      <c r="D4211" t="s">
        <v>4083</v>
      </c>
      <c r="F4211">
        <v>1</v>
      </c>
      <c r="G4211" t="s">
        <v>16</v>
      </c>
      <c r="H4211">
        <v>0</v>
      </c>
      <c r="I4211" s="2" t="s">
        <v>288</v>
      </c>
      <c r="J4211" s="2" t="s">
        <v>9286</v>
      </c>
      <c r="K4211">
        <v>20</v>
      </c>
      <c r="L4211">
        <v>20</v>
      </c>
      <c r="M4211">
        <v>20</v>
      </c>
    </row>
    <row r="4212" spans="1:13" x14ac:dyDescent="0.25">
      <c r="A4212" t="s">
        <v>9288</v>
      </c>
      <c r="B4212" t="s">
        <v>9290</v>
      </c>
      <c r="C4212" t="s">
        <v>496</v>
      </c>
      <c r="D4212" t="s">
        <v>4083</v>
      </c>
      <c r="G4212" t="s">
        <v>16</v>
      </c>
      <c r="H4212">
        <v>0</v>
      </c>
      <c r="I4212" s="2" t="s">
        <v>288</v>
      </c>
      <c r="J4212" s="2" t="s">
        <v>9289</v>
      </c>
      <c r="K4212">
        <v>20</v>
      </c>
      <c r="L4212">
        <v>20</v>
      </c>
      <c r="M4212">
        <v>20</v>
      </c>
    </row>
    <row r="4213" spans="1:13" x14ac:dyDescent="0.25">
      <c r="A4213" t="s">
        <v>9291</v>
      </c>
      <c r="B4213" t="s">
        <v>9293</v>
      </c>
      <c r="C4213" t="s">
        <v>496</v>
      </c>
      <c r="D4213" t="s">
        <v>4083</v>
      </c>
      <c r="F4213">
        <v>1</v>
      </c>
      <c r="G4213" t="s">
        <v>16</v>
      </c>
      <c r="H4213">
        <v>0</v>
      </c>
      <c r="I4213" s="2" t="s">
        <v>765</v>
      </c>
      <c r="J4213" s="2" t="s">
        <v>9292</v>
      </c>
      <c r="K4213">
        <v>20</v>
      </c>
      <c r="L4213">
        <v>20</v>
      </c>
      <c r="M4213">
        <v>20</v>
      </c>
    </row>
    <row r="4214" spans="1:13" x14ac:dyDescent="0.25">
      <c r="A4214" t="s">
        <v>9294</v>
      </c>
      <c r="B4214" t="s">
        <v>9296</v>
      </c>
      <c r="C4214" t="s">
        <v>496</v>
      </c>
      <c r="D4214" t="s">
        <v>4083</v>
      </c>
      <c r="G4214" t="s">
        <v>16</v>
      </c>
      <c r="H4214">
        <v>0</v>
      </c>
      <c r="I4214" s="2" t="s">
        <v>765</v>
      </c>
      <c r="J4214" s="2" t="s">
        <v>9295</v>
      </c>
      <c r="K4214">
        <v>20</v>
      </c>
      <c r="L4214">
        <v>20</v>
      </c>
      <c r="M4214">
        <v>20</v>
      </c>
    </row>
    <row r="4215" spans="1:13" x14ac:dyDescent="0.25">
      <c r="A4215" t="s">
        <v>9297</v>
      </c>
      <c r="B4215" t="s">
        <v>9299</v>
      </c>
      <c r="C4215" t="s">
        <v>496</v>
      </c>
      <c r="D4215" t="s">
        <v>4083</v>
      </c>
      <c r="G4215" t="s">
        <v>16</v>
      </c>
      <c r="H4215">
        <v>0</v>
      </c>
      <c r="I4215" s="2" t="s">
        <v>288</v>
      </c>
      <c r="J4215" s="2" t="s">
        <v>9298</v>
      </c>
      <c r="K4215">
        <v>20</v>
      </c>
      <c r="L4215">
        <v>20</v>
      </c>
      <c r="M4215">
        <v>20</v>
      </c>
    </row>
    <row r="4216" spans="1:13" x14ac:dyDescent="0.25">
      <c r="A4216" t="s">
        <v>9300</v>
      </c>
      <c r="B4216" t="s">
        <v>9301</v>
      </c>
      <c r="C4216" t="s">
        <v>2493</v>
      </c>
      <c r="D4216" t="s">
        <v>5072</v>
      </c>
      <c r="F4216">
        <v>2</v>
      </c>
      <c r="G4216" t="s">
        <v>16</v>
      </c>
      <c r="H4216">
        <v>0</v>
      </c>
      <c r="I4216" s="2" t="s">
        <v>7939</v>
      </c>
      <c r="J4216" s="2" t="s">
        <v>9302</v>
      </c>
      <c r="K4216">
        <v>20</v>
      </c>
      <c r="L4216">
        <v>20</v>
      </c>
      <c r="M4216">
        <v>20</v>
      </c>
    </row>
    <row r="4217" spans="1:13" x14ac:dyDescent="0.25">
      <c r="A4217" t="s">
        <v>9303</v>
      </c>
      <c r="B4217" t="s">
        <v>9304</v>
      </c>
      <c r="C4217" t="s">
        <v>2493</v>
      </c>
      <c r="D4217" t="s">
        <v>5072</v>
      </c>
      <c r="G4217" t="s">
        <v>16</v>
      </c>
      <c r="H4217">
        <v>0</v>
      </c>
      <c r="I4217" s="2" t="s">
        <v>9305</v>
      </c>
      <c r="J4217" s="2" t="s">
        <v>9306</v>
      </c>
      <c r="K4217">
        <v>20</v>
      </c>
      <c r="L4217">
        <v>20</v>
      </c>
      <c r="M4217">
        <v>20</v>
      </c>
    </row>
    <row r="4218" spans="1:13" x14ac:dyDescent="0.25">
      <c r="A4218" t="s">
        <v>9307</v>
      </c>
      <c r="B4218" t="s">
        <v>9308</v>
      </c>
      <c r="C4218" t="s">
        <v>496</v>
      </c>
      <c r="F4218">
        <v>3</v>
      </c>
      <c r="G4218" t="s">
        <v>16</v>
      </c>
      <c r="H4218">
        <v>0</v>
      </c>
      <c r="I4218" s="2" t="s">
        <v>4086</v>
      </c>
      <c r="J4218" s="2" t="str">
        <f>"00918"</f>
        <v>00918</v>
      </c>
      <c r="K4218">
        <v>20</v>
      </c>
      <c r="L4218">
        <v>20</v>
      </c>
      <c r="M4218">
        <v>20</v>
      </c>
    </row>
    <row r="4219" spans="1:13" x14ac:dyDescent="0.25">
      <c r="A4219" t="s">
        <v>9309</v>
      </c>
      <c r="B4219" t="s">
        <v>9310</v>
      </c>
      <c r="C4219" t="s">
        <v>496</v>
      </c>
      <c r="F4219">
        <v>1</v>
      </c>
      <c r="G4219" t="s">
        <v>16</v>
      </c>
      <c r="H4219">
        <v>0</v>
      </c>
      <c r="I4219" s="2" t="s">
        <v>4086</v>
      </c>
      <c r="J4219" s="2" t="str">
        <f>"00931"</f>
        <v>00931</v>
      </c>
      <c r="K4219">
        <v>20</v>
      </c>
      <c r="L4219">
        <v>20</v>
      </c>
      <c r="M4219">
        <v>20</v>
      </c>
    </row>
    <row r="4220" spans="1:13" x14ac:dyDescent="0.25">
      <c r="A4220" t="s">
        <v>9311</v>
      </c>
      <c r="B4220" t="s">
        <v>9312</v>
      </c>
      <c r="C4220" t="s">
        <v>496</v>
      </c>
      <c r="F4220">
        <v>3</v>
      </c>
      <c r="G4220" t="s">
        <v>16</v>
      </c>
      <c r="H4220">
        <v>0</v>
      </c>
      <c r="I4220" s="2" t="s">
        <v>87</v>
      </c>
      <c r="J4220" s="2" t="s">
        <v>9313</v>
      </c>
      <c r="K4220">
        <v>20</v>
      </c>
      <c r="L4220">
        <v>20</v>
      </c>
      <c r="M4220">
        <v>20</v>
      </c>
    </row>
    <row r="4221" spans="1:13" x14ac:dyDescent="0.25">
      <c r="A4221" t="s">
        <v>9314</v>
      </c>
      <c r="B4221" t="s">
        <v>9312</v>
      </c>
      <c r="C4221" t="s">
        <v>496</v>
      </c>
      <c r="F4221">
        <v>2</v>
      </c>
      <c r="G4221" t="s">
        <v>16</v>
      </c>
      <c r="H4221">
        <v>0</v>
      </c>
      <c r="I4221" s="2" t="s">
        <v>2533</v>
      </c>
      <c r="J4221" s="2" t="s">
        <v>9315</v>
      </c>
      <c r="K4221">
        <v>20</v>
      </c>
      <c r="L4221">
        <v>20</v>
      </c>
      <c r="M4221">
        <v>20</v>
      </c>
    </row>
    <row r="4222" spans="1:13" x14ac:dyDescent="0.25">
      <c r="A4222" t="s">
        <v>9316</v>
      </c>
      <c r="B4222" t="s">
        <v>9312</v>
      </c>
      <c r="C4222" t="s">
        <v>2493</v>
      </c>
      <c r="F4222">
        <v>2</v>
      </c>
      <c r="G4222" t="s">
        <v>16</v>
      </c>
      <c r="H4222">
        <v>0</v>
      </c>
      <c r="I4222" s="2" t="s">
        <v>108</v>
      </c>
      <c r="J4222" s="3">
        <v>2691204001</v>
      </c>
      <c r="K4222">
        <v>20</v>
      </c>
      <c r="L4222">
        <v>20</v>
      </c>
      <c r="M4222">
        <v>20</v>
      </c>
    </row>
    <row r="4223" spans="1:13" x14ac:dyDescent="0.25">
      <c r="A4223" t="s">
        <v>9317</v>
      </c>
      <c r="B4223" t="s">
        <v>9312</v>
      </c>
      <c r="C4223" t="s">
        <v>496</v>
      </c>
      <c r="G4223" t="s">
        <v>16</v>
      </c>
      <c r="H4223">
        <v>0</v>
      </c>
      <c r="I4223" s="2" t="s">
        <v>5040</v>
      </c>
      <c r="J4223" s="2" t="s">
        <v>9318</v>
      </c>
      <c r="K4223">
        <v>20</v>
      </c>
      <c r="L4223">
        <v>20</v>
      </c>
      <c r="M4223">
        <v>20</v>
      </c>
    </row>
    <row r="4224" spans="1:13" x14ac:dyDescent="0.25">
      <c r="A4224" t="s">
        <v>9319</v>
      </c>
      <c r="B4224" t="s">
        <v>9312</v>
      </c>
      <c r="C4224" t="s">
        <v>496</v>
      </c>
      <c r="G4224" t="s">
        <v>16</v>
      </c>
      <c r="H4224">
        <v>0</v>
      </c>
      <c r="I4224" s="2" t="s">
        <v>4214</v>
      </c>
      <c r="J4224" s="2" t="s">
        <v>9320</v>
      </c>
      <c r="K4224">
        <v>20</v>
      </c>
      <c r="L4224">
        <v>20</v>
      </c>
      <c r="M4224">
        <v>20</v>
      </c>
    </row>
    <row r="4225" spans="1:13" x14ac:dyDescent="0.25">
      <c r="A4225" t="s">
        <v>9321</v>
      </c>
      <c r="B4225" t="s">
        <v>9322</v>
      </c>
      <c r="C4225" t="s">
        <v>496</v>
      </c>
      <c r="F4225">
        <v>3</v>
      </c>
      <c r="G4225" t="s">
        <v>16</v>
      </c>
      <c r="H4225">
        <v>0</v>
      </c>
      <c r="I4225" s="2" t="s">
        <v>2517</v>
      </c>
      <c r="J4225" s="2" t="s">
        <v>9323</v>
      </c>
      <c r="K4225">
        <v>20</v>
      </c>
      <c r="L4225">
        <v>20</v>
      </c>
      <c r="M4225">
        <v>20</v>
      </c>
    </row>
    <row r="4226" spans="1:13" x14ac:dyDescent="0.25">
      <c r="A4226" t="s">
        <v>9324</v>
      </c>
      <c r="B4226" t="s">
        <v>9322</v>
      </c>
      <c r="C4226" t="s">
        <v>496</v>
      </c>
      <c r="F4226">
        <v>6</v>
      </c>
      <c r="G4226" t="s">
        <v>16</v>
      </c>
      <c r="H4226">
        <v>0</v>
      </c>
      <c r="I4226" s="2" t="s">
        <v>108</v>
      </c>
      <c r="J4226" s="3">
        <v>2541204001</v>
      </c>
      <c r="K4226">
        <v>20</v>
      </c>
      <c r="L4226">
        <v>20</v>
      </c>
      <c r="M4226">
        <v>20</v>
      </c>
    </row>
    <row r="4227" spans="1:13" x14ac:dyDescent="0.25">
      <c r="A4227" t="s">
        <v>9325</v>
      </c>
      <c r="B4227" t="s">
        <v>9322</v>
      </c>
      <c r="C4227" t="s">
        <v>496</v>
      </c>
      <c r="G4227" t="s">
        <v>16</v>
      </c>
      <c r="H4227">
        <v>0</v>
      </c>
      <c r="I4227" s="2" t="s">
        <v>4214</v>
      </c>
      <c r="J4227" s="2" t="s">
        <v>9326</v>
      </c>
      <c r="K4227">
        <v>20</v>
      </c>
      <c r="L4227">
        <v>20</v>
      </c>
      <c r="M4227">
        <v>20</v>
      </c>
    </row>
    <row r="4228" spans="1:13" x14ac:dyDescent="0.25">
      <c r="A4228" t="s">
        <v>9327</v>
      </c>
      <c r="B4228" t="s">
        <v>9328</v>
      </c>
      <c r="C4228" t="s">
        <v>496</v>
      </c>
      <c r="F4228">
        <v>2</v>
      </c>
      <c r="G4228" t="s">
        <v>16</v>
      </c>
      <c r="H4228">
        <v>0</v>
      </c>
      <c r="I4228" s="2" t="s">
        <v>2517</v>
      </c>
      <c r="J4228" s="2" t="s">
        <v>9329</v>
      </c>
      <c r="K4228">
        <v>20</v>
      </c>
      <c r="L4228">
        <v>20</v>
      </c>
      <c r="M4228">
        <v>20</v>
      </c>
    </row>
    <row r="4229" spans="1:13" x14ac:dyDescent="0.25">
      <c r="A4229" t="s">
        <v>9330</v>
      </c>
      <c r="B4229" t="s">
        <v>9328</v>
      </c>
      <c r="C4229" t="s">
        <v>2493</v>
      </c>
      <c r="G4229" t="s">
        <v>16</v>
      </c>
      <c r="H4229">
        <v>0</v>
      </c>
      <c r="I4229" s="2" t="s">
        <v>707</v>
      </c>
      <c r="J4229" s="2" t="s">
        <v>9331</v>
      </c>
      <c r="K4229">
        <v>20</v>
      </c>
      <c r="L4229">
        <v>20</v>
      </c>
      <c r="M4229">
        <v>20</v>
      </c>
    </row>
    <row r="4230" spans="1:13" x14ac:dyDescent="0.25">
      <c r="A4230" t="s">
        <v>9332</v>
      </c>
      <c r="B4230" t="s">
        <v>9328</v>
      </c>
      <c r="C4230" t="s">
        <v>496</v>
      </c>
      <c r="F4230">
        <v>2</v>
      </c>
      <c r="G4230" t="s">
        <v>16</v>
      </c>
      <c r="H4230">
        <v>0</v>
      </c>
      <c r="I4230" s="2" t="s">
        <v>108</v>
      </c>
      <c r="J4230" s="3">
        <v>3131204001</v>
      </c>
      <c r="K4230">
        <v>20</v>
      </c>
      <c r="L4230">
        <v>20</v>
      </c>
      <c r="M4230">
        <v>20</v>
      </c>
    </row>
    <row r="4231" spans="1:13" x14ac:dyDescent="0.25">
      <c r="A4231" t="s">
        <v>9333</v>
      </c>
      <c r="B4231" t="s">
        <v>9328</v>
      </c>
      <c r="C4231" t="s">
        <v>496</v>
      </c>
      <c r="F4231">
        <v>4</v>
      </c>
      <c r="G4231" t="s">
        <v>16</v>
      </c>
      <c r="H4231">
        <v>0</v>
      </c>
      <c r="I4231" s="2" t="s">
        <v>266</v>
      </c>
      <c r="J4231" s="2" t="s">
        <v>9334</v>
      </c>
      <c r="K4231">
        <v>20</v>
      </c>
      <c r="L4231">
        <v>20</v>
      </c>
      <c r="M4231">
        <v>20</v>
      </c>
    </row>
    <row r="4232" spans="1:13" x14ac:dyDescent="0.25">
      <c r="A4232" t="s">
        <v>9335</v>
      </c>
      <c r="B4232" t="s">
        <v>9336</v>
      </c>
      <c r="C4232" t="s">
        <v>2493</v>
      </c>
      <c r="F4232">
        <v>2</v>
      </c>
      <c r="G4232" t="s">
        <v>16</v>
      </c>
      <c r="H4232">
        <v>0</v>
      </c>
      <c r="I4232" s="2" t="s">
        <v>2533</v>
      </c>
      <c r="J4232" s="2" t="s">
        <v>9337</v>
      </c>
      <c r="K4232">
        <v>20</v>
      </c>
      <c r="L4232">
        <v>20</v>
      </c>
      <c r="M4232">
        <v>20</v>
      </c>
    </row>
    <row r="4233" spans="1:13" x14ac:dyDescent="0.25">
      <c r="A4233" t="s">
        <v>9338</v>
      </c>
      <c r="B4233" t="s">
        <v>9336</v>
      </c>
      <c r="C4233" t="s">
        <v>2493</v>
      </c>
      <c r="F4233">
        <v>2</v>
      </c>
      <c r="G4233" t="s">
        <v>16</v>
      </c>
      <c r="H4233">
        <v>0</v>
      </c>
      <c r="I4233" s="2" t="s">
        <v>108</v>
      </c>
      <c r="J4233" s="3">
        <v>2571204001</v>
      </c>
      <c r="K4233">
        <v>20</v>
      </c>
      <c r="L4233">
        <v>20</v>
      </c>
      <c r="M4233">
        <v>20</v>
      </c>
    </row>
    <row r="4234" spans="1:13" x14ac:dyDescent="0.25">
      <c r="A4234" t="s">
        <v>9339</v>
      </c>
      <c r="B4234" t="s">
        <v>9340</v>
      </c>
      <c r="C4234" t="s">
        <v>496</v>
      </c>
      <c r="F4234">
        <v>1</v>
      </c>
      <c r="G4234" t="s">
        <v>16</v>
      </c>
      <c r="H4234">
        <v>0</v>
      </c>
      <c r="I4234" s="2" t="s">
        <v>108</v>
      </c>
      <c r="J4234" s="3">
        <v>2571204006</v>
      </c>
      <c r="K4234">
        <v>20</v>
      </c>
      <c r="L4234">
        <v>20</v>
      </c>
      <c r="M4234">
        <v>20</v>
      </c>
    </row>
    <row r="4235" spans="1:13" x14ac:dyDescent="0.25">
      <c r="A4235" t="s">
        <v>9341</v>
      </c>
      <c r="B4235" t="s">
        <v>9340</v>
      </c>
      <c r="C4235" t="s">
        <v>496</v>
      </c>
      <c r="G4235" t="s">
        <v>16</v>
      </c>
      <c r="H4235">
        <v>0</v>
      </c>
      <c r="I4235" s="2" t="s">
        <v>8864</v>
      </c>
      <c r="J4235" s="2" t="s">
        <v>9342</v>
      </c>
      <c r="K4235">
        <v>20</v>
      </c>
      <c r="L4235">
        <v>20</v>
      </c>
      <c r="M4235">
        <v>20</v>
      </c>
    </row>
    <row r="4236" spans="1:13" x14ac:dyDescent="0.25">
      <c r="A4236" t="s">
        <v>9343</v>
      </c>
      <c r="B4236" t="s">
        <v>9340</v>
      </c>
      <c r="C4236" t="s">
        <v>496</v>
      </c>
      <c r="F4236">
        <v>2</v>
      </c>
      <c r="G4236" t="s">
        <v>16</v>
      </c>
      <c r="H4236">
        <v>0</v>
      </c>
      <c r="I4236" s="2" t="s">
        <v>4086</v>
      </c>
      <c r="J4236" s="2" t="str">
        <f>"00921"</f>
        <v>00921</v>
      </c>
      <c r="K4236">
        <v>20</v>
      </c>
      <c r="L4236">
        <v>20</v>
      </c>
      <c r="M4236">
        <v>20</v>
      </c>
    </row>
    <row r="4237" spans="1:13" x14ac:dyDescent="0.25">
      <c r="A4237" t="s">
        <v>9344</v>
      </c>
      <c r="B4237" t="s">
        <v>9345</v>
      </c>
      <c r="C4237" t="s">
        <v>2493</v>
      </c>
      <c r="F4237">
        <v>4</v>
      </c>
      <c r="G4237" t="s">
        <v>16</v>
      </c>
      <c r="H4237">
        <v>0</v>
      </c>
      <c r="I4237" s="2" t="s">
        <v>108</v>
      </c>
      <c r="J4237" s="3">
        <v>2551204008</v>
      </c>
      <c r="K4237">
        <v>20</v>
      </c>
      <c r="L4237">
        <v>20</v>
      </c>
      <c r="M4237">
        <v>20</v>
      </c>
    </row>
    <row r="4238" spans="1:13" x14ac:dyDescent="0.25">
      <c r="A4238" t="s">
        <v>9346</v>
      </c>
      <c r="B4238" t="s">
        <v>9347</v>
      </c>
      <c r="C4238" t="s">
        <v>2493</v>
      </c>
      <c r="G4238" t="s">
        <v>16</v>
      </c>
      <c r="H4238">
        <v>0</v>
      </c>
      <c r="I4238" s="2" t="s">
        <v>8864</v>
      </c>
      <c r="J4238" s="2" t="str">
        <f>"04-11312"</f>
        <v>04-11312</v>
      </c>
      <c r="K4238">
        <v>20</v>
      </c>
      <c r="L4238">
        <v>20</v>
      </c>
      <c r="M4238">
        <v>20</v>
      </c>
    </row>
    <row r="4239" spans="1:13" x14ac:dyDescent="0.25">
      <c r="A4239" t="s">
        <v>9348</v>
      </c>
      <c r="B4239" t="s">
        <v>9349</v>
      </c>
      <c r="C4239" t="s">
        <v>2493</v>
      </c>
      <c r="F4239">
        <v>2</v>
      </c>
      <c r="G4239" t="s">
        <v>16</v>
      </c>
      <c r="H4239">
        <v>0</v>
      </c>
      <c r="I4239" s="2" t="s">
        <v>108</v>
      </c>
      <c r="J4239" s="3">
        <v>2581204001</v>
      </c>
      <c r="K4239">
        <v>20</v>
      </c>
      <c r="L4239">
        <v>20</v>
      </c>
      <c r="M4239">
        <v>20</v>
      </c>
    </row>
    <row r="4240" spans="1:13" x14ac:dyDescent="0.25">
      <c r="A4240" t="s">
        <v>9350</v>
      </c>
      <c r="B4240" t="s">
        <v>9351</v>
      </c>
      <c r="C4240" t="s">
        <v>2493</v>
      </c>
      <c r="G4240" t="s">
        <v>16</v>
      </c>
      <c r="H4240">
        <v>0</v>
      </c>
      <c r="I4240" s="2" t="s">
        <v>2517</v>
      </c>
      <c r="J4240" s="2" t="s">
        <v>9352</v>
      </c>
      <c r="K4240">
        <v>20</v>
      </c>
      <c r="L4240">
        <v>20</v>
      </c>
      <c r="M4240">
        <v>20</v>
      </c>
    </row>
    <row r="4241" spans="1:13" x14ac:dyDescent="0.25">
      <c r="A4241" t="s">
        <v>9353</v>
      </c>
      <c r="B4241" t="s">
        <v>9351</v>
      </c>
      <c r="C4241" t="s">
        <v>496</v>
      </c>
      <c r="F4241">
        <v>2</v>
      </c>
      <c r="G4241" t="s">
        <v>16</v>
      </c>
      <c r="H4241">
        <v>0</v>
      </c>
      <c r="I4241" s="2" t="s">
        <v>108</v>
      </c>
      <c r="J4241" s="3">
        <v>2671204001</v>
      </c>
      <c r="K4241">
        <v>20</v>
      </c>
      <c r="L4241">
        <v>20</v>
      </c>
      <c r="M4241">
        <v>20</v>
      </c>
    </row>
    <row r="4242" spans="1:13" x14ac:dyDescent="0.25">
      <c r="A4242" t="s">
        <v>9354</v>
      </c>
      <c r="B4242" t="s">
        <v>9351</v>
      </c>
      <c r="C4242" t="s">
        <v>496</v>
      </c>
      <c r="F4242">
        <v>6</v>
      </c>
      <c r="G4242" t="s">
        <v>16</v>
      </c>
      <c r="H4242">
        <v>0</v>
      </c>
      <c r="I4242" s="2" t="s">
        <v>4086</v>
      </c>
      <c r="J4242" s="2" t="str">
        <f>"01989"</f>
        <v>01989</v>
      </c>
      <c r="K4242">
        <v>20</v>
      </c>
      <c r="L4242">
        <v>20</v>
      </c>
      <c r="M4242">
        <v>20</v>
      </c>
    </row>
    <row r="4243" spans="1:13" x14ac:dyDescent="0.25">
      <c r="A4243" t="s">
        <v>9355</v>
      </c>
      <c r="B4243" t="s">
        <v>9351</v>
      </c>
      <c r="C4243" t="s">
        <v>496</v>
      </c>
      <c r="F4243">
        <v>2</v>
      </c>
      <c r="G4243" t="s">
        <v>16</v>
      </c>
      <c r="H4243">
        <v>0</v>
      </c>
      <c r="I4243" s="2" t="s">
        <v>4214</v>
      </c>
      <c r="J4243" s="2" t="s">
        <v>9356</v>
      </c>
      <c r="K4243">
        <v>20</v>
      </c>
      <c r="L4243">
        <v>20</v>
      </c>
      <c r="M4243">
        <v>20</v>
      </c>
    </row>
    <row r="4244" spans="1:13" x14ac:dyDescent="0.25">
      <c r="A4244" t="s">
        <v>9357</v>
      </c>
      <c r="B4244" t="s">
        <v>9358</v>
      </c>
      <c r="C4244" t="s">
        <v>496</v>
      </c>
      <c r="F4244">
        <v>1</v>
      </c>
      <c r="G4244" t="s">
        <v>16</v>
      </c>
      <c r="H4244">
        <v>0</v>
      </c>
      <c r="I4244" s="2" t="s">
        <v>6147</v>
      </c>
      <c r="J4244" s="2" t="str">
        <f>"02275"</f>
        <v>02275</v>
      </c>
      <c r="K4244">
        <v>20</v>
      </c>
      <c r="L4244">
        <v>20</v>
      </c>
      <c r="M4244">
        <v>20</v>
      </c>
    </row>
    <row r="4245" spans="1:13" x14ac:dyDescent="0.25">
      <c r="A4245" t="s">
        <v>9359</v>
      </c>
      <c r="B4245" t="s">
        <v>9360</v>
      </c>
      <c r="C4245" t="s">
        <v>496</v>
      </c>
      <c r="F4245">
        <v>1</v>
      </c>
      <c r="G4245" t="s">
        <v>16</v>
      </c>
      <c r="H4245">
        <v>0</v>
      </c>
      <c r="I4245" s="2" t="s">
        <v>87</v>
      </c>
      <c r="J4245" s="2" t="s">
        <v>9361</v>
      </c>
      <c r="K4245">
        <v>20</v>
      </c>
      <c r="L4245">
        <v>20</v>
      </c>
      <c r="M4245">
        <v>20</v>
      </c>
    </row>
    <row r="4246" spans="1:13" x14ac:dyDescent="0.25">
      <c r="A4246" t="s">
        <v>9362</v>
      </c>
      <c r="B4246" t="s">
        <v>9363</v>
      </c>
      <c r="C4246" t="s">
        <v>496</v>
      </c>
      <c r="F4246">
        <v>1</v>
      </c>
      <c r="G4246" t="s">
        <v>16</v>
      </c>
      <c r="H4246">
        <v>0</v>
      </c>
      <c r="I4246" s="2" t="s">
        <v>87</v>
      </c>
      <c r="J4246" s="2" t="s">
        <v>9364</v>
      </c>
      <c r="K4246">
        <v>20</v>
      </c>
      <c r="L4246">
        <v>20</v>
      </c>
      <c r="M4246">
        <v>20</v>
      </c>
    </row>
    <row r="4247" spans="1:13" x14ac:dyDescent="0.25">
      <c r="A4247" t="s">
        <v>9365</v>
      </c>
      <c r="B4247" t="s">
        <v>9366</v>
      </c>
      <c r="C4247" t="s">
        <v>496</v>
      </c>
      <c r="F4247">
        <v>1</v>
      </c>
      <c r="G4247" t="s">
        <v>16</v>
      </c>
      <c r="H4247">
        <v>0</v>
      </c>
      <c r="I4247" s="2" t="s">
        <v>87</v>
      </c>
      <c r="J4247" s="2" t="s">
        <v>9367</v>
      </c>
      <c r="K4247">
        <v>20</v>
      </c>
      <c r="L4247">
        <v>20</v>
      </c>
      <c r="M4247">
        <v>20</v>
      </c>
    </row>
    <row r="4248" spans="1:13" x14ac:dyDescent="0.25">
      <c r="A4248" t="s">
        <v>9368</v>
      </c>
      <c r="B4248" t="s">
        <v>9366</v>
      </c>
      <c r="C4248" t="s">
        <v>496</v>
      </c>
      <c r="F4248">
        <v>2</v>
      </c>
      <c r="G4248" t="s">
        <v>16</v>
      </c>
      <c r="H4248">
        <v>0</v>
      </c>
      <c r="I4248" s="2" t="s">
        <v>2533</v>
      </c>
      <c r="J4248" s="2" t="s">
        <v>9369</v>
      </c>
      <c r="K4248">
        <v>20</v>
      </c>
      <c r="L4248">
        <v>20</v>
      </c>
      <c r="M4248">
        <v>20</v>
      </c>
    </row>
    <row r="4249" spans="1:13" x14ac:dyDescent="0.25">
      <c r="A4249" t="s">
        <v>9370</v>
      </c>
      <c r="B4249" t="s">
        <v>9366</v>
      </c>
      <c r="C4249" t="s">
        <v>496</v>
      </c>
      <c r="F4249">
        <v>2</v>
      </c>
      <c r="G4249" t="s">
        <v>16</v>
      </c>
      <c r="H4249">
        <v>0</v>
      </c>
      <c r="I4249" s="2" t="s">
        <v>707</v>
      </c>
      <c r="J4249" s="2" t="s">
        <v>9371</v>
      </c>
      <c r="K4249">
        <v>20</v>
      </c>
      <c r="L4249">
        <v>20</v>
      </c>
      <c r="M4249">
        <v>20</v>
      </c>
    </row>
    <row r="4250" spans="1:13" x14ac:dyDescent="0.25">
      <c r="A4250" t="s">
        <v>9372</v>
      </c>
      <c r="B4250" t="s">
        <v>9366</v>
      </c>
      <c r="C4250" t="s">
        <v>496</v>
      </c>
      <c r="F4250">
        <v>2</v>
      </c>
      <c r="G4250" t="s">
        <v>16</v>
      </c>
      <c r="H4250">
        <v>0</v>
      </c>
      <c r="I4250" s="2" t="s">
        <v>108</v>
      </c>
      <c r="J4250" s="3">
        <v>2521202002</v>
      </c>
      <c r="K4250">
        <v>20</v>
      </c>
      <c r="L4250">
        <v>20</v>
      </c>
      <c r="M4250">
        <v>20</v>
      </c>
    </row>
    <row r="4251" spans="1:13" x14ac:dyDescent="0.25">
      <c r="A4251" t="s">
        <v>9373</v>
      </c>
      <c r="B4251" t="s">
        <v>9366</v>
      </c>
      <c r="C4251" t="s">
        <v>496</v>
      </c>
      <c r="F4251">
        <v>1</v>
      </c>
      <c r="G4251" t="s">
        <v>16</v>
      </c>
      <c r="H4251">
        <v>0</v>
      </c>
      <c r="I4251" s="2" t="s">
        <v>5057</v>
      </c>
      <c r="J4251" s="2" t="s">
        <v>9374</v>
      </c>
      <c r="K4251">
        <v>20</v>
      </c>
      <c r="L4251">
        <v>20</v>
      </c>
      <c r="M4251">
        <v>20</v>
      </c>
    </row>
    <row r="4252" spans="1:13" x14ac:dyDescent="0.25">
      <c r="A4252" t="s">
        <v>9375</v>
      </c>
      <c r="B4252" t="s">
        <v>9376</v>
      </c>
      <c r="C4252" t="s">
        <v>496</v>
      </c>
      <c r="F4252">
        <v>2</v>
      </c>
      <c r="G4252" t="s">
        <v>16</v>
      </c>
      <c r="H4252">
        <v>0</v>
      </c>
      <c r="I4252" s="2" t="s">
        <v>87</v>
      </c>
      <c r="J4252" s="2" t="s">
        <v>9377</v>
      </c>
      <c r="K4252">
        <v>20</v>
      </c>
      <c r="L4252">
        <v>20</v>
      </c>
      <c r="M4252">
        <v>20</v>
      </c>
    </row>
    <row r="4253" spans="1:13" x14ac:dyDescent="0.25">
      <c r="A4253" t="s">
        <v>9378</v>
      </c>
      <c r="B4253" t="s">
        <v>9376</v>
      </c>
      <c r="C4253" t="s">
        <v>496</v>
      </c>
      <c r="F4253">
        <v>4</v>
      </c>
      <c r="G4253" t="s">
        <v>16</v>
      </c>
      <c r="H4253">
        <v>0</v>
      </c>
      <c r="I4253" s="2" t="s">
        <v>2533</v>
      </c>
      <c r="J4253" s="2" t="s">
        <v>9379</v>
      </c>
      <c r="K4253">
        <v>20</v>
      </c>
      <c r="L4253">
        <v>20</v>
      </c>
      <c r="M4253">
        <v>20</v>
      </c>
    </row>
    <row r="4254" spans="1:13" x14ac:dyDescent="0.25">
      <c r="A4254" t="s">
        <v>9380</v>
      </c>
      <c r="B4254" t="s">
        <v>9376</v>
      </c>
      <c r="C4254" t="s">
        <v>496</v>
      </c>
      <c r="D4254" t="s">
        <v>2360</v>
      </c>
      <c r="F4254">
        <v>1</v>
      </c>
      <c r="G4254" t="s">
        <v>16</v>
      </c>
      <c r="H4254">
        <v>0</v>
      </c>
      <c r="I4254" s="2" t="s">
        <v>707</v>
      </c>
      <c r="J4254" s="2" t="s">
        <v>9381</v>
      </c>
      <c r="K4254">
        <v>20</v>
      </c>
      <c r="L4254">
        <v>20</v>
      </c>
      <c r="M4254">
        <v>20</v>
      </c>
    </row>
    <row r="4255" spans="1:13" x14ac:dyDescent="0.25">
      <c r="A4255" t="s">
        <v>9382</v>
      </c>
      <c r="B4255" t="s">
        <v>9376</v>
      </c>
      <c r="C4255" t="s">
        <v>496</v>
      </c>
      <c r="F4255">
        <v>1</v>
      </c>
      <c r="G4255" t="s">
        <v>16</v>
      </c>
      <c r="H4255">
        <v>0</v>
      </c>
      <c r="I4255" s="2" t="s">
        <v>108</v>
      </c>
      <c r="J4255" s="3">
        <v>2521202001</v>
      </c>
      <c r="K4255">
        <v>20</v>
      </c>
      <c r="L4255">
        <v>20</v>
      </c>
      <c r="M4255">
        <v>20</v>
      </c>
    </row>
    <row r="4256" spans="1:13" x14ac:dyDescent="0.25">
      <c r="A4256" t="s">
        <v>9383</v>
      </c>
      <c r="B4256" t="s">
        <v>9376</v>
      </c>
      <c r="C4256" t="s">
        <v>496</v>
      </c>
      <c r="G4256" t="s">
        <v>16</v>
      </c>
      <c r="H4256">
        <v>0</v>
      </c>
      <c r="I4256" s="2" t="s">
        <v>5057</v>
      </c>
      <c r="J4256" s="2" t="s">
        <v>9384</v>
      </c>
      <c r="K4256">
        <v>20</v>
      </c>
      <c r="L4256">
        <v>20</v>
      </c>
      <c r="M4256">
        <v>20</v>
      </c>
    </row>
    <row r="4257" spans="1:13" x14ac:dyDescent="0.25">
      <c r="A4257" t="s">
        <v>9385</v>
      </c>
      <c r="B4257" t="s">
        <v>9386</v>
      </c>
      <c r="C4257" t="s">
        <v>496</v>
      </c>
      <c r="F4257">
        <v>5</v>
      </c>
      <c r="G4257" t="s">
        <v>16</v>
      </c>
      <c r="H4257">
        <v>0</v>
      </c>
      <c r="I4257" s="2" t="s">
        <v>87</v>
      </c>
      <c r="J4257" s="2" t="s">
        <v>9387</v>
      </c>
      <c r="K4257">
        <v>20</v>
      </c>
      <c r="L4257">
        <v>20</v>
      </c>
      <c r="M4257">
        <v>20</v>
      </c>
    </row>
    <row r="4258" spans="1:13" x14ac:dyDescent="0.25">
      <c r="A4258" t="s">
        <v>9388</v>
      </c>
      <c r="B4258" t="s">
        <v>9386</v>
      </c>
      <c r="C4258" t="s">
        <v>2493</v>
      </c>
      <c r="F4258">
        <v>5</v>
      </c>
      <c r="G4258" t="s">
        <v>16</v>
      </c>
      <c r="H4258">
        <v>0</v>
      </c>
      <c r="I4258" s="2" t="s">
        <v>2517</v>
      </c>
      <c r="J4258" s="2" t="s">
        <v>9389</v>
      </c>
      <c r="K4258">
        <v>20</v>
      </c>
      <c r="L4258">
        <v>20</v>
      </c>
      <c r="M4258">
        <v>20</v>
      </c>
    </row>
    <row r="4259" spans="1:13" x14ac:dyDescent="0.25">
      <c r="A4259" t="s">
        <v>9390</v>
      </c>
      <c r="B4259" t="s">
        <v>9386</v>
      </c>
      <c r="C4259" t="s">
        <v>2493</v>
      </c>
      <c r="F4259">
        <v>9</v>
      </c>
      <c r="G4259" t="s">
        <v>16</v>
      </c>
      <c r="H4259">
        <v>0</v>
      </c>
      <c r="I4259" s="2" t="s">
        <v>941</v>
      </c>
      <c r="J4259" s="2" t="s">
        <v>9391</v>
      </c>
      <c r="K4259">
        <v>20</v>
      </c>
      <c r="L4259">
        <v>20</v>
      </c>
      <c r="M4259">
        <v>20</v>
      </c>
    </row>
    <row r="4260" spans="1:13" x14ac:dyDescent="0.25">
      <c r="A4260" t="s">
        <v>9392</v>
      </c>
      <c r="B4260" t="s">
        <v>9386</v>
      </c>
      <c r="C4260" t="s">
        <v>496</v>
      </c>
      <c r="G4260" t="s">
        <v>16</v>
      </c>
      <c r="H4260">
        <v>0</v>
      </c>
      <c r="I4260" s="2" t="s">
        <v>108</v>
      </c>
      <c r="J4260" s="3">
        <v>2511202001</v>
      </c>
      <c r="K4260">
        <v>20</v>
      </c>
      <c r="L4260">
        <v>20</v>
      </c>
      <c r="M4260">
        <v>20</v>
      </c>
    </row>
    <row r="4261" spans="1:13" x14ac:dyDescent="0.25">
      <c r="A4261" t="s">
        <v>9393</v>
      </c>
      <c r="B4261" t="s">
        <v>9386</v>
      </c>
      <c r="C4261" t="s">
        <v>2493</v>
      </c>
      <c r="G4261" t="s">
        <v>16</v>
      </c>
      <c r="H4261">
        <v>0</v>
      </c>
      <c r="I4261" s="2" t="s">
        <v>9394</v>
      </c>
      <c r="J4261" s="2" t="s">
        <v>9395</v>
      </c>
      <c r="K4261">
        <v>20</v>
      </c>
      <c r="L4261">
        <v>20</v>
      </c>
      <c r="M4261">
        <v>20</v>
      </c>
    </row>
    <row r="4262" spans="1:13" x14ac:dyDescent="0.25">
      <c r="A4262" t="s">
        <v>9396</v>
      </c>
      <c r="B4262" t="s">
        <v>9386</v>
      </c>
      <c r="C4262" t="s">
        <v>496</v>
      </c>
      <c r="G4262" t="s">
        <v>16</v>
      </c>
      <c r="H4262">
        <v>0</v>
      </c>
      <c r="I4262" s="2" t="s">
        <v>64</v>
      </c>
      <c r="J4262" s="2">
        <v>13020152</v>
      </c>
      <c r="K4262">
        <v>20</v>
      </c>
      <c r="L4262">
        <v>20</v>
      </c>
      <c r="M4262">
        <v>20</v>
      </c>
    </row>
    <row r="4263" spans="1:13" x14ac:dyDescent="0.25">
      <c r="A4263" t="s">
        <v>9397</v>
      </c>
      <c r="B4263" t="s">
        <v>9398</v>
      </c>
      <c r="C4263" t="s">
        <v>2493</v>
      </c>
      <c r="G4263" t="s">
        <v>16</v>
      </c>
      <c r="H4263">
        <v>0</v>
      </c>
      <c r="I4263" s="2" t="s">
        <v>2533</v>
      </c>
      <c r="J4263" s="2" t="s">
        <v>9399</v>
      </c>
      <c r="K4263">
        <v>20</v>
      </c>
      <c r="L4263">
        <v>20</v>
      </c>
      <c r="M4263">
        <v>20</v>
      </c>
    </row>
    <row r="4264" spans="1:13" x14ac:dyDescent="0.25">
      <c r="A4264" t="s">
        <v>9400</v>
      </c>
      <c r="B4264" t="s">
        <v>9398</v>
      </c>
      <c r="C4264" t="s">
        <v>496</v>
      </c>
      <c r="F4264">
        <v>1</v>
      </c>
      <c r="G4264" t="s">
        <v>16</v>
      </c>
      <c r="H4264">
        <v>0</v>
      </c>
      <c r="I4264" s="2" t="s">
        <v>108</v>
      </c>
      <c r="J4264" s="3">
        <v>3021202002</v>
      </c>
      <c r="K4264">
        <v>20</v>
      </c>
      <c r="L4264">
        <v>20</v>
      </c>
      <c r="M4264">
        <v>20</v>
      </c>
    </row>
    <row r="4265" spans="1:13" x14ac:dyDescent="0.25">
      <c r="A4265" t="s">
        <v>9401</v>
      </c>
      <c r="B4265" t="s">
        <v>9398</v>
      </c>
      <c r="C4265" t="s">
        <v>496</v>
      </c>
      <c r="F4265">
        <v>1</v>
      </c>
      <c r="G4265" t="s">
        <v>16</v>
      </c>
      <c r="H4265">
        <v>0</v>
      </c>
      <c r="I4265" s="2" t="s">
        <v>64</v>
      </c>
      <c r="J4265" s="2">
        <v>13020112</v>
      </c>
      <c r="K4265">
        <v>20</v>
      </c>
      <c r="L4265">
        <v>20</v>
      </c>
      <c r="M4265">
        <v>20</v>
      </c>
    </row>
    <row r="4266" spans="1:13" x14ac:dyDescent="0.25">
      <c r="A4266" t="s">
        <v>9402</v>
      </c>
      <c r="B4266" t="s">
        <v>9398</v>
      </c>
      <c r="C4266" t="s">
        <v>496</v>
      </c>
      <c r="F4266">
        <v>1</v>
      </c>
      <c r="G4266" t="s">
        <v>16</v>
      </c>
      <c r="H4266">
        <v>0</v>
      </c>
      <c r="I4266" s="2" t="s">
        <v>4086</v>
      </c>
      <c r="J4266" s="2" t="str">
        <f>"00166"</f>
        <v>00166</v>
      </c>
      <c r="K4266">
        <v>20</v>
      </c>
      <c r="L4266">
        <v>20</v>
      </c>
      <c r="M4266">
        <v>20</v>
      </c>
    </row>
    <row r="4267" spans="1:13" x14ac:dyDescent="0.25">
      <c r="A4267" t="s">
        <v>9403</v>
      </c>
      <c r="B4267" t="s">
        <v>9404</v>
      </c>
      <c r="C4267" t="s">
        <v>496</v>
      </c>
      <c r="G4267" t="s">
        <v>16</v>
      </c>
      <c r="H4267">
        <v>0</v>
      </c>
      <c r="I4267" s="2" t="s">
        <v>2533</v>
      </c>
      <c r="J4267" s="2" t="s">
        <v>9405</v>
      </c>
      <c r="K4267">
        <v>20</v>
      </c>
      <c r="L4267">
        <v>20</v>
      </c>
      <c r="M4267">
        <v>20</v>
      </c>
    </row>
    <row r="4268" spans="1:13" x14ac:dyDescent="0.25">
      <c r="A4268" t="s">
        <v>9406</v>
      </c>
      <c r="B4268" t="s">
        <v>9404</v>
      </c>
      <c r="C4268" t="s">
        <v>2493</v>
      </c>
      <c r="F4268">
        <v>1</v>
      </c>
      <c r="G4268" t="s">
        <v>16</v>
      </c>
      <c r="H4268">
        <v>0</v>
      </c>
      <c r="I4268" s="2" t="s">
        <v>108</v>
      </c>
      <c r="J4268" s="3">
        <v>3021202001</v>
      </c>
      <c r="K4268">
        <v>20</v>
      </c>
      <c r="L4268">
        <v>20</v>
      </c>
      <c r="M4268">
        <v>20</v>
      </c>
    </row>
    <row r="4269" spans="1:13" x14ac:dyDescent="0.25">
      <c r="A4269" t="s">
        <v>9407</v>
      </c>
      <c r="B4269" t="s">
        <v>9404</v>
      </c>
      <c r="C4269" t="s">
        <v>496</v>
      </c>
      <c r="F4269">
        <v>1</v>
      </c>
      <c r="G4269" t="s">
        <v>16</v>
      </c>
      <c r="H4269">
        <v>0</v>
      </c>
      <c r="I4269" s="2" t="s">
        <v>4214</v>
      </c>
      <c r="J4269" s="2" t="s">
        <v>9408</v>
      </c>
      <c r="K4269">
        <v>20</v>
      </c>
      <c r="L4269">
        <v>20</v>
      </c>
      <c r="M4269">
        <v>20</v>
      </c>
    </row>
    <row r="4270" spans="1:13" x14ac:dyDescent="0.25">
      <c r="A4270" t="s">
        <v>9409</v>
      </c>
      <c r="B4270" t="s">
        <v>9410</v>
      </c>
      <c r="C4270" t="s">
        <v>496</v>
      </c>
      <c r="F4270">
        <v>1</v>
      </c>
      <c r="G4270" t="s">
        <v>16</v>
      </c>
      <c r="H4270">
        <v>0</v>
      </c>
      <c r="I4270" s="2" t="s">
        <v>8864</v>
      </c>
      <c r="J4270" s="2" t="s">
        <v>9411</v>
      </c>
      <c r="K4270">
        <v>20</v>
      </c>
      <c r="L4270">
        <v>20</v>
      </c>
      <c r="M4270">
        <v>20</v>
      </c>
    </row>
    <row r="4271" spans="1:13" x14ac:dyDescent="0.25">
      <c r="A4271" t="s">
        <v>9412</v>
      </c>
      <c r="B4271" t="s">
        <v>9410</v>
      </c>
      <c r="C4271" t="s">
        <v>496</v>
      </c>
      <c r="F4271">
        <v>1</v>
      </c>
      <c r="G4271" t="s">
        <v>16</v>
      </c>
      <c r="H4271">
        <v>0</v>
      </c>
      <c r="I4271" s="2" t="s">
        <v>4086</v>
      </c>
      <c r="J4271" s="2" t="str">
        <f>"01029"</f>
        <v>01029</v>
      </c>
      <c r="K4271">
        <v>20</v>
      </c>
      <c r="L4271">
        <v>20</v>
      </c>
      <c r="M4271">
        <v>20</v>
      </c>
    </row>
    <row r="4272" spans="1:13" x14ac:dyDescent="0.25">
      <c r="A4272" t="s">
        <v>9413</v>
      </c>
      <c r="B4272" t="s">
        <v>9414</v>
      </c>
      <c r="C4272" t="s">
        <v>496</v>
      </c>
      <c r="F4272">
        <v>1</v>
      </c>
      <c r="G4272" t="s">
        <v>16</v>
      </c>
      <c r="H4272">
        <v>0</v>
      </c>
      <c r="I4272" s="2" t="s">
        <v>2517</v>
      </c>
      <c r="J4272" s="2" t="s">
        <v>9415</v>
      </c>
      <c r="K4272">
        <v>20</v>
      </c>
      <c r="L4272">
        <v>20</v>
      </c>
      <c r="M4272">
        <v>20</v>
      </c>
    </row>
    <row r="4273" spans="1:13" x14ac:dyDescent="0.25">
      <c r="A4273" t="s">
        <v>9416</v>
      </c>
      <c r="B4273" t="s">
        <v>9414</v>
      </c>
      <c r="C4273" t="s">
        <v>496</v>
      </c>
      <c r="F4273">
        <v>2</v>
      </c>
      <c r="G4273" t="s">
        <v>16</v>
      </c>
      <c r="H4273">
        <v>0</v>
      </c>
      <c r="I4273" s="2" t="s">
        <v>8864</v>
      </c>
      <c r="J4273" s="2" t="s">
        <v>9417</v>
      </c>
      <c r="K4273">
        <v>20</v>
      </c>
      <c r="L4273">
        <v>20</v>
      </c>
      <c r="M4273">
        <v>20</v>
      </c>
    </row>
    <row r="4274" spans="1:13" x14ac:dyDescent="0.25">
      <c r="A4274" t="s">
        <v>9418</v>
      </c>
      <c r="B4274" t="s">
        <v>9419</v>
      </c>
      <c r="C4274" t="s">
        <v>2493</v>
      </c>
      <c r="F4274">
        <v>1</v>
      </c>
      <c r="G4274" t="s">
        <v>16</v>
      </c>
      <c r="H4274">
        <v>0</v>
      </c>
      <c r="I4274" s="2" t="s">
        <v>108</v>
      </c>
      <c r="J4274" s="3">
        <v>3051202002</v>
      </c>
      <c r="K4274">
        <v>20</v>
      </c>
      <c r="L4274">
        <v>20</v>
      </c>
      <c r="M4274">
        <v>20</v>
      </c>
    </row>
    <row r="4275" spans="1:13" x14ac:dyDescent="0.25">
      <c r="A4275" t="s">
        <v>9420</v>
      </c>
      <c r="B4275" t="s">
        <v>9421</v>
      </c>
      <c r="C4275" t="s">
        <v>2493</v>
      </c>
      <c r="F4275">
        <v>1</v>
      </c>
      <c r="G4275" t="s">
        <v>16</v>
      </c>
      <c r="H4275">
        <v>0</v>
      </c>
      <c r="I4275" s="2" t="s">
        <v>108</v>
      </c>
      <c r="J4275" s="3">
        <v>3051202001</v>
      </c>
      <c r="K4275">
        <v>20</v>
      </c>
      <c r="L4275">
        <v>20</v>
      </c>
      <c r="M4275">
        <v>20</v>
      </c>
    </row>
    <row r="4276" spans="1:13" x14ac:dyDescent="0.25">
      <c r="A4276" t="s">
        <v>9422</v>
      </c>
      <c r="B4276" t="s">
        <v>9423</v>
      </c>
      <c r="C4276" t="s">
        <v>496</v>
      </c>
      <c r="D4276" t="s">
        <v>2360</v>
      </c>
      <c r="F4276">
        <v>1</v>
      </c>
      <c r="G4276" t="s">
        <v>16</v>
      </c>
      <c r="H4276">
        <v>0</v>
      </c>
      <c r="I4276" s="2" t="s">
        <v>2517</v>
      </c>
      <c r="J4276" s="2" t="s">
        <v>9424</v>
      </c>
      <c r="K4276">
        <v>20</v>
      </c>
      <c r="L4276">
        <v>20</v>
      </c>
      <c r="M4276">
        <v>20</v>
      </c>
    </row>
    <row r="4277" spans="1:13" x14ac:dyDescent="0.25">
      <c r="A4277" t="s">
        <v>9425</v>
      </c>
      <c r="B4277" t="s">
        <v>9426</v>
      </c>
      <c r="C4277" t="s">
        <v>496</v>
      </c>
      <c r="D4277" t="s">
        <v>2360</v>
      </c>
      <c r="F4277">
        <v>0</v>
      </c>
      <c r="G4277" t="s">
        <v>16</v>
      </c>
      <c r="H4277">
        <v>0</v>
      </c>
      <c r="I4277" s="2" t="s">
        <v>4214</v>
      </c>
      <c r="J4277" s="2" t="s">
        <v>9427</v>
      </c>
      <c r="K4277">
        <v>20</v>
      </c>
      <c r="L4277">
        <v>20</v>
      </c>
      <c r="M4277">
        <v>20</v>
      </c>
    </row>
    <row r="4278" spans="1:13" x14ac:dyDescent="0.25">
      <c r="A4278" t="s">
        <v>9428</v>
      </c>
      <c r="B4278" t="s">
        <v>9429</v>
      </c>
      <c r="C4278" t="s">
        <v>2493</v>
      </c>
      <c r="F4278">
        <v>1</v>
      </c>
      <c r="G4278" t="s">
        <v>16</v>
      </c>
      <c r="H4278">
        <v>0</v>
      </c>
      <c r="I4278" s="2" t="s">
        <v>108</v>
      </c>
      <c r="J4278" s="3">
        <v>3041202001</v>
      </c>
      <c r="K4278">
        <v>20</v>
      </c>
      <c r="L4278">
        <v>20</v>
      </c>
      <c r="M4278">
        <v>20</v>
      </c>
    </row>
    <row r="4279" spans="1:13" x14ac:dyDescent="0.25">
      <c r="A4279" t="s">
        <v>9430</v>
      </c>
      <c r="B4279" t="s">
        <v>9429</v>
      </c>
      <c r="C4279" t="s">
        <v>2493</v>
      </c>
      <c r="G4279" t="s">
        <v>16</v>
      </c>
      <c r="H4279">
        <v>0</v>
      </c>
      <c r="I4279" s="2" t="s">
        <v>4086</v>
      </c>
      <c r="J4279" s="2" t="str">
        <f>"01919"</f>
        <v>01919</v>
      </c>
      <c r="K4279">
        <v>20</v>
      </c>
      <c r="L4279">
        <v>20</v>
      </c>
      <c r="M4279">
        <v>20</v>
      </c>
    </row>
    <row r="4280" spans="1:13" x14ac:dyDescent="0.25">
      <c r="A4280" t="s">
        <v>9431</v>
      </c>
      <c r="B4280" t="s">
        <v>9432</v>
      </c>
      <c r="C4280" t="s">
        <v>2493</v>
      </c>
      <c r="F4280">
        <v>1</v>
      </c>
      <c r="G4280" t="s">
        <v>16</v>
      </c>
      <c r="H4280">
        <v>0</v>
      </c>
      <c r="I4280" s="2" t="s">
        <v>108</v>
      </c>
      <c r="J4280" s="3">
        <v>3041202002</v>
      </c>
      <c r="K4280">
        <v>20</v>
      </c>
      <c r="L4280">
        <v>20</v>
      </c>
      <c r="M4280">
        <v>20</v>
      </c>
    </row>
    <row r="4281" spans="1:13" x14ac:dyDescent="0.25">
      <c r="A4281" t="s">
        <v>9433</v>
      </c>
      <c r="B4281" t="s">
        <v>9434</v>
      </c>
      <c r="C4281" t="s">
        <v>496</v>
      </c>
      <c r="D4281" t="s">
        <v>2360</v>
      </c>
      <c r="F4281">
        <v>1</v>
      </c>
      <c r="G4281" t="s">
        <v>16</v>
      </c>
      <c r="H4281">
        <v>0</v>
      </c>
      <c r="I4281" s="2" t="s">
        <v>2517</v>
      </c>
      <c r="J4281" s="2" t="s">
        <v>9435</v>
      </c>
      <c r="K4281">
        <v>20</v>
      </c>
      <c r="L4281">
        <v>20</v>
      </c>
      <c r="M4281">
        <v>20</v>
      </c>
    </row>
    <row r="4282" spans="1:13" x14ac:dyDescent="0.25">
      <c r="A4282" t="s">
        <v>9436</v>
      </c>
      <c r="B4282" t="s">
        <v>9437</v>
      </c>
      <c r="C4282" t="s">
        <v>496</v>
      </c>
      <c r="D4282" t="s">
        <v>2360</v>
      </c>
      <c r="F4282">
        <v>0</v>
      </c>
      <c r="G4282" t="s">
        <v>16</v>
      </c>
      <c r="H4282">
        <v>0</v>
      </c>
      <c r="I4282" s="2" t="s">
        <v>4214</v>
      </c>
      <c r="J4282" s="2" t="s">
        <v>9438</v>
      </c>
      <c r="K4282">
        <v>20</v>
      </c>
      <c r="L4282">
        <v>20</v>
      </c>
      <c r="M4282">
        <v>20</v>
      </c>
    </row>
    <row r="4283" spans="1:13" x14ac:dyDescent="0.25">
      <c r="A4283" t="s">
        <v>9439</v>
      </c>
      <c r="B4283" t="s">
        <v>9440</v>
      </c>
      <c r="C4283" t="s">
        <v>496</v>
      </c>
      <c r="D4283" t="s">
        <v>2360</v>
      </c>
      <c r="F4283">
        <v>2</v>
      </c>
      <c r="G4283" t="s">
        <v>16</v>
      </c>
      <c r="H4283">
        <v>0</v>
      </c>
      <c r="I4283" s="2" t="s">
        <v>87</v>
      </c>
      <c r="J4283" s="2" t="s">
        <v>9441</v>
      </c>
      <c r="K4283">
        <v>20</v>
      </c>
      <c r="L4283">
        <v>20</v>
      </c>
      <c r="M4283">
        <v>20</v>
      </c>
    </row>
    <row r="4284" spans="1:13" x14ac:dyDescent="0.25">
      <c r="A4284" t="s">
        <v>9442</v>
      </c>
      <c r="B4284" t="s">
        <v>9440</v>
      </c>
      <c r="C4284" t="s">
        <v>496</v>
      </c>
      <c r="F4284">
        <v>2</v>
      </c>
      <c r="G4284" t="s">
        <v>16</v>
      </c>
      <c r="H4284">
        <v>0</v>
      </c>
      <c r="I4284" s="2" t="s">
        <v>2517</v>
      </c>
      <c r="J4284" s="2" t="s">
        <v>9443</v>
      </c>
      <c r="K4284">
        <v>20</v>
      </c>
      <c r="L4284">
        <v>20</v>
      </c>
      <c r="M4284">
        <v>20</v>
      </c>
    </row>
    <row r="4285" spans="1:13" x14ac:dyDescent="0.25">
      <c r="A4285" t="s">
        <v>9444</v>
      </c>
      <c r="B4285" t="s">
        <v>9440</v>
      </c>
      <c r="C4285" t="s">
        <v>496</v>
      </c>
      <c r="F4285">
        <v>2</v>
      </c>
      <c r="G4285" t="s">
        <v>16</v>
      </c>
      <c r="H4285">
        <v>0</v>
      </c>
      <c r="I4285" s="2" t="s">
        <v>108</v>
      </c>
      <c r="J4285" s="3">
        <v>2581202001</v>
      </c>
      <c r="K4285">
        <v>20</v>
      </c>
      <c r="L4285">
        <v>20</v>
      </c>
      <c r="M4285">
        <v>20</v>
      </c>
    </row>
    <row r="4286" spans="1:13" x14ac:dyDescent="0.25">
      <c r="A4286" t="s">
        <v>9445</v>
      </c>
      <c r="B4286" t="s">
        <v>9440</v>
      </c>
      <c r="C4286" t="s">
        <v>2493</v>
      </c>
      <c r="G4286" t="s">
        <v>16</v>
      </c>
      <c r="H4286">
        <v>0</v>
      </c>
      <c r="I4286" s="2" t="s">
        <v>8700</v>
      </c>
      <c r="J4286" s="2" t="s">
        <v>9446</v>
      </c>
      <c r="K4286">
        <v>20</v>
      </c>
      <c r="L4286">
        <v>20</v>
      </c>
      <c r="M4286">
        <v>20</v>
      </c>
    </row>
    <row r="4287" spans="1:13" x14ac:dyDescent="0.25">
      <c r="A4287" t="s">
        <v>9447</v>
      </c>
      <c r="B4287" t="s">
        <v>9440</v>
      </c>
      <c r="C4287" t="s">
        <v>496</v>
      </c>
      <c r="F4287">
        <v>1</v>
      </c>
      <c r="G4287" t="s">
        <v>16</v>
      </c>
      <c r="H4287">
        <v>0</v>
      </c>
      <c r="I4287" s="2" t="s">
        <v>5040</v>
      </c>
      <c r="J4287" s="2" t="s">
        <v>9448</v>
      </c>
      <c r="K4287">
        <v>20</v>
      </c>
      <c r="L4287">
        <v>20</v>
      </c>
      <c r="M4287">
        <v>20</v>
      </c>
    </row>
    <row r="4288" spans="1:13" x14ac:dyDescent="0.25">
      <c r="A4288" t="s">
        <v>9449</v>
      </c>
      <c r="B4288" t="s">
        <v>9440</v>
      </c>
      <c r="C4288" t="s">
        <v>496</v>
      </c>
      <c r="F4288">
        <v>2</v>
      </c>
      <c r="G4288" t="s">
        <v>16</v>
      </c>
      <c r="H4288">
        <v>0</v>
      </c>
      <c r="I4288" s="2" t="s">
        <v>5267</v>
      </c>
      <c r="J4288" s="2" t="s">
        <v>9450</v>
      </c>
      <c r="K4288">
        <v>20</v>
      </c>
      <c r="L4288">
        <v>20</v>
      </c>
      <c r="M4288">
        <v>20</v>
      </c>
    </row>
    <row r="4289" spans="1:13" x14ac:dyDescent="0.25">
      <c r="A4289" t="s">
        <v>9451</v>
      </c>
      <c r="B4289" t="s">
        <v>9440</v>
      </c>
      <c r="C4289" t="s">
        <v>496</v>
      </c>
      <c r="G4289" t="s">
        <v>16</v>
      </c>
      <c r="H4289">
        <v>0</v>
      </c>
      <c r="I4289" s="2" t="s">
        <v>5044</v>
      </c>
      <c r="J4289" s="2" t="s">
        <v>9452</v>
      </c>
      <c r="K4289">
        <v>20</v>
      </c>
      <c r="L4289">
        <v>20</v>
      </c>
      <c r="M4289">
        <v>20</v>
      </c>
    </row>
    <row r="4290" spans="1:13" x14ac:dyDescent="0.25">
      <c r="A4290" t="s">
        <v>9453</v>
      </c>
      <c r="B4290" t="s">
        <v>9454</v>
      </c>
      <c r="C4290" t="s">
        <v>496</v>
      </c>
      <c r="D4290" t="s">
        <v>2360</v>
      </c>
      <c r="F4290">
        <v>1</v>
      </c>
      <c r="G4290" t="s">
        <v>16</v>
      </c>
      <c r="H4290">
        <v>0</v>
      </c>
      <c r="I4290" s="2" t="s">
        <v>87</v>
      </c>
      <c r="J4290" s="2" t="s">
        <v>9455</v>
      </c>
      <c r="K4290">
        <v>20</v>
      </c>
      <c r="L4290">
        <v>20</v>
      </c>
      <c r="M4290">
        <v>20</v>
      </c>
    </row>
    <row r="4291" spans="1:13" x14ac:dyDescent="0.25">
      <c r="A4291" t="s">
        <v>9456</v>
      </c>
      <c r="B4291" t="s">
        <v>9454</v>
      </c>
      <c r="C4291" t="s">
        <v>496</v>
      </c>
      <c r="F4291">
        <v>2</v>
      </c>
      <c r="G4291" t="s">
        <v>16</v>
      </c>
      <c r="H4291">
        <v>0</v>
      </c>
      <c r="I4291" s="2" t="s">
        <v>2533</v>
      </c>
      <c r="J4291" s="2" t="s">
        <v>9457</v>
      </c>
      <c r="K4291">
        <v>20</v>
      </c>
      <c r="L4291">
        <v>20</v>
      </c>
      <c r="M4291">
        <v>20</v>
      </c>
    </row>
    <row r="4292" spans="1:13" x14ac:dyDescent="0.25">
      <c r="A4292" t="s">
        <v>9458</v>
      </c>
      <c r="B4292" t="s">
        <v>9454</v>
      </c>
      <c r="C4292" t="s">
        <v>496</v>
      </c>
      <c r="F4292">
        <v>1</v>
      </c>
      <c r="G4292" t="s">
        <v>16</v>
      </c>
      <c r="H4292">
        <v>0</v>
      </c>
      <c r="I4292" s="2" t="s">
        <v>108</v>
      </c>
      <c r="J4292" s="3">
        <v>2581202002</v>
      </c>
      <c r="K4292">
        <v>20</v>
      </c>
      <c r="L4292">
        <v>20</v>
      </c>
      <c r="M4292">
        <v>20</v>
      </c>
    </row>
    <row r="4293" spans="1:13" x14ac:dyDescent="0.25">
      <c r="A4293" t="s">
        <v>9459</v>
      </c>
      <c r="B4293" t="s">
        <v>9454</v>
      </c>
      <c r="C4293" t="s">
        <v>2493</v>
      </c>
      <c r="G4293" t="s">
        <v>16</v>
      </c>
      <c r="H4293">
        <v>0</v>
      </c>
      <c r="I4293" s="2" t="s">
        <v>8700</v>
      </c>
      <c r="J4293" s="2" t="s">
        <v>9460</v>
      </c>
      <c r="K4293">
        <v>20</v>
      </c>
      <c r="L4293">
        <v>20</v>
      </c>
      <c r="M4293">
        <v>20</v>
      </c>
    </row>
    <row r="4294" spans="1:13" x14ac:dyDescent="0.25">
      <c r="A4294" t="s">
        <v>9461</v>
      </c>
      <c r="B4294" t="s">
        <v>9454</v>
      </c>
      <c r="C4294" t="s">
        <v>496</v>
      </c>
      <c r="F4294">
        <v>2</v>
      </c>
      <c r="G4294" t="s">
        <v>16</v>
      </c>
      <c r="H4294">
        <v>0</v>
      </c>
      <c r="I4294" s="2" t="s">
        <v>5040</v>
      </c>
      <c r="J4294" s="2" t="s">
        <v>9462</v>
      </c>
      <c r="K4294">
        <v>20</v>
      </c>
      <c r="L4294">
        <v>20</v>
      </c>
      <c r="M4294">
        <v>20</v>
      </c>
    </row>
    <row r="4295" spans="1:13" x14ac:dyDescent="0.25">
      <c r="A4295" t="s">
        <v>9463</v>
      </c>
      <c r="B4295" t="s">
        <v>9454</v>
      </c>
      <c r="C4295" t="s">
        <v>496</v>
      </c>
      <c r="F4295">
        <v>1</v>
      </c>
      <c r="G4295" t="s">
        <v>16</v>
      </c>
      <c r="H4295">
        <v>0</v>
      </c>
      <c r="I4295" s="2" t="s">
        <v>266</v>
      </c>
      <c r="J4295" s="2" t="s">
        <v>9464</v>
      </c>
      <c r="K4295">
        <v>20</v>
      </c>
      <c r="L4295">
        <v>20</v>
      </c>
      <c r="M4295">
        <v>20</v>
      </c>
    </row>
    <row r="4296" spans="1:13" x14ac:dyDescent="0.25">
      <c r="A4296" t="s">
        <v>9465</v>
      </c>
      <c r="B4296" t="s">
        <v>9454</v>
      </c>
      <c r="C4296" t="s">
        <v>496</v>
      </c>
      <c r="F4296">
        <v>1</v>
      </c>
      <c r="G4296" t="s">
        <v>16</v>
      </c>
      <c r="H4296">
        <v>0</v>
      </c>
      <c r="I4296" s="2" t="s">
        <v>5267</v>
      </c>
      <c r="J4296" s="2" t="s">
        <v>9466</v>
      </c>
      <c r="K4296">
        <v>20</v>
      </c>
      <c r="L4296">
        <v>20</v>
      </c>
      <c r="M4296">
        <v>20</v>
      </c>
    </row>
    <row r="4297" spans="1:13" x14ac:dyDescent="0.25">
      <c r="A4297" t="s">
        <v>9467</v>
      </c>
      <c r="B4297" t="s">
        <v>9454</v>
      </c>
      <c r="C4297" t="s">
        <v>496</v>
      </c>
      <c r="G4297" t="s">
        <v>16</v>
      </c>
      <c r="H4297">
        <v>0</v>
      </c>
      <c r="I4297" s="2" t="s">
        <v>5044</v>
      </c>
      <c r="J4297" s="2" t="s">
        <v>9468</v>
      </c>
      <c r="K4297">
        <v>20</v>
      </c>
      <c r="L4297">
        <v>20</v>
      </c>
      <c r="M4297">
        <v>20</v>
      </c>
    </row>
    <row r="4298" spans="1:13" x14ac:dyDescent="0.25">
      <c r="A4298" t="s">
        <v>9469</v>
      </c>
      <c r="B4298" t="s">
        <v>9470</v>
      </c>
      <c r="C4298" t="s">
        <v>496</v>
      </c>
      <c r="F4298">
        <v>1</v>
      </c>
      <c r="G4298" t="s">
        <v>16</v>
      </c>
      <c r="H4298">
        <v>0</v>
      </c>
      <c r="I4298" s="2" t="s">
        <v>108</v>
      </c>
      <c r="J4298" s="3">
        <v>3031202001</v>
      </c>
      <c r="K4298">
        <v>20</v>
      </c>
      <c r="L4298">
        <v>20</v>
      </c>
      <c r="M4298">
        <v>20</v>
      </c>
    </row>
    <row r="4299" spans="1:13" x14ac:dyDescent="0.25">
      <c r="A4299" t="s">
        <v>9471</v>
      </c>
      <c r="B4299" t="s">
        <v>9470</v>
      </c>
      <c r="C4299" t="s">
        <v>496</v>
      </c>
      <c r="F4299">
        <v>1</v>
      </c>
      <c r="G4299" t="s">
        <v>16</v>
      </c>
      <c r="H4299">
        <v>0</v>
      </c>
      <c r="I4299" s="2" t="s">
        <v>266</v>
      </c>
      <c r="J4299" s="2" t="s">
        <v>9472</v>
      </c>
      <c r="K4299">
        <v>20</v>
      </c>
      <c r="L4299">
        <v>20</v>
      </c>
      <c r="M4299">
        <v>20</v>
      </c>
    </row>
    <row r="4300" spans="1:13" x14ac:dyDescent="0.25">
      <c r="A4300" t="s">
        <v>9473</v>
      </c>
      <c r="B4300" t="s">
        <v>9474</v>
      </c>
      <c r="C4300" t="s">
        <v>496</v>
      </c>
      <c r="F4300">
        <v>2</v>
      </c>
      <c r="G4300" t="s">
        <v>16</v>
      </c>
      <c r="H4300">
        <v>0</v>
      </c>
      <c r="I4300" s="2" t="s">
        <v>108</v>
      </c>
      <c r="J4300" s="3">
        <v>3031202002</v>
      </c>
      <c r="K4300">
        <v>20</v>
      </c>
      <c r="L4300">
        <v>20</v>
      </c>
      <c r="M4300">
        <v>20</v>
      </c>
    </row>
    <row r="4301" spans="1:13" x14ac:dyDescent="0.25">
      <c r="A4301" t="s">
        <v>9475</v>
      </c>
      <c r="B4301" t="s">
        <v>9474</v>
      </c>
      <c r="C4301" t="s">
        <v>496</v>
      </c>
      <c r="F4301">
        <v>1</v>
      </c>
      <c r="G4301" t="s">
        <v>16</v>
      </c>
      <c r="H4301">
        <v>0</v>
      </c>
      <c r="I4301" s="2" t="s">
        <v>266</v>
      </c>
      <c r="J4301" s="2" t="s">
        <v>9476</v>
      </c>
      <c r="K4301">
        <v>20</v>
      </c>
      <c r="L4301">
        <v>20</v>
      </c>
      <c r="M4301">
        <v>20</v>
      </c>
    </row>
    <row r="4302" spans="1:13" x14ac:dyDescent="0.25">
      <c r="A4302" t="s">
        <v>9477</v>
      </c>
      <c r="B4302" t="s">
        <v>9478</v>
      </c>
      <c r="C4302" t="s">
        <v>2493</v>
      </c>
      <c r="F4302">
        <v>2</v>
      </c>
      <c r="G4302" t="s">
        <v>16</v>
      </c>
      <c r="H4302">
        <v>0</v>
      </c>
      <c r="I4302" s="2" t="s">
        <v>8864</v>
      </c>
      <c r="J4302" s="2" t="s">
        <v>9479</v>
      </c>
      <c r="K4302">
        <v>20</v>
      </c>
      <c r="L4302">
        <v>20</v>
      </c>
      <c r="M4302">
        <v>20</v>
      </c>
    </row>
    <row r="4303" spans="1:13" x14ac:dyDescent="0.25">
      <c r="A4303" t="s">
        <v>9480</v>
      </c>
      <c r="B4303" t="s">
        <v>9481</v>
      </c>
      <c r="C4303" t="s">
        <v>2493</v>
      </c>
      <c r="F4303">
        <v>2</v>
      </c>
      <c r="G4303" t="s">
        <v>16</v>
      </c>
      <c r="H4303">
        <v>0</v>
      </c>
      <c r="I4303" s="2" t="s">
        <v>8864</v>
      </c>
      <c r="J4303" s="2" t="s">
        <v>9482</v>
      </c>
      <c r="K4303">
        <v>20</v>
      </c>
      <c r="L4303">
        <v>20</v>
      </c>
      <c r="M4303">
        <v>20</v>
      </c>
    </row>
    <row r="4304" spans="1:13" x14ac:dyDescent="0.25">
      <c r="A4304" t="s">
        <v>9483</v>
      </c>
      <c r="B4304" t="s">
        <v>9484</v>
      </c>
      <c r="C4304" t="s">
        <v>20</v>
      </c>
      <c r="D4304" t="s">
        <v>21</v>
      </c>
      <c r="F4304">
        <v>0</v>
      </c>
      <c r="G4304" t="s">
        <v>16</v>
      </c>
      <c r="H4304">
        <v>0</v>
      </c>
      <c r="I4304" s="2" t="s">
        <v>354</v>
      </c>
      <c r="J4304" s="2" t="s">
        <v>9485</v>
      </c>
      <c r="K4304">
        <v>20</v>
      </c>
      <c r="L4304">
        <v>20</v>
      </c>
      <c r="M4304">
        <v>20</v>
      </c>
    </row>
    <row r="4305" spans="1:13" x14ac:dyDescent="0.25">
      <c r="A4305" t="s">
        <v>9486</v>
      </c>
      <c r="B4305" t="s">
        <v>9487</v>
      </c>
      <c r="C4305" t="s">
        <v>496</v>
      </c>
      <c r="D4305" t="s">
        <v>2360</v>
      </c>
      <c r="G4305" t="s">
        <v>16</v>
      </c>
      <c r="H4305">
        <v>0</v>
      </c>
      <c r="I4305" s="2" t="s">
        <v>2533</v>
      </c>
      <c r="J4305" s="2" t="s">
        <v>9488</v>
      </c>
      <c r="K4305">
        <v>20</v>
      </c>
      <c r="L4305">
        <v>20</v>
      </c>
      <c r="M4305">
        <v>20</v>
      </c>
    </row>
    <row r="4306" spans="1:13" x14ac:dyDescent="0.25">
      <c r="A4306" t="s">
        <v>9489</v>
      </c>
      <c r="B4306" t="s">
        <v>9490</v>
      </c>
      <c r="C4306" t="s">
        <v>496</v>
      </c>
      <c r="D4306" t="s">
        <v>2360</v>
      </c>
      <c r="F4306">
        <v>1</v>
      </c>
      <c r="G4306" t="s">
        <v>16</v>
      </c>
      <c r="H4306">
        <v>0</v>
      </c>
      <c r="I4306" s="2" t="s">
        <v>5155</v>
      </c>
      <c r="J4306" s="2" t="s">
        <v>9491</v>
      </c>
      <c r="K4306">
        <v>20</v>
      </c>
      <c r="L4306">
        <v>20</v>
      </c>
      <c r="M4306">
        <v>20</v>
      </c>
    </row>
    <row r="4307" spans="1:13" x14ac:dyDescent="0.25">
      <c r="A4307" t="s">
        <v>9492</v>
      </c>
      <c r="B4307" t="s">
        <v>9493</v>
      </c>
      <c r="C4307" t="s">
        <v>496</v>
      </c>
      <c r="D4307" t="s">
        <v>2360</v>
      </c>
      <c r="G4307" t="s">
        <v>16</v>
      </c>
      <c r="H4307">
        <v>0</v>
      </c>
      <c r="I4307" s="2" t="s">
        <v>2533</v>
      </c>
      <c r="J4307" s="2" t="s">
        <v>9494</v>
      </c>
      <c r="K4307">
        <v>20</v>
      </c>
      <c r="L4307">
        <v>20</v>
      </c>
      <c r="M4307">
        <v>20</v>
      </c>
    </row>
    <row r="4308" spans="1:13" x14ac:dyDescent="0.25">
      <c r="A4308" t="s">
        <v>9495</v>
      </c>
      <c r="B4308" t="s">
        <v>9496</v>
      </c>
      <c r="C4308" t="s">
        <v>496</v>
      </c>
      <c r="D4308" t="s">
        <v>2360</v>
      </c>
      <c r="F4308">
        <v>1</v>
      </c>
      <c r="G4308" t="s">
        <v>16</v>
      </c>
      <c r="H4308">
        <v>0</v>
      </c>
      <c r="I4308" s="2" t="s">
        <v>5155</v>
      </c>
      <c r="J4308" s="2" t="s">
        <v>9497</v>
      </c>
      <c r="K4308">
        <v>20</v>
      </c>
      <c r="L4308">
        <v>20</v>
      </c>
      <c r="M4308">
        <v>20</v>
      </c>
    </row>
    <row r="4309" spans="1:13" x14ac:dyDescent="0.25">
      <c r="A4309" t="s">
        <v>9498</v>
      </c>
      <c r="B4309" t="s">
        <v>9499</v>
      </c>
      <c r="C4309" t="s">
        <v>151</v>
      </c>
      <c r="D4309" t="s">
        <v>1381</v>
      </c>
      <c r="F4309">
        <v>2</v>
      </c>
      <c r="G4309" t="s">
        <v>16</v>
      </c>
      <c r="H4309">
        <v>0</v>
      </c>
      <c r="I4309" s="2" t="s">
        <v>3945</v>
      </c>
      <c r="J4309" s="2">
        <v>6148990051</v>
      </c>
      <c r="K4309">
        <v>20</v>
      </c>
      <c r="L4309">
        <v>20</v>
      </c>
      <c r="M4309">
        <v>20</v>
      </c>
    </row>
    <row r="4310" spans="1:13" x14ac:dyDescent="0.25">
      <c r="A4310" t="s">
        <v>9500</v>
      </c>
      <c r="B4310" t="s">
        <v>9501</v>
      </c>
      <c r="C4310" t="s">
        <v>496</v>
      </c>
      <c r="F4310">
        <v>1</v>
      </c>
      <c r="G4310" t="s">
        <v>16</v>
      </c>
      <c r="H4310">
        <v>0</v>
      </c>
      <c r="I4310" s="2" t="s">
        <v>2533</v>
      </c>
      <c r="J4310" s="2" t="s">
        <v>9502</v>
      </c>
      <c r="K4310">
        <v>20</v>
      </c>
      <c r="L4310">
        <v>20</v>
      </c>
      <c r="M4310">
        <v>20</v>
      </c>
    </row>
    <row r="4311" spans="1:13" x14ac:dyDescent="0.25">
      <c r="A4311" t="s">
        <v>9503</v>
      </c>
      <c r="B4311" t="s">
        <v>9504</v>
      </c>
      <c r="C4311" t="s">
        <v>2493</v>
      </c>
      <c r="G4311" t="s">
        <v>16</v>
      </c>
      <c r="H4311">
        <v>0</v>
      </c>
      <c r="I4311" s="2" t="s">
        <v>4086</v>
      </c>
      <c r="J4311" s="2" t="str">
        <f>"04675"</f>
        <v>04675</v>
      </c>
      <c r="K4311">
        <v>20</v>
      </c>
      <c r="L4311">
        <v>20</v>
      </c>
      <c r="M4311">
        <v>20</v>
      </c>
    </row>
    <row r="4312" spans="1:13" x14ac:dyDescent="0.25">
      <c r="A4312" t="s">
        <v>9505</v>
      </c>
      <c r="B4312" t="s">
        <v>9506</v>
      </c>
      <c r="C4312" t="s">
        <v>151</v>
      </c>
      <c r="D4312" t="s">
        <v>6347</v>
      </c>
      <c r="F4312">
        <v>1</v>
      </c>
      <c r="G4312" t="s">
        <v>16</v>
      </c>
      <c r="H4312">
        <v>0</v>
      </c>
      <c r="I4312" s="2" t="s">
        <v>389</v>
      </c>
      <c r="J4312" s="2">
        <v>1682223080</v>
      </c>
      <c r="K4312">
        <v>20</v>
      </c>
      <c r="L4312">
        <v>20</v>
      </c>
      <c r="M4312">
        <v>20</v>
      </c>
    </row>
    <row r="4313" spans="1:13" x14ac:dyDescent="0.25">
      <c r="A4313" t="s">
        <v>9507</v>
      </c>
      <c r="B4313" t="s">
        <v>9508</v>
      </c>
      <c r="C4313" t="s">
        <v>241</v>
      </c>
      <c r="D4313" t="s">
        <v>242</v>
      </c>
      <c r="G4313" t="s">
        <v>16</v>
      </c>
      <c r="H4313">
        <v>0</v>
      </c>
      <c r="I4313" s="2" t="s">
        <v>288</v>
      </c>
      <c r="J4313" s="2" t="s">
        <v>9509</v>
      </c>
      <c r="K4313">
        <v>20</v>
      </c>
      <c r="L4313">
        <v>20</v>
      </c>
      <c r="M4313">
        <v>20</v>
      </c>
    </row>
    <row r="4314" spans="1:13" x14ac:dyDescent="0.25">
      <c r="A4314" t="s">
        <v>9510</v>
      </c>
      <c r="B4314" t="s">
        <v>9508</v>
      </c>
      <c r="C4314" t="s">
        <v>241</v>
      </c>
      <c r="D4314" t="s">
        <v>242</v>
      </c>
      <c r="F4314">
        <v>5</v>
      </c>
      <c r="G4314" t="s">
        <v>16</v>
      </c>
      <c r="H4314">
        <v>0</v>
      </c>
      <c r="I4314" s="2" t="s">
        <v>737</v>
      </c>
      <c r="J4314" s="2" t="s">
        <v>9511</v>
      </c>
      <c r="K4314">
        <v>20</v>
      </c>
      <c r="L4314">
        <v>20</v>
      </c>
      <c r="M4314">
        <v>20</v>
      </c>
    </row>
    <row r="4315" spans="1:13" x14ac:dyDescent="0.25">
      <c r="A4315" t="s">
        <v>9512</v>
      </c>
      <c r="B4315" t="s">
        <v>9513</v>
      </c>
      <c r="C4315" t="s">
        <v>540</v>
      </c>
      <c r="F4315">
        <v>1</v>
      </c>
      <c r="G4315" t="s">
        <v>16</v>
      </c>
      <c r="H4315">
        <v>0</v>
      </c>
      <c r="I4315" s="2" t="s">
        <v>500</v>
      </c>
      <c r="J4315" s="2" t="s">
        <v>9514</v>
      </c>
      <c r="K4315">
        <v>20</v>
      </c>
      <c r="L4315">
        <v>20</v>
      </c>
      <c r="M4315">
        <v>20</v>
      </c>
    </row>
    <row r="4316" spans="1:13" x14ac:dyDescent="0.25">
      <c r="A4316">
        <v>39024220</v>
      </c>
      <c r="B4316" t="s">
        <v>9515</v>
      </c>
      <c r="C4316" t="s">
        <v>151</v>
      </c>
      <c r="D4316" t="s">
        <v>1092</v>
      </c>
      <c r="F4316">
        <v>1</v>
      </c>
      <c r="G4316" t="s">
        <v>16</v>
      </c>
      <c r="H4316">
        <v>0</v>
      </c>
      <c r="I4316" s="2" t="s">
        <v>497</v>
      </c>
      <c r="J4316" s="2">
        <v>39024220</v>
      </c>
      <c r="K4316">
        <v>20</v>
      </c>
      <c r="L4316">
        <v>20</v>
      </c>
      <c r="M4316">
        <v>20</v>
      </c>
    </row>
    <row r="4317" spans="1:13" x14ac:dyDescent="0.25">
      <c r="A4317">
        <v>39024221</v>
      </c>
      <c r="B4317" t="s">
        <v>9516</v>
      </c>
      <c r="C4317" t="s">
        <v>151</v>
      </c>
      <c r="D4317" t="s">
        <v>1092</v>
      </c>
      <c r="F4317">
        <v>1</v>
      </c>
      <c r="G4317" t="s">
        <v>16</v>
      </c>
      <c r="H4317">
        <v>0</v>
      </c>
      <c r="I4317" s="2" t="s">
        <v>1444</v>
      </c>
      <c r="J4317" s="2">
        <v>39024221</v>
      </c>
      <c r="K4317">
        <v>20</v>
      </c>
      <c r="L4317">
        <v>20</v>
      </c>
      <c r="M4317">
        <v>20</v>
      </c>
    </row>
    <row r="4318" spans="1:13" x14ac:dyDescent="0.25">
      <c r="A4318" t="s">
        <v>9517</v>
      </c>
      <c r="B4318" t="s">
        <v>9518</v>
      </c>
      <c r="C4318" t="s">
        <v>2493</v>
      </c>
      <c r="D4318" t="s">
        <v>2360</v>
      </c>
      <c r="G4318" t="s">
        <v>16</v>
      </c>
      <c r="H4318">
        <v>0</v>
      </c>
      <c r="I4318" s="2" t="s">
        <v>737</v>
      </c>
      <c r="J4318" s="2" t="s">
        <v>9519</v>
      </c>
      <c r="K4318">
        <v>20</v>
      </c>
      <c r="L4318">
        <v>20</v>
      </c>
      <c r="M4318">
        <v>20</v>
      </c>
    </row>
    <row r="4319" spans="1:13" x14ac:dyDescent="0.25">
      <c r="A4319" t="s">
        <v>9520</v>
      </c>
      <c r="B4319" t="s">
        <v>9522</v>
      </c>
      <c r="C4319" t="s">
        <v>14</v>
      </c>
      <c r="D4319" t="s">
        <v>191</v>
      </c>
      <c r="F4319">
        <v>1</v>
      </c>
      <c r="G4319" t="s">
        <v>16</v>
      </c>
      <c r="H4319">
        <v>0</v>
      </c>
      <c r="I4319" s="2" t="s">
        <v>392</v>
      </c>
      <c r="J4319" s="2" t="s">
        <v>9521</v>
      </c>
      <c r="K4319">
        <v>20</v>
      </c>
      <c r="L4319">
        <v>20</v>
      </c>
      <c r="M4319">
        <v>20</v>
      </c>
    </row>
    <row r="4320" spans="1:13" x14ac:dyDescent="0.25">
      <c r="A4320" t="s">
        <v>9523</v>
      </c>
      <c r="B4320" t="s">
        <v>9524</v>
      </c>
      <c r="C4320" t="s">
        <v>14</v>
      </c>
      <c r="D4320" t="s">
        <v>191</v>
      </c>
      <c r="F4320">
        <v>1</v>
      </c>
      <c r="G4320" t="s">
        <v>16</v>
      </c>
      <c r="H4320">
        <v>0</v>
      </c>
      <c r="I4320" s="2" t="s">
        <v>4708</v>
      </c>
      <c r="J4320" s="2" t="s">
        <v>9525</v>
      </c>
      <c r="K4320">
        <v>20</v>
      </c>
      <c r="L4320">
        <v>20</v>
      </c>
      <c r="M4320">
        <v>20</v>
      </c>
    </row>
    <row r="4321" spans="1:13" x14ac:dyDescent="0.25">
      <c r="A4321" t="s">
        <v>9526</v>
      </c>
      <c r="B4321" t="s">
        <v>9524</v>
      </c>
      <c r="C4321" t="s">
        <v>14</v>
      </c>
      <c r="D4321" t="s">
        <v>191</v>
      </c>
      <c r="G4321" t="s">
        <v>16</v>
      </c>
      <c r="H4321">
        <v>0</v>
      </c>
      <c r="I4321" s="2" t="s">
        <v>8700</v>
      </c>
      <c r="J4321" s="2" t="s">
        <v>9527</v>
      </c>
      <c r="K4321">
        <v>20</v>
      </c>
      <c r="L4321">
        <v>20</v>
      </c>
      <c r="M4321">
        <v>20</v>
      </c>
    </row>
    <row r="4322" spans="1:13" x14ac:dyDescent="0.25">
      <c r="A4322" t="s">
        <v>9528</v>
      </c>
      <c r="B4322" t="s">
        <v>9524</v>
      </c>
      <c r="C4322" t="s">
        <v>14</v>
      </c>
      <c r="D4322" t="s">
        <v>191</v>
      </c>
      <c r="F4322">
        <v>2</v>
      </c>
      <c r="G4322" t="s">
        <v>16</v>
      </c>
      <c r="H4322">
        <v>0</v>
      </c>
      <c r="I4322" s="2" t="s">
        <v>522</v>
      </c>
      <c r="J4322" s="2" t="s">
        <v>9529</v>
      </c>
      <c r="K4322">
        <v>20</v>
      </c>
      <c r="L4322">
        <v>20</v>
      </c>
      <c r="M4322">
        <v>20</v>
      </c>
    </row>
    <row r="4323" spans="1:13" x14ac:dyDescent="0.25">
      <c r="A4323" t="s">
        <v>9530</v>
      </c>
      <c r="B4323" t="s">
        <v>9524</v>
      </c>
      <c r="C4323" t="s">
        <v>14</v>
      </c>
      <c r="D4323" t="s">
        <v>191</v>
      </c>
      <c r="G4323" t="s">
        <v>16</v>
      </c>
      <c r="H4323">
        <v>0</v>
      </c>
      <c r="I4323" s="2" t="s">
        <v>4748</v>
      </c>
      <c r="J4323" s="2" t="s">
        <v>9531</v>
      </c>
      <c r="K4323">
        <v>20</v>
      </c>
      <c r="L4323">
        <v>20</v>
      </c>
      <c r="M4323">
        <v>20</v>
      </c>
    </row>
    <row r="4324" spans="1:13" x14ac:dyDescent="0.25">
      <c r="A4324" t="s">
        <v>9532</v>
      </c>
      <c r="B4324" t="s">
        <v>9522</v>
      </c>
      <c r="C4324" t="s">
        <v>14</v>
      </c>
      <c r="D4324" t="s">
        <v>191</v>
      </c>
      <c r="F4324">
        <v>1</v>
      </c>
      <c r="G4324" t="s">
        <v>16</v>
      </c>
      <c r="H4324">
        <v>0</v>
      </c>
      <c r="I4324" s="2" t="s">
        <v>4711</v>
      </c>
      <c r="J4324" s="2" t="s">
        <v>9533</v>
      </c>
      <c r="K4324">
        <v>20</v>
      </c>
      <c r="L4324">
        <v>20</v>
      </c>
      <c r="M4324">
        <v>20</v>
      </c>
    </row>
    <row r="4325" spans="1:13" x14ac:dyDescent="0.25">
      <c r="A4325" t="s">
        <v>9534</v>
      </c>
      <c r="B4325" t="s">
        <v>9522</v>
      </c>
      <c r="C4325" t="s">
        <v>14</v>
      </c>
      <c r="D4325" t="s">
        <v>191</v>
      </c>
      <c r="F4325">
        <v>2</v>
      </c>
      <c r="G4325" t="s">
        <v>16</v>
      </c>
      <c r="H4325">
        <v>0</v>
      </c>
      <c r="I4325" s="2" t="s">
        <v>7690</v>
      </c>
      <c r="J4325" s="2" t="s">
        <v>9535</v>
      </c>
      <c r="K4325">
        <v>20</v>
      </c>
      <c r="L4325">
        <v>20</v>
      </c>
      <c r="M4325">
        <v>20</v>
      </c>
    </row>
    <row r="4326" spans="1:13" x14ac:dyDescent="0.25">
      <c r="A4326" t="s">
        <v>9536</v>
      </c>
      <c r="B4326" t="s">
        <v>9524</v>
      </c>
      <c r="C4326" t="s">
        <v>14</v>
      </c>
      <c r="D4326" t="s">
        <v>191</v>
      </c>
      <c r="G4326" t="s">
        <v>16</v>
      </c>
      <c r="H4326">
        <v>0</v>
      </c>
      <c r="I4326" s="2" t="s">
        <v>4807</v>
      </c>
      <c r="J4326" s="2" t="s">
        <v>9537</v>
      </c>
      <c r="K4326">
        <v>20</v>
      </c>
      <c r="L4326">
        <v>20</v>
      </c>
      <c r="M4326">
        <v>20</v>
      </c>
    </row>
    <row r="4327" spans="1:13" x14ac:dyDescent="0.25">
      <c r="A4327" t="s">
        <v>9538</v>
      </c>
      <c r="B4327" t="s">
        <v>9524</v>
      </c>
      <c r="C4327" t="s">
        <v>14</v>
      </c>
      <c r="D4327" t="s">
        <v>191</v>
      </c>
      <c r="G4327" t="s">
        <v>16</v>
      </c>
      <c r="H4327">
        <v>0</v>
      </c>
      <c r="I4327" s="2" t="s">
        <v>4810</v>
      </c>
      <c r="J4327" s="2" t="s">
        <v>9539</v>
      </c>
      <c r="K4327">
        <v>20</v>
      </c>
      <c r="L4327">
        <v>20</v>
      </c>
      <c r="M4327">
        <v>20</v>
      </c>
    </row>
    <row r="4328" spans="1:13" x14ac:dyDescent="0.25">
      <c r="A4328">
        <v>39037199</v>
      </c>
      <c r="B4328" t="s">
        <v>9540</v>
      </c>
      <c r="C4328" t="s">
        <v>362</v>
      </c>
      <c r="D4328" t="s">
        <v>4091</v>
      </c>
      <c r="F4328">
        <v>1</v>
      </c>
      <c r="G4328" t="s">
        <v>16</v>
      </c>
      <c r="H4328">
        <v>0</v>
      </c>
      <c r="I4328" s="2" t="s">
        <v>1444</v>
      </c>
      <c r="J4328" s="2">
        <v>1684934880</v>
      </c>
      <c r="K4328">
        <v>20</v>
      </c>
      <c r="L4328">
        <v>20</v>
      </c>
      <c r="M4328">
        <v>20</v>
      </c>
    </row>
    <row r="4329" spans="1:13" x14ac:dyDescent="0.25">
      <c r="A4329" t="s">
        <v>9541</v>
      </c>
      <c r="B4329" t="s">
        <v>9540</v>
      </c>
      <c r="C4329" t="s">
        <v>362</v>
      </c>
      <c r="D4329" t="s">
        <v>4091</v>
      </c>
      <c r="G4329" t="s">
        <v>16</v>
      </c>
      <c r="H4329">
        <v>0</v>
      </c>
      <c r="I4329" s="2" t="s">
        <v>5548</v>
      </c>
      <c r="J4329" s="2" t="s">
        <v>9542</v>
      </c>
      <c r="K4329">
        <v>20</v>
      </c>
      <c r="L4329">
        <v>20</v>
      </c>
      <c r="M4329">
        <v>20</v>
      </c>
    </row>
    <row r="4330" spans="1:13" x14ac:dyDescent="0.25">
      <c r="A4330" t="s">
        <v>9543</v>
      </c>
      <c r="B4330" t="s">
        <v>9540</v>
      </c>
      <c r="C4330" t="s">
        <v>362</v>
      </c>
      <c r="D4330" t="s">
        <v>4091</v>
      </c>
      <c r="G4330" t="s">
        <v>16</v>
      </c>
      <c r="H4330">
        <v>0</v>
      </c>
      <c r="I4330" s="2" t="s">
        <v>288</v>
      </c>
      <c r="J4330" s="2" t="s">
        <v>9544</v>
      </c>
      <c r="K4330">
        <v>20</v>
      </c>
      <c r="L4330">
        <v>20</v>
      </c>
      <c r="M4330">
        <v>20</v>
      </c>
    </row>
    <row r="4331" spans="1:13" x14ac:dyDescent="0.25">
      <c r="A4331" t="s">
        <v>9545</v>
      </c>
      <c r="B4331" t="s">
        <v>9540</v>
      </c>
      <c r="C4331" t="s">
        <v>362</v>
      </c>
      <c r="D4331" t="s">
        <v>4091</v>
      </c>
      <c r="G4331" t="s">
        <v>16</v>
      </c>
      <c r="H4331">
        <v>0</v>
      </c>
      <c r="I4331" s="2" t="s">
        <v>383</v>
      </c>
      <c r="J4331" s="2" t="str">
        <f>"0986424839"</f>
        <v>0986424839</v>
      </c>
      <c r="K4331">
        <v>20</v>
      </c>
      <c r="L4331">
        <v>20</v>
      </c>
      <c r="M4331">
        <v>20</v>
      </c>
    </row>
    <row r="4332" spans="1:13" x14ac:dyDescent="0.25">
      <c r="A4332" t="s">
        <v>9546</v>
      </c>
      <c r="B4332" t="s">
        <v>9540</v>
      </c>
      <c r="C4332" t="s">
        <v>362</v>
      </c>
      <c r="D4332" t="s">
        <v>4091</v>
      </c>
      <c r="F4332">
        <v>1</v>
      </c>
      <c r="G4332" t="s">
        <v>16</v>
      </c>
      <c r="H4332">
        <v>0</v>
      </c>
      <c r="I4332" s="2" t="s">
        <v>941</v>
      </c>
      <c r="J4332" s="2" t="s">
        <v>9547</v>
      </c>
      <c r="K4332">
        <v>20</v>
      </c>
      <c r="L4332">
        <v>20</v>
      </c>
      <c r="M4332">
        <v>20</v>
      </c>
    </row>
    <row r="4333" spans="1:13" x14ac:dyDescent="0.25">
      <c r="A4333" t="s">
        <v>9548</v>
      </c>
      <c r="B4333" t="s">
        <v>9540</v>
      </c>
      <c r="C4333" t="s">
        <v>362</v>
      </c>
      <c r="D4333" t="s">
        <v>4091</v>
      </c>
      <c r="G4333" t="s">
        <v>16</v>
      </c>
      <c r="H4333">
        <v>0</v>
      </c>
      <c r="I4333" s="2" t="s">
        <v>9549</v>
      </c>
      <c r="J4333" s="2" t="s">
        <v>9550</v>
      </c>
      <c r="K4333">
        <v>20</v>
      </c>
      <c r="L4333">
        <v>20</v>
      </c>
      <c r="M4333">
        <v>20</v>
      </c>
    </row>
    <row r="4334" spans="1:13" x14ac:dyDescent="0.25">
      <c r="A4334" t="s">
        <v>9551</v>
      </c>
      <c r="B4334" t="s">
        <v>9552</v>
      </c>
      <c r="C4334" t="s">
        <v>2493</v>
      </c>
      <c r="D4334" t="s">
        <v>2360</v>
      </c>
      <c r="G4334" t="s">
        <v>16</v>
      </c>
      <c r="H4334">
        <v>0</v>
      </c>
      <c r="I4334" s="2" t="s">
        <v>1994</v>
      </c>
      <c r="J4334" s="2" t="s">
        <v>9553</v>
      </c>
      <c r="K4334">
        <v>20</v>
      </c>
      <c r="L4334">
        <v>20</v>
      </c>
      <c r="M4334">
        <v>20</v>
      </c>
    </row>
    <row r="4335" spans="1:13" x14ac:dyDescent="0.25">
      <c r="A4335" t="s">
        <v>9554</v>
      </c>
      <c r="B4335" t="s">
        <v>9555</v>
      </c>
      <c r="C4335" t="s">
        <v>496</v>
      </c>
      <c r="D4335" t="s">
        <v>2360</v>
      </c>
      <c r="F4335">
        <v>2</v>
      </c>
      <c r="G4335" t="s">
        <v>16</v>
      </c>
      <c r="H4335">
        <v>0</v>
      </c>
      <c r="I4335" s="2" t="s">
        <v>5500</v>
      </c>
      <c r="J4335" s="2" t="s">
        <v>9556</v>
      </c>
      <c r="K4335">
        <v>20</v>
      </c>
      <c r="L4335">
        <v>20</v>
      </c>
      <c r="M4335">
        <v>20</v>
      </c>
    </row>
    <row r="4336" spans="1:13" x14ac:dyDescent="0.25">
      <c r="A4336" t="s">
        <v>9557</v>
      </c>
      <c r="B4336" t="s">
        <v>9558</v>
      </c>
      <c r="C4336" t="s">
        <v>540</v>
      </c>
      <c r="F4336">
        <v>1</v>
      </c>
      <c r="G4336" t="s">
        <v>16</v>
      </c>
      <c r="H4336">
        <v>0</v>
      </c>
      <c r="I4336" s="2" t="s">
        <v>649</v>
      </c>
      <c r="J4336" s="2" t="s">
        <v>9559</v>
      </c>
      <c r="K4336">
        <v>20</v>
      </c>
      <c r="L4336">
        <v>20</v>
      </c>
      <c r="M4336">
        <v>20</v>
      </c>
    </row>
    <row r="4337" spans="1:13" x14ac:dyDescent="0.25">
      <c r="A4337">
        <v>39047564</v>
      </c>
      <c r="B4337" t="s">
        <v>9560</v>
      </c>
      <c r="C4337" t="s">
        <v>540</v>
      </c>
      <c r="F4337">
        <v>0</v>
      </c>
      <c r="G4337" t="s">
        <v>16</v>
      </c>
      <c r="H4337">
        <v>0</v>
      </c>
      <c r="I4337" s="2" t="s">
        <v>497</v>
      </c>
      <c r="J4337" s="2">
        <v>39047564</v>
      </c>
      <c r="K4337">
        <v>20</v>
      </c>
      <c r="L4337">
        <v>20</v>
      </c>
      <c r="M4337">
        <v>20</v>
      </c>
    </row>
    <row r="4338" spans="1:13" x14ac:dyDescent="0.25">
      <c r="A4338" t="s">
        <v>9561</v>
      </c>
      <c r="B4338" t="s">
        <v>9562</v>
      </c>
      <c r="C4338" t="s">
        <v>357</v>
      </c>
      <c r="D4338" t="s">
        <v>241</v>
      </c>
      <c r="F4338">
        <v>1</v>
      </c>
      <c r="G4338" t="s">
        <v>16</v>
      </c>
      <c r="H4338">
        <v>0</v>
      </c>
      <c r="I4338" s="2" t="s">
        <v>243</v>
      </c>
      <c r="J4338" s="2">
        <v>21141</v>
      </c>
      <c r="K4338">
        <v>20</v>
      </c>
      <c r="L4338">
        <v>20</v>
      </c>
      <c r="M4338">
        <v>20</v>
      </c>
    </row>
    <row r="4339" spans="1:13" x14ac:dyDescent="0.25">
      <c r="A4339" t="s">
        <v>9563</v>
      </c>
      <c r="B4339" t="s">
        <v>9564</v>
      </c>
      <c r="C4339" t="s">
        <v>540</v>
      </c>
      <c r="F4339">
        <v>0</v>
      </c>
      <c r="G4339" t="s">
        <v>16</v>
      </c>
      <c r="H4339">
        <v>0</v>
      </c>
      <c r="I4339" s="2" t="s">
        <v>545</v>
      </c>
      <c r="J4339" s="2" t="s">
        <v>9565</v>
      </c>
      <c r="K4339">
        <v>20</v>
      </c>
      <c r="L4339">
        <v>20</v>
      </c>
      <c r="M4339">
        <v>20</v>
      </c>
    </row>
    <row r="4340" spans="1:13" x14ac:dyDescent="0.25">
      <c r="A4340">
        <v>39059837</v>
      </c>
      <c r="B4340" t="s">
        <v>9566</v>
      </c>
      <c r="C4340" t="s">
        <v>540</v>
      </c>
      <c r="G4340" t="s">
        <v>16</v>
      </c>
      <c r="H4340">
        <v>0</v>
      </c>
      <c r="I4340" s="2" t="s">
        <v>1444</v>
      </c>
      <c r="J4340" s="2">
        <v>39059837</v>
      </c>
      <c r="K4340">
        <v>20</v>
      </c>
      <c r="L4340">
        <v>20</v>
      </c>
      <c r="M4340">
        <v>20</v>
      </c>
    </row>
    <row r="4341" spans="1:13" x14ac:dyDescent="0.25">
      <c r="A4341">
        <v>39059838</v>
      </c>
      <c r="B4341" t="s">
        <v>9567</v>
      </c>
      <c r="C4341" t="s">
        <v>540</v>
      </c>
      <c r="G4341" t="s">
        <v>16</v>
      </c>
      <c r="H4341">
        <v>0</v>
      </c>
      <c r="I4341" s="2" t="s">
        <v>497</v>
      </c>
      <c r="J4341" s="2">
        <v>39059838</v>
      </c>
      <c r="K4341">
        <v>20</v>
      </c>
      <c r="L4341">
        <v>20</v>
      </c>
      <c r="M4341">
        <v>20</v>
      </c>
    </row>
    <row r="4342" spans="1:13" x14ac:dyDescent="0.25">
      <c r="A4342">
        <v>39059839</v>
      </c>
      <c r="B4342" t="s">
        <v>9568</v>
      </c>
      <c r="C4342" t="s">
        <v>540</v>
      </c>
      <c r="G4342" t="s">
        <v>16</v>
      </c>
      <c r="H4342">
        <v>0</v>
      </c>
      <c r="I4342" s="2" t="s">
        <v>1444</v>
      </c>
      <c r="J4342" s="2">
        <v>39059839</v>
      </c>
      <c r="K4342">
        <v>20</v>
      </c>
      <c r="L4342">
        <v>20</v>
      </c>
      <c r="M4342">
        <v>20</v>
      </c>
    </row>
    <row r="4343" spans="1:13" x14ac:dyDescent="0.25">
      <c r="A4343" t="s">
        <v>9569</v>
      </c>
      <c r="B4343" t="s">
        <v>9570</v>
      </c>
      <c r="C4343" t="s">
        <v>540</v>
      </c>
      <c r="G4343" t="s">
        <v>16</v>
      </c>
      <c r="H4343">
        <v>0</v>
      </c>
      <c r="I4343" s="2" t="s">
        <v>2331</v>
      </c>
      <c r="J4343" s="2" t="s">
        <v>9571</v>
      </c>
      <c r="K4343">
        <v>20</v>
      </c>
      <c r="L4343">
        <v>20</v>
      </c>
      <c r="M4343">
        <v>20</v>
      </c>
    </row>
    <row r="4344" spans="1:13" x14ac:dyDescent="0.25">
      <c r="A4344" t="s">
        <v>9572</v>
      </c>
      <c r="B4344" t="s">
        <v>9573</v>
      </c>
      <c r="C4344" t="s">
        <v>241</v>
      </c>
      <c r="D4344" t="s">
        <v>242</v>
      </c>
      <c r="F4344">
        <v>2</v>
      </c>
      <c r="G4344" t="s">
        <v>16</v>
      </c>
      <c r="H4344">
        <v>0</v>
      </c>
      <c r="I4344" s="2" t="s">
        <v>737</v>
      </c>
      <c r="J4344" s="2" t="s">
        <v>9574</v>
      </c>
      <c r="K4344">
        <v>20</v>
      </c>
      <c r="L4344">
        <v>20</v>
      </c>
      <c r="M4344">
        <v>20</v>
      </c>
    </row>
    <row r="4345" spans="1:13" x14ac:dyDescent="0.25">
      <c r="A4345" t="s">
        <v>9575</v>
      </c>
      <c r="B4345" t="s">
        <v>9576</v>
      </c>
      <c r="C4345" t="s">
        <v>2493</v>
      </c>
      <c r="D4345" t="s">
        <v>2360</v>
      </c>
      <c r="G4345" t="s">
        <v>16</v>
      </c>
      <c r="H4345">
        <v>0</v>
      </c>
      <c r="I4345" s="2" t="s">
        <v>1994</v>
      </c>
      <c r="J4345" s="2" t="s">
        <v>9577</v>
      </c>
      <c r="K4345">
        <v>20</v>
      </c>
      <c r="L4345">
        <v>20</v>
      </c>
      <c r="M4345">
        <v>20</v>
      </c>
    </row>
    <row r="4346" spans="1:13" x14ac:dyDescent="0.25">
      <c r="A4346">
        <v>39082860</v>
      </c>
      <c r="B4346" t="s">
        <v>9578</v>
      </c>
      <c r="C4346" t="s">
        <v>540</v>
      </c>
      <c r="F4346">
        <v>1</v>
      </c>
      <c r="G4346" t="s">
        <v>16</v>
      </c>
      <c r="H4346">
        <v>0</v>
      </c>
      <c r="I4346" s="2" t="s">
        <v>497</v>
      </c>
      <c r="J4346" s="2">
        <v>39082860</v>
      </c>
      <c r="K4346">
        <v>20</v>
      </c>
      <c r="L4346">
        <v>20</v>
      </c>
      <c r="M4346">
        <v>20</v>
      </c>
    </row>
    <row r="4347" spans="1:13" x14ac:dyDescent="0.25">
      <c r="A4347" t="s">
        <v>9579</v>
      </c>
      <c r="B4347" t="s">
        <v>9578</v>
      </c>
      <c r="C4347" t="s">
        <v>540</v>
      </c>
      <c r="F4347">
        <v>1</v>
      </c>
      <c r="G4347" t="s">
        <v>16</v>
      </c>
      <c r="H4347">
        <v>0</v>
      </c>
      <c r="I4347" s="2" t="s">
        <v>1175</v>
      </c>
      <c r="J4347" s="2" t="s">
        <v>9580</v>
      </c>
      <c r="K4347">
        <v>20</v>
      </c>
      <c r="L4347">
        <v>20</v>
      </c>
      <c r="M4347">
        <v>20</v>
      </c>
    </row>
    <row r="4348" spans="1:13" x14ac:dyDescent="0.25">
      <c r="A4348" t="s">
        <v>9581</v>
      </c>
      <c r="B4348" t="s">
        <v>9583</v>
      </c>
      <c r="C4348" t="s">
        <v>540</v>
      </c>
      <c r="G4348" t="s">
        <v>16</v>
      </c>
      <c r="H4348">
        <v>0</v>
      </c>
      <c r="I4348" s="2" t="s">
        <v>288</v>
      </c>
      <c r="J4348" s="2" t="s">
        <v>9582</v>
      </c>
      <c r="K4348">
        <v>20</v>
      </c>
      <c r="L4348">
        <v>20</v>
      </c>
      <c r="M4348">
        <v>20</v>
      </c>
    </row>
    <row r="4349" spans="1:13" x14ac:dyDescent="0.25">
      <c r="A4349" t="s">
        <v>9584</v>
      </c>
      <c r="B4349" t="s">
        <v>9585</v>
      </c>
      <c r="C4349" t="s">
        <v>540</v>
      </c>
      <c r="F4349">
        <v>1</v>
      </c>
      <c r="G4349" t="s">
        <v>16</v>
      </c>
      <c r="H4349">
        <v>0</v>
      </c>
      <c r="I4349" s="2" t="s">
        <v>1585</v>
      </c>
      <c r="J4349" s="2">
        <v>39089229</v>
      </c>
      <c r="K4349">
        <v>20</v>
      </c>
      <c r="L4349">
        <v>20</v>
      </c>
      <c r="M4349">
        <v>20</v>
      </c>
    </row>
    <row r="4350" spans="1:13" x14ac:dyDescent="0.25">
      <c r="A4350" t="s">
        <v>9586</v>
      </c>
      <c r="B4350" t="s">
        <v>9588</v>
      </c>
      <c r="C4350" t="s">
        <v>496</v>
      </c>
      <c r="D4350" t="s">
        <v>2360</v>
      </c>
      <c r="F4350">
        <v>1</v>
      </c>
      <c r="G4350" t="s">
        <v>16</v>
      </c>
      <c r="H4350">
        <v>0</v>
      </c>
      <c r="I4350" s="2" t="s">
        <v>765</v>
      </c>
      <c r="J4350" s="2" t="s">
        <v>9587</v>
      </c>
      <c r="K4350">
        <v>20</v>
      </c>
      <c r="L4350">
        <v>20</v>
      </c>
      <c r="M4350">
        <v>20</v>
      </c>
    </row>
    <row r="4351" spans="1:13" x14ac:dyDescent="0.25">
      <c r="A4351" t="s">
        <v>9589</v>
      </c>
      <c r="B4351" t="s">
        <v>9591</v>
      </c>
      <c r="C4351" t="s">
        <v>496</v>
      </c>
      <c r="D4351" t="s">
        <v>2360</v>
      </c>
      <c r="F4351">
        <v>1</v>
      </c>
      <c r="G4351" t="s">
        <v>16</v>
      </c>
      <c r="H4351">
        <v>0</v>
      </c>
      <c r="I4351" s="2" t="s">
        <v>288</v>
      </c>
      <c r="J4351" s="2" t="s">
        <v>9590</v>
      </c>
      <c r="K4351">
        <v>20</v>
      </c>
      <c r="L4351">
        <v>20</v>
      </c>
      <c r="M4351">
        <v>20</v>
      </c>
    </row>
    <row r="4352" spans="1:13" x14ac:dyDescent="0.25">
      <c r="A4352">
        <v>39090650</v>
      </c>
      <c r="B4352" t="s">
        <v>9592</v>
      </c>
      <c r="C4352" t="s">
        <v>151</v>
      </c>
      <c r="D4352" t="s">
        <v>1092</v>
      </c>
      <c r="F4352">
        <v>0</v>
      </c>
      <c r="G4352" t="s">
        <v>16</v>
      </c>
      <c r="H4352">
        <v>0</v>
      </c>
      <c r="I4352" s="2" t="s">
        <v>497</v>
      </c>
      <c r="J4352" s="2">
        <v>39090650</v>
      </c>
      <c r="K4352">
        <v>20</v>
      </c>
      <c r="L4352">
        <v>20</v>
      </c>
      <c r="M4352">
        <v>20</v>
      </c>
    </row>
    <row r="4353" spans="1:13" x14ac:dyDescent="0.25">
      <c r="A4353">
        <v>39117421</v>
      </c>
      <c r="B4353" t="s">
        <v>9593</v>
      </c>
      <c r="C4353" t="s">
        <v>540</v>
      </c>
      <c r="F4353">
        <v>0</v>
      </c>
      <c r="G4353" t="s">
        <v>16</v>
      </c>
      <c r="H4353">
        <v>0</v>
      </c>
      <c r="I4353" s="2" t="s">
        <v>497</v>
      </c>
      <c r="J4353" s="2">
        <v>39117421</v>
      </c>
      <c r="K4353">
        <v>20</v>
      </c>
      <c r="L4353">
        <v>20</v>
      </c>
      <c r="M4353">
        <v>20</v>
      </c>
    </row>
    <row r="4354" spans="1:13" x14ac:dyDescent="0.25">
      <c r="A4354" t="s">
        <v>9594</v>
      </c>
      <c r="B4354" t="s">
        <v>9595</v>
      </c>
      <c r="C4354" t="s">
        <v>540</v>
      </c>
      <c r="D4354" t="s">
        <v>1736</v>
      </c>
      <c r="F4354">
        <v>3</v>
      </c>
      <c r="G4354" t="s">
        <v>16</v>
      </c>
      <c r="H4354">
        <v>0</v>
      </c>
      <c r="I4354" s="2" t="s">
        <v>1748</v>
      </c>
      <c r="J4354" s="2" t="s">
        <v>9596</v>
      </c>
      <c r="K4354">
        <v>20</v>
      </c>
      <c r="L4354">
        <v>20</v>
      </c>
      <c r="M4354">
        <v>20</v>
      </c>
    </row>
    <row r="4355" spans="1:13" x14ac:dyDescent="0.25">
      <c r="A4355" t="s">
        <v>9597</v>
      </c>
      <c r="B4355" t="s">
        <v>9598</v>
      </c>
      <c r="C4355" t="s">
        <v>1736</v>
      </c>
      <c r="F4355">
        <v>2</v>
      </c>
      <c r="G4355" t="s">
        <v>16</v>
      </c>
      <c r="H4355">
        <v>0</v>
      </c>
      <c r="I4355" s="2" t="s">
        <v>1748</v>
      </c>
      <c r="J4355" s="2" t="s">
        <v>9599</v>
      </c>
      <c r="K4355">
        <v>20</v>
      </c>
      <c r="L4355">
        <v>20</v>
      </c>
      <c r="M4355">
        <v>20</v>
      </c>
    </row>
    <row r="4356" spans="1:13" x14ac:dyDescent="0.25">
      <c r="A4356">
        <v>39125836</v>
      </c>
      <c r="B4356" t="s">
        <v>9600</v>
      </c>
      <c r="C4356" t="s">
        <v>151</v>
      </c>
      <c r="D4356" t="s">
        <v>1092</v>
      </c>
      <c r="F4356">
        <v>0</v>
      </c>
      <c r="G4356" t="s">
        <v>16</v>
      </c>
      <c r="H4356">
        <v>0</v>
      </c>
      <c r="I4356" s="2" t="s">
        <v>497</v>
      </c>
      <c r="J4356" s="2">
        <v>39125836</v>
      </c>
      <c r="K4356">
        <v>20</v>
      </c>
      <c r="L4356">
        <v>20</v>
      </c>
      <c r="M4356">
        <v>20</v>
      </c>
    </row>
    <row r="4357" spans="1:13" x14ac:dyDescent="0.25">
      <c r="A4357" t="s">
        <v>9601</v>
      </c>
      <c r="B4357" t="s">
        <v>9602</v>
      </c>
      <c r="C4357" t="s">
        <v>151</v>
      </c>
      <c r="D4357" t="s">
        <v>1092</v>
      </c>
      <c r="F4357">
        <v>1</v>
      </c>
      <c r="G4357" t="s">
        <v>16</v>
      </c>
      <c r="H4357">
        <v>0</v>
      </c>
      <c r="I4357" s="2" t="s">
        <v>491</v>
      </c>
      <c r="J4357" s="2">
        <v>714020650806</v>
      </c>
      <c r="K4357">
        <v>20</v>
      </c>
      <c r="L4357">
        <v>20</v>
      </c>
      <c r="M4357">
        <v>20</v>
      </c>
    </row>
    <row r="4358" spans="1:13" x14ac:dyDescent="0.25">
      <c r="A4358">
        <v>39135552</v>
      </c>
      <c r="B4358" t="s">
        <v>9603</v>
      </c>
      <c r="C4358" t="s">
        <v>540</v>
      </c>
      <c r="F4358">
        <v>0</v>
      </c>
      <c r="G4358" t="s">
        <v>16</v>
      </c>
      <c r="H4358">
        <v>0</v>
      </c>
      <c r="I4358" s="2" t="s">
        <v>497</v>
      </c>
      <c r="J4358" s="2">
        <v>39135552</v>
      </c>
      <c r="K4358">
        <v>20</v>
      </c>
      <c r="L4358">
        <v>20</v>
      </c>
      <c r="M4358">
        <v>20</v>
      </c>
    </row>
    <row r="4359" spans="1:13" x14ac:dyDescent="0.25">
      <c r="A4359" t="s">
        <v>9604</v>
      </c>
      <c r="B4359" t="s">
        <v>9605</v>
      </c>
      <c r="C4359" t="s">
        <v>540</v>
      </c>
      <c r="F4359">
        <v>1</v>
      </c>
      <c r="G4359" t="s">
        <v>16</v>
      </c>
      <c r="H4359">
        <v>0</v>
      </c>
      <c r="I4359" s="2" t="s">
        <v>2345</v>
      </c>
      <c r="J4359" s="2" t="s">
        <v>9606</v>
      </c>
      <c r="K4359">
        <v>20</v>
      </c>
      <c r="L4359">
        <v>20</v>
      </c>
      <c r="M4359">
        <v>20</v>
      </c>
    </row>
    <row r="4360" spans="1:13" x14ac:dyDescent="0.25">
      <c r="A4360" t="s">
        <v>9607</v>
      </c>
      <c r="B4360" t="s">
        <v>9608</v>
      </c>
      <c r="C4360" t="s">
        <v>14</v>
      </c>
      <c r="D4360" t="s">
        <v>191</v>
      </c>
      <c r="F4360">
        <v>4</v>
      </c>
      <c r="G4360" t="s">
        <v>16</v>
      </c>
      <c r="H4360">
        <v>0</v>
      </c>
      <c r="I4360" s="2" t="s">
        <v>500</v>
      </c>
      <c r="J4360" s="2" t="s">
        <v>9609</v>
      </c>
      <c r="K4360">
        <v>20</v>
      </c>
      <c r="L4360">
        <v>20</v>
      </c>
      <c r="M4360">
        <v>20</v>
      </c>
    </row>
    <row r="4361" spans="1:13" x14ac:dyDescent="0.25">
      <c r="A4361" t="s">
        <v>9610</v>
      </c>
      <c r="B4361" t="s">
        <v>9608</v>
      </c>
      <c r="C4361" t="s">
        <v>14</v>
      </c>
      <c r="D4361" t="s">
        <v>191</v>
      </c>
      <c r="G4361" t="s">
        <v>16</v>
      </c>
      <c r="H4361">
        <v>0</v>
      </c>
      <c r="I4361" s="2" t="s">
        <v>4748</v>
      </c>
      <c r="J4361" s="2" t="s">
        <v>9611</v>
      </c>
      <c r="K4361">
        <v>20</v>
      </c>
      <c r="L4361">
        <v>20</v>
      </c>
      <c r="M4361">
        <v>20</v>
      </c>
    </row>
    <row r="4362" spans="1:13" x14ac:dyDescent="0.25">
      <c r="A4362" t="s">
        <v>9612</v>
      </c>
      <c r="B4362" t="s">
        <v>9608</v>
      </c>
      <c r="C4362" t="s">
        <v>14</v>
      </c>
      <c r="D4362" t="s">
        <v>191</v>
      </c>
      <c r="G4362" t="s">
        <v>16</v>
      </c>
      <c r="H4362">
        <v>0</v>
      </c>
      <c r="I4362" s="2" t="s">
        <v>4736</v>
      </c>
      <c r="J4362" s="2" t="s">
        <v>9613</v>
      </c>
      <c r="K4362">
        <v>20</v>
      </c>
      <c r="L4362">
        <v>20</v>
      </c>
      <c r="M4362">
        <v>20</v>
      </c>
    </row>
    <row r="4363" spans="1:13" x14ac:dyDescent="0.25">
      <c r="A4363" t="s">
        <v>9614</v>
      </c>
      <c r="B4363" t="s">
        <v>9615</v>
      </c>
      <c r="C4363" t="s">
        <v>357</v>
      </c>
      <c r="D4363" t="s">
        <v>1836</v>
      </c>
      <c r="F4363">
        <v>1</v>
      </c>
      <c r="G4363" t="s">
        <v>16</v>
      </c>
      <c r="H4363">
        <v>0</v>
      </c>
      <c r="I4363" s="2" t="s">
        <v>1671</v>
      </c>
      <c r="J4363" s="2">
        <v>357255</v>
      </c>
      <c r="K4363">
        <v>20</v>
      </c>
      <c r="L4363">
        <v>20</v>
      </c>
      <c r="M4363">
        <v>20</v>
      </c>
    </row>
    <row r="4364" spans="1:13" x14ac:dyDescent="0.25">
      <c r="A4364">
        <v>39155302</v>
      </c>
      <c r="B4364" t="s">
        <v>9616</v>
      </c>
      <c r="C4364" t="s">
        <v>241</v>
      </c>
      <c r="D4364" t="s">
        <v>242</v>
      </c>
      <c r="F4364">
        <v>1</v>
      </c>
      <c r="G4364" t="s">
        <v>16</v>
      </c>
      <c r="H4364">
        <v>0</v>
      </c>
      <c r="I4364" s="2" t="s">
        <v>1444</v>
      </c>
      <c r="J4364" s="2">
        <v>39155302</v>
      </c>
      <c r="K4364">
        <v>20</v>
      </c>
      <c r="L4364">
        <v>20</v>
      </c>
      <c r="M4364">
        <v>20</v>
      </c>
    </row>
    <row r="4365" spans="1:13" x14ac:dyDescent="0.25">
      <c r="A4365" t="s">
        <v>9617</v>
      </c>
      <c r="B4365" t="s">
        <v>9619</v>
      </c>
      <c r="C4365" t="s">
        <v>241</v>
      </c>
      <c r="D4365" t="s">
        <v>242</v>
      </c>
      <c r="F4365">
        <v>1</v>
      </c>
      <c r="G4365" t="s">
        <v>16</v>
      </c>
      <c r="H4365">
        <v>0</v>
      </c>
      <c r="I4365" s="2" t="s">
        <v>3088</v>
      </c>
      <c r="J4365" s="2" t="s">
        <v>9618</v>
      </c>
      <c r="K4365">
        <v>20</v>
      </c>
      <c r="L4365">
        <v>20</v>
      </c>
      <c r="M4365">
        <v>20</v>
      </c>
    </row>
    <row r="4366" spans="1:13" x14ac:dyDescent="0.25">
      <c r="A4366" t="s">
        <v>9620</v>
      </c>
      <c r="B4366" t="s">
        <v>9621</v>
      </c>
      <c r="C4366" t="s">
        <v>540</v>
      </c>
      <c r="F4366">
        <v>2</v>
      </c>
      <c r="G4366" t="s">
        <v>16</v>
      </c>
      <c r="H4366">
        <v>0</v>
      </c>
      <c r="I4366" s="2" t="s">
        <v>1107</v>
      </c>
      <c r="J4366" s="2" t="s">
        <v>9622</v>
      </c>
      <c r="K4366">
        <v>20</v>
      </c>
      <c r="L4366">
        <v>20</v>
      </c>
      <c r="M4366">
        <v>20</v>
      </c>
    </row>
    <row r="4367" spans="1:13" x14ac:dyDescent="0.25">
      <c r="A4367">
        <v>39169704</v>
      </c>
      <c r="B4367" t="s">
        <v>9623</v>
      </c>
      <c r="C4367" t="s">
        <v>540</v>
      </c>
      <c r="F4367">
        <v>1</v>
      </c>
      <c r="G4367" t="s">
        <v>16</v>
      </c>
      <c r="H4367">
        <v>0</v>
      </c>
      <c r="I4367" s="2" t="s">
        <v>1444</v>
      </c>
      <c r="J4367" s="2">
        <v>39169704</v>
      </c>
      <c r="K4367">
        <v>20</v>
      </c>
      <c r="L4367">
        <v>20</v>
      </c>
      <c r="M4367">
        <v>20</v>
      </c>
    </row>
    <row r="4368" spans="1:13" x14ac:dyDescent="0.25">
      <c r="A4368">
        <v>39202874</v>
      </c>
      <c r="B4368" t="s">
        <v>9624</v>
      </c>
      <c r="C4368" t="s">
        <v>241</v>
      </c>
      <c r="D4368" t="s">
        <v>262</v>
      </c>
      <c r="F4368">
        <v>1</v>
      </c>
      <c r="G4368" t="s">
        <v>16</v>
      </c>
      <c r="H4368">
        <v>0</v>
      </c>
      <c r="I4368" s="2" t="s">
        <v>497</v>
      </c>
      <c r="J4368" s="2">
        <v>39202874</v>
      </c>
      <c r="K4368">
        <v>20</v>
      </c>
      <c r="L4368">
        <v>20</v>
      </c>
      <c r="M4368">
        <v>20</v>
      </c>
    </row>
    <row r="4369" spans="1:13" x14ac:dyDescent="0.25">
      <c r="A4369" t="s">
        <v>9625</v>
      </c>
      <c r="B4369" t="s">
        <v>9624</v>
      </c>
      <c r="C4369" t="s">
        <v>241</v>
      </c>
      <c r="D4369" t="s">
        <v>262</v>
      </c>
      <c r="G4369" t="s">
        <v>16</v>
      </c>
      <c r="H4369">
        <v>0</v>
      </c>
      <c r="I4369" s="2" t="s">
        <v>108</v>
      </c>
      <c r="J4369" s="3">
        <v>3801565004</v>
      </c>
      <c r="K4369">
        <v>20</v>
      </c>
      <c r="L4369">
        <v>20</v>
      </c>
      <c r="M4369">
        <v>20</v>
      </c>
    </row>
    <row r="4370" spans="1:13" x14ac:dyDescent="0.25">
      <c r="A4370" t="s">
        <v>9626</v>
      </c>
      <c r="B4370" t="s">
        <v>9627</v>
      </c>
      <c r="C4370" t="s">
        <v>20</v>
      </c>
      <c r="F4370">
        <v>1</v>
      </c>
      <c r="G4370" t="s">
        <v>16</v>
      </c>
      <c r="H4370">
        <v>0</v>
      </c>
      <c r="I4370" s="2" t="s">
        <v>87</v>
      </c>
      <c r="J4370" s="2" t="s">
        <v>9628</v>
      </c>
      <c r="K4370">
        <v>20</v>
      </c>
      <c r="L4370">
        <v>20</v>
      </c>
      <c r="M4370">
        <v>20</v>
      </c>
    </row>
    <row r="4371" spans="1:13" x14ac:dyDescent="0.25">
      <c r="A4371" t="s">
        <v>9629</v>
      </c>
      <c r="B4371" t="s">
        <v>9630</v>
      </c>
      <c r="C4371" t="s">
        <v>20</v>
      </c>
      <c r="D4371" t="s">
        <v>26</v>
      </c>
      <c r="F4371">
        <v>1</v>
      </c>
      <c r="G4371" t="s">
        <v>16</v>
      </c>
      <c r="H4371">
        <v>0</v>
      </c>
      <c r="K4371">
        <v>20</v>
      </c>
      <c r="L4371">
        <v>20</v>
      </c>
      <c r="M4371">
        <v>20</v>
      </c>
    </row>
    <row r="4372" spans="1:13" x14ac:dyDescent="0.25">
      <c r="A4372" t="s">
        <v>9631</v>
      </c>
      <c r="B4372" t="s">
        <v>9632</v>
      </c>
      <c r="C4372" t="s">
        <v>20</v>
      </c>
      <c r="D4372" t="s">
        <v>26</v>
      </c>
      <c r="F4372">
        <v>1</v>
      </c>
      <c r="G4372" t="s">
        <v>16</v>
      </c>
      <c r="H4372">
        <v>0</v>
      </c>
      <c r="K4372">
        <v>20</v>
      </c>
      <c r="L4372">
        <v>20</v>
      </c>
      <c r="M4372">
        <v>20</v>
      </c>
    </row>
    <row r="4373" spans="1:13" x14ac:dyDescent="0.25">
      <c r="A4373" t="s">
        <v>9633</v>
      </c>
      <c r="B4373" t="s">
        <v>9634</v>
      </c>
      <c r="C4373" t="s">
        <v>496</v>
      </c>
      <c r="F4373">
        <v>2</v>
      </c>
      <c r="G4373" t="s">
        <v>16</v>
      </c>
      <c r="H4373">
        <v>0</v>
      </c>
      <c r="I4373" s="2" t="s">
        <v>2517</v>
      </c>
      <c r="J4373" s="2" t="s">
        <v>9635</v>
      </c>
      <c r="K4373">
        <v>20</v>
      </c>
      <c r="L4373">
        <v>20</v>
      </c>
      <c r="M4373">
        <v>20</v>
      </c>
    </row>
    <row r="4374" spans="1:13" x14ac:dyDescent="0.25">
      <c r="A4374" t="s">
        <v>9636</v>
      </c>
      <c r="B4374" t="s">
        <v>9634</v>
      </c>
      <c r="C4374" t="s">
        <v>496</v>
      </c>
      <c r="F4374">
        <v>2</v>
      </c>
      <c r="G4374" t="s">
        <v>16</v>
      </c>
      <c r="H4374">
        <v>0</v>
      </c>
      <c r="I4374" s="2" t="s">
        <v>5040</v>
      </c>
      <c r="J4374" s="2" t="str">
        <f>"07-11622"</f>
        <v>07-11622</v>
      </c>
      <c r="K4374">
        <v>20</v>
      </c>
      <c r="L4374">
        <v>20</v>
      </c>
      <c r="M4374">
        <v>20</v>
      </c>
    </row>
    <row r="4375" spans="1:13" x14ac:dyDescent="0.25">
      <c r="A4375" t="s">
        <v>9637</v>
      </c>
      <c r="B4375" t="s">
        <v>9638</v>
      </c>
      <c r="C4375" t="s">
        <v>496</v>
      </c>
      <c r="G4375" t="s">
        <v>16</v>
      </c>
      <c r="H4375">
        <v>0</v>
      </c>
      <c r="I4375" s="2" t="s">
        <v>6147</v>
      </c>
      <c r="J4375" s="2" t="str">
        <f>"00236"</f>
        <v>00236</v>
      </c>
      <c r="K4375">
        <v>20</v>
      </c>
      <c r="L4375">
        <v>20</v>
      </c>
      <c r="M4375">
        <v>20</v>
      </c>
    </row>
    <row r="4376" spans="1:13" x14ac:dyDescent="0.25">
      <c r="A4376" t="s">
        <v>9639</v>
      </c>
      <c r="B4376" t="s">
        <v>9640</v>
      </c>
      <c r="C4376" t="s">
        <v>496</v>
      </c>
      <c r="D4376" t="s">
        <v>2360</v>
      </c>
      <c r="F4376">
        <v>0</v>
      </c>
      <c r="G4376" t="s">
        <v>16</v>
      </c>
      <c r="H4376">
        <v>0</v>
      </c>
      <c r="I4376" s="2" t="s">
        <v>4214</v>
      </c>
      <c r="J4376" s="2" t="s">
        <v>4215</v>
      </c>
      <c r="K4376">
        <v>20</v>
      </c>
      <c r="L4376">
        <v>20</v>
      </c>
      <c r="M4376">
        <v>20</v>
      </c>
    </row>
    <row r="4377" spans="1:13" x14ac:dyDescent="0.25">
      <c r="A4377" t="s">
        <v>9641</v>
      </c>
      <c r="B4377" t="s">
        <v>9642</v>
      </c>
      <c r="C4377" t="s">
        <v>20</v>
      </c>
      <c r="F4377">
        <v>1</v>
      </c>
      <c r="G4377" t="s">
        <v>16</v>
      </c>
      <c r="H4377">
        <v>0</v>
      </c>
      <c r="I4377" s="2" t="s">
        <v>64</v>
      </c>
      <c r="J4377" s="2" t="str">
        <f>"01060071"</f>
        <v>01060071</v>
      </c>
      <c r="K4377">
        <v>20</v>
      </c>
      <c r="L4377">
        <v>20</v>
      </c>
      <c r="M4377">
        <v>20</v>
      </c>
    </row>
    <row r="4378" spans="1:13" x14ac:dyDescent="0.25">
      <c r="A4378" t="s">
        <v>9643</v>
      </c>
      <c r="B4378" t="s">
        <v>9644</v>
      </c>
      <c r="F4378">
        <v>1</v>
      </c>
      <c r="G4378" t="s">
        <v>16</v>
      </c>
      <c r="H4378">
        <v>0</v>
      </c>
      <c r="I4378" s="2" t="s">
        <v>937</v>
      </c>
      <c r="J4378" s="2" t="s">
        <v>9645</v>
      </c>
      <c r="K4378">
        <v>20</v>
      </c>
      <c r="L4378">
        <v>20</v>
      </c>
      <c r="M4378">
        <v>20</v>
      </c>
    </row>
    <row r="4379" spans="1:13" x14ac:dyDescent="0.25">
      <c r="A4379" t="s">
        <v>9646</v>
      </c>
      <c r="B4379" t="s">
        <v>9647</v>
      </c>
      <c r="C4379" t="s">
        <v>496</v>
      </c>
      <c r="F4379">
        <v>1</v>
      </c>
      <c r="G4379" t="s">
        <v>16</v>
      </c>
      <c r="H4379">
        <v>0</v>
      </c>
      <c r="I4379" s="2" t="s">
        <v>87</v>
      </c>
      <c r="J4379" s="2" t="s">
        <v>9648</v>
      </c>
      <c r="K4379">
        <v>20</v>
      </c>
      <c r="L4379">
        <v>20</v>
      </c>
      <c r="M4379">
        <v>20</v>
      </c>
    </row>
    <row r="4380" spans="1:13" x14ac:dyDescent="0.25">
      <c r="A4380" t="s">
        <v>9649</v>
      </c>
      <c r="B4380" t="s">
        <v>9650</v>
      </c>
      <c r="C4380" t="s">
        <v>20</v>
      </c>
      <c r="F4380">
        <v>4</v>
      </c>
      <c r="G4380" t="s">
        <v>16</v>
      </c>
      <c r="H4380">
        <v>0</v>
      </c>
      <c r="I4380" s="2" t="s">
        <v>32</v>
      </c>
      <c r="J4380" s="2" t="s">
        <v>9651</v>
      </c>
      <c r="K4380">
        <v>20</v>
      </c>
      <c r="L4380">
        <v>20</v>
      </c>
      <c r="M4380">
        <v>20</v>
      </c>
    </row>
    <row r="4381" spans="1:13" x14ac:dyDescent="0.25">
      <c r="A4381" t="s">
        <v>9652</v>
      </c>
      <c r="B4381" t="s">
        <v>9653</v>
      </c>
      <c r="C4381" t="s">
        <v>20</v>
      </c>
      <c r="D4381" t="s">
        <v>21</v>
      </c>
      <c r="F4381">
        <v>4</v>
      </c>
      <c r="G4381" t="s">
        <v>16</v>
      </c>
      <c r="H4381">
        <v>0</v>
      </c>
      <c r="I4381" s="2" t="s">
        <v>82</v>
      </c>
      <c r="J4381" s="2" t="s">
        <v>9654</v>
      </c>
      <c r="K4381">
        <v>20</v>
      </c>
      <c r="L4381">
        <v>20</v>
      </c>
      <c r="M4381">
        <v>20</v>
      </c>
    </row>
    <row r="4382" spans="1:13" x14ac:dyDescent="0.25">
      <c r="A4382" t="s">
        <v>9655</v>
      </c>
      <c r="B4382" t="s">
        <v>9656</v>
      </c>
      <c r="C4382" t="s">
        <v>20</v>
      </c>
      <c r="D4382" t="s">
        <v>21</v>
      </c>
      <c r="F4382">
        <v>4</v>
      </c>
      <c r="G4382" t="s">
        <v>16</v>
      </c>
      <c r="H4382">
        <v>0</v>
      </c>
      <c r="I4382" s="2" t="s">
        <v>82</v>
      </c>
      <c r="J4382" s="2" t="s">
        <v>9657</v>
      </c>
      <c r="K4382">
        <v>20</v>
      </c>
      <c r="L4382">
        <v>20</v>
      </c>
      <c r="M4382">
        <v>20</v>
      </c>
    </row>
    <row r="4383" spans="1:13" x14ac:dyDescent="0.25">
      <c r="A4383" t="s">
        <v>9658</v>
      </c>
      <c r="B4383" t="s">
        <v>9659</v>
      </c>
      <c r="C4383" t="s">
        <v>496</v>
      </c>
      <c r="D4383" t="s">
        <v>2360</v>
      </c>
      <c r="G4383" t="s">
        <v>16</v>
      </c>
      <c r="H4383">
        <v>0</v>
      </c>
      <c r="I4383" s="2" t="s">
        <v>737</v>
      </c>
      <c r="J4383" s="2" t="s">
        <v>9660</v>
      </c>
      <c r="K4383">
        <v>20</v>
      </c>
      <c r="L4383">
        <v>20</v>
      </c>
      <c r="M4383">
        <v>20</v>
      </c>
    </row>
    <row r="4384" spans="1:13" x14ac:dyDescent="0.25">
      <c r="A4384" t="s">
        <v>9661</v>
      </c>
      <c r="B4384" t="s">
        <v>9662</v>
      </c>
      <c r="C4384" t="s">
        <v>2493</v>
      </c>
      <c r="G4384" t="s">
        <v>16</v>
      </c>
      <c r="H4384">
        <v>0</v>
      </c>
      <c r="I4384" s="2" t="s">
        <v>737</v>
      </c>
      <c r="J4384" s="2" t="s">
        <v>9663</v>
      </c>
      <c r="K4384">
        <v>20</v>
      </c>
      <c r="L4384">
        <v>20</v>
      </c>
      <c r="M4384">
        <v>20</v>
      </c>
    </row>
    <row r="4385" spans="1:13" x14ac:dyDescent="0.25">
      <c r="A4385" t="s">
        <v>9664</v>
      </c>
      <c r="B4385" t="s">
        <v>9665</v>
      </c>
      <c r="C4385" t="s">
        <v>496</v>
      </c>
      <c r="F4385">
        <v>1</v>
      </c>
      <c r="G4385" t="s">
        <v>16</v>
      </c>
      <c r="H4385">
        <v>0</v>
      </c>
      <c r="I4385" s="2" t="s">
        <v>87</v>
      </c>
      <c r="J4385" s="2" t="s">
        <v>9666</v>
      </c>
      <c r="K4385">
        <v>20</v>
      </c>
      <c r="L4385">
        <v>20</v>
      </c>
      <c r="M4385">
        <v>20</v>
      </c>
    </row>
    <row r="4386" spans="1:13" x14ac:dyDescent="0.25">
      <c r="A4386" t="s">
        <v>9667</v>
      </c>
      <c r="B4386" t="s">
        <v>9665</v>
      </c>
      <c r="C4386" t="s">
        <v>496</v>
      </c>
      <c r="D4386" t="s">
        <v>5864</v>
      </c>
      <c r="F4386">
        <v>1</v>
      </c>
      <c r="G4386" t="s">
        <v>16</v>
      </c>
      <c r="H4386">
        <v>0</v>
      </c>
      <c r="I4386" s="2" t="s">
        <v>737</v>
      </c>
      <c r="J4386" s="2" t="s">
        <v>9668</v>
      </c>
      <c r="K4386">
        <v>20</v>
      </c>
      <c r="L4386">
        <v>20</v>
      </c>
      <c r="M4386">
        <v>20</v>
      </c>
    </row>
    <row r="4387" spans="1:13" x14ac:dyDescent="0.25">
      <c r="A4387" t="s">
        <v>9669</v>
      </c>
      <c r="B4387" t="s">
        <v>9670</v>
      </c>
      <c r="C4387" t="s">
        <v>496</v>
      </c>
      <c r="G4387" t="s">
        <v>16</v>
      </c>
      <c r="H4387">
        <v>0</v>
      </c>
      <c r="I4387" s="2" t="s">
        <v>7889</v>
      </c>
      <c r="J4387" s="2" t="str">
        <f>"0664214"</f>
        <v>0664214</v>
      </c>
      <c r="K4387">
        <v>20</v>
      </c>
      <c r="L4387">
        <v>20</v>
      </c>
      <c r="M4387">
        <v>20</v>
      </c>
    </row>
    <row r="4388" spans="1:13" x14ac:dyDescent="0.25">
      <c r="A4388" t="s">
        <v>9671</v>
      </c>
      <c r="B4388" t="s">
        <v>9672</v>
      </c>
      <c r="C4388" t="s">
        <v>496</v>
      </c>
      <c r="F4388">
        <v>1</v>
      </c>
      <c r="G4388" t="s">
        <v>16</v>
      </c>
      <c r="H4388">
        <v>0</v>
      </c>
      <c r="I4388" s="2" t="s">
        <v>87</v>
      </c>
      <c r="J4388" s="2" t="s">
        <v>9673</v>
      </c>
      <c r="K4388">
        <v>20</v>
      </c>
      <c r="L4388">
        <v>20</v>
      </c>
      <c r="M4388">
        <v>20</v>
      </c>
    </row>
    <row r="4389" spans="1:13" x14ac:dyDescent="0.25">
      <c r="A4389" t="s">
        <v>9674</v>
      </c>
      <c r="B4389" t="s">
        <v>9672</v>
      </c>
      <c r="C4389" t="s">
        <v>496</v>
      </c>
      <c r="G4389" t="s">
        <v>16</v>
      </c>
      <c r="H4389">
        <v>0</v>
      </c>
      <c r="I4389" s="2" t="s">
        <v>64</v>
      </c>
      <c r="J4389" s="2">
        <v>10020231</v>
      </c>
      <c r="K4389">
        <v>20</v>
      </c>
      <c r="L4389">
        <v>20</v>
      </c>
      <c r="M4389">
        <v>20</v>
      </c>
    </row>
    <row r="4390" spans="1:13" x14ac:dyDescent="0.25">
      <c r="A4390" t="s">
        <v>9675</v>
      </c>
      <c r="B4390" t="s">
        <v>9672</v>
      </c>
      <c r="C4390" t="s">
        <v>496</v>
      </c>
      <c r="D4390" t="s">
        <v>2360</v>
      </c>
      <c r="F4390">
        <v>2</v>
      </c>
      <c r="G4390" t="s">
        <v>16</v>
      </c>
      <c r="H4390">
        <v>0</v>
      </c>
      <c r="I4390" s="2" t="s">
        <v>6907</v>
      </c>
      <c r="J4390" s="2">
        <v>313510</v>
      </c>
      <c r="K4390">
        <v>20</v>
      </c>
      <c r="L4390">
        <v>20</v>
      </c>
      <c r="M4390">
        <v>20</v>
      </c>
    </row>
    <row r="4391" spans="1:13" x14ac:dyDescent="0.25">
      <c r="A4391" t="s">
        <v>9676</v>
      </c>
      <c r="B4391" t="s">
        <v>9672</v>
      </c>
      <c r="C4391" t="s">
        <v>496</v>
      </c>
      <c r="D4391" t="s">
        <v>5864</v>
      </c>
      <c r="F4391">
        <v>1</v>
      </c>
      <c r="G4391" t="s">
        <v>16</v>
      </c>
      <c r="H4391">
        <v>0</v>
      </c>
      <c r="I4391" s="2" t="s">
        <v>737</v>
      </c>
      <c r="J4391" s="2" t="s">
        <v>9677</v>
      </c>
      <c r="K4391">
        <v>20</v>
      </c>
      <c r="L4391">
        <v>20</v>
      </c>
      <c r="M4391">
        <v>20</v>
      </c>
    </row>
    <row r="4392" spans="1:13" x14ac:dyDescent="0.25">
      <c r="A4392" t="s">
        <v>9678</v>
      </c>
      <c r="B4392" t="s">
        <v>9679</v>
      </c>
      <c r="C4392" t="s">
        <v>496</v>
      </c>
      <c r="F4392">
        <v>2</v>
      </c>
      <c r="G4392" t="s">
        <v>16</v>
      </c>
      <c r="H4392">
        <v>0</v>
      </c>
      <c r="I4392" s="2" t="s">
        <v>6855</v>
      </c>
      <c r="J4392" s="2">
        <v>14120</v>
      </c>
      <c r="K4392">
        <v>20</v>
      </c>
      <c r="L4392">
        <v>20</v>
      </c>
      <c r="M4392">
        <v>20</v>
      </c>
    </row>
    <row r="4393" spans="1:13" x14ac:dyDescent="0.25">
      <c r="A4393" t="s">
        <v>9680</v>
      </c>
      <c r="B4393" t="s">
        <v>9679</v>
      </c>
      <c r="C4393" t="s">
        <v>496</v>
      </c>
      <c r="G4393" t="s">
        <v>16</v>
      </c>
      <c r="H4393">
        <v>0</v>
      </c>
      <c r="I4393" s="2" t="s">
        <v>64</v>
      </c>
      <c r="J4393" s="2">
        <v>10020232</v>
      </c>
      <c r="K4393">
        <v>20</v>
      </c>
      <c r="L4393">
        <v>20</v>
      </c>
      <c r="M4393">
        <v>20</v>
      </c>
    </row>
    <row r="4394" spans="1:13" x14ac:dyDescent="0.25">
      <c r="A4394" t="s">
        <v>9681</v>
      </c>
      <c r="B4394" t="s">
        <v>9679</v>
      </c>
      <c r="C4394" t="s">
        <v>496</v>
      </c>
      <c r="F4394">
        <v>1</v>
      </c>
      <c r="G4394" t="s">
        <v>16</v>
      </c>
      <c r="H4394">
        <v>0</v>
      </c>
      <c r="I4394" s="2" t="s">
        <v>6907</v>
      </c>
      <c r="J4394" s="2">
        <v>313519</v>
      </c>
      <c r="K4394">
        <v>20</v>
      </c>
      <c r="L4394">
        <v>20</v>
      </c>
      <c r="M4394">
        <v>20</v>
      </c>
    </row>
    <row r="4395" spans="1:13" x14ac:dyDescent="0.25">
      <c r="A4395" t="s">
        <v>9682</v>
      </c>
      <c r="B4395" t="s">
        <v>9679</v>
      </c>
      <c r="C4395" t="s">
        <v>496</v>
      </c>
      <c r="F4395">
        <v>1</v>
      </c>
      <c r="G4395" t="s">
        <v>16</v>
      </c>
      <c r="H4395">
        <v>0</v>
      </c>
      <c r="I4395" s="2" t="s">
        <v>9683</v>
      </c>
      <c r="J4395" s="2" t="s">
        <v>9684</v>
      </c>
      <c r="K4395">
        <v>20</v>
      </c>
      <c r="L4395">
        <v>20</v>
      </c>
      <c r="M4395">
        <v>20</v>
      </c>
    </row>
    <row r="4396" spans="1:13" x14ac:dyDescent="0.25">
      <c r="A4396" t="s">
        <v>9685</v>
      </c>
      <c r="B4396" t="s">
        <v>9679</v>
      </c>
      <c r="C4396" t="s">
        <v>496</v>
      </c>
      <c r="F4396">
        <v>8</v>
      </c>
      <c r="G4396" t="s">
        <v>16</v>
      </c>
      <c r="H4396">
        <v>0</v>
      </c>
      <c r="I4396" s="2" t="s">
        <v>277</v>
      </c>
      <c r="J4396" s="2">
        <v>41803</v>
      </c>
      <c r="K4396">
        <v>20</v>
      </c>
      <c r="L4396">
        <v>20</v>
      </c>
      <c r="M4396">
        <v>20</v>
      </c>
    </row>
    <row r="4397" spans="1:13" x14ac:dyDescent="0.25">
      <c r="A4397" t="s">
        <v>9686</v>
      </c>
      <c r="B4397" t="s">
        <v>9679</v>
      </c>
      <c r="C4397" t="s">
        <v>496</v>
      </c>
      <c r="F4397">
        <v>2</v>
      </c>
      <c r="G4397" t="s">
        <v>16</v>
      </c>
      <c r="H4397">
        <v>0</v>
      </c>
      <c r="I4397" s="2" t="s">
        <v>737</v>
      </c>
      <c r="J4397" s="2" t="s">
        <v>9687</v>
      </c>
      <c r="K4397">
        <v>20</v>
      </c>
      <c r="L4397">
        <v>20</v>
      </c>
      <c r="M4397">
        <v>20</v>
      </c>
    </row>
    <row r="4398" spans="1:13" x14ac:dyDescent="0.25">
      <c r="A4398" t="s">
        <v>9688</v>
      </c>
      <c r="B4398" t="s">
        <v>9689</v>
      </c>
      <c r="C4398" t="s">
        <v>496</v>
      </c>
      <c r="F4398">
        <v>2</v>
      </c>
      <c r="G4398" t="s">
        <v>16</v>
      </c>
      <c r="H4398">
        <v>0</v>
      </c>
      <c r="I4398" s="2" t="s">
        <v>277</v>
      </c>
      <c r="J4398" s="2">
        <v>41730</v>
      </c>
      <c r="K4398">
        <v>20</v>
      </c>
      <c r="L4398">
        <v>20</v>
      </c>
      <c r="M4398">
        <v>20</v>
      </c>
    </row>
    <row r="4399" spans="1:13" x14ac:dyDescent="0.25">
      <c r="A4399" t="s">
        <v>9690</v>
      </c>
      <c r="B4399" t="s">
        <v>9691</v>
      </c>
      <c r="C4399" t="s">
        <v>496</v>
      </c>
      <c r="F4399">
        <v>2</v>
      </c>
      <c r="G4399" t="s">
        <v>16</v>
      </c>
      <c r="H4399">
        <v>0</v>
      </c>
      <c r="I4399" s="2" t="s">
        <v>737</v>
      </c>
      <c r="J4399" s="2" t="s">
        <v>9692</v>
      </c>
      <c r="K4399">
        <v>20</v>
      </c>
      <c r="L4399">
        <v>20</v>
      </c>
      <c r="M4399">
        <v>20</v>
      </c>
    </row>
    <row r="4400" spans="1:13" x14ac:dyDescent="0.25">
      <c r="A4400" t="s">
        <v>9693</v>
      </c>
      <c r="B4400" t="s">
        <v>9694</v>
      </c>
      <c r="C4400" t="s">
        <v>1432</v>
      </c>
      <c r="D4400" t="s">
        <v>6673</v>
      </c>
      <c r="G4400" t="s">
        <v>16</v>
      </c>
      <c r="H4400">
        <v>0</v>
      </c>
      <c r="I4400" s="2" t="s">
        <v>5677</v>
      </c>
      <c r="J4400" s="2" t="s">
        <v>9695</v>
      </c>
      <c r="K4400">
        <v>20</v>
      </c>
      <c r="L4400">
        <v>20</v>
      </c>
      <c r="M4400">
        <v>20</v>
      </c>
    </row>
    <row r="4401" spans="1:13" x14ac:dyDescent="0.25">
      <c r="A4401" t="s">
        <v>9696</v>
      </c>
      <c r="B4401" t="s">
        <v>9697</v>
      </c>
      <c r="C4401" t="s">
        <v>1432</v>
      </c>
      <c r="F4401">
        <v>3</v>
      </c>
      <c r="G4401" t="s">
        <v>16</v>
      </c>
      <c r="H4401">
        <v>0</v>
      </c>
      <c r="I4401" s="2" t="s">
        <v>5221</v>
      </c>
      <c r="J4401" s="2">
        <v>415032910</v>
      </c>
      <c r="K4401">
        <v>20</v>
      </c>
      <c r="L4401">
        <v>20</v>
      </c>
      <c r="M4401">
        <v>20</v>
      </c>
    </row>
    <row r="4402" spans="1:13" x14ac:dyDescent="0.25">
      <c r="A4402" t="s">
        <v>9698</v>
      </c>
      <c r="B4402" t="s">
        <v>9699</v>
      </c>
      <c r="C4402" t="s">
        <v>362</v>
      </c>
      <c r="D4402" t="s">
        <v>363</v>
      </c>
      <c r="F4402">
        <v>2</v>
      </c>
      <c r="G4402" t="s">
        <v>16</v>
      </c>
      <c r="H4402">
        <v>0</v>
      </c>
      <c r="I4402" s="2" t="s">
        <v>941</v>
      </c>
      <c r="J4402" s="2" t="s">
        <v>9700</v>
      </c>
      <c r="K4402">
        <v>20</v>
      </c>
      <c r="L4402">
        <v>20</v>
      </c>
      <c r="M4402">
        <v>20</v>
      </c>
    </row>
    <row r="4403" spans="1:13" x14ac:dyDescent="0.25">
      <c r="A4403" t="s">
        <v>9701</v>
      </c>
      <c r="B4403" t="s">
        <v>9702</v>
      </c>
      <c r="C4403" t="s">
        <v>2493</v>
      </c>
      <c r="D4403" t="s">
        <v>4101</v>
      </c>
      <c r="G4403" t="s">
        <v>16</v>
      </c>
      <c r="H4403">
        <v>0</v>
      </c>
      <c r="I4403" s="2" t="s">
        <v>993</v>
      </c>
      <c r="J4403" s="2">
        <v>205486</v>
      </c>
      <c r="K4403">
        <v>20</v>
      </c>
      <c r="L4403">
        <v>20</v>
      </c>
      <c r="M4403">
        <v>20</v>
      </c>
    </row>
    <row r="4404" spans="1:13" x14ac:dyDescent="0.25">
      <c r="A4404" t="s">
        <v>9703</v>
      </c>
      <c r="B4404" t="s">
        <v>9704</v>
      </c>
      <c r="C4404" t="s">
        <v>362</v>
      </c>
      <c r="G4404" t="s">
        <v>16</v>
      </c>
      <c r="H4404">
        <v>0</v>
      </c>
      <c r="I4404" s="2" t="s">
        <v>500</v>
      </c>
      <c r="J4404" s="2" t="s">
        <v>9705</v>
      </c>
      <c r="K4404">
        <v>20</v>
      </c>
      <c r="L4404">
        <v>20</v>
      </c>
      <c r="M4404">
        <v>20</v>
      </c>
    </row>
    <row r="4405" spans="1:13" x14ac:dyDescent="0.25">
      <c r="A4405" t="s">
        <v>9706</v>
      </c>
      <c r="B4405" t="s">
        <v>9707</v>
      </c>
      <c r="C4405" t="s">
        <v>496</v>
      </c>
      <c r="D4405" t="s">
        <v>2360</v>
      </c>
      <c r="G4405" t="s">
        <v>16</v>
      </c>
      <c r="H4405">
        <v>0</v>
      </c>
      <c r="I4405" s="2" t="s">
        <v>108</v>
      </c>
      <c r="J4405" s="3">
        <v>3561206008</v>
      </c>
      <c r="K4405">
        <v>20</v>
      </c>
      <c r="L4405">
        <v>20</v>
      </c>
      <c r="M4405">
        <v>20</v>
      </c>
    </row>
    <row r="4406" spans="1:13" x14ac:dyDescent="0.25">
      <c r="A4406" t="s">
        <v>9708</v>
      </c>
      <c r="B4406" t="s">
        <v>9709</v>
      </c>
      <c r="C4406" t="s">
        <v>2493</v>
      </c>
      <c r="G4406" t="s">
        <v>16</v>
      </c>
      <c r="H4406">
        <v>0</v>
      </c>
      <c r="I4406" s="2" t="s">
        <v>737</v>
      </c>
      <c r="J4406" s="2" t="s">
        <v>9710</v>
      </c>
      <c r="K4406">
        <v>20</v>
      </c>
      <c r="L4406">
        <v>20</v>
      </c>
      <c r="M4406">
        <v>20</v>
      </c>
    </row>
    <row r="4407" spans="1:13" x14ac:dyDescent="0.25">
      <c r="A4407" t="s">
        <v>9711</v>
      </c>
      <c r="B4407" t="s">
        <v>9712</v>
      </c>
      <c r="C4407" t="s">
        <v>496</v>
      </c>
      <c r="D4407" t="s">
        <v>2360</v>
      </c>
      <c r="G4407" t="s">
        <v>16</v>
      </c>
      <c r="H4407">
        <v>0</v>
      </c>
      <c r="I4407" s="2" t="b">
        <v>1</v>
      </c>
      <c r="J4407" s="2" t="s">
        <v>9713</v>
      </c>
      <c r="K4407">
        <v>20</v>
      </c>
      <c r="L4407">
        <v>20</v>
      </c>
      <c r="M4407">
        <v>20</v>
      </c>
    </row>
    <row r="4408" spans="1:13" x14ac:dyDescent="0.25">
      <c r="A4408" t="s">
        <v>9714</v>
      </c>
      <c r="B4408" t="s">
        <v>9715</v>
      </c>
      <c r="C4408" t="s">
        <v>2493</v>
      </c>
      <c r="D4408" t="s">
        <v>2360</v>
      </c>
      <c r="F4408">
        <v>1</v>
      </c>
      <c r="G4408" t="s">
        <v>16</v>
      </c>
      <c r="H4408">
        <v>0</v>
      </c>
      <c r="I4408" s="2" t="s">
        <v>4086</v>
      </c>
      <c r="J4408" s="2" t="str">
        <f>"00882"</f>
        <v>00882</v>
      </c>
      <c r="K4408">
        <v>20</v>
      </c>
      <c r="L4408">
        <v>20</v>
      </c>
      <c r="M4408">
        <v>20</v>
      </c>
    </row>
    <row r="4409" spans="1:13" x14ac:dyDescent="0.25">
      <c r="A4409" t="s">
        <v>9716</v>
      </c>
      <c r="B4409" t="s">
        <v>9717</v>
      </c>
      <c r="C4409" t="s">
        <v>496</v>
      </c>
      <c r="D4409" t="s">
        <v>2360</v>
      </c>
      <c r="G4409" t="s">
        <v>16</v>
      </c>
      <c r="H4409">
        <v>0</v>
      </c>
      <c r="I4409" s="2" t="s">
        <v>5085</v>
      </c>
      <c r="J4409" s="2" t="s">
        <v>9718</v>
      </c>
      <c r="K4409">
        <v>20</v>
      </c>
      <c r="L4409">
        <v>20</v>
      </c>
      <c r="M4409">
        <v>20</v>
      </c>
    </row>
    <row r="4410" spans="1:13" x14ac:dyDescent="0.25">
      <c r="A4410" t="s">
        <v>9719</v>
      </c>
      <c r="B4410" t="s">
        <v>9721</v>
      </c>
      <c r="C4410" t="s">
        <v>496</v>
      </c>
      <c r="D4410" t="s">
        <v>2360</v>
      </c>
      <c r="F4410">
        <v>8</v>
      </c>
      <c r="G4410" t="s">
        <v>16</v>
      </c>
      <c r="H4410">
        <v>0</v>
      </c>
      <c r="I4410" s="2" t="s">
        <v>288</v>
      </c>
      <c r="J4410" s="2" t="s">
        <v>9720</v>
      </c>
      <c r="K4410">
        <v>20</v>
      </c>
      <c r="L4410">
        <v>20</v>
      </c>
      <c r="M4410">
        <v>20</v>
      </c>
    </row>
    <row r="4411" spans="1:13" x14ac:dyDescent="0.25">
      <c r="A4411" t="s">
        <v>9722</v>
      </c>
      <c r="B4411" t="s">
        <v>9721</v>
      </c>
      <c r="C4411" t="s">
        <v>496</v>
      </c>
      <c r="D4411" t="s">
        <v>2360</v>
      </c>
      <c r="G4411" t="s">
        <v>16</v>
      </c>
      <c r="H4411">
        <v>0</v>
      </c>
      <c r="I4411" s="2" t="s">
        <v>5085</v>
      </c>
      <c r="J4411" s="2" t="s">
        <v>9723</v>
      </c>
      <c r="K4411">
        <v>20</v>
      </c>
      <c r="L4411">
        <v>20</v>
      </c>
      <c r="M4411">
        <v>20</v>
      </c>
    </row>
    <row r="4412" spans="1:13" x14ac:dyDescent="0.25">
      <c r="A4412" t="s">
        <v>9724</v>
      </c>
      <c r="B4412" t="s">
        <v>9721</v>
      </c>
      <c r="C4412" t="s">
        <v>496</v>
      </c>
      <c r="D4412" t="s">
        <v>2360</v>
      </c>
      <c r="F4412">
        <v>2</v>
      </c>
      <c r="G4412" t="s">
        <v>16</v>
      </c>
      <c r="H4412">
        <v>0</v>
      </c>
      <c r="I4412" s="2" t="s">
        <v>245</v>
      </c>
      <c r="J4412" s="2" t="s">
        <v>9725</v>
      </c>
      <c r="K4412">
        <v>20</v>
      </c>
      <c r="L4412">
        <v>20</v>
      </c>
      <c r="M4412">
        <v>20</v>
      </c>
    </row>
    <row r="4413" spans="1:13" x14ac:dyDescent="0.25">
      <c r="A4413" t="s">
        <v>9726</v>
      </c>
      <c r="B4413" t="s">
        <v>9721</v>
      </c>
      <c r="C4413" t="s">
        <v>496</v>
      </c>
      <c r="F4413">
        <v>4</v>
      </c>
      <c r="G4413" t="s">
        <v>16</v>
      </c>
      <c r="H4413">
        <v>0</v>
      </c>
      <c r="I4413" s="2" t="s">
        <v>4214</v>
      </c>
      <c r="J4413" s="2" t="s">
        <v>9727</v>
      </c>
      <c r="K4413">
        <v>20</v>
      </c>
      <c r="L4413">
        <v>20</v>
      </c>
      <c r="M4413">
        <v>20</v>
      </c>
    </row>
    <row r="4414" spans="1:13" x14ac:dyDescent="0.25">
      <c r="A4414" t="s">
        <v>9728</v>
      </c>
      <c r="B4414" t="s">
        <v>9721</v>
      </c>
      <c r="C4414" t="s">
        <v>496</v>
      </c>
      <c r="F4414">
        <v>4</v>
      </c>
      <c r="G4414" t="s">
        <v>16</v>
      </c>
      <c r="H4414">
        <v>0</v>
      </c>
      <c r="I4414" s="2" t="s">
        <v>737</v>
      </c>
      <c r="J4414" s="2" t="s">
        <v>9729</v>
      </c>
      <c r="K4414">
        <v>20</v>
      </c>
      <c r="L4414">
        <v>20</v>
      </c>
      <c r="M4414">
        <v>20</v>
      </c>
    </row>
    <row r="4415" spans="1:13" x14ac:dyDescent="0.25">
      <c r="A4415" t="s">
        <v>9730</v>
      </c>
      <c r="B4415" t="s">
        <v>9731</v>
      </c>
      <c r="C4415" t="s">
        <v>496</v>
      </c>
      <c r="D4415" t="s">
        <v>2360</v>
      </c>
      <c r="F4415">
        <v>2</v>
      </c>
      <c r="G4415" t="s">
        <v>16</v>
      </c>
      <c r="H4415">
        <v>0</v>
      </c>
      <c r="I4415" s="2" t="s">
        <v>707</v>
      </c>
      <c r="J4415" s="2" t="s">
        <v>9732</v>
      </c>
      <c r="K4415">
        <v>20</v>
      </c>
      <c r="L4415">
        <v>20</v>
      </c>
      <c r="M4415">
        <v>20</v>
      </c>
    </row>
    <row r="4416" spans="1:13" x14ac:dyDescent="0.25">
      <c r="A4416" t="s">
        <v>9733</v>
      </c>
      <c r="B4416" t="s">
        <v>9734</v>
      </c>
      <c r="C4416" t="s">
        <v>496</v>
      </c>
      <c r="D4416" t="s">
        <v>2360</v>
      </c>
      <c r="F4416">
        <v>1</v>
      </c>
      <c r="G4416" t="s">
        <v>16</v>
      </c>
      <c r="H4416">
        <v>0</v>
      </c>
      <c r="I4416" s="2" t="s">
        <v>5267</v>
      </c>
      <c r="J4416" s="2" t="s">
        <v>9735</v>
      </c>
      <c r="K4416">
        <v>20</v>
      </c>
      <c r="L4416">
        <v>20</v>
      </c>
      <c r="M4416">
        <v>20</v>
      </c>
    </row>
    <row r="4417" spans="1:13" x14ac:dyDescent="0.25">
      <c r="A4417" t="s">
        <v>9736</v>
      </c>
      <c r="B4417" t="s">
        <v>9737</v>
      </c>
      <c r="C4417" t="s">
        <v>496</v>
      </c>
      <c r="D4417" t="s">
        <v>2360</v>
      </c>
      <c r="F4417">
        <v>2</v>
      </c>
      <c r="G4417" t="s">
        <v>16</v>
      </c>
      <c r="H4417">
        <v>0</v>
      </c>
      <c r="I4417" s="2" t="s">
        <v>941</v>
      </c>
      <c r="J4417" s="2" t="s">
        <v>9738</v>
      </c>
      <c r="K4417">
        <v>20</v>
      </c>
      <c r="L4417">
        <v>20</v>
      </c>
      <c r="M4417">
        <v>20</v>
      </c>
    </row>
    <row r="4418" spans="1:13" x14ac:dyDescent="0.25">
      <c r="A4418" t="s">
        <v>9739</v>
      </c>
      <c r="B4418" t="s">
        <v>9740</v>
      </c>
      <c r="C4418" t="s">
        <v>496</v>
      </c>
      <c r="D4418" t="s">
        <v>2360</v>
      </c>
      <c r="F4418">
        <v>1</v>
      </c>
      <c r="G4418" t="s">
        <v>16</v>
      </c>
      <c r="H4418">
        <v>0</v>
      </c>
      <c r="I4418" s="2" t="s">
        <v>5267</v>
      </c>
      <c r="J4418" s="2" t="s">
        <v>9741</v>
      </c>
      <c r="K4418">
        <v>20</v>
      </c>
      <c r="L4418">
        <v>20</v>
      </c>
      <c r="M4418">
        <v>20</v>
      </c>
    </row>
    <row r="4419" spans="1:13" x14ac:dyDescent="0.25">
      <c r="A4419" t="s">
        <v>9742</v>
      </c>
      <c r="B4419" t="s">
        <v>9744</v>
      </c>
      <c r="C4419" t="s">
        <v>496</v>
      </c>
      <c r="D4419" t="s">
        <v>2360</v>
      </c>
      <c r="F4419">
        <v>2</v>
      </c>
      <c r="G4419" t="s">
        <v>16</v>
      </c>
      <c r="H4419">
        <v>0</v>
      </c>
      <c r="I4419" s="2" t="s">
        <v>288</v>
      </c>
      <c r="J4419" s="2" t="s">
        <v>9743</v>
      </c>
      <c r="K4419">
        <v>20</v>
      </c>
      <c r="L4419">
        <v>20</v>
      </c>
      <c r="M4419">
        <v>20</v>
      </c>
    </row>
    <row r="4420" spans="1:13" x14ac:dyDescent="0.25">
      <c r="A4420" t="s">
        <v>9745</v>
      </c>
      <c r="B4420" t="s">
        <v>9744</v>
      </c>
      <c r="C4420" t="s">
        <v>496</v>
      </c>
      <c r="D4420" t="s">
        <v>2360</v>
      </c>
      <c r="G4420" t="s">
        <v>16</v>
      </c>
      <c r="H4420">
        <v>0</v>
      </c>
      <c r="I4420" s="2" t="s">
        <v>9746</v>
      </c>
      <c r="J4420" s="2" t="s">
        <v>9747</v>
      </c>
      <c r="K4420">
        <v>20</v>
      </c>
      <c r="L4420">
        <v>20</v>
      </c>
      <c r="M4420">
        <v>20</v>
      </c>
    </row>
    <row r="4421" spans="1:13" x14ac:dyDescent="0.25">
      <c r="A4421" t="s">
        <v>9748</v>
      </c>
      <c r="B4421" t="s">
        <v>9744</v>
      </c>
      <c r="C4421" t="s">
        <v>2493</v>
      </c>
      <c r="F4421">
        <v>4</v>
      </c>
      <c r="G4421" t="s">
        <v>16</v>
      </c>
      <c r="H4421">
        <v>0</v>
      </c>
      <c r="I4421" s="2" t="s">
        <v>737</v>
      </c>
      <c r="J4421" s="2" t="s">
        <v>9749</v>
      </c>
      <c r="K4421">
        <v>20</v>
      </c>
      <c r="L4421">
        <v>20</v>
      </c>
      <c r="M4421">
        <v>20</v>
      </c>
    </row>
    <row r="4422" spans="1:13" x14ac:dyDescent="0.25">
      <c r="A4422" t="s">
        <v>9750</v>
      </c>
      <c r="B4422" t="s">
        <v>9751</v>
      </c>
      <c r="C4422" t="s">
        <v>496</v>
      </c>
      <c r="D4422" t="s">
        <v>2360</v>
      </c>
      <c r="F4422">
        <v>4</v>
      </c>
      <c r="G4422" t="s">
        <v>16</v>
      </c>
      <c r="H4422">
        <v>0</v>
      </c>
      <c r="I4422" s="2" t="s">
        <v>248</v>
      </c>
      <c r="J4422" s="2" t="str">
        <f>"04407"</f>
        <v>04407</v>
      </c>
      <c r="K4422">
        <v>20</v>
      </c>
      <c r="L4422">
        <v>20</v>
      </c>
      <c r="M4422">
        <v>20</v>
      </c>
    </row>
    <row r="4423" spans="1:13" x14ac:dyDescent="0.25">
      <c r="A4423" t="s">
        <v>9752</v>
      </c>
      <c r="B4423" t="s">
        <v>9751</v>
      </c>
      <c r="C4423" t="s">
        <v>496</v>
      </c>
      <c r="D4423" t="s">
        <v>2360</v>
      </c>
      <c r="G4423" t="s">
        <v>16</v>
      </c>
      <c r="H4423">
        <v>0</v>
      </c>
      <c r="I4423" s="2" t="s">
        <v>245</v>
      </c>
      <c r="J4423" s="2" t="s">
        <v>9753</v>
      </c>
      <c r="K4423">
        <v>20</v>
      </c>
      <c r="L4423">
        <v>20</v>
      </c>
      <c r="M4423">
        <v>20</v>
      </c>
    </row>
    <row r="4424" spans="1:13" x14ac:dyDescent="0.25">
      <c r="A4424" t="s">
        <v>9754</v>
      </c>
      <c r="B4424" t="s">
        <v>9755</v>
      </c>
      <c r="C4424" t="s">
        <v>496</v>
      </c>
      <c r="D4424" t="s">
        <v>2360</v>
      </c>
      <c r="G4424" t="s">
        <v>16</v>
      </c>
      <c r="H4424">
        <v>0</v>
      </c>
      <c r="I4424" s="2" t="s">
        <v>2533</v>
      </c>
      <c r="J4424" s="2" t="s">
        <v>9756</v>
      </c>
      <c r="K4424">
        <v>20</v>
      </c>
      <c r="L4424">
        <v>20</v>
      </c>
      <c r="M4424">
        <v>20</v>
      </c>
    </row>
    <row r="4425" spans="1:13" x14ac:dyDescent="0.25">
      <c r="A4425" t="s">
        <v>9757</v>
      </c>
      <c r="B4425" t="s">
        <v>9759</v>
      </c>
      <c r="C4425" t="s">
        <v>496</v>
      </c>
      <c r="D4425" t="s">
        <v>2360</v>
      </c>
      <c r="G4425" t="s">
        <v>16</v>
      </c>
      <c r="H4425">
        <v>0</v>
      </c>
      <c r="I4425" s="2" t="s">
        <v>288</v>
      </c>
      <c r="J4425" s="2" t="s">
        <v>9758</v>
      </c>
      <c r="K4425">
        <v>20</v>
      </c>
      <c r="L4425">
        <v>20</v>
      </c>
      <c r="M4425">
        <v>20</v>
      </c>
    </row>
    <row r="4426" spans="1:13" x14ac:dyDescent="0.25">
      <c r="A4426" t="s">
        <v>9760</v>
      </c>
      <c r="B4426" t="s">
        <v>9761</v>
      </c>
      <c r="C4426" t="s">
        <v>496</v>
      </c>
      <c r="D4426" t="s">
        <v>2360</v>
      </c>
      <c r="F4426">
        <v>2</v>
      </c>
      <c r="G4426" t="s">
        <v>16</v>
      </c>
      <c r="H4426">
        <v>0</v>
      </c>
      <c r="I4426" s="2" t="s">
        <v>64</v>
      </c>
      <c r="J4426" s="2">
        <v>15020316</v>
      </c>
      <c r="K4426">
        <v>20</v>
      </c>
      <c r="L4426">
        <v>20</v>
      </c>
      <c r="M4426">
        <v>20</v>
      </c>
    </row>
    <row r="4427" spans="1:13" x14ac:dyDescent="0.25">
      <c r="A4427" t="s">
        <v>9762</v>
      </c>
      <c r="B4427" t="s">
        <v>9761</v>
      </c>
      <c r="C4427" t="s">
        <v>496</v>
      </c>
      <c r="D4427" t="s">
        <v>2360</v>
      </c>
      <c r="F4427">
        <v>2</v>
      </c>
      <c r="G4427" t="s">
        <v>16</v>
      </c>
      <c r="H4427">
        <v>0</v>
      </c>
      <c r="I4427" s="2" t="s">
        <v>266</v>
      </c>
      <c r="J4427" s="2">
        <v>10638</v>
      </c>
      <c r="K4427">
        <v>20</v>
      </c>
      <c r="L4427">
        <v>20</v>
      </c>
      <c r="M4427">
        <v>20</v>
      </c>
    </row>
    <row r="4428" spans="1:13" x14ac:dyDescent="0.25">
      <c r="A4428" t="s">
        <v>9763</v>
      </c>
      <c r="B4428" t="s">
        <v>9764</v>
      </c>
      <c r="C4428" t="s">
        <v>496</v>
      </c>
      <c r="D4428" t="s">
        <v>2360</v>
      </c>
      <c r="F4428">
        <v>2</v>
      </c>
      <c r="G4428" t="s">
        <v>16</v>
      </c>
      <c r="H4428">
        <v>0</v>
      </c>
      <c r="I4428" s="2" t="s">
        <v>5044</v>
      </c>
      <c r="J4428" s="2" t="s">
        <v>9765</v>
      </c>
      <c r="K4428">
        <v>20</v>
      </c>
      <c r="L4428">
        <v>20</v>
      </c>
      <c r="M4428">
        <v>20</v>
      </c>
    </row>
    <row r="4429" spans="1:13" x14ac:dyDescent="0.25">
      <c r="A4429" t="s">
        <v>9766</v>
      </c>
      <c r="B4429" t="s">
        <v>9767</v>
      </c>
      <c r="C4429" t="s">
        <v>496</v>
      </c>
      <c r="D4429" t="s">
        <v>2360</v>
      </c>
      <c r="F4429">
        <v>2</v>
      </c>
      <c r="G4429" t="s">
        <v>16</v>
      </c>
      <c r="H4429">
        <v>0</v>
      </c>
      <c r="I4429" s="2" t="s">
        <v>64</v>
      </c>
      <c r="J4429" s="2">
        <v>15020049</v>
      </c>
      <c r="K4429">
        <v>20</v>
      </c>
      <c r="L4429">
        <v>20</v>
      </c>
      <c r="M4429">
        <v>20</v>
      </c>
    </row>
    <row r="4430" spans="1:13" x14ac:dyDescent="0.25">
      <c r="A4430" t="s">
        <v>9768</v>
      </c>
      <c r="B4430" t="s">
        <v>9769</v>
      </c>
      <c r="C4430" t="s">
        <v>496</v>
      </c>
      <c r="D4430" t="s">
        <v>2360</v>
      </c>
      <c r="F4430">
        <v>2</v>
      </c>
      <c r="G4430" t="s">
        <v>16</v>
      </c>
      <c r="H4430">
        <v>0</v>
      </c>
      <c r="I4430" s="2" t="s">
        <v>266</v>
      </c>
      <c r="J4430" s="2">
        <v>10625</v>
      </c>
      <c r="K4430">
        <v>20</v>
      </c>
      <c r="L4430">
        <v>20</v>
      </c>
      <c r="M4430">
        <v>20</v>
      </c>
    </row>
    <row r="4431" spans="1:13" x14ac:dyDescent="0.25">
      <c r="A4431" t="s">
        <v>9770</v>
      </c>
      <c r="B4431" t="s">
        <v>9771</v>
      </c>
      <c r="C4431" t="s">
        <v>496</v>
      </c>
      <c r="D4431" t="s">
        <v>2360</v>
      </c>
      <c r="G4431" t="s">
        <v>16</v>
      </c>
      <c r="H4431">
        <v>0</v>
      </c>
      <c r="I4431" s="2" t="s">
        <v>64</v>
      </c>
      <c r="J4431" s="2">
        <v>15020073</v>
      </c>
      <c r="K4431">
        <v>20</v>
      </c>
      <c r="L4431">
        <v>20</v>
      </c>
      <c r="M4431">
        <v>20</v>
      </c>
    </row>
    <row r="4432" spans="1:13" x14ac:dyDescent="0.25">
      <c r="A4432" t="s">
        <v>9772</v>
      </c>
      <c r="B4432" t="s">
        <v>9773</v>
      </c>
      <c r="C4432" t="s">
        <v>362</v>
      </c>
      <c r="D4432" t="s">
        <v>4091</v>
      </c>
      <c r="F4432">
        <v>1</v>
      </c>
      <c r="G4432" t="s">
        <v>16</v>
      </c>
      <c r="H4432">
        <v>0</v>
      </c>
      <c r="I4432" s="2" t="s">
        <v>854</v>
      </c>
      <c r="J4432" s="2">
        <v>562037</v>
      </c>
      <c r="K4432">
        <v>20</v>
      </c>
      <c r="L4432">
        <v>20</v>
      </c>
      <c r="M4432">
        <v>20</v>
      </c>
    </row>
    <row r="4433" spans="1:13" x14ac:dyDescent="0.25">
      <c r="A4433" t="s">
        <v>9774</v>
      </c>
      <c r="B4433" t="s">
        <v>9775</v>
      </c>
      <c r="C4433" t="s">
        <v>362</v>
      </c>
      <c r="D4433" t="s">
        <v>4091</v>
      </c>
      <c r="F4433">
        <v>1</v>
      </c>
      <c r="G4433" t="s">
        <v>16</v>
      </c>
      <c r="H4433">
        <v>0</v>
      </c>
      <c r="I4433" s="2" t="s">
        <v>5642</v>
      </c>
      <c r="J4433" s="2" t="s">
        <v>9776</v>
      </c>
      <c r="K4433">
        <v>20</v>
      </c>
      <c r="L4433">
        <v>20</v>
      </c>
      <c r="M4433">
        <v>20</v>
      </c>
    </row>
    <row r="4434" spans="1:13" x14ac:dyDescent="0.25">
      <c r="A4434" t="s">
        <v>9777</v>
      </c>
      <c r="B4434" t="s">
        <v>9778</v>
      </c>
      <c r="C4434" t="s">
        <v>362</v>
      </c>
      <c r="D4434" t="s">
        <v>4091</v>
      </c>
      <c r="G4434" t="s">
        <v>16</v>
      </c>
      <c r="H4434">
        <v>0</v>
      </c>
      <c r="I4434" s="2" t="s">
        <v>5496</v>
      </c>
      <c r="J4434" s="2" t="s">
        <v>9779</v>
      </c>
      <c r="K4434">
        <v>20</v>
      </c>
      <c r="L4434">
        <v>20</v>
      </c>
      <c r="M4434">
        <v>20</v>
      </c>
    </row>
    <row r="4435" spans="1:13" x14ac:dyDescent="0.25">
      <c r="A4435" t="s">
        <v>9780</v>
      </c>
      <c r="B4435" t="s">
        <v>9781</v>
      </c>
      <c r="C4435" t="s">
        <v>362</v>
      </c>
      <c r="D4435" t="s">
        <v>4091</v>
      </c>
      <c r="F4435">
        <v>1</v>
      </c>
      <c r="G4435" t="s">
        <v>16</v>
      </c>
      <c r="H4435">
        <v>0</v>
      </c>
      <c r="I4435" s="2" t="s">
        <v>5623</v>
      </c>
      <c r="J4435" s="2">
        <v>3032304</v>
      </c>
      <c r="K4435">
        <v>20</v>
      </c>
      <c r="L4435">
        <v>20</v>
      </c>
      <c r="M4435">
        <v>20</v>
      </c>
    </row>
    <row r="4436" spans="1:13" x14ac:dyDescent="0.25">
      <c r="A4436" t="s">
        <v>9782</v>
      </c>
      <c r="B4436" t="s">
        <v>9783</v>
      </c>
      <c r="C4436" t="s">
        <v>362</v>
      </c>
      <c r="D4436" t="s">
        <v>4091</v>
      </c>
      <c r="G4436" t="s">
        <v>16</v>
      </c>
      <c r="H4436">
        <v>0</v>
      </c>
      <c r="I4436" s="2" t="s">
        <v>941</v>
      </c>
      <c r="J4436" s="2" t="s">
        <v>9784</v>
      </c>
      <c r="K4436">
        <v>20</v>
      </c>
      <c r="L4436">
        <v>20</v>
      </c>
      <c r="M4436">
        <v>20</v>
      </c>
    </row>
    <row r="4437" spans="1:13" x14ac:dyDescent="0.25">
      <c r="A4437" t="s">
        <v>9785</v>
      </c>
      <c r="B4437" t="s">
        <v>9783</v>
      </c>
      <c r="C4437" t="s">
        <v>362</v>
      </c>
      <c r="D4437" t="s">
        <v>4091</v>
      </c>
      <c r="F4437">
        <v>1</v>
      </c>
      <c r="G4437" t="s">
        <v>16</v>
      </c>
      <c r="H4437">
        <v>0</v>
      </c>
      <c r="I4437" s="2" t="s">
        <v>5599</v>
      </c>
      <c r="J4437" s="2" t="s">
        <v>9786</v>
      </c>
      <c r="K4437">
        <v>20</v>
      </c>
      <c r="L4437">
        <v>20</v>
      </c>
      <c r="M4437">
        <v>20</v>
      </c>
    </row>
    <row r="4438" spans="1:13" x14ac:dyDescent="0.25">
      <c r="A4438" t="s">
        <v>9787</v>
      </c>
      <c r="B4438" t="s">
        <v>9788</v>
      </c>
      <c r="C4438" t="s">
        <v>362</v>
      </c>
      <c r="D4438" t="s">
        <v>4091</v>
      </c>
      <c r="F4438">
        <v>1</v>
      </c>
      <c r="G4438" t="s">
        <v>16</v>
      </c>
      <c r="H4438">
        <v>0</v>
      </c>
      <c r="I4438" s="2" t="s">
        <v>4193</v>
      </c>
      <c r="J4438" s="2" t="s">
        <v>9789</v>
      </c>
      <c r="K4438">
        <v>20</v>
      </c>
      <c r="L4438">
        <v>20</v>
      </c>
      <c r="M4438">
        <v>20</v>
      </c>
    </row>
    <row r="4439" spans="1:13" x14ac:dyDescent="0.25">
      <c r="A4439" t="s">
        <v>9790</v>
      </c>
      <c r="B4439" t="s">
        <v>9791</v>
      </c>
      <c r="C4439" t="s">
        <v>362</v>
      </c>
      <c r="D4439" t="s">
        <v>4091</v>
      </c>
      <c r="F4439">
        <v>1</v>
      </c>
      <c r="G4439" t="s">
        <v>16</v>
      </c>
      <c r="H4439">
        <v>0</v>
      </c>
      <c r="I4439" s="2" t="s">
        <v>2786</v>
      </c>
      <c r="J4439" s="2" t="str">
        <f>"09220"</f>
        <v>09220</v>
      </c>
      <c r="K4439">
        <v>20</v>
      </c>
      <c r="L4439">
        <v>20</v>
      </c>
      <c r="M4439">
        <v>20</v>
      </c>
    </row>
    <row r="4440" spans="1:13" x14ac:dyDescent="0.25">
      <c r="A4440" t="s">
        <v>9792</v>
      </c>
      <c r="B4440" t="s">
        <v>9791</v>
      </c>
      <c r="C4440" t="s">
        <v>362</v>
      </c>
      <c r="D4440" t="s">
        <v>4091</v>
      </c>
      <c r="G4440" t="s">
        <v>16</v>
      </c>
      <c r="H4440">
        <v>0</v>
      </c>
      <c r="I4440" s="2" t="s">
        <v>162</v>
      </c>
      <c r="J4440" s="2">
        <v>54254</v>
      </c>
      <c r="K4440">
        <v>20</v>
      </c>
      <c r="L4440">
        <v>20</v>
      </c>
      <c r="M4440">
        <v>20</v>
      </c>
    </row>
    <row r="4441" spans="1:13" x14ac:dyDescent="0.25">
      <c r="A4441" t="s">
        <v>9793</v>
      </c>
      <c r="B4441" t="s">
        <v>9795</v>
      </c>
      <c r="C4441" t="s">
        <v>496</v>
      </c>
      <c r="D4441" t="s">
        <v>2360</v>
      </c>
      <c r="F4441">
        <v>4</v>
      </c>
      <c r="G4441" t="s">
        <v>16</v>
      </c>
      <c r="H4441">
        <v>0</v>
      </c>
      <c r="I4441" s="2" t="s">
        <v>288</v>
      </c>
      <c r="J4441" s="2" t="s">
        <v>9794</v>
      </c>
      <c r="K4441">
        <v>20</v>
      </c>
      <c r="L4441">
        <v>20</v>
      </c>
      <c r="M4441">
        <v>20</v>
      </c>
    </row>
    <row r="4442" spans="1:13" x14ac:dyDescent="0.25">
      <c r="A4442" t="s">
        <v>9796</v>
      </c>
      <c r="B4442" t="s">
        <v>9797</v>
      </c>
      <c r="C4442" t="s">
        <v>496</v>
      </c>
      <c r="D4442" t="s">
        <v>2360</v>
      </c>
      <c r="G4442" t="s">
        <v>16</v>
      </c>
      <c r="H4442">
        <v>0</v>
      </c>
      <c r="I4442" s="2" t="s">
        <v>9798</v>
      </c>
      <c r="J4442" s="3">
        <v>3781233002</v>
      </c>
      <c r="K4442">
        <v>20</v>
      </c>
      <c r="L4442">
        <v>20</v>
      </c>
      <c r="M4442">
        <v>20</v>
      </c>
    </row>
    <row r="4443" spans="1:13" x14ac:dyDescent="0.25">
      <c r="A4443" t="s">
        <v>9799</v>
      </c>
      <c r="B4443" t="s">
        <v>9800</v>
      </c>
      <c r="C4443" t="s">
        <v>496</v>
      </c>
      <c r="D4443" t="s">
        <v>2360</v>
      </c>
      <c r="G4443" t="s">
        <v>16</v>
      </c>
      <c r="H4443">
        <v>0</v>
      </c>
      <c r="I4443" s="2" t="s">
        <v>5688</v>
      </c>
      <c r="J4443" s="2">
        <v>994316</v>
      </c>
      <c r="K4443">
        <v>20</v>
      </c>
      <c r="L4443">
        <v>20</v>
      </c>
      <c r="M4443">
        <v>20</v>
      </c>
    </row>
    <row r="4444" spans="1:13" x14ac:dyDescent="0.25">
      <c r="A4444" t="s">
        <v>9801</v>
      </c>
      <c r="B4444" t="s">
        <v>9803</v>
      </c>
      <c r="C4444" t="s">
        <v>496</v>
      </c>
      <c r="D4444" t="s">
        <v>2360</v>
      </c>
      <c r="G4444" t="s">
        <v>16</v>
      </c>
      <c r="H4444">
        <v>0</v>
      </c>
      <c r="I4444" s="2" t="s">
        <v>288</v>
      </c>
      <c r="J4444" s="2" t="s">
        <v>9802</v>
      </c>
      <c r="K4444">
        <v>20</v>
      </c>
      <c r="L4444">
        <v>20</v>
      </c>
      <c r="M4444">
        <v>20</v>
      </c>
    </row>
    <row r="4445" spans="1:13" x14ac:dyDescent="0.25">
      <c r="A4445" t="s">
        <v>9804</v>
      </c>
      <c r="B4445" t="s">
        <v>9805</v>
      </c>
      <c r="C4445" t="s">
        <v>496</v>
      </c>
      <c r="D4445" t="s">
        <v>2360</v>
      </c>
      <c r="G4445" t="s">
        <v>16</v>
      </c>
      <c r="H4445">
        <v>0</v>
      </c>
      <c r="I4445" s="2" t="s">
        <v>288</v>
      </c>
      <c r="J4445" s="2" t="s">
        <v>9806</v>
      </c>
      <c r="K4445">
        <v>20</v>
      </c>
      <c r="L4445">
        <v>20</v>
      </c>
      <c r="M4445">
        <v>20</v>
      </c>
    </row>
    <row r="4446" spans="1:13" x14ac:dyDescent="0.25">
      <c r="A4446" t="s">
        <v>9807</v>
      </c>
      <c r="B4446" t="s">
        <v>9808</v>
      </c>
      <c r="C4446" t="s">
        <v>151</v>
      </c>
      <c r="D4446" t="s">
        <v>1381</v>
      </c>
      <c r="F4446">
        <v>0</v>
      </c>
      <c r="G4446" t="s">
        <v>16</v>
      </c>
      <c r="H4446">
        <v>0</v>
      </c>
      <c r="I4446" s="2" t="s">
        <v>4193</v>
      </c>
      <c r="J4446" s="2" t="s">
        <v>9809</v>
      </c>
      <c r="K4446">
        <v>20</v>
      </c>
      <c r="L4446">
        <v>20</v>
      </c>
      <c r="M4446">
        <v>20</v>
      </c>
    </row>
    <row r="4447" spans="1:13" x14ac:dyDescent="0.25">
      <c r="A4447" t="s">
        <v>9810</v>
      </c>
      <c r="B4447" t="s">
        <v>9811</v>
      </c>
      <c r="C4447" t="s">
        <v>362</v>
      </c>
      <c r="D4447" t="s">
        <v>363</v>
      </c>
      <c r="G4447" t="s">
        <v>16</v>
      </c>
      <c r="H4447">
        <v>0</v>
      </c>
      <c r="I4447" s="2" t="s">
        <v>2517</v>
      </c>
      <c r="J4447" s="2" t="s">
        <v>9812</v>
      </c>
      <c r="K4447">
        <v>20</v>
      </c>
      <c r="L4447">
        <v>20</v>
      </c>
      <c r="M4447">
        <v>20</v>
      </c>
    </row>
    <row r="4448" spans="1:13" x14ac:dyDescent="0.25">
      <c r="A4448" t="s">
        <v>9813</v>
      </c>
      <c r="B4448" t="s">
        <v>9811</v>
      </c>
      <c r="C4448" t="s">
        <v>362</v>
      </c>
      <c r="D4448" t="s">
        <v>363</v>
      </c>
      <c r="F4448">
        <v>2</v>
      </c>
      <c r="G4448" t="s">
        <v>16</v>
      </c>
      <c r="H4448">
        <v>0</v>
      </c>
      <c r="I4448" s="2" t="s">
        <v>383</v>
      </c>
      <c r="J4448" s="2" t="str">
        <f>"0986478370"</f>
        <v>0986478370</v>
      </c>
      <c r="K4448">
        <v>20</v>
      </c>
      <c r="L4448">
        <v>20</v>
      </c>
      <c r="M4448">
        <v>20</v>
      </c>
    </row>
    <row r="4449" spans="1:13" x14ac:dyDescent="0.25">
      <c r="A4449" t="s">
        <v>9814</v>
      </c>
      <c r="B4449" t="s">
        <v>9815</v>
      </c>
      <c r="C4449" t="s">
        <v>362</v>
      </c>
      <c r="D4449" t="s">
        <v>363</v>
      </c>
      <c r="F4449">
        <v>2</v>
      </c>
      <c r="G4449" t="s">
        <v>16</v>
      </c>
      <c r="H4449">
        <v>0</v>
      </c>
      <c r="I4449" s="2" t="s">
        <v>383</v>
      </c>
      <c r="J4449" s="2" t="str">
        <f>"0986478887"</f>
        <v>0986478887</v>
      </c>
      <c r="K4449">
        <v>20</v>
      </c>
      <c r="L4449">
        <v>20</v>
      </c>
      <c r="M4449">
        <v>20</v>
      </c>
    </row>
    <row r="4450" spans="1:13" x14ac:dyDescent="0.25">
      <c r="A4450" t="s">
        <v>9816</v>
      </c>
      <c r="B4450" t="s">
        <v>9815</v>
      </c>
      <c r="C4450" t="s">
        <v>362</v>
      </c>
      <c r="D4450" t="s">
        <v>363</v>
      </c>
      <c r="F4450">
        <v>2</v>
      </c>
      <c r="G4450" t="s">
        <v>16</v>
      </c>
      <c r="H4450">
        <v>0</v>
      </c>
      <c r="I4450" s="2" t="s">
        <v>2639</v>
      </c>
      <c r="J4450" s="2" t="s">
        <v>9817</v>
      </c>
      <c r="K4450">
        <v>20</v>
      </c>
      <c r="L4450">
        <v>20</v>
      </c>
      <c r="M4450">
        <v>20</v>
      </c>
    </row>
    <row r="4451" spans="1:13" x14ac:dyDescent="0.25">
      <c r="A4451" t="s">
        <v>9818</v>
      </c>
      <c r="B4451" t="s">
        <v>9819</v>
      </c>
      <c r="C4451" t="s">
        <v>362</v>
      </c>
      <c r="D4451" t="s">
        <v>363</v>
      </c>
      <c r="F4451">
        <v>6</v>
      </c>
      <c r="G4451" t="s">
        <v>16</v>
      </c>
      <c r="H4451">
        <v>0</v>
      </c>
      <c r="I4451" s="2" t="s">
        <v>2517</v>
      </c>
      <c r="J4451" s="2" t="s">
        <v>9820</v>
      </c>
      <c r="K4451">
        <v>20</v>
      </c>
      <c r="L4451">
        <v>20</v>
      </c>
      <c r="M4451">
        <v>20</v>
      </c>
    </row>
    <row r="4452" spans="1:13" x14ac:dyDescent="0.25">
      <c r="A4452" t="s">
        <v>9821</v>
      </c>
      <c r="B4452" t="s">
        <v>9822</v>
      </c>
      <c r="C4452" t="s">
        <v>362</v>
      </c>
      <c r="D4452" t="s">
        <v>363</v>
      </c>
      <c r="F4452">
        <v>1</v>
      </c>
      <c r="G4452" t="s">
        <v>22</v>
      </c>
      <c r="H4452">
        <v>0</v>
      </c>
      <c r="I4452" s="2" t="s">
        <v>4193</v>
      </c>
      <c r="J4452" s="2" t="s">
        <v>9823</v>
      </c>
      <c r="K4452">
        <v>20</v>
      </c>
      <c r="L4452">
        <v>20</v>
      </c>
      <c r="M4452">
        <v>20</v>
      </c>
    </row>
    <row r="4453" spans="1:13" x14ac:dyDescent="0.25">
      <c r="A4453" t="s">
        <v>9824</v>
      </c>
      <c r="B4453" t="s">
        <v>9825</v>
      </c>
      <c r="C4453" t="s">
        <v>362</v>
      </c>
      <c r="D4453" t="s">
        <v>363</v>
      </c>
      <c r="F4453">
        <v>0</v>
      </c>
      <c r="G4453" t="s">
        <v>16</v>
      </c>
      <c r="H4453">
        <v>0</v>
      </c>
      <c r="I4453" s="2" t="s">
        <v>2517</v>
      </c>
      <c r="J4453" s="2" t="s">
        <v>9826</v>
      </c>
      <c r="K4453">
        <v>20</v>
      </c>
      <c r="L4453">
        <v>20</v>
      </c>
      <c r="M4453">
        <v>20</v>
      </c>
    </row>
    <row r="4454" spans="1:13" x14ac:dyDescent="0.25">
      <c r="A4454" t="s">
        <v>9827</v>
      </c>
      <c r="B4454" t="s">
        <v>9828</v>
      </c>
      <c r="C4454" t="s">
        <v>362</v>
      </c>
      <c r="D4454" t="s">
        <v>363</v>
      </c>
      <c r="F4454">
        <v>4</v>
      </c>
      <c r="G4454" t="s">
        <v>16</v>
      </c>
      <c r="H4454">
        <v>0</v>
      </c>
      <c r="I4454" s="2" t="s">
        <v>383</v>
      </c>
      <c r="J4454" s="2" t="str">
        <f>"0986478618"</f>
        <v>0986478618</v>
      </c>
      <c r="K4454">
        <v>20</v>
      </c>
      <c r="L4454">
        <v>20</v>
      </c>
      <c r="M4454">
        <v>20</v>
      </c>
    </row>
    <row r="4455" spans="1:13" x14ac:dyDescent="0.25">
      <c r="A4455" t="s">
        <v>9829</v>
      </c>
      <c r="B4455" t="s">
        <v>9825</v>
      </c>
      <c r="C4455" t="s">
        <v>362</v>
      </c>
      <c r="D4455" t="s">
        <v>363</v>
      </c>
      <c r="F4455">
        <v>0</v>
      </c>
      <c r="G4455" t="s">
        <v>22</v>
      </c>
      <c r="H4455">
        <v>0</v>
      </c>
      <c r="I4455" s="2" t="s">
        <v>4193</v>
      </c>
      <c r="J4455" s="2" t="s">
        <v>9830</v>
      </c>
      <c r="K4455">
        <v>20</v>
      </c>
      <c r="L4455">
        <v>20</v>
      </c>
      <c r="M4455">
        <v>20</v>
      </c>
    </row>
    <row r="4456" spans="1:13" x14ac:dyDescent="0.25">
      <c r="A4456" t="s">
        <v>9831</v>
      </c>
      <c r="B4456" t="s">
        <v>9828</v>
      </c>
      <c r="C4456" t="s">
        <v>362</v>
      </c>
      <c r="D4456" t="s">
        <v>363</v>
      </c>
      <c r="G4456" t="s">
        <v>16</v>
      </c>
      <c r="H4456">
        <v>0</v>
      </c>
      <c r="I4456" s="2" t="s">
        <v>707</v>
      </c>
      <c r="J4456" s="2" t="s">
        <v>9832</v>
      </c>
      <c r="K4456">
        <v>20</v>
      </c>
      <c r="L4456">
        <v>20</v>
      </c>
      <c r="M4456">
        <v>20</v>
      </c>
    </row>
    <row r="4457" spans="1:13" x14ac:dyDescent="0.25">
      <c r="A4457" t="s">
        <v>9833</v>
      </c>
      <c r="B4457" t="s">
        <v>9834</v>
      </c>
      <c r="C4457" t="s">
        <v>362</v>
      </c>
      <c r="D4457" t="s">
        <v>363</v>
      </c>
      <c r="F4457">
        <v>2</v>
      </c>
      <c r="G4457" t="s">
        <v>22</v>
      </c>
      <c r="H4457">
        <v>0</v>
      </c>
      <c r="I4457" s="2" t="s">
        <v>707</v>
      </c>
      <c r="J4457" s="2" t="s">
        <v>9835</v>
      </c>
      <c r="K4457">
        <v>20</v>
      </c>
      <c r="L4457">
        <v>20</v>
      </c>
      <c r="M4457">
        <v>20</v>
      </c>
    </row>
    <row r="4458" spans="1:13" x14ac:dyDescent="0.25">
      <c r="A4458" t="s">
        <v>9836</v>
      </c>
      <c r="B4458" t="s">
        <v>9837</v>
      </c>
      <c r="C4458" t="s">
        <v>362</v>
      </c>
      <c r="D4458" t="s">
        <v>363</v>
      </c>
      <c r="F4458">
        <v>2</v>
      </c>
      <c r="G4458" t="s">
        <v>16</v>
      </c>
      <c r="H4458">
        <v>0</v>
      </c>
      <c r="I4458" s="2" t="s">
        <v>2517</v>
      </c>
      <c r="J4458" s="2" t="s">
        <v>9838</v>
      </c>
      <c r="K4458">
        <v>20</v>
      </c>
      <c r="L4458">
        <v>20</v>
      </c>
      <c r="M4458">
        <v>20</v>
      </c>
    </row>
    <row r="4459" spans="1:13" x14ac:dyDescent="0.25">
      <c r="A4459" t="s">
        <v>9839</v>
      </c>
      <c r="B4459" t="s">
        <v>9837</v>
      </c>
      <c r="C4459" t="s">
        <v>362</v>
      </c>
      <c r="D4459" t="s">
        <v>363</v>
      </c>
      <c r="F4459">
        <v>8</v>
      </c>
      <c r="G4459" t="s">
        <v>16</v>
      </c>
      <c r="H4459">
        <v>0</v>
      </c>
      <c r="I4459" s="2" t="s">
        <v>383</v>
      </c>
      <c r="J4459" s="2" t="str">
        <f>"0986478979"</f>
        <v>0986478979</v>
      </c>
      <c r="K4459">
        <v>20</v>
      </c>
      <c r="L4459">
        <v>20</v>
      </c>
      <c r="M4459">
        <v>20</v>
      </c>
    </row>
    <row r="4460" spans="1:13" x14ac:dyDescent="0.25">
      <c r="A4460" t="s">
        <v>9840</v>
      </c>
      <c r="B4460" t="s">
        <v>9837</v>
      </c>
      <c r="C4460" t="s">
        <v>362</v>
      </c>
      <c r="D4460" t="s">
        <v>363</v>
      </c>
      <c r="G4460" t="s">
        <v>16</v>
      </c>
      <c r="H4460">
        <v>0</v>
      </c>
      <c r="I4460" s="2" t="s">
        <v>941</v>
      </c>
      <c r="J4460" s="2" t="s">
        <v>9841</v>
      </c>
      <c r="K4460">
        <v>20</v>
      </c>
      <c r="L4460">
        <v>20</v>
      </c>
      <c r="M4460">
        <v>20</v>
      </c>
    </row>
    <row r="4461" spans="1:13" x14ac:dyDescent="0.25">
      <c r="A4461" t="s">
        <v>9842</v>
      </c>
      <c r="B4461" t="s">
        <v>9837</v>
      </c>
      <c r="C4461" t="s">
        <v>362</v>
      </c>
      <c r="D4461" t="s">
        <v>363</v>
      </c>
      <c r="G4461" t="s">
        <v>16</v>
      </c>
      <c r="H4461">
        <v>0</v>
      </c>
      <c r="I4461" s="2" t="s">
        <v>389</v>
      </c>
      <c r="J4461" s="2">
        <v>1686717080</v>
      </c>
      <c r="K4461">
        <v>20</v>
      </c>
      <c r="L4461">
        <v>20</v>
      </c>
      <c r="M4461">
        <v>20</v>
      </c>
    </row>
    <row r="4462" spans="1:13" x14ac:dyDescent="0.25">
      <c r="A4462" t="s">
        <v>9843</v>
      </c>
      <c r="B4462" t="s">
        <v>9844</v>
      </c>
      <c r="C4462" t="s">
        <v>362</v>
      </c>
      <c r="D4462" t="s">
        <v>363</v>
      </c>
      <c r="F4462">
        <v>2</v>
      </c>
      <c r="G4462" t="s">
        <v>22</v>
      </c>
      <c r="H4462">
        <v>0</v>
      </c>
      <c r="I4462" s="2" t="s">
        <v>5496</v>
      </c>
      <c r="J4462" s="2" t="s">
        <v>9845</v>
      </c>
      <c r="K4462">
        <v>20</v>
      </c>
      <c r="L4462">
        <v>20</v>
      </c>
      <c r="M4462">
        <v>20</v>
      </c>
    </row>
    <row r="4463" spans="1:13" x14ac:dyDescent="0.25">
      <c r="A4463" t="s">
        <v>9846</v>
      </c>
      <c r="B4463" t="s">
        <v>9837</v>
      </c>
      <c r="C4463" t="s">
        <v>362</v>
      </c>
      <c r="D4463" t="s">
        <v>363</v>
      </c>
      <c r="F4463">
        <v>0</v>
      </c>
      <c r="G4463" t="s">
        <v>22</v>
      </c>
      <c r="H4463">
        <v>0</v>
      </c>
      <c r="I4463" s="2" t="s">
        <v>64</v>
      </c>
      <c r="J4463" s="2" t="str">
        <f>"07040149"</f>
        <v>07040149</v>
      </c>
      <c r="K4463">
        <v>20</v>
      </c>
      <c r="L4463">
        <v>20</v>
      </c>
      <c r="M4463">
        <v>20</v>
      </c>
    </row>
    <row r="4464" spans="1:13" x14ac:dyDescent="0.25">
      <c r="A4464" t="s">
        <v>9847</v>
      </c>
      <c r="B4464" t="s">
        <v>9848</v>
      </c>
      <c r="C4464" t="s">
        <v>362</v>
      </c>
      <c r="D4464" t="s">
        <v>363</v>
      </c>
      <c r="G4464" t="s">
        <v>16</v>
      </c>
      <c r="H4464">
        <v>0</v>
      </c>
      <c r="I4464" s="2" t="s">
        <v>2533</v>
      </c>
      <c r="J4464" s="2" t="s">
        <v>9849</v>
      </c>
      <c r="K4464">
        <v>20</v>
      </c>
      <c r="L4464">
        <v>20</v>
      </c>
      <c r="M4464">
        <v>20</v>
      </c>
    </row>
    <row r="4465" spans="1:13" x14ac:dyDescent="0.25">
      <c r="A4465" t="s">
        <v>9850</v>
      </c>
      <c r="B4465" t="s">
        <v>9851</v>
      </c>
      <c r="C4465" t="s">
        <v>362</v>
      </c>
      <c r="D4465" t="s">
        <v>363</v>
      </c>
      <c r="F4465">
        <v>2</v>
      </c>
      <c r="G4465" t="s">
        <v>16</v>
      </c>
      <c r="H4465">
        <v>0</v>
      </c>
      <c r="I4465" s="2" t="s">
        <v>685</v>
      </c>
      <c r="J4465" s="2" t="str">
        <f>"0986478608"</f>
        <v>0986478608</v>
      </c>
      <c r="K4465">
        <v>20</v>
      </c>
      <c r="L4465">
        <v>20</v>
      </c>
      <c r="M4465">
        <v>20</v>
      </c>
    </row>
    <row r="4466" spans="1:13" x14ac:dyDescent="0.25">
      <c r="A4466" t="s">
        <v>9852</v>
      </c>
      <c r="B4466" t="s">
        <v>9848</v>
      </c>
      <c r="C4466" t="s">
        <v>362</v>
      </c>
      <c r="D4466" t="s">
        <v>363</v>
      </c>
      <c r="G4466" t="s">
        <v>16</v>
      </c>
      <c r="H4466">
        <v>0</v>
      </c>
      <c r="I4466" s="2" t="s">
        <v>941</v>
      </c>
      <c r="J4466" s="2" t="s">
        <v>9853</v>
      </c>
      <c r="K4466">
        <v>20</v>
      </c>
      <c r="L4466">
        <v>20</v>
      </c>
      <c r="M4466">
        <v>20</v>
      </c>
    </row>
    <row r="4467" spans="1:13" x14ac:dyDescent="0.25">
      <c r="A4467" t="s">
        <v>9854</v>
      </c>
      <c r="B4467" t="s">
        <v>9855</v>
      </c>
      <c r="C4467" t="s">
        <v>362</v>
      </c>
      <c r="D4467" t="s">
        <v>363</v>
      </c>
      <c r="G4467" t="s">
        <v>16</v>
      </c>
      <c r="H4467">
        <v>0</v>
      </c>
      <c r="I4467" s="2" t="s">
        <v>2517</v>
      </c>
      <c r="J4467" s="2" t="s">
        <v>9856</v>
      </c>
      <c r="K4467">
        <v>20</v>
      </c>
      <c r="L4467">
        <v>20</v>
      </c>
      <c r="M4467">
        <v>20</v>
      </c>
    </row>
    <row r="4468" spans="1:13" x14ac:dyDescent="0.25">
      <c r="A4468" t="s">
        <v>9857</v>
      </c>
      <c r="B4468" t="s">
        <v>9858</v>
      </c>
      <c r="C4468" t="s">
        <v>362</v>
      </c>
      <c r="F4468">
        <v>2</v>
      </c>
      <c r="G4468" t="s">
        <v>16</v>
      </c>
      <c r="H4468">
        <v>0</v>
      </c>
      <c r="I4468" s="2" t="s">
        <v>685</v>
      </c>
      <c r="J4468" s="2" t="str">
        <f>"0986477201"</f>
        <v>0986477201</v>
      </c>
      <c r="K4468">
        <v>20</v>
      </c>
      <c r="L4468">
        <v>20</v>
      </c>
      <c r="M4468">
        <v>20</v>
      </c>
    </row>
    <row r="4469" spans="1:13" x14ac:dyDescent="0.25">
      <c r="A4469" t="s">
        <v>9859</v>
      </c>
      <c r="B4469" t="s">
        <v>9860</v>
      </c>
      <c r="C4469" t="s">
        <v>362</v>
      </c>
      <c r="F4469">
        <v>1</v>
      </c>
      <c r="G4469" t="s">
        <v>16</v>
      </c>
      <c r="H4469">
        <v>0</v>
      </c>
      <c r="I4469" s="2" t="s">
        <v>51</v>
      </c>
      <c r="J4469" s="2" t="s">
        <v>9859</v>
      </c>
      <c r="K4469">
        <v>20</v>
      </c>
      <c r="L4469">
        <v>20</v>
      </c>
      <c r="M4469">
        <v>20</v>
      </c>
    </row>
    <row r="4470" spans="1:13" x14ac:dyDescent="0.25">
      <c r="A4470">
        <v>424761</v>
      </c>
      <c r="B4470" t="s">
        <v>9861</v>
      </c>
      <c r="C4470" t="s">
        <v>496</v>
      </c>
      <c r="D4470" t="s">
        <v>2360</v>
      </c>
      <c r="F4470">
        <v>4</v>
      </c>
      <c r="G4470" t="s">
        <v>16</v>
      </c>
      <c r="H4470">
        <v>0</v>
      </c>
      <c r="I4470" s="2" t="s">
        <v>497</v>
      </c>
      <c r="J4470" s="2">
        <v>90538496</v>
      </c>
      <c r="K4470">
        <v>20</v>
      </c>
      <c r="L4470">
        <v>20</v>
      </c>
      <c r="M4470">
        <v>20</v>
      </c>
    </row>
    <row r="4471" spans="1:13" x14ac:dyDescent="0.25">
      <c r="A4471" t="s">
        <v>9862</v>
      </c>
      <c r="B4471" t="s">
        <v>9861</v>
      </c>
      <c r="C4471" t="s">
        <v>496</v>
      </c>
      <c r="D4471" t="s">
        <v>2360</v>
      </c>
      <c r="F4471">
        <v>2</v>
      </c>
      <c r="G4471" t="s">
        <v>16</v>
      </c>
      <c r="H4471">
        <v>0</v>
      </c>
      <c r="I4471" s="2" t="s">
        <v>737</v>
      </c>
      <c r="J4471" s="2" t="s">
        <v>9863</v>
      </c>
      <c r="K4471">
        <v>20</v>
      </c>
      <c r="L4471">
        <v>20</v>
      </c>
      <c r="M4471">
        <v>20</v>
      </c>
    </row>
    <row r="4472" spans="1:13" x14ac:dyDescent="0.25">
      <c r="A4472" t="s">
        <v>9864</v>
      </c>
      <c r="B4472" t="s">
        <v>9866</v>
      </c>
      <c r="C4472" t="s">
        <v>496</v>
      </c>
      <c r="D4472" t="s">
        <v>2360</v>
      </c>
      <c r="F4472">
        <v>6</v>
      </c>
      <c r="G4472" t="s">
        <v>16</v>
      </c>
      <c r="H4472">
        <v>0</v>
      </c>
      <c r="I4472" s="2" t="s">
        <v>288</v>
      </c>
      <c r="J4472" s="2" t="s">
        <v>9865</v>
      </c>
      <c r="K4472">
        <v>20</v>
      </c>
      <c r="L4472">
        <v>20</v>
      </c>
      <c r="M4472">
        <v>20</v>
      </c>
    </row>
    <row r="4473" spans="1:13" x14ac:dyDescent="0.25">
      <c r="A4473" t="s">
        <v>9867</v>
      </c>
      <c r="B4473" t="s">
        <v>9866</v>
      </c>
      <c r="C4473" t="s">
        <v>496</v>
      </c>
      <c r="D4473" t="s">
        <v>2360</v>
      </c>
      <c r="G4473" t="s">
        <v>16</v>
      </c>
      <c r="H4473">
        <v>0</v>
      </c>
      <c r="I4473" s="2" t="b">
        <v>1</v>
      </c>
      <c r="J4473" s="2" t="s">
        <v>9868</v>
      </c>
      <c r="K4473">
        <v>20</v>
      </c>
      <c r="L4473">
        <v>20</v>
      </c>
      <c r="M4473">
        <v>20</v>
      </c>
    </row>
    <row r="4474" spans="1:13" x14ac:dyDescent="0.25">
      <c r="A4474" t="s">
        <v>9869</v>
      </c>
      <c r="B4474" t="s">
        <v>9866</v>
      </c>
      <c r="C4474" t="s">
        <v>496</v>
      </c>
      <c r="D4474" t="s">
        <v>2360</v>
      </c>
      <c r="F4474">
        <v>2</v>
      </c>
      <c r="G4474" t="s">
        <v>16</v>
      </c>
      <c r="H4474">
        <v>0</v>
      </c>
      <c r="I4474" s="2" t="s">
        <v>737</v>
      </c>
      <c r="J4474" s="2" t="s">
        <v>9870</v>
      </c>
      <c r="K4474">
        <v>20</v>
      </c>
      <c r="L4474">
        <v>20</v>
      </c>
      <c r="M4474">
        <v>20</v>
      </c>
    </row>
    <row r="4475" spans="1:13" x14ac:dyDescent="0.25">
      <c r="A4475" t="s">
        <v>9871</v>
      </c>
      <c r="B4475" t="s">
        <v>9872</v>
      </c>
      <c r="C4475" t="s">
        <v>362</v>
      </c>
      <c r="D4475" t="s">
        <v>363</v>
      </c>
      <c r="F4475">
        <v>0</v>
      </c>
      <c r="G4475" t="s">
        <v>16</v>
      </c>
      <c r="H4475">
        <v>0</v>
      </c>
      <c r="I4475" s="2" t="s">
        <v>162</v>
      </c>
      <c r="J4475" s="2">
        <v>50422</v>
      </c>
      <c r="K4475">
        <v>20</v>
      </c>
      <c r="L4475">
        <v>20</v>
      </c>
      <c r="M4475">
        <v>20</v>
      </c>
    </row>
    <row r="4476" spans="1:13" x14ac:dyDescent="0.25">
      <c r="A4476" t="s">
        <v>9873</v>
      </c>
      <c r="B4476" t="s">
        <v>9874</v>
      </c>
      <c r="C4476" t="s">
        <v>362</v>
      </c>
      <c r="D4476" t="s">
        <v>363</v>
      </c>
      <c r="G4476" t="s">
        <v>16</v>
      </c>
      <c r="H4476">
        <v>0</v>
      </c>
      <c r="I4476" s="2" t="s">
        <v>2533</v>
      </c>
      <c r="J4476" s="2" t="s">
        <v>9875</v>
      </c>
      <c r="K4476">
        <v>20</v>
      </c>
      <c r="L4476">
        <v>20</v>
      </c>
      <c r="M4476">
        <v>20</v>
      </c>
    </row>
    <row r="4477" spans="1:13" x14ac:dyDescent="0.25">
      <c r="A4477" t="s">
        <v>9876</v>
      </c>
      <c r="B4477" t="s">
        <v>9877</v>
      </c>
      <c r="C4477" t="s">
        <v>362</v>
      </c>
      <c r="D4477" t="s">
        <v>363</v>
      </c>
      <c r="G4477" t="s">
        <v>16</v>
      </c>
      <c r="H4477">
        <v>0</v>
      </c>
      <c r="I4477" s="2" t="s">
        <v>2533</v>
      </c>
      <c r="J4477" s="2" t="s">
        <v>9878</v>
      </c>
      <c r="K4477">
        <v>20</v>
      </c>
      <c r="L4477">
        <v>20</v>
      </c>
      <c r="M4477">
        <v>20</v>
      </c>
    </row>
    <row r="4478" spans="1:13" x14ac:dyDescent="0.25">
      <c r="A4478" t="s">
        <v>9879</v>
      </c>
      <c r="B4478" t="s">
        <v>9880</v>
      </c>
      <c r="C4478" t="s">
        <v>362</v>
      </c>
      <c r="D4478" t="s">
        <v>363</v>
      </c>
      <c r="F4478">
        <v>0</v>
      </c>
      <c r="G4478" t="s">
        <v>22</v>
      </c>
      <c r="H4478">
        <v>0</v>
      </c>
      <c r="I4478" s="2" t="s">
        <v>4193</v>
      </c>
      <c r="J4478" s="2" t="s">
        <v>9881</v>
      </c>
      <c r="K4478">
        <v>20</v>
      </c>
      <c r="L4478">
        <v>20</v>
      </c>
      <c r="M4478">
        <v>20</v>
      </c>
    </row>
    <row r="4479" spans="1:13" x14ac:dyDescent="0.25">
      <c r="A4479" t="s">
        <v>9882</v>
      </c>
      <c r="B4479" t="s">
        <v>9883</v>
      </c>
      <c r="C4479" t="s">
        <v>151</v>
      </c>
      <c r="D4479" t="s">
        <v>1547</v>
      </c>
      <c r="F4479">
        <v>5</v>
      </c>
      <c r="G4479" t="s">
        <v>16</v>
      </c>
      <c r="H4479">
        <v>0</v>
      </c>
      <c r="I4479" s="2" t="s">
        <v>2896</v>
      </c>
      <c r="J4479" s="2">
        <v>44112</v>
      </c>
      <c r="K4479">
        <v>20</v>
      </c>
      <c r="L4479">
        <v>20</v>
      </c>
      <c r="M4479">
        <v>20</v>
      </c>
    </row>
    <row r="4480" spans="1:13" x14ac:dyDescent="0.25">
      <c r="A4480" t="s">
        <v>9884</v>
      </c>
      <c r="B4480" t="s">
        <v>9885</v>
      </c>
      <c r="C4480" t="s">
        <v>362</v>
      </c>
      <c r="D4480" t="s">
        <v>363</v>
      </c>
      <c r="F4480">
        <v>2</v>
      </c>
      <c r="G4480" t="s">
        <v>16</v>
      </c>
      <c r="H4480">
        <v>0</v>
      </c>
      <c r="I4480" s="2" t="s">
        <v>383</v>
      </c>
      <c r="J4480" s="2" t="str">
        <f>"0986479548"</f>
        <v>0986479548</v>
      </c>
      <c r="K4480">
        <v>20</v>
      </c>
      <c r="L4480">
        <v>20</v>
      </c>
      <c r="M4480">
        <v>20</v>
      </c>
    </row>
    <row r="4481" spans="1:13" x14ac:dyDescent="0.25">
      <c r="A4481" t="s">
        <v>9886</v>
      </c>
      <c r="B4481" t="s">
        <v>9885</v>
      </c>
      <c r="C4481" t="s">
        <v>362</v>
      </c>
      <c r="D4481" t="s">
        <v>363</v>
      </c>
      <c r="F4481">
        <v>2</v>
      </c>
      <c r="G4481" t="s">
        <v>16</v>
      </c>
      <c r="H4481">
        <v>0</v>
      </c>
      <c r="I4481" s="2" t="s">
        <v>392</v>
      </c>
      <c r="J4481" s="2">
        <v>1687772780</v>
      </c>
      <c r="K4481">
        <v>20</v>
      </c>
      <c r="L4481">
        <v>20</v>
      </c>
      <c r="M4481">
        <v>20</v>
      </c>
    </row>
    <row r="4482" spans="1:13" x14ac:dyDescent="0.25">
      <c r="A4482" t="s">
        <v>9887</v>
      </c>
      <c r="B4482" t="s">
        <v>9888</v>
      </c>
      <c r="C4482" t="s">
        <v>362</v>
      </c>
      <c r="D4482" t="s">
        <v>363</v>
      </c>
      <c r="G4482" t="s">
        <v>16</v>
      </c>
      <c r="H4482">
        <v>0</v>
      </c>
      <c r="I4482" s="2" t="s">
        <v>2533</v>
      </c>
      <c r="J4482" s="2" t="s">
        <v>9889</v>
      </c>
      <c r="K4482">
        <v>20</v>
      </c>
      <c r="L4482">
        <v>20</v>
      </c>
      <c r="M4482">
        <v>20</v>
      </c>
    </row>
    <row r="4483" spans="1:13" x14ac:dyDescent="0.25">
      <c r="A4483" t="s">
        <v>9890</v>
      </c>
      <c r="B4483" t="s">
        <v>9891</v>
      </c>
      <c r="C4483" t="s">
        <v>362</v>
      </c>
      <c r="D4483" t="s">
        <v>363</v>
      </c>
      <c r="F4483">
        <v>2</v>
      </c>
      <c r="G4483" t="s">
        <v>16</v>
      </c>
      <c r="H4483">
        <v>0</v>
      </c>
      <c r="I4483" s="2" t="s">
        <v>383</v>
      </c>
      <c r="J4483" s="2" t="str">
        <f>"0986478639"</f>
        <v>0986478639</v>
      </c>
      <c r="K4483">
        <v>20</v>
      </c>
      <c r="L4483">
        <v>20</v>
      </c>
      <c r="M4483">
        <v>20</v>
      </c>
    </row>
    <row r="4484" spans="1:13" x14ac:dyDescent="0.25">
      <c r="A4484" t="s">
        <v>9892</v>
      </c>
      <c r="B4484" t="s">
        <v>9894</v>
      </c>
      <c r="C4484" t="s">
        <v>362</v>
      </c>
      <c r="D4484" t="s">
        <v>363</v>
      </c>
      <c r="F4484">
        <v>0</v>
      </c>
      <c r="G4484" t="s">
        <v>16</v>
      </c>
      <c r="H4484">
        <v>0</v>
      </c>
      <c r="I4484" s="2" t="s">
        <v>288</v>
      </c>
      <c r="J4484" s="2" t="s">
        <v>9893</v>
      </c>
      <c r="K4484">
        <v>20</v>
      </c>
      <c r="L4484">
        <v>20</v>
      </c>
      <c r="M4484">
        <v>20</v>
      </c>
    </row>
    <row r="4485" spans="1:13" x14ac:dyDescent="0.25">
      <c r="A4485" t="s">
        <v>9895</v>
      </c>
      <c r="B4485" t="s">
        <v>9896</v>
      </c>
      <c r="C4485" t="s">
        <v>362</v>
      </c>
      <c r="D4485" t="s">
        <v>363</v>
      </c>
      <c r="F4485">
        <v>4</v>
      </c>
      <c r="G4485" t="s">
        <v>16</v>
      </c>
      <c r="H4485">
        <v>0</v>
      </c>
      <c r="I4485" s="2" t="s">
        <v>685</v>
      </c>
      <c r="J4485" s="2" t="str">
        <f>"0986479A89"</f>
        <v>0986479A89</v>
      </c>
      <c r="K4485">
        <v>20</v>
      </c>
      <c r="L4485">
        <v>20</v>
      </c>
      <c r="M4485">
        <v>20</v>
      </c>
    </row>
    <row r="4486" spans="1:13" x14ac:dyDescent="0.25">
      <c r="A4486" t="s">
        <v>9897</v>
      </c>
      <c r="B4486" t="s">
        <v>9896</v>
      </c>
      <c r="C4486" t="s">
        <v>362</v>
      </c>
      <c r="D4486" t="s">
        <v>363</v>
      </c>
      <c r="G4486" t="s">
        <v>22</v>
      </c>
      <c r="H4486">
        <v>0</v>
      </c>
      <c r="I4486" s="2" t="s">
        <v>9898</v>
      </c>
      <c r="J4486" s="2" t="s">
        <v>9899</v>
      </c>
      <c r="K4486">
        <v>20</v>
      </c>
      <c r="L4486">
        <v>20</v>
      </c>
      <c r="M4486">
        <v>20</v>
      </c>
    </row>
    <row r="4487" spans="1:13" x14ac:dyDescent="0.25">
      <c r="A4487" t="s">
        <v>9900</v>
      </c>
      <c r="B4487" t="s">
        <v>9901</v>
      </c>
      <c r="C4487" t="s">
        <v>362</v>
      </c>
      <c r="D4487" t="s">
        <v>4091</v>
      </c>
      <c r="F4487">
        <v>1</v>
      </c>
      <c r="G4487" t="s">
        <v>16</v>
      </c>
      <c r="H4487">
        <v>0</v>
      </c>
      <c r="I4487" s="2" t="s">
        <v>854</v>
      </c>
      <c r="J4487" s="2">
        <v>670326</v>
      </c>
      <c r="K4487">
        <v>20</v>
      </c>
      <c r="L4487">
        <v>20</v>
      </c>
      <c r="M4487">
        <v>20</v>
      </c>
    </row>
    <row r="4488" spans="1:13" x14ac:dyDescent="0.25">
      <c r="A4488" t="s">
        <v>9902</v>
      </c>
      <c r="B4488" t="s">
        <v>9903</v>
      </c>
      <c r="C4488" t="s">
        <v>362</v>
      </c>
      <c r="D4488" t="s">
        <v>4091</v>
      </c>
      <c r="G4488" t="s">
        <v>16</v>
      </c>
      <c r="H4488">
        <v>0</v>
      </c>
      <c r="I4488" s="2" t="s">
        <v>2533</v>
      </c>
      <c r="J4488" s="2" t="s">
        <v>9904</v>
      </c>
      <c r="K4488">
        <v>20</v>
      </c>
      <c r="L4488">
        <v>20</v>
      </c>
      <c r="M4488">
        <v>20</v>
      </c>
    </row>
    <row r="4489" spans="1:13" x14ac:dyDescent="0.25">
      <c r="A4489" t="s">
        <v>9905</v>
      </c>
      <c r="B4489" t="s">
        <v>9906</v>
      </c>
      <c r="C4489" t="s">
        <v>362</v>
      </c>
      <c r="D4489" t="s">
        <v>4091</v>
      </c>
      <c r="G4489" t="s">
        <v>16</v>
      </c>
      <c r="H4489">
        <v>0</v>
      </c>
      <c r="I4489" s="2" t="s">
        <v>685</v>
      </c>
      <c r="J4489" s="2" t="str">
        <f>"0986494038"</f>
        <v>0986494038</v>
      </c>
      <c r="K4489">
        <v>20</v>
      </c>
      <c r="L4489">
        <v>20</v>
      </c>
      <c r="M4489">
        <v>20</v>
      </c>
    </row>
    <row r="4490" spans="1:13" x14ac:dyDescent="0.25">
      <c r="A4490" t="s">
        <v>9907</v>
      </c>
      <c r="B4490" t="s">
        <v>9903</v>
      </c>
      <c r="C4490" t="s">
        <v>362</v>
      </c>
      <c r="D4490" t="s">
        <v>4091</v>
      </c>
      <c r="F4490">
        <v>1</v>
      </c>
      <c r="G4490" t="s">
        <v>16</v>
      </c>
      <c r="H4490">
        <v>0</v>
      </c>
      <c r="I4490" s="2" t="s">
        <v>4193</v>
      </c>
      <c r="J4490" s="2" t="s">
        <v>9908</v>
      </c>
      <c r="K4490">
        <v>20</v>
      </c>
      <c r="L4490">
        <v>20</v>
      </c>
      <c r="M4490">
        <v>20</v>
      </c>
    </row>
    <row r="4491" spans="1:13" x14ac:dyDescent="0.25">
      <c r="A4491" t="s">
        <v>9909</v>
      </c>
      <c r="B4491" t="s">
        <v>9906</v>
      </c>
      <c r="C4491" t="s">
        <v>362</v>
      </c>
      <c r="D4491" t="s">
        <v>4091</v>
      </c>
      <c r="G4491" t="s">
        <v>16</v>
      </c>
      <c r="H4491">
        <v>0</v>
      </c>
      <c r="I4491" s="2" t="s">
        <v>6196</v>
      </c>
      <c r="J4491" s="2" t="s">
        <v>9910</v>
      </c>
      <c r="K4491">
        <v>20</v>
      </c>
      <c r="L4491">
        <v>20</v>
      </c>
      <c r="M4491">
        <v>20</v>
      </c>
    </row>
    <row r="4492" spans="1:13" x14ac:dyDescent="0.25">
      <c r="A4492" t="s">
        <v>9911</v>
      </c>
      <c r="B4492" t="s">
        <v>9912</v>
      </c>
      <c r="C4492" t="s">
        <v>362</v>
      </c>
      <c r="D4492" t="s">
        <v>4091</v>
      </c>
      <c r="G4492" t="s">
        <v>16</v>
      </c>
      <c r="H4492">
        <v>0</v>
      </c>
      <c r="I4492" s="2" t="s">
        <v>285</v>
      </c>
      <c r="J4492" s="2">
        <v>55176</v>
      </c>
      <c r="K4492">
        <v>20</v>
      </c>
      <c r="L4492">
        <v>20</v>
      </c>
      <c r="M4492">
        <v>20</v>
      </c>
    </row>
    <row r="4493" spans="1:13" x14ac:dyDescent="0.25">
      <c r="A4493" t="s">
        <v>9913</v>
      </c>
      <c r="B4493" t="s">
        <v>9914</v>
      </c>
      <c r="C4493" t="s">
        <v>362</v>
      </c>
      <c r="D4493" t="s">
        <v>4091</v>
      </c>
      <c r="G4493" t="s">
        <v>16</v>
      </c>
      <c r="H4493">
        <v>0</v>
      </c>
      <c r="I4493" s="2" t="s">
        <v>4093</v>
      </c>
      <c r="J4493" s="2" t="s">
        <v>9915</v>
      </c>
      <c r="K4493">
        <v>20</v>
      </c>
      <c r="L4493">
        <v>20</v>
      </c>
      <c r="M4493">
        <v>20</v>
      </c>
    </row>
    <row r="4494" spans="1:13" x14ac:dyDescent="0.25">
      <c r="A4494" t="s">
        <v>9916</v>
      </c>
      <c r="B4494" t="s">
        <v>9914</v>
      </c>
      <c r="C4494" t="s">
        <v>362</v>
      </c>
      <c r="D4494" t="s">
        <v>4091</v>
      </c>
      <c r="F4494">
        <v>1</v>
      </c>
      <c r="G4494" t="s">
        <v>16</v>
      </c>
      <c r="H4494">
        <v>0</v>
      </c>
      <c r="I4494" s="2" t="s">
        <v>4193</v>
      </c>
      <c r="J4494" s="2" t="s">
        <v>9917</v>
      </c>
      <c r="K4494">
        <v>20</v>
      </c>
      <c r="L4494">
        <v>20</v>
      </c>
      <c r="M4494">
        <v>20</v>
      </c>
    </row>
    <row r="4495" spans="1:13" x14ac:dyDescent="0.25">
      <c r="A4495" t="s">
        <v>9918</v>
      </c>
      <c r="B4495" t="s">
        <v>9919</v>
      </c>
      <c r="C4495" t="s">
        <v>362</v>
      </c>
      <c r="D4495" t="s">
        <v>4091</v>
      </c>
      <c r="G4495" t="s">
        <v>16</v>
      </c>
      <c r="H4495">
        <v>0</v>
      </c>
      <c r="I4495" s="2" t="s">
        <v>383</v>
      </c>
      <c r="J4495" s="2" t="str">
        <f>"0986494039"</f>
        <v>0986494039</v>
      </c>
      <c r="K4495">
        <v>20</v>
      </c>
      <c r="L4495">
        <v>20</v>
      </c>
      <c r="M4495">
        <v>20</v>
      </c>
    </row>
    <row r="4496" spans="1:13" x14ac:dyDescent="0.25">
      <c r="A4496" t="s">
        <v>9920</v>
      </c>
      <c r="B4496" t="s">
        <v>9919</v>
      </c>
      <c r="C4496" t="s">
        <v>362</v>
      </c>
      <c r="D4496" t="s">
        <v>4091</v>
      </c>
      <c r="F4496">
        <v>1</v>
      </c>
      <c r="G4496" t="s">
        <v>16</v>
      </c>
      <c r="H4496">
        <v>0</v>
      </c>
      <c r="I4496" s="2" t="s">
        <v>4193</v>
      </c>
      <c r="J4496" s="2" t="s">
        <v>9921</v>
      </c>
      <c r="K4496">
        <v>20</v>
      </c>
      <c r="L4496">
        <v>20</v>
      </c>
      <c r="M4496">
        <v>20</v>
      </c>
    </row>
    <row r="4497" spans="1:13" x14ac:dyDescent="0.25">
      <c r="A4497" t="s">
        <v>9922</v>
      </c>
      <c r="B4497" t="s">
        <v>9919</v>
      </c>
      <c r="C4497" t="s">
        <v>362</v>
      </c>
      <c r="D4497" t="s">
        <v>4091</v>
      </c>
      <c r="F4497">
        <v>1</v>
      </c>
      <c r="G4497" t="s">
        <v>16</v>
      </c>
      <c r="H4497">
        <v>0</v>
      </c>
      <c r="I4497" s="2" t="s">
        <v>108</v>
      </c>
      <c r="J4497" s="3">
        <v>3131101003</v>
      </c>
      <c r="K4497">
        <v>20</v>
      </c>
      <c r="L4497">
        <v>20</v>
      </c>
      <c r="M4497">
        <v>20</v>
      </c>
    </row>
    <row r="4498" spans="1:13" x14ac:dyDescent="0.25">
      <c r="A4498" t="s">
        <v>9923</v>
      </c>
      <c r="B4498" t="s">
        <v>9924</v>
      </c>
      <c r="C4498" t="s">
        <v>362</v>
      </c>
      <c r="D4498" t="s">
        <v>4091</v>
      </c>
      <c r="F4498">
        <v>1</v>
      </c>
      <c r="G4498" t="s">
        <v>16</v>
      </c>
      <c r="H4498">
        <v>0</v>
      </c>
      <c r="K4498">
        <v>20</v>
      </c>
      <c r="L4498">
        <v>20</v>
      </c>
      <c r="M4498">
        <v>20</v>
      </c>
    </row>
    <row r="4499" spans="1:13" x14ac:dyDescent="0.25">
      <c r="A4499" t="s">
        <v>9925</v>
      </c>
      <c r="B4499" t="s">
        <v>9926</v>
      </c>
      <c r="C4499" t="s">
        <v>362</v>
      </c>
      <c r="D4499" t="s">
        <v>4091</v>
      </c>
      <c r="F4499">
        <v>1</v>
      </c>
      <c r="G4499" t="s">
        <v>16</v>
      </c>
      <c r="H4499">
        <v>0</v>
      </c>
      <c r="I4499" s="2" t="s">
        <v>6593</v>
      </c>
      <c r="J4499" s="2">
        <v>49000</v>
      </c>
      <c r="K4499">
        <v>20</v>
      </c>
      <c r="L4499">
        <v>20</v>
      </c>
      <c r="M4499">
        <v>20</v>
      </c>
    </row>
    <row r="4500" spans="1:13" x14ac:dyDescent="0.25">
      <c r="A4500" t="s">
        <v>9927</v>
      </c>
      <c r="B4500" t="s">
        <v>9926</v>
      </c>
      <c r="C4500" t="s">
        <v>362</v>
      </c>
      <c r="D4500" t="s">
        <v>4091</v>
      </c>
      <c r="F4500">
        <v>1</v>
      </c>
      <c r="G4500" t="s">
        <v>16</v>
      </c>
      <c r="H4500">
        <v>0</v>
      </c>
      <c r="I4500" s="2" t="s">
        <v>162</v>
      </c>
      <c r="J4500" s="2">
        <v>55168</v>
      </c>
      <c r="K4500">
        <v>20</v>
      </c>
      <c r="L4500">
        <v>20</v>
      </c>
      <c r="M4500">
        <v>20</v>
      </c>
    </row>
    <row r="4501" spans="1:13" x14ac:dyDescent="0.25">
      <c r="A4501" t="s">
        <v>9928</v>
      </c>
      <c r="B4501" t="s">
        <v>9929</v>
      </c>
      <c r="C4501" t="s">
        <v>362</v>
      </c>
      <c r="D4501" t="s">
        <v>4091</v>
      </c>
      <c r="G4501" t="s">
        <v>16</v>
      </c>
      <c r="H4501">
        <v>0</v>
      </c>
      <c r="I4501" s="2" t="s">
        <v>842</v>
      </c>
      <c r="J4501" s="2">
        <v>670465</v>
      </c>
      <c r="K4501">
        <v>20</v>
      </c>
      <c r="L4501">
        <v>20</v>
      </c>
      <c r="M4501">
        <v>20</v>
      </c>
    </row>
    <row r="4502" spans="1:13" x14ac:dyDescent="0.25">
      <c r="A4502" t="s">
        <v>9930</v>
      </c>
      <c r="B4502" t="s">
        <v>9931</v>
      </c>
      <c r="C4502" t="s">
        <v>362</v>
      </c>
      <c r="D4502" t="s">
        <v>4091</v>
      </c>
      <c r="F4502">
        <v>1</v>
      </c>
      <c r="G4502" t="s">
        <v>16</v>
      </c>
      <c r="H4502">
        <v>0</v>
      </c>
      <c r="I4502" s="2" t="s">
        <v>854</v>
      </c>
      <c r="J4502" s="2">
        <v>670702</v>
      </c>
      <c r="K4502">
        <v>20</v>
      </c>
      <c r="L4502">
        <v>20</v>
      </c>
      <c r="M4502">
        <v>20</v>
      </c>
    </row>
    <row r="4503" spans="1:13" x14ac:dyDescent="0.25">
      <c r="A4503" t="s">
        <v>9932</v>
      </c>
      <c r="B4503" t="s">
        <v>9933</v>
      </c>
      <c r="C4503" t="s">
        <v>362</v>
      </c>
      <c r="D4503" t="s">
        <v>4091</v>
      </c>
      <c r="F4503">
        <v>1</v>
      </c>
      <c r="G4503" t="s">
        <v>16</v>
      </c>
      <c r="H4503">
        <v>0</v>
      </c>
      <c r="I4503" s="2" t="s">
        <v>486</v>
      </c>
      <c r="J4503" s="2">
        <v>62916891</v>
      </c>
      <c r="K4503">
        <v>20</v>
      </c>
      <c r="L4503">
        <v>20</v>
      </c>
      <c r="M4503">
        <v>20</v>
      </c>
    </row>
    <row r="4504" spans="1:13" x14ac:dyDescent="0.25">
      <c r="A4504" t="s">
        <v>9934</v>
      </c>
      <c r="B4504" t="s">
        <v>9936</v>
      </c>
      <c r="C4504" t="s">
        <v>362</v>
      </c>
      <c r="D4504" t="s">
        <v>4091</v>
      </c>
      <c r="F4504">
        <v>2</v>
      </c>
      <c r="G4504" t="s">
        <v>16</v>
      </c>
      <c r="H4504">
        <v>0</v>
      </c>
      <c r="I4504" s="2" t="s">
        <v>288</v>
      </c>
      <c r="J4504" s="2" t="s">
        <v>9935</v>
      </c>
      <c r="K4504">
        <v>20</v>
      </c>
      <c r="L4504">
        <v>20</v>
      </c>
      <c r="M4504">
        <v>20</v>
      </c>
    </row>
    <row r="4505" spans="1:13" x14ac:dyDescent="0.25">
      <c r="A4505" t="s">
        <v>9937</v>
      </c>
      <c r="B4505" t="s">
        <v>9938</v>
      </c>
      <c r="C4505" t="s">
        <v>362</v>
      </c>
      <c r="D4505" t="s">
        <v>4091</v>
      </c>
      <c r="G4505" t="s">
        <v>16</v>
      </c>
      <c r="H4505">
        <v>0</v>
      </c>
      <c r="I4505" s="2" t="s">
        <v>685</v>
      </c>
      <c r="J4505" s="2" t="str">
        <f>"0986424825"</f>
        <v>0986424825</v>
      </c>
      <c r="K4505">
        <v>20</v>
      </c>
      <c r="L4505">
        <v>20</v>
      </c>
      <c r="M4505">
        <v>20</v>
      </c>
    </row>
    <row r="4506" spans="1:13" x14ac:dyDescent="0.25">
      <c r="A4506" t="s">
        <v>9939</v>
      </c>
      <c r="B4506" t="s">
        <v>9940</v>
      </c>
      <c r="C4506" t="s">
        <v>362</v>
      </c>
      <c r="D4506" t="s">
        <v>4091</v>
      </c>
      <c r="G4506" t="s">
        <v>16</v>
      </c>
      <c r="H4506">
        <v>0</v>
      </c>
      <c r="I4506" s="2" t="s">
        <v>389</v>
      </c>
      <c r="J4506" s="2">
        <v>1617284780</v>
      </c>
      <c r="K4506">
        <v>20</v>
      </c>
      <c r="L4506">
        <v>20</v>
      </c>
      <c r="M4506">
        <v>20</v>
      </c>
    </row>
    <row r="4507" spans="1:13" x14ac:dyDescent="0.25">
      <c r="A4507" t="s">
        <v>9941</v>
      </c>
      <c r="B4507" t="s">
        <v>9942</v>
      </c>
      <c r="C4507" t="s">
        <v>362</v>
      </c>
      <c r="D4507" t="s">
        <v>4091</v>
      </c>
      <c r="F4507">
        <v>1</v>
      </c>
      <c r="G4507" t="s">
        <v>16</v>
      </c>
      <c r="H4507">
        <v>0</v>
      </c>
      <c r="I4507" s="2" t="s">
        <v>941</v>
      </c>
      <c r="J4507" s="2" t="s">
        <v>9943</v>
      </c>
      <c r="K4507">
        <v>20</v>
      </c>
      <c r="L4507">
        <v>20</v>
      </c>
      <c r="M4507">
        <v>20</v>
      </c>
    </row>
    <row r="4508" spans="1:13" x14ac:dyDescent="0.25">
      <c r="A4508" t="s">
        <v>9944</v>
      </c>
      <c r="B4508" t="s">
        <v>9945</v>
      </c>
      <c r="C4508" t="s">
        <v>362</v>
      </c>
      <c r="D4508" t="s">
        <v>4091</v>
      </c>
      <c r="F4508">
        <v>1</v>
      </c>
      <c r="G4508" t="s">
        <v>16</v>
      </c>
      <c r="H4508">
        <v>0</v>
      </c>
      <c r="I4508" s="2" t="s">
        <v>4193</v>
      </c>
      <c r="J4508" s="2" t="s">
        <v>9946</v>
      </c>
      <c r="K4508">
        <v>20</v>
      </c>
      <c r="L4508">
        <v>20</v>
      </c>
      <c r="M4508">
        <v>20</v>
      </c>
    </row>
    <row r="4509" spans="1:13" x14ac:dyDescent="0.25">
      <c r="A4509" t="s">
        <v>9947</v>
      </c>
      <c r="B4509" t="s">
        <v>9948</v>
      </c>
      <c r="C4509" t="s">
        <v>362</v>
      </c>
      <c r="D4509" t="s">
        <v>4091</v>
      </c>
      <c r="G4509" t="s">
        <v>16</v>
      </c>
      <c r="H4509">
        <v>0</v>
      </c>
      <c r="I4509" s="2" t="s">
        <v>2517</v>
      </c>
      <c r="J4509" s="2" t="s">
        <v>9949</v>
      </c>
      <c r="K4509">
        <v>20</v>
      </c>
      <c r="L4509">
        <v>20</v>
      </c>
      <c r="M4509">
        <v>20</v>
      </c>
    </row>
    <row r="4510" spans="1:13" x14ac:dyDescent="0.25">
      <c r="A4510" t="s">
        <v>9950</v>
      </c>
      <c r="B4510" t="s">
        <v>9951</v>
      </c>
      <c r="C4510" t="s">
        <v>362</v>
      </c>
      <c r="D4510" t="s">
        <v>4091</v>
      </c>
      <c r="G4510" t="s">
        <v>16</v>
      </c>
      <c r="H4510">
        <v>0</v>
      </c>
      <c r="I4510" s="2" t="s">
        <v>383</v>
      </c>
      <c r="J4510" s="2" t="str">
        <f>"0986495236"</f>
        <v>0986495236</v>
      </c>
      <c r="K4510">
        <v>20</v>
      </c>
      <c r="L4510">
        <v>20</v>
      </c>
      <c r="M4510">
        <v>20</v>
      </c>
    </row>
    <row r="4511" spans="1:13" x14ac:dyDescent="0.25">
      <c r="A4511" t="s">
        <v>9952</v>
      </c>
      <c r="B4511" t="s">
        <v>9953</v>
      </c>
      <c r="C4511" t="s">
        <v>362</v>
      </c>
      <c r="D4511" t="s">
        <v>4091</v>
      </c>
      <c r="G4511" t="s">
        <v>16</v>
      </c>
      <c r="H4511">
        <v>0</v>
      </c>
      <c r="I4511" s="2" t="s">
        <v>4093</v>
      </c>
      <c r="J4511" s="2" t="s">
        <v>9954</v>
      </c>
      <c r="K4511">
        <v>20</v>
      </c>
      <c r="L4511">
        <v>20</v>
      </c>
      <c r="M4511">
        <v>20</v>
      </c>
    </row>
    <row r="4512" spans="1:13" x14ac:dyDescent="0.25">
      <c r="A4512" t="s">
        <v>9955</v>
      </c>
      <c r="B4512" t="s">
        <v>9957</v>
      </c>
      <c r="C4512" t="s">
        <v>362</v>
      </c>
      <c r="D4512" t="s">
        <v>4091</v>
      </c>
      <c r="F4512">
        <v>13</v>
      </c>
      <c r="G4512" t="s">
        <v>16</v>
      </c>
      <c r="H4512">
        <v>0</v>
      </c>
      <c r="I4512" s="2" t="s">
        <v>288</v>
      </c>
      <c r="J4512" s="2" t="s">
        <v>9956</v>
      </c>
      <c r="K4512">
        <v>20</v>
      </c>
      <c r="L4512">
        <v>20</v>
      </c>
      <c r="M4512">
        <v>20</v>
      </c>
    </row>
    <row r="4513" spans="1:13" x14ac:dyDescent="0.25">
      <c r="A4513" t="s">
        <v>9958</v>
      </c>
      <c r="B4513" t="s">
        <v>9953</v>
      </c>
      <c r="C4513" t="s">
        <v>362</v>
      </c>
      <c r="D4513" t="s">
        <v>4091</v>
      </c>
      <c r="F4513">
        <v>1</v>
      </c>
      <c r="G4513" t="s">
        <v>16</v>
      </c>
      <c r="H4513">
        <v>0</v>
      </c>
      <c r="I4513" s="2" t="s">
        <v>941</v>
      </c>
      <c r="J4513" s="2" t="s">
        <v>9959</v>
      </c>
      <c r="K4513">
        <v>20</v>
      </c>
      <c r="L4513">
        <v>20</v>
      </c>
      <c r="M4513">
        <v>20</v>
      </c>
    </row>
    <row r="4514" spans="1:13" x14ac:dyDescent="0.25">
      <c r="A4514" t="s">
        <v>9960</v>
      </c>
      <c r="B4514" t="s">
        <v>9953</v>
      </c>
      <c r="C4514" t="s">
        <v>362</v>
      </c>
      <c r="D4514" t="s">
        <v>4091</v>
      </c>
      <c r="F4514">
        <v>1</v>
      </c>
      <c r="G4514" t="s">
        <v>16</v>
      </c>
      <c r="H4514">
        <v>0</v>
      </c>
      <c r="I4514" s="2" t="s">
        <v>5057</v>
      </c>
      <c r="J4514" s="2" t="s">
        <v>9961</v>
      </c>
      <c r="K4514">
        <v>20</v>
      </c>
      <c r="L4514">
        <v>20</v>
      </c>
      <c r="M4514">
        <v>20</v>
      </c>
    </row>
    <row r="4515" spans="1:13" x14ac:dyDescent="0.25">
      <c r="A4515" t="s">
        <v>9962</v>
      </c>
      <c r="B4515" t="s">
        <v>9963</v>
      </c>
      <c r="C4515" t="s">
        <v>362</v>
      </c>
      <c r="D4515" t="s">
        <v>4091</v>
      </c>
      <c r="F4515">
        <v>1</v>
      </c>
      <c r="G4515" t="s">
        <v>16</v>
      </c>
      <c r="H4515">
        <v>0</v>
      </c>
      <c r="I4515" s="2" t="s">
        <v>383</v>
      </c>
      <c r="J4515" s="2" t="str">
        <f>"0986424414"</f>
        <v>0986424414</v>
      </c>
      <c r="K4515">
        <v>20</v>
      </c>
      <c r="L4515">
        <v>20</v>
      </c>
      <c r="M4515">
        <v>20</v>
      </c>
    </row>
    <row r="4516" spans="1:13" x14ac:dyDescent="0.25">
      <c r="A4516" t="s">
        <v>9964</v>
      </c>
      <c r="B4516" t="s">
        <v>9965</v>
      </c>
      <c r="C4516" t="s">
        <v>362</v>
      </c>
      <c r="D4516" t="s">
        <v>4091</v>
      </c>
      <c r="G4516" t="s">
        <v>16</v>
      </c>
      <c r="H4516">
        <v>0</v>
      </c>
      <c r="I4516" s="2" t="s">
        <v>2517</v>
      </c>
      <c r="J4516" s="2" t="s">
        <v>9966</v>
      </c>
      <c r="K4516">
        <v>20</v>
      </c>
      <c r="L4516">
        <v>20</v>
      </c>
      <c r="M4516">
        <v>20</v>
      </c>
    </row>
    <row r="4517" spans="1:13" x14ac:dyDescent="0.25">
      <c r="A4517" t="s">
        <v>9967</v>
      </c>
      <c r="B4517" t="s">
        <v>9968</v>
      </c>
      <c r="C4517" t="s">
        <v>362</v>
      </c>
      <c r="D4517" t="s">
        <v>4091</v>
      </c>
      <c r="G4517" t="s">
        <v>16</v>
      </c>
      <c r="H4517">
        <v>0</v>
      </c>
      <c r="I4517" s="2" t="s">
        <v>4093</v>
      </c>
      <c r="J4517" s="2" t="s">
        <v>9969</v>
      </c>
      <c r="K4517">
        <v>20</v>
      </c>
      <c r="L4517">
        <v>20</v>
      </c>
      <c r="M4517">
        <v>20</v>
      </c>
    </row>
    <row r="4518" spans="1:13" x14ac:dyDescent="0.25">
      <c r="A4518" t="s">
        <v>9970</v>
      </c>
      <c r="B4518" t="s">
        <v>9971</v>
      </c>
      <c r="C4518" t="s">
        <v>362</v>
      </c>
      <c r="D4518" t="s">
        <v>4091</v>
      </c>
      <c r="G4518" t="s">
        <v>16</v>
      </c>
      <c r="H4518">
        <v>0</v>
      </c>
      <c r="I4518" s="2" t="s">
        <v>383</v>
      </c>
      <c r="J4518" s="2" t="str">
        <f>"0986424455"</f>
        <v>0986424455</v>
      </c>
      <c r="K4518">
        <v>20</v>
      </c>
      <c r="L4518">
        <v>20</v>
      </c>
      <c r="M4518">
        <v>20</v>
      </c>
    </row>
    <row r="4519" spans="1:13" x14ac:dyDescent="0.25">
      <c r="A4519" t="s">
        <v>9972</v>
      </c>
      <c r="B4519" t="s">
        <v>9973</v>
      </c>
      <c r="C4519" t="s">
        <v>362</v>
      </c>
      <c r="D4519" t="s">
        <v>4091</v>
      </c>
      <c r="F4519">
        <v>2</v>
      </c>
      <c r="G4519" t="s">
        <v>16</v>
      </c>
      <c r="H4519">
        <v>0</v>
      </c>
      <c r="I4519" s="2" t="s">
        <v>383</v>
      </c>
      <c r="J4519" s="2" t="str">
        <f>"0986495235"</f>
        <v>0986495235</v>
      </c>
      <c r="K4519">
        <v>20</v>
      </c>
      <c r="L4519">
        <v>20</v>
      </c>
      <c r="M4519">
        <v>20</v>
      </c>
    </row>
    <row r="4520" spans="1:13" x14ac:dyDescent="0.25">
      <c r="A4520" t="s">
        <v>9974</v>
      </c>
      <c r="B4520" t="s">
        <v>9975</v>
      </c>
      <c r="C4520" t="s">
        <v>362</v>
      </c>
      <c r="D4520" t="s">
        <v>4091</v>
      </c>
      <c r="F4520">
        <v>1</v>
      </c>
      <c r="G4520" t="s">
        <v>16</v>
      </c>
      <c r="H4520">
        <v>0</v>
      </c>
      <c r="I4520" s="2" t="s">
        <v>383</v>
      </c>
      <c r="J4520" s="2" t="str">
        <f>"0986424597"</f>
        <v>0986424597</v>
      </c>
      <c r="K4520">
        <v>20</v>
      </c>
      <c r="L4520">
        <v>20</v>
      </c>
      <c r="M4520">
        <v>20</v>
      </c>
    </row>
    <row r="4521" spans="1:13" x14ac:dyDescent="0.25">
      <c r="A4521" t="s">
        <v>9976</v>
      </c>
      <c r="B4521" t="s">
        <v>9977</v>
      </c>
      <c r="C4521" t="s">
        <v>362</v>
      </c>
      <c r="D4521" t="s">
        <v>4091</v>
      </c>
      <c r="F4521">
        <v>1</v>
      </c>
      <c r="G4521" t="s">
        <v>16</v>
      </c>
      <c r="H4521">
        <v>0</v>
      </c>
      <c r="I4521" s="2" t="s">
        <v>162</v>
      </c>
      <c r="J4521" s="2">
        <v>55500</v>
      </c>
      <c r="K4521">
        <v>20</v>
      </c>
      <c r="L4521">
        <v>20</v>
      </c>
      <c r="M4521">
        <v>20</v>
      </c>
    </row>
    <row r="4522" spans="1:13" x14ac:dyDescent="0.25">
      <c r="A4522" t="s">
        <v>9978</v>
      </c>
      <c r="B4522" t="s">
        <v>9979</v>
      </c>
      <c r="C4522" t="s">
        <v>362</v>
      </c>
      <c r="D4522" t="s">
        <v>4091</v>
      </c>
      <c r="G4522" t="s">
        <v>16</v>
      </c>
      <c r="H4522">
        <v>0</v>
      </c>
      <c r="I4522" s="2" t="s">
        <v>491</v>
      </c>
      <c r="J4522" s="2">
        <v>323700031000</v>
      </c>
      <c r="K4522">
        <v>20</v>
      </c>
      <c r="L4522">
        <v>20</v>
      </c>
      <c r="M4522">
        <v>20</v>
      </c>
    </row>
    <row r="4523" spans="1:13" x14ac:dyDescent="0.25">
      <c r="A4523" t="s">
        <v>9980</v>
      </c>
      <c r="B4523" t="s">
        <v>9981</v>
      </c>
      <c r="C4523" t="s">
        <v>362</v>
      </c>
      <c r="D4523" t="s">
        <v>4091</v>
      </c>
      <c r="G4523" t="s">
        <v>16</v>
      </c>
      <c r="H4523">
        <v>0</v>
      </c>
      <c r="I4523" s="2" t="s">
        <v>2786</v>
      </c>
      <c r="J4523" s="2" t="str">
        <f>"05P2115"</f>
        <v>05P2115</v>
      </c>
      <c r="K4523">
        <v>20</v>
      </c>
      <c r="L4523">
        <v>20</v>
      </c>
      <c r="M4523">
        <v>20</v>
      </c>
    </row>
    <row r="4524" spans="1:13" x14ac:dyDescent="0.25">
      <c r="A4524" t="s">
        <v>9982</v>
      </c>
      <c r="B4524" t="s">
        <v>9983</v>
      </c>
      <c r="C4524" t="s">
        <v>151</v>
      </c>
      <c r="D4524" t="s">
        <v>1381</v>
      </c>
      <c r="F4524">
        <v>5</v>
      </c>
      <c r="G4524" t="s">
        <v>16</v>
      </c>
      <c r="H4524">
        <v>0</v>
      </c>
      <c r="I4524" s="2" t="s">
        <v>238</v>
      </c>
      <c r="J4524" s="2">
        <v>186218</v>
      </c>
      <c r="K4524">
        <v>20</v>
      </c>
      <c r="L4524">
        <v>20</v>
      </c>
      <c r="M4524">
        <v>20</v>
      </c>
    </row>
    <row r="4525" spans="1:13" x14ac:dyDescent="0.25">
      <c r="A4525" t="s">
        <v>9984</v>
      </c>
      <c r="B4525" t="s">
        <v>9985</v>
      </c>
      <c r="C4525" t="s">
        <v>151</v>
      </c>
      <c r="D4525" t="s">
        <v>1381</v>
      </c>
      <c r="F4525">
        <v>1</v>
      </c>
      <c r="G4525" t="s">
        <v>16</v>
      </c>
      <c r="H4525">
        <v>0</v>
      </c>
      <c r="I4525" s="2" t="s">
        <v>1538</v>
      </c>
      <c r="J4525" s="2">
        <v>6148990052</v>
      </c>
      <c r="K4525">
        <v>20</v>
      </c>
      <c r="L4525">
        <v>20</v>
      </c>
      <c r="M4525">
        <v>20</v>
      </c>
    </row>
    <row r="4526" spans="1:13" x14ac:dyDescent="0.25">
      <c r="A4526" t="s">
        <v>9986</v>
      </c>
      <c r="B4526" t="s">
        <v>9987</v>
      </c>
      <c r="C4526" t="s">
        <v>362</v>
      </c>
      <c r="F4526">
        <v>2</v>
      </c>
      <c r="G4526" t="s">
        <v>16</v>
      </c>
      <c r="H4526">
        <v>0</v>
      </c>
      <c r="I4526" s="2" t="s">
        <v>87</v>
      </c>
      <c r="J4526" s="2" t="s">
        <v>9988</v>
      </c>
      <c r="K4526">
        <v>20</v>
      </c>
      <c r="L4526">
        <v>20</v>
      </c>
      <c r="M4526">
        <v>20</v>
      </c>
    </row>
    <row r="4527" spans="1:13" x14ac:dyDescent="0.25">
      <c r="A4527" t="s">
        <v>9989</v>
      </c>
      <c r="B4527" t="s">
        <v>9990</v>
      </c>
      <c r="C4527" t="s">
        <v>496</v>
      </c>
      <c r="D4527" t="s">
        <v>2360</v>
      </c>
      <c r="F4527">
        <v>0</v>
      </c>
      <c r="G4527" t="s">
        <v>16</v>
      </c>
      <c r="H4527">
        <v>0</v>
      </c>
      <c r="I4527" s="2" t="s">
        <v>5297</v>
      </c>
      <c r="J4527" s="2" t="s">
        <v>9991</v>
      </c>
      <c r="K4527">
        <v>20</v>
      </c>
      <c r="L4527">
        <v>20</v>
      </c>
      <c r="M4527">
        <v>20</v>
      </c>
    </row>
    <row r="4528" spans="1:13" x14ac:dyDescent="0.25">
      <c r="A4528" t="s">
        <v>9992</v>
      </c>
      <c r="B4528" t="s">
        <v>9993</v>
      </c>
      <c r="C4528" t="s">
        <v>496</v>
      </c>
      <c r="D4528" t="s">
        <v>2360</v>
      </c>
      <c r="F4528">
        <v>2</v>
      </c>
      <c r="G4528" t="s">
        <v>16</v>
      </c>
      <c r="H4528">
        <v>0</v>
      </c>
      <c r="I4528" s="2" t="s">
        <v>5500</v>
      </c>
      <c r="J4528" s="2" t="s">
        <v>9994</v>
      </c>
      <c r="K4528">
        <v>20</v>
      </c>
      <c r="L4528">
        <v>20</v>
      </c>
      <c r="M4528">
        <v>20</v>
      </c>
    </row>
    <row r="4529" spans="1:13" x14ac:dyDescent="0.25">
      <c r="A4529" t="s">
        <v>9995</v>
      </c>
      <c r="B4529" t="s">
        <v>9996</v>
      </c>
      <c r="C4529" t="s">
        <v>496</v>
      </c>
      <c r="D4529" t="s">
        <v>2360</v>
      </c>
      <c r="G4529" t="s">
        <v>16</v>
      </c>
      <c r="H4529">
        <v>0</v>
      </c>
      <c r="I4529" s="2" t="s">
        <v>5057</v>
      </c>
      <c r="J4529" s="2" t="s">
        <v>9997</v>
      </c>
      <c r="K4529">
        <v>20</v>
      </c>
      <c r="L4529">
        <v>20</v>
      </c>
      <c r="M4529">
        <v>20</v>
      </c>
    </row>
    <row r="4530" spans="1:13" x14ac:dyDescent="0.25">
      <c r="A4530" t="s">
        <v>9998</v>
      </c>
      <c r="B4530" t="s">
        <v>9999</v>
      </c>
      <c r="C4530" t="s">
        <v>496</v>
      </c>
      <c r="D4530" t="s">
        <v>2360</v>
      </c>
      <c r="F4530">
        <v>4</v>
      </c>
      <c r="G4530" t="s">
        <v>16</v>
      </c>
      <c r="H4530">
        <v>0</v>
      </c>
      <c r="I4530" s="2" t="s">
        <v>5528</v>
      </c>
      <c r="J4530" s="2" t="s">
        <v>10000</v>
      </c>
      <c r="K4530">
        <v>20</v>
      </c>
      <c r="L4530">
        <v>20</v>
      </c>
      <c r="M4530">
        <v>20</v>
      </c>
    </row>
    <row r="4531" spans="1:13" x14ac:dyDescent="0.25">
      <c r="A4531" t="s">
        <v>10001</v>
      </c>
      <c r="B4531" t="s">
        <v>9999</v>
      </c>
      <c r="C4531" t="s">
        <v>496</v>
      </c>
      <c r="D4531" t="s">
        <v>2360</v>
      </c>
      <c r="F4531">
        <v>4</v>
      </c>
      <c r="G4531" t="s">
        <v>16</v>
      </c>
      <c r="H4531">
        <v>0</v>
      </c>
      <c r="I4531" s="2" t="s">
        <v>64</v>
      </c>
      <c r="J4531" s="2">
        <v>15010348</v>
      </c>
      <c r="K4531">
        <v>20</v>
      </c>
      <c r="L4531">
        <v>20</v>
      </c>
      <c r="M4531">
        <v>20</v>
      </c>
    </row>
    <row r="4532" spans="1:13" x14ac:dyDescent="0.25">
      <c r="A4532" t="s">
        <v>10002</v>
      </c>
      <c r="B4532" t="s">
        <v>9999</v>
      </c>
      <c r="C4532" t="s">
        <v>496</v>
      </c>
      <c r="D4532" t="s">
        <v>2360</v>
      </c>
      <c r="F4532">
        <v>2</v>
      </c>
      <c r="G4532" t="s">
        <v>16</v>
      </c>
      <c r="H4532">
        <v>0</v>
      </c>
      <c r="I4532" s="2" t="s">
        <v>7654</v>
      </c>
      <c r="J4532" s="2">
        <v>23964</v>
      </c>
      <c r="K4532">
        <v>20</v>
      </c>
      <c r="L4532">
        <v>20</v>
      </c>
      <c r="M4532">
        <v>20</v>
      </c>
    </row>
    <row r="4533" spans="1:13" x14ac:dyDescent="0.25">
      <c r="A4533" t="s">
        <v>10003</v>
      </c>
      <c r="B4533" t="s">
        <v>9999</v>
      </c>
      <c r="C4533" t="s">
        <v>496</v>
      </c>
      <c r="D4533" t="s">
        <v>2360</v>
      </c>
      <c r="G4533" t="s">
        <v>16</v>
      </c>
      <c r="H4533">
        <v>0</v>
      </c>
      <c r="I4533" s="2" t="s">
        <v>7399</v>
      </c>
      <c r="J4533" s="2">
        <v>280367</v>
      </c>
      <c r="K4533">
        <v>20</v>
      </c>
      <c r="L4533">
        <v>20</v>
      </c>
      <c r="M4533">
        <v>20</v>
      </c>
    </row>
    <row r="4534" spans="1:13" x14ac:dyDescent="0.25">
      <c r="A4534" t="s">
        <v>10004</v>
      </c>
      <c r="B4534" t="s">
        <v>10006</v>
      </c>
      <c r="C4534" t="s">
        <v>496</v>
      </c>
      <c r="D4534" t="s">
        <v>2360</v>
      </c>
      <c r="F4534">
        <v>2</v>
      </c>
      <c r="G4534" t="s">
        <v>16</v>
      </c>
      <c r="H4534">
        <v>0</v>
      </c>
      <c r="I4534" s="2" t="s">
        <v>288</v>
      </c>
      <c r="J4534" s="2" t="s">
        <v>10005</v>
      </c>
      <c r="K4534">
        <v>20</v>
      </c>
      <c r="L4534">
        <v>20</v>
      </c>
      <c r="M4534">
        <v>20</v>
      </c>
    </row>
    <row r="4535" spans="1:13" x14ac:dyDescent="0.25">
      <c r="A4535" t="s">
        <v>10007</v>
      </c>
      <c r="B4535" t="s">
        <v>10006</v>
      </c>
      <c r="C4535" t="s">
        <v>496</v>
      </c>
      <c r="D4535" t="s">
        <v>2360</v>
      </c>
      <c r="F4535">
        <v>2</v>
      </c>
      <c r="G4535" t="s">
        <v>16</v>
      </c>
      <c r="H4535">
        <v>0</v>
      </c>
      <c r="I4535" s="2" t="s">
        <v>5688</v>
      </c>
      <c r="J4535" s="2">
        <v>310165</v>
      </c>
      <c r="K4535">
        <v>20</v>
      </c>
      <c r="L4535">
        <v>20</v>
      </c>
      <c r="M4535">
        <v>20</v>
      </c>
    </row>
    <row r="4536" spans="1:13" x14ac:dyDescent="0.25">
      <c r="A4536" t="s">
        <v>10008</v>
      </c>
      <c r="B4536" t="s">
        <v>10010</v>
      </c>
      <c r="C4536" t="s">
        <v>496</v>
      </c>
      <c r="D4536" t="s">
        <v>2360</v>
      </c>
      <c r="F4536">
        <v>2</v>
      </c>
      <c r="G4536" t="s">
        <v>16</v>
      </c>
      <c r="H4536">
        <v>0</v>
      </c>
      <c r="I4536" s="2" t="s">
        <v>765</v>
      </c>
      <c r="J4536" s="2" t="s">
        <v>10009</v>
      </c>
      <c r="K4536">
        <v>20</v>
      </c>
      <c r="L4536">
        <v>20</v>
      </c>
      <c r="M4536">
        <v>20</v>
      </c>
    </row>
    <row r="4537" spans="1:13" x14ac:dyDescent="0.25">
      <c r="A4537" t="s">
        <v>10011</v>
      </c>
      <c r="B4537" t="s">
        <v>10010</v>
      </c>
      <c r="C4537" t="s">
        <v>496</v>
      </c>
      <c r="D4537" t="s">
        <v>2360</v>
      </c>
      <c r="F4537">
        <v>2</v>
      </c>
      <c r="G4537" t="s">
        <v>16</v>
      </c>
      <c r="H4537">
        <v>0</v>
      </c>
      <c r="I4537" s="2" t="s">
        <v>5528</v>
      </c>
      <c r="J4537" s="2" t="s">
        <v>10012</v>
      </c>
      <c r="K4537">
        <v>20</v>
      </c>
      <c r="L4537">
        <v>20</v>
      </c>
      <c r="M4537">
        <v>20</v>
      </c>
    </row>
    <row r="4538" spans="1:13" x14ac:dyDescent="0.25">
      <c r="A4538" t="s">
        <v>10013</v>
      </c>
      <c r="B4538" t="s">
        <v>10015</v>
      </c>
      <c r="C4538" t="s">
        <v>496</v>
      </c>
      <c r="D4538" t="s">
        <v>2360</v>
      </c>
      <c r="F4538">
        <v>2</v>
      </c>
      <c r="G4538" t="s">
        <v>16</v>
      </c>
      <c r="H4538">
        <v>0</v>
      </c>
      <c r="I4538" s="2" t="s">
        <v>765</v>
      </c>
      <c r="J4538" s="2" t="s">
        <v>10014</v>
      </c>
      <c r="K4538">
        <v>20</v>
      </c>
      <c r="L4538">
        <v>20</v>
      </c>
      <c r="M4538">
        <v>20</v>
      </c>
    </row>
    <row r="4539" spans="1:13" x14ac:dyDescent="0.25">
      <c r="A4539" t="s">
        <v>10016</v>
      </c>
      <c r="B4539" t="s">
        <v>10017</v>
      </c>
      <c r="C4539" t="s">
        <v>496</v>
      </c>
      <c r="D4539" t="s">
        <v>2360</v>
      </c>
      <c r="F4539">
        <v>4</v>
      </c>
      <c r="G4539" t="s">
        <v>16</v>
      </c>
      <c r="H4539">
        <v>0</v>
      </c>
      <c r="I4539" s="2" t="s">
        <v>5528</v>
      </c>
      <c r="J4539" s="2" t="s">
        <v>10018</v>
      </c>
      <c r="K4539">
        <v>20</v>
      </c>
      <c r="L4539">
        <v>20</v>
      </c>
      <c r="M4539">
        <v>20</v>
      </c>
    </row>
    <row r="4540" spans="1:13" x14ac:dyDescent="0.25">
      <c r="A4540" t="s">
        <v>10019</v>
      </c>
      <c r="B4540" t="s">
        <v>10015</v>
      </c>
      <c r="C4540" t="s">
        <v>496</v>
      </c>
      <c r="D4540" t="s">
        <v>2360</v>
      </c>
      <c r="F4540">
        <v>6</v>
      </c>
      <c r="G4540" t="s">
        <v>16</v>
      </c>
      <c r="H4540">
        <v>0</v>
      </c>
      <c r="I4540" s="2" t="s">
        <v>64</v>
      </c>
      <c r="J4540" s="2">
        <v>15010176</v>
      </c>
      <c r="K4540">
        <v>20</v>
      </c>
      <c r="L4540">
        <v>20</v>
      </c>
      <c r="M4540">
        <v>20</v>
      </c>
    </row>
    <row r="4541" spans="1:13" x14ac:dyDescent="0.25">
      <c r="A4541" t="s">
        <v>10020</v>
      </c>
      <c r="B4541" t="s">
        <v>10015</v>
      </c>
      <c r="C4541" t="s">
        <v>496</v>
      </c>
      <c r="D4541" t="s">
        <v>2360</v>
      </c>
      <c r="F4541">
        <v>2</v>
      </c>
      <c r="G4541" t="s">
        <v>16</v>
      </c>
      <c r="H4541">
        <v>0</v>
      </c>
      <c r="I4541" s="2" t="s">
        <v>8480</v>
      </c>
      <c r="J4541" s="2">
        <v>23908</v>
      </c>
      <c r="K4541">
        <v>20</v>
      </c>
      <c r="L4541">
        <v>20</v>
      </c>
      <c r="M4541">
        <v>20</v>
      </c>
    </row>
    <row r="4542" spans="1:13" x14ac:dyDescent="0.25">
      <c r="A4542" t="s">
        <v>10021</v>
      </c>
      <c r="B4542" t="s">
        <v>10015</v>
      </c>
      <c r="C4542" t="s">
        <v>2493</v>
      </c>
      <c r="D4542" t="s">
        <v>2360</v>
      </c>
      <c r="G4542" t="s">
        <v>16</v>
      </c>
      <c r="H4542">
        <v>0</v>
      </c>
      <c r="I4542" s="2" t="s">
        <v>5297</v>
      </c>
      <c r="J4542" s="2" t="s">
        <v>10022</v>
      </c>
      <c r="K4542">
        <v>20</v>
      </c>
      <c r="L4542">
        <v>20</v>
      </c>
      <c r="M4542">
        <v>20</v>
      </c>
    </row>
    <row r="4543" spans="1:13" x14ac:dyDescent="0.25">
      <c r="A4543" t="s">
        <v>10023</v>
      </c>
      <c r="B4543" t="s">
        <v>10017</v>
      </c>
      <c r="C4543" t="s">
        <v>496</v>
      </c>
      <c r="D4543" t="s">
        <v>2360</v>
      </c>
      <c r="F4543">
        <v>4</v>
      </c>
      <c r="G4543" t="s">
        <v>16</v>
      </c>
      <c r="H4543">
        <v>0</v>
      </c>
      <c r="I4543" s="2" t="s">
        <v>5688</v>
      </c>
      <c r="J4543" s="2">
        <v>230586009</v>
      </c>
      <c r="K4543">
        <v>20</v>
      </c>
      <c r="L4543">
        <v>20</v>
      </c>
      <c r="M4543">
        <v>20</v>
      </c>
    </row>
    <row r="4544" spans="1:13" x14ac:dyDescent="0.25">
      <c r="A4544" t="s">
        <v>10024</v>
      </c>
      <c r="B4544" t="s">
        <v>10017</v>
      </c>
      <c r="C4544" t="s">
        <v>496</v>
      </c>
      <c r="D4544" t="s">
        <v>2360</v>
      </c>
      <c r="F4544">
        <v>2</v>
      </c>
      <c r="G4544" t="s">
        <v>16</v>
      </c>
      <c r="H4544">
        <v>0</v>
      </c>
      <c r="I4544" s="2" t="s">
        <v>5044</v>
      </c>
      <c r="J4544" s="2" t="s">
        <v>10025</v>
      </c>
      <c r="K4544">
        <v>20</v>
      </c>
      <c r="L4544">
        <v>20</v>
      </c>
      <c r="M4544">
        <v>20</v>
      </c>
    </row>
    <row r="4545" spans="1:13" x14ac:dyDescent="0.25">
      <c r="A4545" t="s">
        <v>10026</v>
      </c>
      <c r="B4545" t="s">
        <v>10028</v>
      </c>
      <c r="C4545" t="s">
        <v>496</v>
      </c>
      <c r="D4545" t="s">
        <v>2360</v>
      </c>
      <c r="F4545">
        <v>2</v>
      </c>
      <c r="G4545" t="s">
        <v>16</v>
      </c>
      <c r="H4545">
        <v>0</v>
      </c>
      <c r="I4545" s="2" t="s">
        <v>765</v>
      </c>
      <c r="J4545" s="2" t="s">
        <v>10027</v>
      </c>
      <c r="K4545">
        <v>20</v>
      </c>
      <c r="L4545">
        <v>20</v>
      </c>
      <c r="M4545">
        <v>20</v>
      </c>
    </row>
    <row r="4546" spans="1:13" x14ac:dyDescent="0.25">
      <c r="A4546" t="s">
        <v>10029</v>
      </c>
      <c r="B4546" t="s">
        <v>10028</v>
      </c>
      <c r="C4546" t="s">
        <v>496</v>
      </c>
      <c r="D4546" t="s">
        <v>2360</v>
      </c>
      <c r="F4546">
        <v>2</v>
      </c>
      <c r="G4546" t="s">
        <v>16</v>
      </c>
      <c r="H4546">
        <v>0</v>
      </c>
      <c r="I4546" s="2" t="s">
        <v>5500</v>
      </c>
      <c r="J4546" s="2" t="s">
        <v>10030</v>
      </c>
      <c r="K4546">
        <v>20</v>
      </c>
      <c r="L4546">
        <v>20</v>
      </c>
      <c r="M4546">
        <v>20</v>
      </c>
    </row>
    <row r="4547" spans="1:13" x14ac:dyDescent="0.25">
      <c r="A4547" t="s">
        <v>10031</v>
      </c>
      <c r="B4547" t="s">
        <v>10028</v>
      </c>
      <c r="C4547" t="s">
        <v>2493</v>
      </c>
      <c r="D4547" t="s">
        <v>5856</v>
      </c>
      <c r="G4547" t="s">
        <v>16</v>
      </c>
      <c r="H4547">
        <v>0</v>
      </c>
      <c r="I4547" s="2" t="s">
        <v>491</v>
      </c>
      <c r="J4547" s="2">
        <v>379000880000</v>
      </c>
      <c r="K4547">
        <v>20</v>
      </c>
      <c r="L4547">
        <v>20</v>
      </c>
      <c r="M4547">
        <v>20</v>
      </c>
    </row>
    <row r="4548" spans="1:13" x14ac:dyDescent="0.25">
      <c r="A4548" t="s">
        <v>10032</v>
      </c>
      <c r="B4548" t="s">
        <v>10028</v>
      </c>
      <c r="C4548" t="s">
        <v>496</v>
      </c>
      <c r="D4548" t="s">
        <v>2360</v>
      </c>
      <c r="G4548" t="s">
        <v>16</v>
      </c>
      <c r="H4548">
        <v>0</v>
      </c>
      <c r="I4548" s="2" t="s">
        <v>5688</v>
      </c>
      <c r="J4548" s="2">
        <v>290393</v>
      </c>
      <c r="K4548">
        <v>20</v>
      </c>
      <c r="L4548">
        <v>20</v>
      </c>
      <c r="M4548">
        <v>20</v>
      </c>
    </row>
    <row r="4549" spans="1:13" x14ac:dyDescent="0.25">
      <c r="A4549" t="s">
        <v>10033</v>
      </c>
      <c r="B4549" t="s">
        <v>10034</v>
      </c>
      <c r="C4549" t="s">
        <v>496</v>
      </c>
      <c r="D4549" t="s">
        <v>2360</v>
      </c>
      <c r="F4549">
        <v>2</v>
      </c>
      <c r="G4549" t="s">
        <v>16</v>
      </c>
      <c r="H4549">
        <v>0</v>
      </c>
      <c r="I4549" s="2" t="s">
        <v>5528</v>
      </c>
      <c r="J4549" s="2" t="s">
        <v>10035</v>
      </c>
      <c r="K4549">
        <v>20</v>
      </c>
      <c r="L4549">
        <v>20</v>
      </c>
      <c r="M4549">
        <v>20</v>
      </c>
    </row>
    <row r="4550" spans="1:13" x14ac:dyDescent="0.25">
      <c r="A4550" t="s">
        <v>10036</v>
      </c>
      <c r="B4550" t="s">
        <v>10034</v>
      </c>
      <c r="C4550" t="s">
        <v>496</v>
      </c>
      <c r="D4550" t="s">
        <v>2360</v>
      </c>
      <c r="G4550" t="s">
        <v>16</v>
      </c>
      <c r="H4550">
        <v>0</v>
      </c>
      <c r="I4550" s="2" t="s">
        <v>5688</v>
      </c>
      <c r="J4550" s="2">
        <v>290395</v>
      </c>
      <c r="K4550">
        <v>20</v>
      </c>
      <c r="L4550">
        <v>20</v>
      </c>
      <c r="M4550">
        <v>20</v>
      </c>
    </row>
    <row r="4551" spans="1:13" x14ac:dyDescent="0.25">
      <c r="A4551" t="s">
        <v>10037</v>
      </c>
      <c r="B4551" t="s">
        <v>10038</v>
      </c>
      <c r="C4551" t="s">
        <v>496</v>
      </c>
      <c r="D4551" t="s">
        <v>2360</v>
      </c>
      <c r="F4551">
        <v>2</v>
      </c>
      <c r="G4551" t="s">
        <v>16</v>
      </c>
      <c r="H4551">
        <v>0</v>
      </c>
      <c r="I4551" s="2" t="s">
        <v>5500</v>
      </c>
      <c r="J4551" s="2" t="s">
        <v>10039</v>
      </c>
      <c r="K4551">
        <v>20</v>
      </c>
      <c r="L4551">
        <v>20</v>
      </c>
      <c r="M4551">
        <v>20</v>
      </c>
    </row>
    <row r="4552" spans="1:13" x14ac:dyDescent="0.25">
      <c r="A4552" t="s">
        <v>10040</v>
      </c>
      <c r="B4552" t="s">
        <v>10041</v>
      </c>
      <c r="C4552" t="s">
        <v>496</v>
      </c>
      <c r="D4552" t="s">
        <v>2360</v>
      </c>
      <c r="F4552">
        <v>2</v>
      </c>
      <c r="G4552" t="s">
        <v>16</v>
      </c>
      <c r="H4552">
        <v>0</v>
      </c>
      <c r="I4552" s="2" t="s">
        <v>5044</v>
      </c>
      <c r="J4552" s="2" t="s">
        <v>10042</v>
      </c>
      <c r="K4552">
        <v>20</v>
      </c>
      <c r="L4552">
        <v>20</v>
      </c>
      <c r="M4552">
        <v>20</v>
      </c>
    </row>
    <row r="4553" spans="1:13" x14ac:dyDescent="0.25">
      <c r="A4553" t="s">
        <v>10043</v>
      </c>
      <c r="B4553" t="s">
        <v>10045</v>
      </c>
      <c r="C4553" t="s">
        <v>496</v>
      </c>
      <c r="D4553" t="s">
        <v>5856</v>
      </c>
      <c r="F4553">
        <v>2</v>
      </c>
      <c r="G4553" t="s">
        <v>16</v>
      </c>
      <c r="H4553">
        <v>0</v>
      </c>
      <c r="I4553" s="2" t="s">
        <v>288</v>
      </c>
      <c r="J4553" s="2" t="s">
        <v>10044</v>
      </c>
      <c r="K4553">
        <v>20</v>
      </c>
      <c r="L4553">
        <v>20</v>
      </c>
      <c r="M4553">
        <v>20</v>
      </c>
    </row>
    <row r="4554" spans="1:13" x14ac:dyDescent="0.25">
      <c r="A4554" t="s">
        <v>10046</v>
      </c>
      <c r="B4554" t="s">
        <v>10045</v>
      </c>
      <c r="C4554" t="s">
        <v>496</v>
      </c>
      <c r="D4554" t="s">
        <v>2360</v>
      </c>
      <c r="F4554">
        <v>2</v>
      </c>
      <c r="G4554" t="s">
        <v>16</v>
      </c>
      <c r="H4554">
        <v>0</v>
      </c>
      <c r="I4554" s="2" t="s">
        <v>5528</v>
      </c>
      <c r="J4554" s="2" t="s">
        <v>10047</v>
      </c>
      <c r="K4554">
        <v>20</v>
      </c>
      <c r="L4554">
        <v>20</v>
      </c>
      <c r="M4554">
        <v>20</v>
      </c>
    </row>
    <row r="4555" spans="1:13" x14ac:dyDescent="0.25">
      <c r="A4555" t="s">
        <v>10048</v>
      </c>
      <c r="B4555" t="s">
        <v>10045</v>
      </c>
      <c r="C4555" t="s">
        <v>496</v>
      </c>
      <c r="D4555" t="s">
        <v>2360</v>
      </c>
      <c r="F4555">
        <v>2</v>
      </c>
      <c r="G4555" t="s">
        <v>16</v>
      </c>
      <c r="H4555">
        <v>0</v>
      </c>
      <c r="I4555" s="2" t="s">
        <v>851</v>
      </c>
      <c r="J4555" s="2">
        <v>32111640</v>
      </c>
      <c r="K4555">
        <v>20</v>
      </c>
      <c r="L4555">
        <v>20</v>
      </c>
      <c r="M4555">
        <v>20</v>
      </c>
    </row>
    <row r="4556" spans="1:13" x14ac:dyDescent="0.25">
      <c r="A4556" t="s">
        <v>10049</v>
      </c>
      <c r="B4556" t="s">
        <v>10045</v>
      </c>
      <c r="C4556" t="s">
        <v>496</v>
      </c>
      <c r="D4556" t="s">
        <v>2360</v>
      </c>
      <c r="F4556">
        <v>2</v>
      </c>
      <c r="G4556" t="s">
        <v>16</v>
      </c>
      <c r="H4556">
        <v>0</v>
      </c>
      <c r="I4556" s="2" t="s">
        <v>64</v>
      </c>
      <c r="J4556" s="2">
        <v>15010056</v>
      </c>
      <c r="K4556">
        <v>20</v>
      </c>
      <c r="L4556">
        <v>20</v>
      </c>
      <c r="M4556">
        <v>20</v>
      </c>
    </row>
    <row r="4557" spans="1:13" x14ac:dyDescent="0.25">
      <c r="A4557" t="s">
        <v>10050</v>
      </c>
      <c r="B4557" t="s">
        <v>10045</v>
      </c>
      <c r="C4557" t="s">
        <v>496</v>
      </c>
      <c r="D4557" t="s">
        <v>2360</v>
      </c>
      <c r="F4557">
        <v>2</v>
      </c>
      <c r="G4557" t="s">
        <v>16</v>
      </c>
      <c r="H4557">
        <v>0</v>
      </c>
      <c r="I4557" s="2" t="s">
        <v>64</v>
      </c>
      <c r="J4557" s="2">
        <v>15010285</v>
      </c>
      <c r="K4557">
        <v>20</v>
      </c>
      <c r="L4557">
        <v>20</v>
      </c>
      <c r="M4557">
        <v>20</v>
      </c>
    </row>
    <row r="4558" spans="1:13" x14ac:dyDescent="0.25">
      <c r="A4558" t="s">
        <v>10051</v>
      </c>
      <c r="B4558" t="s">
        <v>10045</v>
      </c>
      <c r="C4558" t="s">
        <v>496</v>
      </c>
      <c r="D4558" t="s">
        <v>2360</v>
      </c>
      <c r="G4558" t="s">
        <v>16</v>
      </c>
      <c r="H4558">
        <v>0</v>
      </c>
      <c r="I4558" s="2" t="s">
        <v>6078</v>
      </c>
      <c r="J4558" s="2" t="s">
        <v>10052</v>
      </c>
      <c r="K4558">
        <v>20</v>
      </c>
      <c r="L4558">
        <v>20</v>
      </c>
      <c r="M4558">
        <v>20</v>
      </c>
    </row>
    <row r="4559" spans="1:13" x14ac:dyDescent="0.25">
      <c r="A4559" t="s">
        <v>10053</v>
      </c>
      <c r="B4559" t="s">
        <v>10045</v>
      </c>
      <c r="C4559" t="s">
        <v>496</v>
      </c>
      <c r="D4559" t="s">
        <v>2360</v>
      </c>
      <c r="F4559">
        <v>4</v>
      </c>
      <c r="G4559" t="s">
        <v>16</v>
      </c>
      <c r="H4559">
        <v>0</v>
      </c>
      <c r="I4559" s="2" t="s">
        <v>8480</v>
      </c>
      <c r="J4559" s="2" t="s">
        <v>10054</v>
      </c>
      <c r="K4559">
        <v>20</v>
      </c>
      <c r="L4559">
        <v>20</v>
      </c>
      <c r="M4559">
        <v>20</v>
      </c>
    </row>
    <row r="4560" spans="1:13" x14ac:dyDescent="0.25">
      <c r="A4560" t="s">
        <v>10055</v>
      </c>
      <c r="B4560" t="s">
        <v>10045</v>
      </c>
      <c r="C4560" t="s">
        <v>496</v>
      </c>
      <c r="D4560" t="s">
        <v>2360</v>
      </c>
      <c r="F4560">
        <v>2</v>
      </c>
      <c r="G4560" t="s">
        <v>16</v>
      </c>
      <c r="H4560">
        <v>0</v>
      </c>
      <c r="I4560" s="2" t="s">
        <v>5044</v>
      </c>
      <c r="J4560" s="2" t="s">
        <v>10056</v>
      </c>
      <c r="K4560">
        <v>20</v>
      </c>
      <c r="L4560">
        <v>20</v>
      </c>
      <c r="M4560">
        <v>20</v>
      </c>
    </row>
    <row r="4561" spans="1:13" x14ac:dyDescent="0.25">
      <c r="A4561" t="s">
        <v>10057</v>
      </c>
      <c r="B4561" t="s">
        <v>10058</v>
      </c>
      <c r="C4561" t="s">
        <v>496</v>
      </c>
      <c r="D4561" t="s">
        <v>2360</v>
      </c>
      <c r="F4561">
        <v>2</v>
      </c>
      <c r="G4561" t="s">
        <v>16</v>
      </c>
      <c r="H4561">
        <v>0</v>
      </c>
      <c r="I4561" s="2" t="s">
        <v>5500</v>
      </c>
      <c r="J4561" s="2" t="s">
        <v>10059</v>
      </c>
      <c r="K4561">
        <v>20</v>
      </c>
      <c r="L4561">
        <v>20</v>
      </c>
      <c r="M4561">
        <v>20</v>
      </c>
    </row>
    <row r="4562" spans="1:13" x14ac:dyDescent="0.25">
      <c r="A4562" t="s">
        <v>10060</v>
      </c>
      <c r="B4562" t="s">
        <v>10061</v>
      </c>
      <c r="C4562" t="s">
        <v>496</v>
      </c>
      <c r="D4562" t="s">
        <v>2360</v>
      </c>
      <c r="G4562" t="s">
        <v>16</v>
      </c>
      <c r="H4562">
        <v>0</v>
      </c>
      <c r="I4562" s="2" t="s">
        <v>6078</v>
      </c>
      <c r="J4562" s="2" t="s">
        <v>10062</v>
      </c>
      <c r="K4562">
        <v>20</v>
      </c>
      <c r="L4562">
        <v>20</v>
      </c>
      <c r="M4562">
        <v>20</v>
      </c>
    </row>
    <row r="4563" spans="1:13" x14ac:dyDescent="0.25">
      <c r="A4563" t="s">
        <v>10063</v>
      </c>
      <c r="B4563" t="s">
        <v>10061</v>
      </c>
      <c r="C4563" t="s">
        <v>496</v>
      </c>
      <c r="D4563" t="s">
        <v>2360</v>
      </c>
      <c r="F4563">
        <v>2</v>
      </c>
      <c r="G4563" t="s">
        <v>16</v>
      </c>
      <c r="H4563">
        <v>0</v>
      </c>
      <c r="I4563" s="2" t="s">
        <v>5044</v>
      </c>
      <c r="J4563" s="2" t="s">
        <v>10064</v>
      </c>
      <c r="K4563">
        <v>20</v>
      </c>
      <c r="L4563">
        <v>20</v>
      </c>
      <c r="M4563">
        <v>20</v>
      </c>
    </row>
    <row r="4564" spans="1:13" x14ac:dyDescent="0.25">
      <c r="A4564" t="s">
        <v>10065</v>
      </c>
      <c r="B4564" t="s">
        <v>10066</v>
      </c>
      <c r="C4564" t="s">
        <v>496</v>
      </c>
      <c r="D4564" t="s">
        <v>2360</v>
      </c>
      <c r="G4564" t="s">
        <v>16</v>
      </c>
      <c r="H4564">
        <v>0</v>
      </c>
      <c r="I4564" s="2" t="s">
        <v>288</v>
      </c>
      <c r="J4564" s="2">
        <v>323079116</v>
      </c>
      <c r="K4564">
        <v>20</v>
      </c>
      <c r="L4564">
        <v>20</v>
      </c>
      <c r="M4564">
        <v>20</v>
      </c>
    </row>
    <row r="4565" spans="1:13" x14ac:dyDescent="0.25">
      <c r="A4565" t="s">
        <v>10067</v>
      </c>
      <c r="B4565" t="s">
        <v>10068</v>
      </c>
      <c r="C4565" t="s">
        <v>496</v>
      </c>
      <c r="D4565" t="s">
        <v>2360</v>
      </c>
      <c r="G4565" t="s">
        <v>16</v>
      </c>
      <c r="H4565">
        <v>0</v>
      </c>
      <c r="I4565" s="2" t="s">
        <v>238</v>
      </c>
      <c r="J4565" s="2">
        <v>181640</v>
      </c>
      <c r="K4565">
        <v>20</v>
      </c>
      <c r="L4565">
        <v>20</v>
      </c>
      <c r="M4565">
        <v>20</v>
      </c>
    </row>
    <row r="4566" spans="1:13" x14ac:dyDescent="0.25">
      <c r="A4566" t="s">
        <v>10069</v>
      </c>
      <c r="B4566" t="s">
        <v>10070</v>
      </c>
      <c r="C4566" t="s">
        <v>496</v>
      </c>
      <c r="D4566" t="s">
        <v>2360</v>
      </c>
      <c r="F4566">
        <v>4</v>
      </c>
      <c r="G4566" t="s">
        <v>16</v>
      </c>
      <c r="H4566">
        <v>0</v>
      </c>
      <c r="I4566" s="2" t="b">
        <v>1</v>
      </c>
      <c r="J4566" s="2" t="s">
        <v>10071</v>
      </c>
      <c r="K4566">
        <v>20</v>
      </c>
      <c r="L4566">
        <v>20</v>
      </c>
      <c r="M4566">
        <v>20</v>
      </c>
    </row>
    <row r="4567" spans="1:13" x14ac:dyDescent="0.25">
      <c r="A4567" t="s">
        <v>10072</v>
      </c>
      <c r="B4567" t="s">
        <v>10074</v>
      </c>
      <c r="C4567" t="s">
        <v>496</v>
      </c>
      <c r="D4567" t="s">
        <v>2360</v>
      </c>
      <c r="G4567" t="s">
        <v>16</v>
      </c>
      <c r="H4567">
        <v>0</v>
      </c>
      <c r="I4567" s="2" t="s">
        <v>10075</v>
      </c>
      <c r="J4567" s="2" t="s">
        <v>10073</v>
      </c>
      <c r="K4567">
        <v>20</v>
      </c>
      <c r="L4567">
        <v>20</v>
      </c>
      <c r="M4567">
        <v>20</v>
      </c>
    </row>
    <row r="4568" spans="1:13" x14ac:dyDescent="0.25">
      <c r="A4568" t="s">
        <v>10076</v>
      </c>
      <c r="B4568" t="s">
        <v>10074</v>
      </c>
      <c r="C4568" t="s">
        <v>496</v>
      </c>
      <c r="D4568" t="s">
        <v>2360</v>
      </c>
      <c r="F4568">
        <v>2</v>
      </c>
      <c r="G4568" t="s">
        <v>16</v>
      </c>
      <c r="H4568">
        <v>0</v>
      </c>
      <c r="I4568" s="2" t="s">
        <v>7102</v>
      </c>
      <c r="J4568" s="2">
        <v>9214</v>
      </c>
      <c r="K4568">
        <v>20</v>
      </c>
      <c r="L4568">
        <v>20</v>
      </c>
      <c r="M4568">
        <v>20</v>
      </c>
    </row>
    <row r="4569" spans="1:13" x14ac:dyDescent="0.25">
      <c r="A4569" t="s">
        <v>10077</v>
      </c>
      <c r="B4569" t="s">
        <v>10074</v>
      </c>
      <c r="C4569" t="s">
        <v>496</v>
      </c>
      <c r="D4569" t="s">
        <v>2360</v>
      </c>
      <c r="G4569" t="s">
        <v>16</v>
      </c>
      <c r="H4569">
        <v>0</v>
      </c>
      <c r="I4569" s="2" t="s">
        <v>64</v>
      </c>
      <c r="J4569" s="2">
        <v>10010624</v>
      </c>
      <c r="K4569">
        <v>20</v>
      </c>
      <c r="L4569">
        <v>20</v>
      </c>
      <c r="M4569">
        <v>20</v>
      </c>
    </row>
    <row r="4570" spans="1:13" x14ac:dyDescent="0.25">
      <c r="A4570" t="s">
        <v>10078</v>
      </c>
      <c r="B4570" t="s">
        <v>10074</v>
      </c>
      <c r="C4570" t="s">
        <v>2493</v>
      </c>
      <c r="D4570" t="s">
        <v>2360</v>
      </c>
      <c r="G4570" t="s">
        <v>16</v>
      </c>
      <c r="H4570">
        <v>0</v>
      </c>
      <c r="I4570" s="2" t="s">
        <v>245</v>
      </c>
      <c r="J4570" s="2" t="s">
        <v>10079</v>
      </c>
      <c r="K4570">
        <v>20</v>
      </c>
      <c r="L4570">
        <v>20</v>
      </c>
      <c r="M4570">
        <v>20</v>
      </c>
    </row>
    <row r="4571" spans="1:13" x14ac:dyDescent="0.25">
      <c r="A4571" t="s">
        <v>10080</v>
      </c>
      <c r="B4571" t="s">
        <v>10074</v>
      </c>
      <c r="C4571" t="s">
        <v>496</v>
      </c>
      <c r="D4571" t="s">
        <v>2360</v>
      </c>
      <c r="F4571">
        <v>2</v>
      </c>
      <c r="G4571" t="s">
        <v>16</v>
      </c>
      <c r="H4571">
        <v>0</v>
      </c>
      <c r="I4571" s="2" t="s">
        <v>2300</v>
      </c>
      <c r="J4571" s="2">
        <v>31558</v>
      </c>
      <c r="K4571">
        <v>20</v>
      </c>
      <c r="L4571">
        <v>20</v>
      </c>
      <c r="M4571">
        <v>20</v>
      </c>
    </row>
    <row r="4572" spans="1:13" x14ac:dyDescent="0.25">
      <c r="A4572" t="s">
        <v>10081</v>
      </c>
      <c r="B4572" t="s">
        <v>10074</v>
      </c>
      <c r="C4572" t="s">
        <v>496</v>
      </c>
      <c r="D4572" t="s">
        <v>2360</v>
      </c>
      <c r="G4572" t="s">
        <v>16</v>
      </c>
      <c r="H4572">
        <v>0</v>
      </c>
      <c r="I4572" s="2" t="s">
        <v>737</v>
      </c>
      <c r="J4572" s="2" t="s">
        <v>10082</v>
      </c>
      <c r="K4572">
        <v>20</v>
      </c>
      <c r="L4572">
        <v>20</v>
      </c>
      <c r="M4572">
        <v>20</v>
      </c>
    </row>
    <row r="4573" spans="1:13" x14ac:dyDescent="0.25">
      <c r="A4573" t="s">
        <v>10083</v>
      </c>
      <c r="B4573" t="s">
        <v>10085</v>
      </c>
      <c r="C4573" t="s">
        <v>496</v>
      </c>
      <c r="D4573" t="s">
        <v>2360</v>
      </c>
      <c r="F4573">
        <v>2</v>
      </c>
      <c r="G4573" t="s">
        <v>16</v>
      </c>
      <c r="H4573">
        <v>0</v>
      </c>
      <c r="I4573" s="2" t="s">
        <v>288</v>
      </c>
      <c r="J4573" s="2" t="s">
        <v>10084</v>
      </c>
      <c r="K4573">
        <v>20</v>
      </c>
      <c r="L4573">
        <v>20</v>
      </c>
      <c r="M4573">
        <v>20</v>
      </c>
    </row>
    <row r="4574" spans="1:13" x14ac:dyDescent="0.25">
      <c r="A4574" t="s">
        <v>10086</v>
      </c>
      <c r="B4574" t="s">
        <v>10085</v>
      </c>
      <c r="C4574" t="s">
        <v>496</v>
      </c>
      <c r="D4574" t="s">
        <v>2360</v>
      </c>
      <c r="F4574">
        <v>1</v>
      </c>
      <c r="G4574" t="s">
        <v>16</v>
      </c>
      <c r="H4574">
        <v>0</v>
      </c>
      <c r="I4574" s="2" t="s">
        <v>5249</v>
      </c>
      <c r="J4574" s="2" t="s">
        <v>10087</v>
      </c>
      <c r="K4574">
        <v>20</v>
      </c>
      <c r="L4574">
        <v>20</v>
      </c>
      <c r="M4574">
        <v>20</v>
      </c>
    </row>
    <row r="4575" spans="1:13" x14ac:dyDescent="0.25">
      <c r="A4575" t="s">
        <v>10088</v>
      </c>
      <c r="B4575" t="s">
        <v>10085</v>
      </c>
      <c r="C4575" t="s">
        <v>496</v>
      </c>
      <c r="D4575" t="s">
        <v>2360</v>
      </c>
      <c r="G4575" t="s">
        <v>16</v>
      </c>
      <c r="H4575">
        <v>0</v>
      </c>
      <c r="I4575" s="2" t="s">
        <v>6847</v>
      </c>
      <c r="J4575" s="2" t="s">
        <v>10089</v>
      </c>
      <c r="K4575">
        <v>20</v>
      </c>
      <c r="L4575">
        <v>20</v>
      </c>
      <c r="M4575">
        <v>20</v>
      </c>
    </row>
    <row r="4576" spans="1:13" x14ac:dyDescent="0.25">
      <c r="A4576" t="s">
        <v>10090</v>
      </c>
      <c r="B4576" t="s">
        <v>10085</v>
      </c>
      <c r="C4576" t="s">
        <v>496</v>
      </c>
      <c r="D4576" t="s">
        <v>2360</v>
      </c>
      <c r="F4576">
        <v>1</v>
      </c>
      <c r="G4576" t="s">
        <v>16</v>
      </c>
      <c r="H4576">
        <v>0</v>
      </c>
      <c r="I4576" s="2" t="s">
        <v>64</v>
      </c>
      <c r="J4576" s="2">
        <v>10010242</v>
      </c>
      <c r="K4576">
        <v>20</v>
      </c>
      <c r="L4576">
        <v>20</v>
      </c>
      <c r="M4576">
        <v>20</v>
      </c>
    </row>
    <row r="4577" spans="1:13" x14ac:dyDescent="0.25">
      <c r="A4577" t="s">
        <v>10091</v>
      </c>
      <c r="B4577" t="s">
        <v>10085</v>
      </c>
      <c r="C4577" t="s">
        <v>496</v>
      </c>
      <c r="D4577" t="s">
        <v>2360</v>
      </c>
      <c r="G4577" t="s">
        <v>16</v>
      </c>
      <c r="H4577">
        <v>0</v>
      </c>
      <c r="I4577" s="2" t="s">
        <v>2466</v>
      </c>
      <c r="J4577" s="2">
        <v>3383801</v>
      </c>
      <c r="K4577">
        <v>20</v>
      </c>
      <c r="L4577">
        <v>20</v>
      </c>
      <c r="M4577">
        <v>20</v>
      </c>
    </row>
    <row r="4578" spans="1:13" x14ac:dyDescent="0.25">
      <c r="A4578" t="s">
        <v>10092</v>
      </c>
      <c r="B4578" t="s">
        <v>10094</v>
      </c>
      <c r="C4578" t="s">
        <v>496</v>
      </c>
      <c r="D4578" t="s">
        <v>2360</v>
      </c>
      <c r="F4578">
        <v>1</v>
      </c>
      <c r="G4578" t="s">
        <v>16</v>
      </c>
      <c r="H4578">
        <v>0</v>
      </c>
      <c r="I4578" s="2" t="s">
        <v>288</v>
      </c>
      <c r="J4578" s="2" t="s">
        <v>10093</v>
      </c>
      <c r="K4578">
        <v>20</v>
      </c>
      <c r="L4578">
        <v>20</v>
      </c>
      <c r="M4578">
        <v>20</v>
      </c>
    </row>
    <row r="4579" spans="1:13" x14ac:dyDescent="0.25">
      <c r="A4579" t="s">
        <v>10095</v>
      </c>
      <c r="B4579" t="s">
        <v>10094</v>
      </c>
      <c r="C4579" t="s">
        <v>496</v>
      </c>
      <c r="D4579" t="s">
        <v>2360</v>
      </c>
      <c r="G4579" t="s">
        <v>16</v>
      </c>
      <c r="H4579">
        <v>0</v>
      </c>
      <c r="I4579" s="2" t="s">
        <v>2466</v>
      </c>
      <c r="J4579" s="2">
        <v>3383901</v>
      </c>
      <c r="K4579">
        <v>20</v>
      </c>
      <c r="L4579">
        <v>20</v>
      </c>
      <c r="M4579">
        <v>20</v>
      </c>
    </row>
    <row r="4580" spans="1:13" x14ac:dyDescent="0.25">
      <c r="A4580" t="s">
        <v>10096</v>
      </c>
      <c r="B4580" t="s">
        <v>10094</v>
      </c>
      <c r="C4580" t="s">
        <v>496</v>
      </c>
      <c r="D4580" t="s">
        <v>2360</v>
      </c>
      <c r="F4580">
        <v>2</v>
      </c>
      <c r="G4580" t="s">
        <v>16</v>
      </c>
      <c r="H4580">
        <v>0</v>
      </c>
      <c r="I4580" s="2" t="s">
        <v>2881</v>
      </c>
      <c r="J4580" s="2" t="s">
        <v>10097</v>
      </c>
      <c r="K4580">
        <v>20</v>
      </c>
      <c r="L4580">
        <v>20</v>
      </c>
      <c r="M4580">
        <v>20</v>
      </c>
    </row>
    <row r="4581" spans="1:13" x14ac:dyDescent="0.25">
      <c r="A4581" t="s">
        <v>10098</v>
      </c>
      <c r="B4581" t="s">
        <v>10094</v>
      </c>
      <c r="C4581" t="s">
        <v>496</v>
      </c>
      <c r="D4581" t="s">
        <v>2360</v>
      </c>
      <c r="G4581" t="s">
        <v>16</v>
      </c>
      <c r="H4581">
        <v>0</v>
      </c>
      <c r="I4581" s="2" t="s">
        <v>737</v>
      </c>
      <c r="J4581" s="2" t="s">
        <v>10099</v>
      </c>
      <c r="K4581">
        <v>20</v>
      </c>
      <c r="L4581">
        <v>20</v>
      </c>
      <c r="M4581">
        <v>20</v>
      </c>
    </row>
    <row r="4582" spans="1:13" x14ac:dyDescent="0.25">
      <c r="A4582" t="s">
        <v>10100</v>
      </c>
      <c r="B4582" t="s">
        <v>10102</v>
      </c>
      <c r="C4582" t="s">
        <v>496</v>
      </c>
      <c r="D4582" t="s">
        <v>2360</v>
      </c>
      <c r="F4582">
        <v>1</v>
      </c>
      <c r="G4582" t="s">
        <v>16</v>
      </c>
      <c r="H4582">
        <v>0</v>
      </c>
      <c r="I4582" s="2" t="s">
        <v>765</v>
      </c>
      <c r="J4582" s="2" t="s">
        <v>10101</v>
      </c>
      <c r="K4582">
        <v>20</v>
      </c>
      <c r="L4582">
        <v>20</v>
      </c>
      <c r="M4582">
        <v>20</v>
      </c>
    </row>
    <row r="4583" spans="1:13" x14ac:dyDescent="0.25">
      <c r="A4583" t="s">
        <v>10103</v>
      </c>
      <c r="B4583" t="s">
        <v>10104</v>
      </c>
      <c r="C4583" t="s">
        <v>496</v>
      </c>
      <c r="D4583" t="s">
        <v>2360</v>
      </c>
      <c r="G4583" t="s">
        <v>16</v>
      </c>
      <c r="H4583">
        <v>0</v>
      </c>
      <c r="I4583" s="2" t="s">
        <v>238</v>
      </c>
      <c r="J4583" s="2">
        <v>109328</v>
      </c>
      <c r="K4583">
        <v>20</v>
      </c>
      <c r="L4583">
        <v>20</v>
      </c>
      <c r="M4583">
        <v>20</v>
      </c>
    </row>
    <row r="4584" spans="1:13" x14ac:dyDescent="0.25">
      <c r="A4584" t="s">
        <v>10105</v>
      </c>
      <c r="B4584" t="s">
        <v>10104</v>
      </c>
      <c r="C4584" t="s">
        <v>496</v>
      </c>
      <c r="D4584" t="s">
        <v>2360</v>
      </c>
      <c r="G4584" t="s">
        <v>16</v>
      </c>
      <c r="H4584">
        <v>0</v>
      </c>
      <c r="I4584" s="2" t="s">
        <v>5688</v>
      </c>
      <c r="J4584" s="2">
        <v>803424</v>
      </c>
      <c r="K4584">
        <v>20</v>
      </c>
      <c r="L4584">
        <v>20</v>
      </c>
      <c r="M4584">
        <v>20</v>
      </c>
    </row>
    <row r="4585" spans="1:13" x14ac:dyDescent="0.25">
      <c r="A4585" t="s">
        <v>10106</v>
      </c>
      <c r="B4585" t="s">
        <v>10104</v>
      </c>
      <c r="C4585" t="s">
        <v>496</v>
      </c>
      <c r="D4585" t="s">
        <v>2360</v>
      </c>
      <c r="G4585" t="s">
        <v>16</v>
      </c>
      <c r="H4585">
        <v>0</v>
      </c>
      <c r="I4585" s="2" t="s">
        <v>486</v>
      </c>
      <c r="J4585" s="2">
        <v>40109328</v>
      </c>
      <c r="K4585">
        <v>20</v>
      </c>
      <c r="L4585">
        <v>20</v>
      </c>
      <c r="M4585">
        <v>20</v>
      </c>
    </row>
    <row r="4586" spans="1:13" x14ac:dyDescent="0.25">
      <c r="A4586" t="s">
        <v>10107</v>
      </c>
      <c r="B4586" t="s">
        <v>10109</v>
      </c>
      <c r="C4586" t="s">
        <v>496</v>
      </c>
      <c r="D4586" t="s">
        <v>2360</v>
      </c>
      <c r="F4586">
        <v>1</v>
      </c>
      <c r="G4586" t="s">
        <v>16</v>
      </c>
      <c r="H4586">
        <v>0</v>
      </c>
      <c r="I4586" s="2" t="s">
        <v>765</v>
      </c>
      <c r="J4586" s="2" t="s">
        <v>10108</v>
      </c>
      <c r="K4586">
        <v>20</v>
      </c>
      <c r="L4586">
        <v>20</v>
      </c>
      <c r="M4586">
        <v>20</v>
      </c>
    </row>
    <row r="4587" spans="1:13" x14ac:dyDescent="0.25">
      <c r="A4587" t="s">
        <v>10110</v>
      </c>
      <c r="B4587" t="s">
        <v>10111</v>
      </c>
      <c r="C4587" t="s">
        <v>496</v>
      </c>
      <c r="D4587" t="s">
        <v>2360</v>
      </c>
      <c r="G4587" t="s">
        <v>16</v>
      </c>
      <c r="H4587">
        <v>0</v>
      </c>
      <c r="I4587" s="2" t="s">
        <v>248</v>
      </c>
      <c r="J4587" s="2">
        <v>171220</v>
      </c>
      <c r="K4587">
        <v>20</v>
      </c>
      <c r="L4587">
        <v>20</v>
      </c>
      <c r="M4587">
        <v>20</v>
      </c>
    </row>
    <row r="4588" spans="1:13" x14ac:dyDescent="0.25">
      <c r="A4588" t="s">
        <v>10112</v>
      </c>
      <c r="B4588" t="s">
        <v>10111</v>
      </c>
      <c r="C4588" t="s">
        <v>496</v>
      </c>
      <c r="D4588" t="s">
        <v>2360</v>
      </c>
      <c r="G4588" t="s">
        <v>16</v>
      </c>
      <c r="H4588">
        <v>0</v>
      </c>
      <c r="I4588" s="2" t="s">
        <v>5688</v>
      </c>
      <c r="J4588" s="2">
        <v>803425</v>
      </c>
      <c r="K4588">
        <v>20</v>
      </c>
      <c r="L4588">
        <v>20</v>
      </c>
      <c r="M4588">
        <v>20</v>
      </c>
    </row>
    <row r="4589" spans="1:13" x14ac:dyDescent="0.25">
      <c r="A4589" t="s">
        <v>10113</v>
      </c>
      <c r="B4589" t="s">
        <v>10111</v>
      </c>
      <c r="C4589" t="s">
        <v>2493</v>
      </c>
      <c r="D4589" t="s">
        <v>2360</v>
      </c>
      <c r="G4589" t="s">
        <v>16</v>
      </c>
      <c r="H4589">
        <v>0</v>
      </c>
      <c r="I4589" s="2" t="s">
        <v>486</v>
      </c>
      <c r="J4589" s="2">
        <v>33100784</v>
      </c>
      <c r="K4589">
        <v>20</v>
      </c>
      <c r="L4589">
        <v>20</v>
      </c>
      <c r="M4589">
        <v>20</v>
      </c>
    </row>
    <row r="4590" spans="1:13" x14ac:dyDescent="0.25">
      <c r="A4590" t="s">
        <v>10114</v>
      </c>
      <c r="B4590" t="s">
        <v>10116</v>
      </c>
      <c r="C4590" t="s">
        <v>496</v>
      </c>
      <c r="D4590" t="s">
        <v>2360</v>
      </c>
      <c r="F4590">
        <v>2</v>
      </c>
      <c r="G4590" t="s">
        <v>16</v>
      </c>
      <c r="H4590">
        <v>0</v>
      </c>
      <c r="I4590" s="2" t="s">
        <v>288</v>
      </c>
      <c r="J4590" s="2" t="s">
        <v>10115</v>
      </c>
      <c r="K4590">
        <v>20</v>
      </c>
      <c r="L4590">
        <v>20</v>
      </c>
      <c r="M4590">
        <v>20</v>
      </c>
    </row>
    <row r="4591" spans="1:13" x14ac:dyDescent="0.25">
      <c r="A4591" t="s">
        <v>10117</v>
      </c>
      <c r="B4591" t="s">
        <v>10116</v>
      </c>
      <c r="C4591" t="s">
        <v>496</v>
      </c>
      <c r="D4591" t="s">
        <v>2360</v>
      </c>
      <c r="F4591">
        <v>2</v>
      </c>
      <c r="G4591" t="s">
        <v>16</v>
      </c>
      <c r="H4591">
        <v>0</v>
      </c>
      <c r="I4591" s="2" t="s">
        <v>5500</v>
      </c>
      <c r="J4591" s="2" t="s">
        <v>10118</v>
      </c>
      <c r="K4591">
        <v>20</v>
      </c>
      <c r="L4591">
        <v>20</v>
      </c>
      <c r="M4591">
        <v>20</v>
      </c>
    </row>
    <row r="4592" spans="1:13" x14ac:dyDescent="0.25">
      <c r="A4592" t="s">
        <v>10119</v>
      </c>
      <c r="B4592" t="s">
        <v>10116</v>
      </c>
      <c r="C4592" t="s">
        <v>496</v>
      </c>
      <c r="D4592" t="s">
        <v>2360</v>
      </c>
      <c r="F4592">
        <v>0</v>
      </c>
      <c r="G4592" t="s">
        <v>16</v>
      </c>
      <c r="H4592">
        <v>0</v>
      </c>
      <c r="I4592" s="2" t="s">
        <v>64</v>
      </c>
      <c r="J4592" s="2">
        <v>15010192</v>
      </c>
      <c r="K4592">
        <v>20</v>
      </c>
      <c r="L4592">
        <v>20</v>
      </c>
      <c r="M4592">
        <v>20</v>
      </c>
    </row>
    <row r="4593" spans="1:13" x14ac:dyDescent="0.25">
      <c r="A4593" t="s">
        <v>10120</v>
      </c>
      <c r="B4593" t="s">
        <v>10121</v>
      </c>
      <c r="C4593" t="s">
        <v>496</v>
      </c>
      <c r="D4593" t="s">
        <v>2360</v>
      </c>
      <c r="G4593" t="s">
        <v>16</v>
      </c>
      <c r="H4593">
        <v>0</v>
      </c>
      <c r="I4593" s="2" t="s">
        <v>7399</v>
      </c>
      <c r="J4593" s="2">
        <v>350145</v>
      </c>
      <c r="K4593">
        <v>20</v>
      </c>
      <c r="L4593">
        <v>20</v>
      </c>
      <c r="M4593">
        <v>20</v>
      </c>
    </row>
    <row r="4594" spans="1:13" x14ac:dyDescent="0.25">
      <c r="A4594" t="s">
        <v>10122</v>
      </c>
      <c r="B4594" t="s">
        <v>10123</v>
      </c>
      <c r="C4594" t="s">
        <v>496</v>
      </c>
      <c r="D4594" t="s">
        <v>2360</v>
      </c>
      <c r="F4594">
        <v>2</v>
      </c>
      <c r="G4594" t="s">
        <v>16</v>
      </c>
      <c r="H4594">
        <v>0</v>
      </c>
      <c r="I4594" s="2" t="s">
        <v>5688</v>
      </c>
      <c r="J4594" s="2">
        <v>350142</v>
      </c>
      <c r="K4594">
        <v>20</v>
      </c>
      <c r="L4594">
        <v>20</v>
      </c>
      <c r="M4594">
        <v>20</v>
      </c>
    </row>
    <row r="4595" spans="1:13" x14ac:dyDescent="0.25">
      <c r="A4595" t="s">
        <v>10124</v>
      </c>
      <c r="B4595" t="s">
        <v>10125</v>
      </c>
      <c r="C4595" t="s">
        <v>2493</v>
      </c>
      <c r="D4595" t="s">
        <v>5856</v>
      </c>
      <c r="G4595" t="s">
        <v>16</v>
      </c>
      <c r="H4595">
        <v>0</v>
      </c>
      <c r="I4595" s="2" t="s">
        <v>288</v>
      </c>
      <c r="J4595" s="2">
        <v>320116116</v>
      </c>
      <c r="K4595">
        <v>20</v>
      </c>
      <c r="L4595">
        <v>20</v>
      </c>
      <c r="M4595">
        <v>20</v>
      </c>
    </row>
    <row r="4596" spans="1:13" x14ac:dyDescent="0.25">
      <c r="A4596" t="s">
        <v>10126</v>
      </c>
      <c r="B4596" t="s">
        <v>10127</v>
      </c>
      <c r="C4596" t="s">
        <v>496</v>
      </c>
      <c r="D4596" t="s">
        <v>2360</v>
      </c>
      <c r="F4596">
        <v>4</v>
      </c>
      <c r="G4596" t="s">
        <v>16</v>
      </c>
      <c r="H4596">
        <v>0</v>
      </c>
      <c r="I4596" s="2" t="s">
        <v>5688</v>
      </c>
      <c r="J4596" s="2">
        <v>350144</v>
      </c>
      <c r="K4596">
        <v>20</v>
      </c>
      <c r="L4596">
        <v>20</v>
      </c>
      <c r="M4596">
        <v>20</v>
      </c>
    </row>
    <row r="4597" spans="1:13" x14ac:dyDescent="0.25">
      <c r="A4597" t="s">
        <v>10128</v>
      </c>
      <c r="B4597" t="s">
        <v>10129</v>
      </c>
      <c r="C4597" t="s">
        <v>496</v>
      </c>
      <c r="D4597" t="s">
        <v>2360</v>
      </c>
      <c r="F4597">
        <v>2</v>
      </c>
      <c r="G4597" t="s">
        <v>16</v>
      </c>
      <c r="H4597">
        <v>0</v>
      </c>
      <c r="I4597" s="2" t="s">
        <v>7939</v>
      </c>
      <c r="J4597" s="2" t="s">
        <v>10130</v>
      </c>
      <c r="K4597">
        <v>20</v>
      </c>
      <c r="L4597">
        <v>20</v>
      </c>
      <c r="M4597">
        <v>20</v>
      </c>
    </row>
    <row r="4598" spans="1:13" x14ac:dyDescent="0.25">
      <c r="A4598" t="s">
        <v>10131</v>
      </c>
      <c r="B4598" t="s">
        <v>10129</v>
      </c>
      <c r="C4598" t="s">
        <v>496</v>
      </c>
      <c r="D4598" t="s">
        <v>2360</v>
      </c>
      <c r="G4598" t="s">
        <v>16</v>
      </c>
      <c r="H4598">
        <v>0</v>
      </c>
      <c r="I4598" s="2" t="s">
        <v>245</v>
      </c>
      <c r="J4598" s="2" t="s">
        <v>10132</v>
      </c>
      <c r="K4598">
        <v>20</v>
      </c>
      <c r="L4598">
        <v>20</v>
      </c>
      <c r="M4598">
        <v>20</v>
      </c>
    </row>
    <row r="4599" spans="1:13" x14ac:dyDescent="0.25">
      <c r="A4599" t="s">
        <v>10133</v>
      </c>
      <c r="B4599" t="s">
        <v>10134</v>
      </c>
      <c r="C4599" t="s">
        <v>496</v>
      </c>
      <c r="D4599" t="s">
        <v>2360</v>
      </c>
      <c r="G4599" t="s">
        <v>16</v>
      </c>
      <c r="H4599">
        <v>0</v>
      </c>
      <c r="I4599" s="2" t="s">
        <v>245</v>
      </c>
      <c r="J4599" s="2" t="s">
        <v>10135</v>
      </c>
      <c r="K4599">
        <v>20</v>
      </c>
      <c r="L4599">
        <v>20</v>
      </c>
      <c r="M4599">
        <v>20</v>
      </c>
    </row>
    <row r="4600" spans="1:13" x14ac:dyDescent="0.25">
      <c r="A4600" t="s">
        <v>10136</v>
      </c>
      <c r="B4600" t="s">
        <v>10137</v>
      </c>
      <c r="C4600" t="s">
        <v>496</v>
      </c>
      <c r="D4600" t="s">
        <v>2360</v>
      </c>
      <c r="G4600" t="s">
        <v>16</v>
      </c>
      <c r="H4600">
        <v>0</v>
      </c>
      <c r="I4600" s="2" t="s">
        <v>737</v>
      </c>
      <c r="J4600" s="2" t="s">
        <v>10138</v>
      </c>
      <c r="K4600">
        <v>20</v>
      </c>
      <c r="L4600">
        <v>20</v>
      </c>
      <c r="M4600">
        <v>20</v>
      </c>
    </row>
    <row r="4601" spans="1:13" x14ac:dyDescent="0.25">
      <c r="A4601" t="s">
        <v>10139</v>
      </c>
      <c r="B4601" t="s">
        <v>10140</v>
      </c>
      <c r="C4601" t="s">
        <v>20</v>
      </c>
      <c r="D4601" t="s">
        <v>21</v>
      </c>
      <c r="G4601" t="s">
        <v>16</v>
      </c>
      <c r="H4601">
        <v>0</v>
      </c>
      <c r="I4601" s="2" t="s">
        <v>142</v>
      </c>
      <c r="J4601" s="2" t="s">
        <v>10141</v>
      </c>
      <c r="K4601">
        <v>20</v>
      </c>
      <c r="L4601">
        <v>20</v>
      </c>
      <c r="M4601">
        <v>20</v>
      </c>
    </row>
    <row r="4602" spans="1:13" x14ac:dyDescent="0.25">
      <c r="A4602" t="s">
        <v>10142</v>
      </c>
      <c r="B4602" t="s">
        <v>10143</v>
      </c>
      <c r="C4602" t="s">
        <v>362</v>
      </c>
      <c r="D4602" t="s">
        <v>2545</v>
      </c>
      <c r="F4602">
        <v>1</v>
      </c>
      <c r="G4602" t="s">
        <v>16</v>
      </c>
      <c r="H4602">
        <v>0</v>
      </c>
      <c r="I4602" s="2" t="s">
        <v>87</v>
      </c>
      <c r="J4602" s="2" t="s">
        <v>4845</v>
      </c>
      <c r="K4602">
        <v>20</v>
      </c>
      <c r="L4602">
        <v>20</v>
      </c>
      <c r="M4602">
        <v>20</v>
      </c>
    </row>
    <row r="4603" spans="1:13" x14ac:dyDescent="0.25">
      <c r="A4603" t="s">
        <v>10144</v>
      </c>
      <c r="B4603" t="s">
        <v>10145</v>
      </c>
      <c r="C4603" t="s">
        <v>362</v>
      </c>
      <c r="D4603" t="s">
        <v>4097</v>
      </c>
      <c r="F4603">
        <v>1</v>
      </c>
      <c r="G4603" t="s">
        <v>16</v>
      </c>
      <c r="H4603">
        <v>0</v>
      </c>
      <c r="I4603" s="2" t="s">
        <v>3539</v>
      </c>
      <c r="J4603" s="2" t="s">
        <v>10146</v>
      </c>
      <c r="K4603">
        <v>20</v>
      </c>
      <c r="L4603">
        <v>20</v>
      </c>
      <c r="M4603">
        <v>20</v>
      </c>
    </row>
    <row r="4604" spans="1:13" x14ac:dyDescent="0.25">
      <c r="A4604" t="s">
        <v>10147</v>
      </c>
      <c r="B4604" t="s">
        <v>10145</v>
      </c>
      <c r="C4604" t="s">
        <v>362</v>
      </c>
      <c r="D4604" t="s">
        <v>4097</v>
      </c>
      <c r="G4604" t="s">
        <v>16</v>
      </c>
      <c r="H4604">
        <v>0</v>
      </c>
      <c r="I4604" s="2" t="s">
        <v>285</v>
      </c>
      <c r="J4604" s="2">
        <v>56118</v>
      </c>
      <c r="K4604">
        <v>20</v>
      </c>
      <c r="L4604">
        <v>20</v>
      </c>
      <c r="M4604">
        <v>20</v>
      </c>
    </row>
    <row r="4605" spans="1:13" x14ac:dyDescent="0.25">
      <c r="A4605" t="s">
        <v>10148</v>
      </c>
      <c r="B4605" t="s">
        <v>10149</v>
      </c>
      <c r="C4605" t="s">
        <v>540</v>
      </c>
      <c r="F4605">
        <v>1</v>
      </c>
      <c r="G4605" t="s">
        <v>16</v>
      </c>
      <c r="H4605">
        <v>0</v>
      </c>
      <c r="I4605" s="2" t="s">
        <v>6464</v>
      </c>
      <c r="J4605" s="3">
        <v>10015101</v>
      </c>
      <c r="K4605">
        <v>20</v>
      </c>
      <c r="L4605">
        <v>20</v>
      </c>
      <c r="M4605">
        <v>20</v>
      </c>
    </row>
    <row r="4606" spans="1:13" x14ac:dyDescent="0.25">
      <c r="A4606" t="s">
        <v>10150</v>
      </c>
      <c r="B4606" t="s">
        <v>10151</v>
      </c>
      <c r="C4606" t="s">
        <v>362</v>
      </c>
      <c r="D4606" t="s">
        <v>2545</v>
      </c>
      <c r="F4606">
        <v>2</v>
      </c>
      <c r="G4606" t="s">
        <v>16</v>
      </c>
      <c r="H4606">
        <v>0</v>
      </c>
      <c r="I4606" s="2" t="s">
        <v>383</v>
      </c>
      <c r="J4606" s="2" t="s">
        <v>10152</v>
      </c>
      <c r="K4606">
        <v>20</v>
      </c>
      <c r="L4606">
        <v>20</v>
      </c>
      <c r="M4606">
        <v>20</v>
      </c>
    </row>
    <row r="4607" spans="1:13" x14ac:dyDescent="0.25">
      <c r="A4607" t="s">
        <v>10153</v>
      </c>
      <c r="B4607" t="s">
        <v>10154</v>
      </c>
      <c r="C4607" t="s">
        <v>362</v>
      </c>
      <c r="D4607" t="s">
        <v>2545</v>
      </c>
      <c r="F4607">
        <v>3</v>
      </c>
      <c r="G4607" t="s">
        <v>16</v>
      </c>
      <c r="H4607">
        <v>0</v>
      </c>
      <c r="I4607" s="2" t="s">
        <v>383</v>
      </c>
      <c r="J4607" s="2" t="s">
        <v>10155</v>
      </c>
      <c r="K4607">
        <v>20</v>
      </c>
      <c r="L4607">
        <v>20</v>
      </c>
      <c r="M4607">
        <v>20</v>
      </c>
    </row>
    <row r="4608" spans="1:13" x14ac:dyDescent="0.25">
      <c r="A4608" t="s">
        <v>10156</v>
      </c>
      <c r="B4608" t="s">
        <v>10154</v>
      </c>
      <c r="C4608" t="s">
        <v>362</v>
      </c>
      <c r="D4608" t="s">
        <v>2545</v>
      </c>
      <c r="F4608">
        <v>1</v>
      </c>
      <c r="G4608" t="s">
        <v>16</v>
      </c>
      <c r="H4608">
        <v>0</v>
      </c>
      <c r="I4608" s="2" t="s">
        <v>2786</v>
      </c>
      <c r="J4608" s="2">
        <v>4583</v>
      </c>
      <c r="K4608">
        <v>20</v>
      </c>
      <c r="L4608">
        <v>20</v>
      </c>
      <c r="M4608">
        <v>20</v>
      </c>
    </row>
    <row r="4609" spans="1:13" x14ac:dyDescent="0.25">
      <c r="A4609" t="s">
        <v>10157</v>
      </c>
      <c r="B4609" t="s">
        <v>10158</v>
      </c>
      <c r="C4609" t="s">
        <v>362</v>
      </c>
      <c r="D4609" t="s">
        <v>2545</v>
      </c>
      <c r="F4609">
        <v>1</v>
      </c>
      <c r="G4609" t="s">
        <v>16</v>
      </c>
      <c r="H4609">
        <v>0</v>
      </c>
      <c r="I4609" s="2" t="s">
        <v>6120</v>
      </c>
      <c r="J4609" s="2" t="s">
        <v>10159</v>
      </c>
      <c r="K4609">
        <v>20</v>
      </c>
      <c r="L4609">
        <v>20</v>
      </c>
      <c r="M4609">
        <v>20</v>
      </c>
    </row>
    <row r="4610" spans="1:13" x14ac:dyDescent="0.25">
      <c r="A4610" t="s">
        <v>10160</v>
      </c>
      <c r="B4610" t="s">
        <v>10161</v>
      </c>
      <c r="C4610" t="s">
        <v>362</v>
      </c>
      <c r="D4610" t="s">
        <v>2545</v>
      </c>
      <c r="F4610">
        <v>1</v>
      </c>
      <c r="G4610" t="s">
        <v>16</v>
      </c>
      <c r="H4610">
        <v>0</v>
      </c>
      <c r="I4610" s="2" t="s">
        <v>2786</v>
      </c>
      <c r="J4610" s="2">
        <v>4874</v>
      </c>
      <c r="K4610">
        <v>20</v>
      </c>
      <c r="L4610">
        <v>20</v>
      </c>
      <c r="M4610">
        <v>20</v>
      </c>
    </row>
    <row r="4611" spans="1:13" x14ac:dyDescent="0.25">
      <c r="A4611" t="s">
        <v>10162</v>
      </c>
      <c r="B4611" t="s">
        <v>10163</v>
      </c>
      <c r="C4611" t="s">
        <v>362</v>
      </c>
      <c r="D4611" t="s">
        <v>2545</v>
      </c>
      <c r="F4611">
        <v>1</v>
      </c>
      <c r="G4611" t="s">
        <v>16</v>
      </c>
      <c r="H4611">
        <v>0</v>
      </c>
      <c r="I4611" s="2" t="s">
        <v>5846</v>
      </c>
      <c r="J4611" s="2" t="s">
        <v>10164</v>
      </c>
      <c r="K4611">
        <v>20</v>
      </c>
      <c r="L4611">
        <v>20</v>
      </c>
      <c r="M4611">
        <v>20</v>
      </c>
    </row>
    <row r="4612" spans="1:13" x14ac:dyDescent="0.25">
      <c r="A4612" t="s">
        <v>10165</v>
      </c>
      <c r="B4612" t="s">
        <v>10166</v>
      </c>
      <c r="C4612" t="s">
        <v>362</v>
      </c>
      <c r="D4612" t="s">
        <v>2545</v>
      </c>
      <c r="F4612">
        <v>1</v>
      </c>
      <c r="G4612" t="s">
        <v>16</v>
      </c>
      <c r="H4612">
        <v>0</v>
      </c>
      <c r="I4612" s="2" t="s">
        <v>2786</v>
      </c>
      <c r="J4612" s="2">
        <v>4875</v>
      </c>
      <c r="K4612">
        <v>20</v>
      </c>
      <c r="L4612">
        <v>20</v>
      </c>
      <c r="M4612">
        <v>20</v>
      </c>
    </row>
    <row r="4613" spans="1:13" x14ac:dyDescent="0.25">
      <c r="A4613" t="s">
        <v>10167</v>
      </c>
      <c r="B4613" t="s">
        <v>10168</v>
      </c>
      <c r="C4613" t="s">
        <v>362</v>
      </c>
      <c r="D4613" t="s">
        <v>2545</v>
      </c>
      <c r="F4613">
        <v>2</v>
      </c>
      <c r="G4613" t="s">
        <v>16</v>
      </c>
      <c r="H4613">
        <v>0</v>
      </c>
      <c r="I4613" s="2" t="s">
        <v>4193</v>
      </c>
      <c r="J4613" s="2" t="s">
        <v>10169</v>
      </c>
      <c r="K4613">
        <v>20</v>
      </c>
      <c r="L4613">
        <v>20</v>
      </c>
      <c r="M4613">
        <v>20</v>
      </c>
    </row>
    <row r="4614" spans="1:13" x14ac:dyDescent="0.25">
      <c r="A4614" t="s">
        <v>10170</v>
      </c>
      <c r="B4614" t="s">
        <v>10171</v>
      </c>
      <c r="C4614" t="s">
        <v>362</v>
      </c>
      <c r="D4614" t="s">
        <v>2545</v>
      </c>
      <c r="F4614">
        <v>2</v>
      </c>
      <c r="G4614" t="s">
        <v>16</v>
      </c>
      <c r="H4614">
        <v>0</v>
      </c>
      <c r="I4614" s="2" t="s">
        <v>383</v>
      </c>
      <c r="J4614" s="2" t="str">
        <f>"0986475836"</f>
        <v>0986475836</v>
      </c>
      <c r="K4614">
        <v>20</v>
      </c>
      <c r="L4614">
        <v>20</v>
      </c>
      <c r="M4614">
        <v>20</v>
      </c>
    </row>
    <row r="4615" spans="1:13" x14ac:dyDescent="0.25">
      <c r="A4615" t="s">
        <v>10172</v>
      </c>
      <c r="B4615" t="s">
        <v>10171</v>
      </c>
      <c r="C4615" t="s">
        <v>362</v>
      </c>
      <c r="D4615" t="s">
        <v>2545</v>
      </c>
      <c r="F4615">
        <v>2</v>
      </c>
      <c r="G4615" t="s">
        <v>16</v>
      </c>
      <c r="H4615">
        <v>0</v>
      </c>
      <c r="I4615" s="2" t="s">
        <v>5846</v>
      </c>
      <c r="J4615" s="2" t="s">
        <v>10173</v>
      </c>
      <c r="K4615">
        <v>20</v>
      </c>
      <c r="L4615">
        <v>20</v>
      </c>
      <c r="M4615">
        <v>20</v>
      </c>
    </row>
    <row r="4616" spans="1:13" x14ac:dyDescent="0.25">
      <c r="A4616" t="s">
        <v>10174</v>
      </c>
      <c r="B4616" t="s">
        <v>10171</v>
      </c>
      <c r="C4616" t="s">
        <v>362</v>
      </c>
      <c r="D4616" t="s">
        <v>2545</v>
      </c>
      <c r="G4616" t="s">
        <v>16</v>
      </c>
      <c r="H4616">
        <v>0</v>
      </c>
      <c r="I4616" s="2" t="s">
        <v>5558</v>
      </c>
      <c r="J4616" s="2" t="s">
        <v>10175</v>
      </c>
      <c r="K4616">
        <v>20</v>
      </c>
      <c r="L4616">
        <v>20</v>
      </c>
      <c r="M4616">
        <v>20</v>
      </c>
    </row>
    <row r="4617" spans="1:13" x14ac:dyDescent="0.25">
      <c r="A4617" t="s">
        <v>10176</v>
      </c>
      <c r="B4617" t="s">
        <v>10171</v>
      </c>
      <c r="C4617" t="s">
        <v>362</v>
      </c>
      <c r="D4617" t="s">
        <v>2545</v>
      </c>
      <c r="G4617" t="s">
        <v>16</v>
      </c>
      <c r="H4617">
        <v>0</v>
      </c>
      <c r="I4617" s="2" t="s">
        <v>5057</v>
      </c>
      <c r="J4617" s="2" t="s">
        <v>10177</v>
      </c>
      <c r="K4617">
        <v>20</v>
      </c>
      <c r="L4617">
        <v>20</v>
      </c>
      <c r="M4617">
        <v>20</v>
      </c>
    </row>
    <row r="4618" spans="1:13" x14ac:dyDescent="0.25">
      <c r="A4618" t="s">
        <v>10178</v>
      </c>
      <c r="B4618" t="s">
        <v>10179</v>
      </c>
      <c r="C4618" t="s">
        <v>362</v>
      </c>
      <c r="D4618" t="s">
        <v>2545</v>
      </c>
      <c r="F4618">
        <v>2</v>
      </c>
      <c r="G4618" t="s">
        <v>16</v>
      </c>
      <c r="H4618">
        <v>0</v>
      </c>
      <c r="K4618">
        <v>20</v>
      </c>
      <c r="L4618">
        <v>20</v>
      </c>
      <c r="M4618">
        <v>20</v>
      </c>
    </row>
    <row r="4619" spans="1:13" x14ac:dyDescent="0.25">
      <c r="A4619" t="s">
        <v>10180</v>
      </c>
      <c r="B4619" t="s">
        <v>10181</v>
      </c>
      <c r="C4619" t="s">
        <v>362</v>
      </c>
      <c r="D4619" t="s">
        <v>2545</v>
      </c>
      <c r="G4619" t="s">
        <v>16</v>
      </c>
      <c r="H4619">
        <v>0</v>
      </c>
      <c r="I4619" s="2" t="s">
        <v>685</v>
      </c>
      <c r="J4619" s="2" t="str">
        <f>"0986475833"</f>
        <v>0986475833</v>
      </c>
      <c r="K4619">
        <v>20</v>
      </c>
      <c r="L4619">
        <v>20</v>
      </c>
      <c r="M4619">
        <v>20</v>
      </c>
    </row>
    <row r="4620" spans="1:13" x14ac:dyDescent="0.25">
      <c r="A4620" t="s">
        <v>10182</v>
      </c>
      <c r="B4620" t="s">
        <v>10183</v>
      </c>
      <c r="C4620" t="s">
        <v>362</v>
      </c>
      <c r="D4620" t="s">
        <v>2545</v>
      </c>
      <c r="G4620" t="s">
        <v>16</v>
      </c>
      <c r="H4620">
        <v>0</v>
      </c>
      <c r="I4620" s="2" t="s">
        <v>685</v>
      </c>
      <c r="J4620" s="2" t="s">
        <v>10184</v>
      </c>
      <c r="K4620">
        <v>20</v>
      </c>
      <c r="L4620">
        <v>20</v>
      </c>
      <c r="M4620">
        <v>20</v>
      </c>
    </row>
    <row r="4621" spans="1:13" x14ac:dyDescent="0.25">
      <c r="A4621" t="s">
        <v>10185</v>
      </c>
      <c r="B4621" t="s">
        <v>10186</v>
      </c>
      <c r="C4621" t="s">
        <v>362</v>
      </c>
      <c r="D4621" t="s">
        <v>2545</v>
      </c>
      <c r="F4621">
        <v>2</v>
      </c>
      <c r="G4621" t="s">
        <v>16</v>
      </c>
      <c r="H4621">
        <v>0</v>
      </c>
      <c r="I4621" s="2" t="s">
        <v>2786</v>
      </c>
      <c r="J4621" s="2">
        <v>5170</v>
      </c>
      <c r="K4621">
        <v>20</v>
      </c>
      <c r="L4621">
        <v>20</v>
      </c>
      <c r="M4621">
        <v>20</v>
      </c>
    </row>
    <row r="4622" spans="1:13" x14ac:dyDescent="0.25">
      <c r="A4622" t="s">
        <v>10187</v>
      </c>
      <c r="B4622" t="s">
        <v>10188</v>
      </c>
      <c r="C4622" t="s">
        <v>362</v>
      </c>
      <c r="D4622" t="s">
        <v>2545</v>
      </c>
      <c r="F4622">
        <v>2</v>
      </c>
      <c r="G4622" t="s">
        <v>16</v>
      </c>
      <c r="H4622">
        <v>0</v>
      </c>
      <c r="I4622" s="2" t="s">
        <v>6120</v>
      </c>
      <c r="J4622" s="2" t="s">
        <v>10189</v>
      </c>
      <c r="K4622">
        <v>20</v>
      </c>
      <c r="L4622">
        <v>20</v>
      </c>
      <c r="M4622">
        <v>20</v>
      </c>
    </row>
    <row r="4623" spans="1:13" x14ac:dyDescent="0.25">
      <c r="A4623" t="s">
        <v>10190</v>
      </c>
      <c r="B4623" t="s">
        <v>10191</v>
      </c>
      <c r="C4623" t="s">
        <v>362</v>
      </c>
      <c r="D4623" t="s">
        <v>4097</v>
      </c>
      <c r="F4623">
        <v>1</v>
      </c>
      <c r="G4623" t="s">
        <v>16</v>
      </c>
      <c r="H4623">
        <v>0</v>
      </c>
      <c r="I4623" s="2" t="s">
        <v>5057</v>
      </c>
      <c r="J4623" s="2" t="s">
        <v>10192</v>
      </c>
      <c r="K4623">
        <v>20</v>
      </c>
      <c r="L4623">
        <v>20</v>
      </c>
      <c r="M4623">
        <v>20</v>
      </c>
    </row>
    <row r="4624" spans="1:13" x14ac:dyDescent="0.25">
      <c r="A4624" t="s">
        <v>10193</v>
      </c>
      <c r="B4624" t="s">
        <v>10194</v>
      </c>
      <c r="C4624" t="s">
        <v>496</v>
      </c>
      <c r="F4624">
        <v>1</v>
      </c>
      <c r="G4624" t="s">
        <v>16</v>
      </c>
      <c r="H4624">
        <v>0</v>
      </c>
      <c r="I4624" s="2" t="s">
        <v>64</v>
      </c>
      <c r="J4624" s="2">
        <v>13020172</v>
      </c>
      <c r="K4624">
        <v>20</v>
      </c>
      <c r="L4624">
        <v>20</v>
      </c>
      <c r="M4624">
        <v>20</v>
      </c>
    </row>
    <row r="4625" spans="1:13" x14ac:dyDescent="0.25">
      <c r="A4625" t="s">
        <v>10195</v>
      </c>
      <c r="B4625" t="s">
        <v>10196</v>
      </c>
      <c r="C4625" t="s">
        <v>496</v>
      </c>
      <c r="F4625">
        <v>1</v>
      </c>
      <c r="G4625" t="s">
        <v>16</v>
      </c>
      <c r="H4625">
        <v>0</v>
      </c>
      <c r="I4625" s="2" t="s">
        <v>5180</v>
      </c>
      <c r="J4625" s="2" t="s">
        <v>10197</v>
      </c>
      <c r="K4625">
        <v>20</v>
      </c>
      <c r="L4625">
        <v>20</v>
      </c>
      <c r="M4625">
        <v>20</v>
      </c>
    </row>
    <row r="4626" spans="1:13" x14ac:dyDescent="0.25">
      <c r="A4626" t="s">
        <v>10198</v>
      </c>
      <c r="B4626" t="s">
        <v>10199</v>
      </c>
      <c r="C4626" t="s">
        <v>496</v>
      </c>
      <c r="F4626">
        <v>0</v>
      </c>
      <c r="G4626" t="s">
        <v>16</v>
      </c>
      <c r="H4626">
        <v>0</v>
      </c>
      <c r="I4626" s="2" t="s">
        <v>5044</v>
      </c>
      <c r="J4626" s="2" t="s">
        <v>10200</v>
      </c>
      <c r="K4626">
        <v>20</v>
      </c>
      <c r="L4626">
        <v>20</v>
      </c>
      <c r="M4626">
        <v>20</v>
      </c>
    </row>
    <row r="4627" spans="1:13" x14ac:dyDescent="0.25">
      <c r="A4627" t="s">
        <v>10201</v>
      </c>
      <c r="B4627" t="s">
        <v>10202</v>
      </c>
      <c r="C4627" t="s">
        <v>496</v>
      </c>
      <c r="F4627">
        <v>1</v>
      </c>
      <c r="G4627" t="s">
        <v>16</v>
      </c>
      <c r="H4627">
        <v>0</v>
      </c>
      <c r="I4627" s="2" t="s">
        <v>64</v>
      </c>
      <c r="J4627" s="2">
        <v>13020171</v>
      </c>
      <c r="K4627">
        <v>20</v>
      </c>
      <c r="L4627">
        <v>20</v>
      </c>
      <c r="M4627">
        <v>20</v>
      </c>
    </row>
    <row r="4628" spans="1:13" x14ac:dyDescent="0.25">
      <c r="A4628" t="s">
        <v>10203</v>
      </c>
      <c r="B4628" t="s">
        <v>10204</v>
      </c>
      <c r="C4628" t="s">
        <v>496</v>
      </c>
      <c r="F4628">
        <v>0</v>
      </c>
      <c r="G4628" t="s">
        <v>16</v>
      </c>
      <c r="H4628">
        <v>0</v>
      </c>
      <c r="I4628" s="2" t="s">
        <v>5044</v>
      </c>
      <c r="J4628" s="2" t="s">
        <v>10205</v>
      </c>
      <c r="K4628">
        <v>20</v>
      </c>
      <c r="L4628">
        <v>20</v>
      </c>
      <c r="M4628">
        <v>20</v>
      </c>
    </row>
    <row r="4629" spans="1:13" x14ac:dyDescent="0.25">
      <c r="A4629" t="s">
        <v>10206</v>
      </c>
      <c r="B4629" t="s">
        <v>10207</v>
      </c>
      <c r="C4629" t="s">
        <v>14</v>
      </c>
      <c r="D4629" t="s">
        <v>293</v>
      </c>
      <c r="F4629">
        <v>0</v>
      </c>
      <c r="G4629" t="s">
        <v>16</v>
      </c>
      <c r="H4629">
        <v>0</v>
      </c>
      <c r="I4629" s="2" t="s">
        <v>383</v>
      </c>
      <c r="J4629" s="2" t="s">
        <v>10208</v>
      </c>
      <c r="K4629">
        <v>20</v>
      </c>
      <c r="L4629">
        <v>20</v>
      </c>
      <c r="M4629">
        <v>20</v>
      </c>
    </row>
    <row r="4630" spans="1:13" x14ac:dyDescent="0.25">
      <c r="A4630" t="s">
        <v>10209</v>
      </c>
      <c r="B4630" t="s">
        <v>10210</v>
      </c>
      <c r="C4630" t="s">
        <v>14</v>
      </c>
      <c r="D4630" t="s">
        <v>293</v>
      </c>
      <c r="F4630">
        <v>0</v>
      </c>
      <c r="G4630" t="s">
        <v>16</v>
      </c>
      <c r="H4630">
        <v>0</v>
      </c>
      <c r="I4630" s="2" t="s">
        <v>383</v>
      </c>
      <c r="J4630" s="2" t="s">
        <v>10211</v>
      </c>
      <c r="K4630">
        <v>20</v>
      </c>
      <c r="L4630">
        <v>20</v>
      </c>
      <c r="M4630">
        <v>20</v>
      </c>
    </row>
    <row r="4631" spans="1:13" x14ac:dyDescent="0.25">
      <c r="A4631" t="s">
        <v>10212</v>
      </c>
      <c r="B4631" t="s">
        <v>10213</v>
      </c>
      <c r="C4631" t="s">
        <v>362</v>
      </c>
      <c r="D4631" t="s">
        <v>4097</v>
      </c>
      <c r="G4631" t="s">
        <v>16</v>
      </c>
      <c r="H4631">
        <v>0</v>
      </c>
      <c r="I4631" s="2" t="s">
        <v>7513</v>
      </c>
      <c r="J4631" s="2" t="s">
        <v>10214</v>
      </c>
      <c r="K4631">
        <v>20</v>
      </c>
      <c r="L4631">
        <v>20</v>
      </c>
      <c r="M4631">
        <v>20</v>
      </c>
    </row>
    <row r="4632" spans="1:13" x14ac:dyDescent="0.25">
      <c r="A4632" t="s">
        <v>10215</v>
      </c>
      <c r="B4632" t="s">
        <v>10216</v>
      </c>
      <c r="C4632" t="s">
        <v>362</v>
      </c>
      <c r="G4632" t="s">
        <v>16</v>
      </c>
      <c r="H4632">
        <v>0</v>
      </c>
      <c r="I4632" s="2" t="s">
        <v>7513</v>
      </c>
      <c r="J4632" s="2" t="s">
        <v>10217</v>
      </c>
      <c r="K4632">
        <v>20</v>
      </c>
      <c r="L4632">
        <v>20</v>
      </c>
      <c r="M4632">
        <v>20</v>
      </c>
    </row>
    <row r="4633" spans="1:13" x14ac:dyDescent="0.25">
      <c r="A4633" t="s">
        <v>10218</v>
      </c>
      <c r="B4633" t="s">
        <v>10219</v>
      </c>
      <c r="C4633" t="s">
        <v>362</v>
      </c>
      <c r="G4633" t="s">
        <v>16</v>
      </c>
      <c r="H4633">
        <v>0</v>
      </c>
      <c r="I4633" s="2" t="s">
        <v>7513</v>
      </c>
      <c r="J4633" s="2" t="s">
        <v>10220</v>
      </c>
      <c r="K4633">
        <v>20</v>
      </c>
      <c r="L4633">
        <v>20</v>
      </c>
      <c r="M4633">
        <v>20</v>
      </c>
    </row>
    <row r="4634" spans="1:13" x14ac:dyDescent="0.25">
      <c r="A4634" t="s">
        <v>10221</v>
      </c>
      <c r="B4634" t="s">
        <v>10222</v>
      </c>
      <c r="C4634" t="s">
        <v>496</v>
      </c>
      <c r="D4634" t="s">
        <v>2360</v>
      </c>
      <c r="G4634" t="s">
        <v>16</v>
      </c>
      <c r="H4634">
        <v>0</v>
      </c>
      <c r="I4634" s="2" t="b">
        <v>1</v>
      </c>
      <c r="J4634" s="2" t="s">
        <v>10223</v>
      </c>
      <c r="K4634">
        <v>20</v>
      </c>
      <c r="L4634">
        <v>20</v>
      </c>
      <c r="M4634">
        <v>20</v>
      </c>
    </row>
    <row r="4635" spans="1:13" x14ac:dyDescent="0.25">
      <c r="A4635" t="s">
        <v>10224</v>
      </c>
      <c r="B4635" t="s">
        <v>10225</v>
      </c>
      <c r="C4635" t="s">
        <v>496</v>
      </c>
      <c r="D4635" t="s">
        <v>2360</v>
      </c>
      <c r="G4635" t="s">
        <v>16</v>
      </c>
      <c r="H4635">
        <v>0</v>
      </c>
      <c r="I4635" s="2" t="s">
        <v>2466</v>
      </c>
      <c r="J4635" s="2">
        <v>3570001</v>
      </c>
      <c r="K4635">
        <v>20</v>
      </c>
      <c r="L4635">
        <v>20</v>
      </c>
      <c r="M4635">
        <v>20</v>
      </c>
    </row>
    <row r="4636" spans="1:13" x14ac:dyDescent="0.25">
      <c r="A4636" t="s">
        <v>10226</v>
      </c>
      <c r="B4636" t="s">
        <v>10222</v>
      </c>
      <c r="C4636" t="s">
        <v>496</v>
      </c>
      <c r="D4636" t="s">
        <v>2360</v>
      </c>
      <c r="G4636" t="s">
        <v>16</v>
      </c>
      <c r="H4636">
        <v>0</v>
      </c>
      <c r="I4636" s="2" t="s">
        <v>5267</v>
      </c>
      <c r="J4636" s="2" t="s">
        <v>10227</v>
      </c>
      <c r="K4636">
        <v>20</v>
      </c>
      <c r="L4636">
        <v>20</v>
      </c>
      <c r="M4636">
        <v>20</v>
      </c>
    </row>
    <row r="4637" spans="1:13" x14ac:dyDescent="0.25">
      <c r="A4637" t="s">
        <v>10228</v>
      </c>
      <c r="B4637" t="s">
        <v>10229</v>
      </c>
      <c r="C4637" t="s">
        <v>2493</v>
      </c>
      <c r="G4637" t="s">
        <v>16</v>
      </c>
      <c r="H4637">
        <v>0</v>
      </c>
      <c r="I4637" s="2" t="s">
        <v>737</v>
      </c>
      <c r="J4637" s="2" t="s">
        <v>10230</v>
      </c>
      <c r="K4637">
        <v>20</v>
      </c>
      <c r="L4637">
        <v>20</v>
      </c>
      <c r="M4637">
        <v>20</v>
      </c>
    </row>
    <row r="4638" spans="1:13" x14ac:dyDescent="0.25">
      <c r="A4638" t="s">
        <v>10231</v>
      </c>
      <c r="B4638" t="s">
        <v>10232</v>
      </c>
      <c r="C4638" t="s">
        <v>496</v>
      </c>
      <c r="D4638" t="s">
        <v>2360</v>
      </c>
      <c r="F4638">
        <v>2</v>
      </c>
      <c r="G4638" t="s">
        <v>16</v>
      </c>
      <c r="H4638">
        <v>0</v>
      </c>
      <c r="I4638" s="2" t="b">
        <v>1</v>
      </c>
      <c r="J4638" s="2" t="s">
        <v>10233</v>
      </c>
      <c r="K4638">
        <v>20</v>
      </c>
      <c r="L4638">
        <v>20</v>
      </c>
      <c r="M4638">
        <v>20</v>
      </c>
    </row>
    <row r="4639" spans="1:13" x14ac:dyDescent="0.25">
      <c r="A4639" t="s">
        <v>10234</v>
      </c>
      <c r="B4639" t="s">
        <v>10235</v>
      </c>
      <c r="C4639" t="s">
        <v>2493</v>
      </c>
      <c r="G4639" t="s">
        <v>16</v>
      </c>
      <c r="H4639">
        <v>0</v>
      </c>
      <c r="I4639" s="2" t="s">
        <v>737</v>
      </c>
      <c r="J4639" s="2" t="s">
        <v>10236</v>
      </c>
      <c r="K4639">
        <v>20</v>
      </c>
      <c r="L4639">
        <v>20</v>
      </c>
      <c r="M4639">
        <v>20</v>
      </c>
    </row>
    <row r="4640" spans="1:13" x14ac:dyDescent="0.25">
      <c r="A4640" t="s">
        <v>10237</v>
      </c>
      <c r="B4640" t="s">
        <v>10238</v>
      </c>
      <c r="C4640" t="s">
        <v>496</v>
      </c>
      <c r="F4640">
        <v>1</v>
      </c>
      <c r="G4640" t="s">
        <v>16</v>
      </c>
      <c r="H4640">
        <v>0</v>
      </c>
      <c r="I4640" s="2" t="s">
        <v>64</v>
      </c>
      <c r="J4640" s="2">
        <v>13010021</v>
      </c>
      <c r="K4640">
        <v>20</v>
      </c>
      <c r="L4640">
        <v>20</v>
      </c>
      <c r="M4640">
        <v>20</v>
      </c>
    </row>
    <row r="4641" spans="1:13" x14ac:dyDescent="0.25">
      <c r="A4641" t="s">
        <v>10239</v>
      </c>
      <c r="B4641" t="s">
        <v>10240</v>
      </c>
      <c r="C4641" t="s">
        <v>1426</v>
      </c>
      <c r="F4641">
        <v>10</v>
      </c>
      <c r="G4641" t="s">
        <v>16</v>
      </c>
      <c r="H4641">
        <v>0</v>
      </c>
      <c r="I4641" s="2" t="s">
        <v>2300</v>
      </c>
      <c r="J4641" s="2">
        <v>41604</v>
      </c>
      <c r="K4641">
        <v>20</v>
      </c>
      <c r="L4641">
        <v>20</v>
      </c>
      <c r="M4641">
        <v>20</v>
      </c>
    </row>
    <row r="4642" spans="1:13" x14ac:dyDescent="0.25">
      <c r="A4642" t="s">
        <v>10241</v>
      </c>
      <c r="B4642" t="s">
        <v>10242</v>
      </c>
      <c r="C4642" t="s">
        <v>151</v>
      </c>
      <c r="F4642">
        <v>1</v>
      </c>
      <c r="G4642" t="s">
        <v>16</v>
      </c>
      <c r="H4642">
        <v>0</v>
      </c>
      <c r="I4642" s="2" t="s">
        <v>953</v>
      </c>
      <c r="J4642" s="2">
        <v>24896</v>
      </c>
      <c r="K4642">
        <v>20</v>
      </c>
      <c r="L4642">
        <v>20</v>
      </c>
      <c r="M4642">
        <v>20</v>
      </c>
    </row>
    <row r="4643" spans="1:13" x14ac:dyDescent="0.25">
      <c r="A4643" t="s">
        <v>10243</v>
      </c>
      <c r="B4643" t="s">
        <v>10244</v>
      </c>
      <c r="C4643" t="s">
        <v>151</v>
      </c>
      <c r="D4643" t="s">
        <v>3551</v>
      </c>
      <c r="F4643">
        <v>1</v>
      </c>
      <c r="G4643" t="s">
        <v>16</v>
      </c>
      <c r="H4643">
        <v>0</v>
      </c>
      <c r="I4643" s="2" t="s">
        <v>108</v>
      </c>
      <c r="J4643" s="3">
        <v>2541911006</v>
      </c>
      <c r="K4643">
        <v>20</v>
      </c>
      <c r="L4643">
        <v>20</v>
      </c>
      <c r="M4643">
        <v>20</v>
      </c>
    </row>
    <row r="4644" spans="1:13" x14ac:dyDescent="0.25">
      <c r="A4644" t="s">
        <v>10245</v>
      </c>
      <c r="B4644" t="s">
        <v>10246</v>
      </c>
      <c r="C4644" t="s">
        <v>151</v>
      </c>
      <c r="D4644" t="s">
        <v>1547</v>
      </c>
      <c r="F4644">
        <v>2</v>
      </c>
      <c r="G4644" t="s">
        <v>16</v>
      </c>
      <c r="H4644">
        <v>0</v>
      </c>
      <c r="I4644" s="2" t="s">
        <v>1477</v>
      </c>
      <c r="J4644" s="2">
        <v>24440</v>
      </c>
      <c r="K4644">
        <v>20</v>
      </c>
      <c r="L4644">
        <v>20</v>
      </c>
      <c r="M4644">
        <v>20</v>
      </c>
    </row>
    <row r="4645" spans="1:13" x14ac:dyDescent="0.25">
      <c r="A4645" t="s">
        <v>10247</v>
      </c>
      <c r="B4645" t="s">
        <v>10248</v>
      </c>
      <c r="C4645" t="s">
        <v>151</v>
      </c>
      <c r="D4645" t="s">
        <v>1547</v>
      </c>
      <c r="G4645" t="s">
        <v>16</v>
      </c>
      <c r="H4645">
        <v>0</v>
      </c>
      <c r="I4645" s="2" t="s">
        <v>51</v>
      </c>
      <c r="J4645" s="2" t="s">
        <v>10247</v>
      </c>
      <c r="K4645">
        <v>20</v>
      </c>
      <c r="L4645">
        <v>20</v>
      </c>
      <c r="M4645">
        <v>20</v>
      </c>
    </row>
    <row r="4646" spans="1:13" x14ac:dyDescent="0.25">
      <c r="A4646" t="s">
        <v>10249</v>
      </c>
      <c r="B4646" t="s">
        <v>10250</v>
      </c>
      <c r="C4646" t="s">
        <v>151</v>
      </c>
      <c r="D4646" t="s">
        <v>1381</v>
      </c>
      <c r="G4646" t="s">
        <v>16</v>
      </c>
      <c r="H4646">
        <v>0</v>
      </c>
      <c r="I4646" s="2" t="s">
        <v>707</v>
      </c>
      <c r="J4646" s="2" t="s">
        <v>10251</v>
      </c>
      <c r="K4646">
        <v>20</v>
      </c>
      <c r="L4646">
        <v>20</v>
      </c>
      <c r="M4646">
        <v>20</v>
      </c>
    </row>
    <row r="4647" spans="1:13" x14ac:dyDescent="0.25">
      <c r="A4647" t="s">
        <v>10252</v>
      </c>
      <c r="B4647" t="s">
        <v>10253</v>
      </c>
      <c r="C4647" t="s">
        <v>151</v>
      </c>
      <c r="D4647" t="s">
        <v>1381</v>
      </c>
      <c r="F4647">
        <v>2</v>
      </c>
      <c r="G4647" t="s">
        <v>16</v>
      </c>
      <c r="H4647">
        <v>0</v>
      </c>
      <c r="I4647" s="2" t="s">
        <v>162</v>
      </c>
      <c r="J4647" s="2">
        <v>33120</v>
      </c>
      <c r="K4647">
        <v>20</v>
      </c>
      <c r="L4647">
        <v>20</v>
      </c>
      <c r="M4647">
        <v>20</v>
      </c>
    </row>
    <row r="4648" spans="1:13" x14ac:dyDescent="0.25">
      <c r="A4648" t="s">
        <v>10254</v>
      </c>
      <c r="B4648" t="s">
        <v>10253</v>
      </c>
      <c r="C4648" t="s">
        <v>151</v>
      </c>
      <c r="D4648" t="s">
        <v>1381</v>
      </c>
      <c r="F4648">
        <v>2</v>
      </c>
      <c r="G4648" t="s">
        <v>16</v>
      </c>
      <c r="H4648">
        <v>0</v>
      </c>
      <c r="I4648" s="2" t="s">
        <v>266</v>
      </c>
      <c r="J4648" s="2">
        <v>11066</v>
      </c>
      <c r="K4648">
        <v>20</v>
      </c>
      <c r="L4648">
        <v>20</v>
      </c>
      <c r="M4648">
        <v>20</v>
      </c>
    </row>
    <row r="4649" spans="1:13" x14ac:dyDescent="0.25">
      <c r="A4649" t="s">
        <v>10255</v>
      </c>
      <c r="B4649" t="s">
        <v>10256</v>
      </c>
      <c r="C4649" t="s">
        <v>151</v>
      </c>
      <c r="D4649" t="s">
        <v>1381</v>
      </c>
      <c r="F4649">
        <v>1</v>
      </c>
      <c r="G4649" t="s">
        <v>16</v>
      </c>
      <c r="H4649">
        <v>0</v>
      </c>
      <c r="I4649" s="2" t="s">
        <v>4193</v>
      </c>
      <c r="J4649" s="2" t="s">
        <v>10257</v>
      </c>
      <c r="K4649">
        <v>20</v>
      </c>
      <c r="L4649">
        <v>20</v>
      </c>
      <c r="M4649">
        <v>20</v>
      </c>
    </row>
    <row r="4650" spans="1:13" x14ac:dyDescent="0.25">
      <c r="A4650" t="s">
        <v>10258</v>
      </c>
      <c r="B4650" t="s">
        <v>10256</v>
      </c>
      <c r="C4650" t="s">
        <v>151</v>
      </c>
      <c r="D4650" t="s">
        <v>1381</v>
      </c>
      <c r="G4650" t="s">
        <v>16</v>
      </c>
      <c r="H4650">
        <v>0</v>
      </c>
      <c r="I4650" s="2" t="s">
        <v>707</v>
      </c>
      <c r="J4650" s="2" t="s">
        <v>10259</v>
      </c>
      <c r="K4650">
        <v>20</v>
      </c>
      <c r="L4650">
        <v>20</v>
      </c>
      <c r="M4650">
        <v>20</v>
      </c>
    </row>
    <row r="4651" spans="1:13" x14ac:dyDescent="0.25">
      <c r="A4651" t="s">
        <v>10260</v>
      </c>
      <c r="B4651" t="s">
        <v>10261</v>
      </c>
      <c r="C4651" t="s">
        <v>151</v>
      </c>
      <c r="D4651" t="s">
        <v>1381</v>
      </c>
      <c r="G4651" t="s">
        <v>16</v>
      </c>
      <c r="H4651">
        <v>0</v>
      </c>
      <c r="I4651" s="2" t="s">
        <v>285</v>
      </c>
      <c r="J4651" s="2">
        <v>33115</v>
      </c>
      <c r="K4651">
        <v>20</v>
      </c>
      <c r="L4651">
        <v>20</v>
      </c>
      <c r="M4651">
        <v>20</v>
      </c>
    </row>
    <row r="4652" spans="1:13" x14ac:dyDescent="0.25">
      <c r="A4652" t="s">
        <v>10262</v>
      </c>
      <c r="B4652" t="s">
        <v>10263</v>
      </c>
      <c r="C4652" t="s">
        <v>151</v>
      </c>
      <c r="D4652" t="s">
        <v>1381</v>
      </c>
      <c r="F4652">
        <v>0</v>
      </c>
      <c r="G4652" t="s">
        <v>16</v>
      </c>
      <c r="H4652">
        <v>0</v>
      </c>
      <c r="I4652" s="2" t="s">
        <v>4193</v>
      </c>
      <c r="J4652" s="2" t="s">
        <v>10264</v>
      </c>
      <c r="K4652">
        <v>20</v>
      </c>
      <c r="L4652">
        <v>20</v>
      </c>
      <c r="M4652">
        <v>20</v>
      </c>
    </row>
    <row r="4653" spans="1:13" x14ac:dyDescent="0.25">
      <c r="A4653" t="s">
        <v>10265</v>
      </c>
      <c r="B4653" t="s">
        <v>10266</v>
      </c>
      <c r="C4653" t="s">
        <v>151</v>
      </c>
      <c r="D4653" t="s">
        <v>1381</v>
      </c>
      <c r="F4653">
        <v>1</v>
      </c>
      <c r="G4653" t="s">
        <v>16</v>
      </c>
      <c r="H4653">
        <v>0</v>
      </c>
      <c r="I4653" s="2" t="s">
        <v>162</v>
      </c>
      <c r="J4653" s="2">
        <v>33906</v>
      </c>
      <c r="K4653">
        <v>20</v>
      </c>
      <c r="L4653">
        <v>20</v>
      </c>
      <c r="M4653">
        <v>20</v>
      </c>
    </row>
    <row r="4654" spans="1:13" x14ac:dyDescent="0.25">
      <c r="A4654" t="s">
        <v>10267</v>
      </c>
      <c r="B4654" t="s">
        <v>10268</v>
      </c>
      <c r="C4654" t="s">
        <v>151</v>
      </c>
      <c r="D4654" t="s">
        <v>1381</v>
      </c>
      <c r="G4654" t="s">
        <v>16</v>
      </c>
      <c r="H4654">
        <v>0</v>
      </c>
      <c r="I4654" s="2" t="s">
        <v>162</v>
      </c>
      <c r="J4654" s="2">
        <v>33897</v>
      </c>
      <c r="K4654">
        <v>20</v>
      </c>
      <c r="L4654">
        <v>20</v>
      </c>
      <c r="M4654">
        <v>20</v>
      </c>
    </row>
    <row r="4655" spans="1:13" x14ac:dyDescent="0.25">
      <c r="A4655" t="s">
        <v>10269</v>
      </c>
      <c r="B4655" t="s">
        <v>10271</v>
      </c>
      <c r="C4655" t="s">
        <v>20</v>
      </c>
      <c r="D4655" t="s">
        <v>26</v>
      </c>
      <c r="F4655">
        <v>5</v>
      </c>
      <c r="G4655" t="s">
        <v>16</v>
      </c>
      <c r="H4655">
        <v>0</v>
      </c>
      <c r="I4655" s="2" t="s">
        <v>218</v>
      </c>
      <c r="J4655" s="2" t="s">
        <v>10270</v>
      </c>
      <c r="K4655">
        <v>20</v>
      </c>
      <c r="L4655">
        <v>20</v>
      </c>
      <c r="M4655">
        <v>20</v>
      </c>
    </row>
    <row r="4656" spans="1:13" x14ac:dyDescent="0.25">
      <c r="A4656" t="s">
        <v>10272</v>
      </c>
      <c r="B4656" t="s">
        <v>10273</v>
      </c>
      <c r="C4656" t="s">
        <v>20</v>
      </c>
      <c r="D4656" t="s">
        <v>26</v>
      </c>
      <c r="F4656">
        <v>3</v>
      </c>
      <c r="G4656" t="s">
        <v>16</v>
      </c>
      <c r="H4656">
        <v>0</v>
      </c>
      <c r="I4656" s="2" t="s">
        <v>87</v>
      </c>
      <c r="K4656">
        <v>20</v>
      </c>
      <c r="L4656">
        <v>20</v>
      </c>
      <c r="M4656">
        <v>20</v>
      </c>
    </row>
    <row r="4657" spans="1:13" x14ac:dyDescent="0.25">
      <c r="A4657" t="s">
        <v>10274</v>
      </c>
      <c r="B4657" t="s">
        <v>10275</v>
      </c>
      <c r="C4657" t="s">
        <v>20</v>
      </c>
      <c r="D4657" t="s">
        <v>26</v>
      </c>
      <c r="F4657">
        <v>5</v>
      </c>
      <c r="G4657" t="s">
        <v>16</v>
      </c>
      <c r="H4657">
        <v>0</v>
      </c>
      <c r="I4657" s="2" t="s">
        <v>162</v>
      </c>
      <c r="J4657" s="2">
        <v>965058</v>
      </c>
      <c r="K4657">
        <v>20</v>
      </c>
      <c r="L4657">
        <v>20</v>
      </c>
      <c r="M4657">
        <v>20</v>
      </c>
    </row>
    <row r="4658" spans="1:13" x14ac:dyDescent="0.25">
      <c r="A4658" t="s">
        <v>10276</v>
      </c>
      <c r="B4658" t="s">
        <v>10275</v>
      </c>
      <c r="C4658" t="s">
        <v>20</v>
      </c>
      <c r="F4658">
        <v>5</v>
      </c>
      <c r="G4658" t="s">
        <v>16</v>
      </c>
      <c r="H4658">
        <v>0</v>
      </c>
      <c r="K4658">
        <v>20</v>
      </c>
      <c r="L4658">
        <v>20</v>
      </c>
      <c r="M4658">
        <v>20</v>
      </c>
    </row>
    <row r="4659" spans="1:13" x14ac:dyDescent="0.25">
      <c r="A4659" t="s">
        <v>10277</v>
      </c>
      <c r="B4659" t="s">
        <v>10278</v>
      </c>
      <c r="C4659" t="s">
        <v>20</v>
      </c>
      <c r="D4659" t="s">
        <v>26</v>
      </c>
      <c r="F4659">
        <v>5</v>
      </c>
      <c r="G4659" t="s">
        <v>16</v>
      </c>
      <c r="H4659">
        <v>0</v>
      </c>
      <c r="K4659">
        <v>20</v>
      </c>
      <c r="L4659">
        <v>20</v>
      </c>
      <c r="M4659">
        <v>20</v>
      </c>
    </row>
    <row r="4660" spans="1:13" x14ac:dyDescent="0.25">
      <c r="A4660" t="s">
        <v>10279</v>
      </c>
      <c r="B4660" t="s">
        <v>10280</v>
      </c>
      <c r="C4660" t="s">
        <v>20</v>
      </c>
      <c r="D4660" t="s">
        <v>26</v>
      </c>
      <c r="G4660" t="s">
        <v>16</v>
      </c>
      <c r="H4660">
        <v>0</v>
      </c>
      <c r="I4660" s="2" t="s">
        <v>243</v>
      </c>
      <c r="J4660" s="2">
        <v>20068</v>
      </c>
      <c r="K4660">
        <v>20</v>
      </c>
      <c r="L4660">
        <v>20</v>
      </c>
      <c r="M4660">
        <v>20</v>
      </c>
    </row>
    <row r="4661" spans="1:13" x14ac:dyDescent="0.25">
      <c r="A4661" t="s">
        <v>10281</v>
      </c>
      <c r="B4661" t="s">
        <v>10283</v>
      </c>
      <c r="C4661" t="s">
        <v>20</v>
      </c>
      <c r="D4661" t="s">
        <v>26</v>
      </c>
      <c r="F4661">
        <v>4</v>
      </c>
      <c r="G4661" t="s">
        <v>16</v>
      </c>
      <c r="H4661">
        <v>0</v>
      </c>
      <c r="I4661" s="2" t="s">
        <v>218</v>
      </c>
      <c r="J4661" s="2" t="s">
        <v>10282</v>
      </c>
      <c r="K4661">
        <v>20</v>
      </c>
      <c r="L4661">
        <v>20</v>
      </c>
      <c r="M4661">
        <v>20</v>
      </c>
    </row>
    <row r="4662" spans="1:13" x14ac:dyDescent="0.25">
      <c r="A4662" t="s">
        <v>10284</v>
      </c>
      <c r="B4662" t="s">
        <v>10286</v>
      </c>
      <c r="C4662" t="s">
        <v>362</v>
      </c>
      <c r="F4662">
        <v>1</v>
      </c>
      <c r="G4662" t="s">
        <v>16</v>
      </c>
      <c r="H4662">
        <v>0</v>
      </c>
      <c r="I4662" s="2" t="s">
        <v>69</v>
      </c>
      <c r="J4662" s="2" t="s">
        <v>10285</v>
      </c>
      <c r="K4662">
        <v>20</v>
      </c>
      <c r="L4662">
        <v>20</v>
      </c>
      <c r="M4662">
        <v>20</v>
      </c>
    </row>
    <row r="4663" spans="1:13" x14ac:dyDescent="0.25">
      <c r="A4663" t="s">
        <v>10287</v>
      </c>
      <c r="B4663" t="s">
        <v>10289</v>
      </c>
      <c r="C4663" t="s">
        <v>20</v>
      </c>
      <c r="F4663">
        <v>4</v>
      </c>
      <c r="G4663" t="s">
        <v>16</v>
      </c>
      <c r="H4663">
        <v>0</v>
      </c>
      <c r="I4663" s="2" t="s">
        <v>69</v>
      </c>
      <c r="J4663" s="2" t="s">
        <v>10288</v>
      </c>
      <c r="K4663">
        <v>20</v>
      </c>
      <c r="L4663">
        <v>20</v>
      </c>
      <c r="M4663">
        <v>20</v>
      </c>
    </row>
    <row r="4664" spans="1:13" x14ac:dyDescent="0.25">
      <c r="A4664" t="s">
        <v>10290</v>
      </c>
      <c r="B4664" t="s">
        <v>10289</v>
      </c>
      <c r="C4664" t="s">
        <v>362</v>
      </c>
      <c r="F4664">
        <v>1</v>
      </c>
      <c r="G4664" t="s">
        <v>16</v>
      </c>
      <c r="H4664">
        <v>0</v>
      </c>
      <c r="I4664" s="2" t="s">
        <v>156</v>
      </c>
      <c r="J4664" s="2">
        <v>10246</v>
      </c>
      <c r="K4664">
        <v>20</v>
      </c>
      <c r="L4664">
        <v>20</v>
      </c>
      <c r="M4664">
        <v>20</v>
      </c>
    </row>
    <row r="4665" spans="1:13" x14ac:dyDescent="0.25">
      <c r="A4665" t="s">
        <v>10291</v>
      </c>
      <c r="B4665" t="s">
        <v>10293</v>
      </c>
      <c r="C4665" t="s">
        <v>362</v>
      </c>
      <c r="F4665">
        <v>5</v>
      </c>
      <c r="G4665" t="s">
        <v>16</v>
      </c>
      <c r="H4665">
        <v>0</v>
      </c>
      <c r="I4665" s="2" t="s">
        <v>69</v>
      </c>
      <c r="J4665" s="2" t="s">
        <v>10292</v>
      </c>
      <c r="K4665">
        <v>20</v>
      </c>
      <c r="L4665">
        <v>20</v>
      </c>
      <c r="M4665">
        <v>20</v>
      </c>
    </row>
    <row r="4666" spans="1:13" x14ac:dyDescent="0.25">
      <c r="A4666" t="s">
        <v>10294</v>
      </c>
      <c r="B4666" t="s">
        <v>10295</v>
      </c>
      <c r="C4666" t="s">
        <v>20</v>
      </c>
      <c r="F4666">
        <v>1</v>
      </c>
      <c r="G4666" t="s">
        <v>16</v>
      </c>
      <c r="H4666">
        <v>0</v>
      </c>
      <c r="I4666" s="2" t="s">
        <v>51</v>
      </c>
      <c r="J4666" s="2" t="s">
        <v>10294</v>
      </c>
      <c r="K4666">
        <v>20</v>
      </c>
      <c r="L4666">
        <v>20</v>
      </c>
      <c r="M4666">
        <v>20</v>
      </c>
    </row>
    <row r="4667" spans="1:13" x14ac:dyDescent="0.25">
      <c r="A4667" t="s">
        <v>10296</v>
      </c>
      <c r="B4667" t="s">
        <v>10297</v>
      </c>
      <c r="C4667" t="s">
        <v>20</v>
      </c>
      <c r="D4667" t="s">
        <v>26</v>
      </c>
      <c r="F4667">
        <v>1</v>
      </c>
      <c r="G4667" t="s">
        <v>16</v>
      </c>
      <c r="H4667">
        <v>0</v>
      </c>
      <c r="I4667" s="2" t="s">
        <v>51</v>
      </c>
      <c r="J4667" s="2" t="s">
        <v>10296</v>
      </c>
      <c r="K4667">
        <v>20</v>
      </c>
      <c r="L4667">
        <v>20</v>
      </c>
      <c r="M4667">
        <v>20</v>
      </c>
    </row>
    <row r="4668" spans="1:13" x14ac:dyDescent="0.25">
      <c r="A4668" t="s">
        <v>10298</v>
      </c>
      <c r="B4668" t="s">
        <v>10300</v>
      </c>
      <c r="C4668" t="s">
        <v>20</v>
      </c>
      <c r="D4668" t="s">
        <v>26</v>
      </c>
      <c r="G4668" t="s">
        <v>16</v>
      </c>
      <c r="H4668">
        <v>0</v>
      </c>
      <c r="I4668" s="2" t="s">
        <v>218</v>
      </c>
      <c r="J4668" s="2" t="s">
        <v>10299</v>
      </c>
      <c r="K4668">
        <v>20</v>
      </c>
      <c r="L4668">
        <v>20</v>
      </c>
      <c r="M4668">
        <v>20</v>
      </c>
    </row>
    <row r="4669" spans="1:13" x14ac:dyDescent="0.25">
      <c r="A4669" t="s">
        <v>10301</v>
      </c>
      <c r="B4669" t="s">
        <v>10302</v>
      </c>
      <c r="C4669" t="s">
        <v>362</v>
      </c>
      <c r="D4669" t="s">
        <v>2545</v>
      </c>
      <c r="G4669" t="s">
        <v>16</v>
      </c>
      <c r="H4669">
        <v>0</v>
      </c>
      <c r="I4669" s="2" t="s">
        <v>6120</v>
      </c>
      <c r="J4669" s="2" t="s">
        <v>10303</v>
      </c>
      <c r="K4669">
        <v>20</v>
      </c>
      <c r="L4669">
        <v>20</v>
      </c>
      <c r="M4669">
        <v>20</v>
      </c>
    </row>
    <row r="4670" spans="1:13" x14ac:dyDescent="0.25">
      <c r="A4670" t="s">
        <v>10304</v>
      </c>
      <c r="B4670" t="s">
        <v>10302</v>
      </c>
      <c r="C4670" t="s">
        <v>362</v>
      </c>
      <c r="D4670" t="s">
        <v>2545</v>
      </c>
      <c r="F4670">
        <v>1</v>
      </c>
      <c r="G4670" t="s">
        <v>16</v>
      </c>
      <c r="H4670">
        <v>0</v>
      </c>
      <c r="I4670" s="2" t="s">
        <v>472</v>
      </c>
      <c r="J4670" s="2" t="str">
        <f>"05-0358"</f>
        <v>05-0358</v>
      </c>
      <c r="K4670">
        <v>20</v>
      </c>
      <c r="L4670">
        <v>20</v>
      </c>
      <c r="M4670">
        <v>20</v>
      </c>
    </row>
    <row r="4671" spans="1:13" x14ac:dyDescent="0.25">
      <c r="A4671" t="s">
        <v>10305</v>
      </c>
      <c r="B4671" t="s">
        <v>10306</v>
      </c>
      <c r="C4671" t="s">
        <v>362</v>
      </c>
      <c r="D4671" t="s">
        <v>2545</v>
      </c>
      <c r="F4671">
        <v>1</v>
      </c>
      <c r="G4671" t="s">
        <v>16</v>
      </c>
      <c r="H4671">
        <v>0</v>
      </c>
      <c r="I4671" s="2" t="s">
        <v>2786</v>
      </c>
      <c r="J4671" s="2">
        <v>1947</v>
      </c>
      <c r="K4671">
        <v>20</v>
      </c>
      <c r="L4671">
        <v>20</v>
      </c>
      <c r="M4671">
        <v>20</v>
      </c>
    </row>
    <row r="4672" spans="1:13" x14ac:dyDescent="0.25">
      <c r="A4672" t="s">
        <v>10307</v>
      </c>
      <c r="B4672" t="s">
        <v>10308</v>
      </c>
      <c r="C4672" t="s">
        <v>362</v>
      </c>
      <c r="D4672" t="s">
        <v>2545</v>
      </c>
      <c r="F4672">
        <v>1</v>
      </c>
      <c r="G4672" t="s">
        <v>16</v>
      </c>
      <c r="H4672">
        <v>0</v>
      </c>
      <c r="I4672" s="2" t="s">
        <v>2786</v>
      </c>
      <c r="J4672" s="2">
        <v>1935</v>
      </c>
      <c r="K4672">
        <v>20</v>
      </c>
      <c r="L4672">
        <v>20</v>
      </c>
      <c r="M4672">
        <v>20</v>
      </c>
    </row>
    <row r="4673" spans="1:13" x14ac:dyDescent="0.25">
      <c r="A4673" t="s">
        <v>10309</v>
      </c>
      <c r="B4673" t="s">
        <v>10310</v>
      </c>
      <c r="C4673" t="s">
        <v>362</v>
      </c>
      <c r="D4673" t="s">
        <v>2545</v>
      </c>
      <c r="F4673">
        <v>1</v>
      </c>
      <c r="G4673" t="s">
        <v>16</v>
      </c>
      <c r="H4673">
        <v>0</v>
      </c>
      <c r="I4673" s="2" t="s">
        <v>5057</v>
      </c>
      <c r="J4673" s="2" t="s">
        <v>10311</v>
      </c>
      <c r="K4673">
        <v>20</v>
      </c>
      <c r="L4673">
        <v>20</v>
      </c>
      <c r="M4673">
        <v>20</v>
      </c>
    </row>
    <row r="4674" spans="1:13" x14ac:dyDescent="0.25">
      <c r="A4674">
        <v>46356228</v>
      </c>
      <c r="B4674" t="s">
        <v>10312</v>
      </c>
      <c r="C4674" t="s">
        <v>14</v>
      </c>
      <c r="D4674" t="s">
        <v>293</v>
      </c>
      <c r="F4674">
        <v>1</v>
      </c>
      <c r="G4674" t="s">
        <v>16</v>
      </c>
      <c r="H4674">
        <v>0</v>
      </c>
      <c r="I4674" s="2" t="s">
        <v>51</v>
      </c>
      <c r="J4674" s="2">
        <v>46356228</v>
      </c>
      <c r="K4674">
        <v>20</v>
      </c>
      <c r="L4674">
        <v>20</v>
      </c>
      <c r="M4674">
        <v>20</v>
      </c>
    </row>
    <row r="4675" spans="1:13" x14ac:dyDescent="0.25">
      <c r="A4675" t="s">
        <v>10313</v>
      </c>
      <c r="B4675" t="s">
        <v>10314</v>
      </c>
      <c r="C4675" t="s">
        <v>362</v>
      </c>
      <c r="D4675" t="s">
        <v>10315</v>
      </c>
      <c r="F4675">
        <v>1</v>
      </c>
      <c r="G4675" t="s">
        <v>16</v>
      </c>
      <c r="H4675">
        <v>0</v>
      </c>
      <c r="I4675" s="2" t="s">
        <v>1713</v>
      </c>
      <c r="J4675" s="2">
        <v>6002001</v>
      </c>
      <c r="K4675">
        <v>20</v>
      </c>
      <c r="L4675">
        <v>20</v>
      </c>
      <c r="M4675">
        <v>20</v>
      </c>
    </row>
    <row r="4676" spans="1:13" x14ac:dyDescent="0.25">
      <c r="A4676" t="s">
        <v>10316</v>
      </c>
      <c r="B4676" t="s">
        <v>10317</v>
      </c>
      <c r="C4676" t="s">
        <v>362</v>
      </c>
      <c r="D4676" t="s">
        <v>10315</v>
      </c>
      <c r="F4676">
        <v>1</v>
      </c>
      <c r="G4676" t="s">
        <v>16</v>
      </c>
      <c r="H4676">
        <v>0</v>
      </c>
      <c r="I4676" s="2" t="s">
        <v>64</v>
      </c>
      <c r="J4676" s="2" t="str">
        <f>"01090034"</f>
        <v>01090034</v>
      </c>
      <c r="K4676">
        <v>20</v>
      </c>
      <c r="L4676">
        <v>20</v>
      </c>
      <c r="M4676">
        <v>20</v>
      </c>
    </row>
    <row r="4677" spans="1:13" x14ac:dyDescent="0.25">
      <c r="A4677" t="s">
        <v>10318</v>
      </c>
      <c r="B4677" t="s">
        <v>10319</v>
      </c>
      <c r="C4677" t="s">
        <v>362</v>
      </c>
      <c r="D4677" t="s">
        <v>4091</v>
      </c>
      <c r="F4677">
        <v>1</v>
      </c>
      <c r="G4677" t="s">
        <v>16</v>
      </c>
      <c r="H4677">
        <v>0</v>
      </c>
      <c r="I4677" s="2" t="s">
        <v>5642</v>
      </c>
      <c r="J4677" s="2" t="s">
        <v>10320</v>
      </c>
      <c r="K4677">
        <v>20</v>
      </c>
      <c r="L4677">
        <v>20</v>
      </c>
      <c r="M4677">
        <v>20</v>
      </c>
    </row>
    <row r="4678" spans="1:13" x14ac:dyDescent="0.25">
      <c r="A4678" t="s">
        <v>10321</v>
      </c>
      <c r="B4678" t="s">
        <v>10322</v>
      </c>
      <c r="C4678" t="s">
        <v>151</v>
      </c>
      <c r="D4678" t="s">
        <v>1476</v>
      </c>
      <c r="F4678">
        <v>1</v>
      </c>
      <c r="G4678" t="s">
        <v>16</v>
      </c>
      <c r="H4678">
        <v>0</v>
      </c>
      <c r="I4678" s="2" t="s">
        <v>64</v>
      </c>
      <c r="J4678" s="2" t="str">
        <f>"05090362"</f>
        <v>05090362</v>
      </c>
      <c r="K4678">
        <v>20</v>
      </c>
      <c r="L4678">
        <v>20</v>
      </c>
      <c r="M4678">
        <v>20</v>
      </c>
    </row>
    <row r="4679" spans="1:13" x14ac:dyDescent="0.25">
      <c r="A4679" t="s">
        <v>10323</v>
      </c>
      <c r="B4679" t="s">
        <v>10324</v>
      </c>
      <c r="C4679" t="s">
        <v>362</v>
      </c>
      <c r="D4679" t="s">
        <v>10325</v>
      </c>
      <c r="G4679" t="s">
        <v>16</v>
      </c>
      <c r="H4679">
        <v>0</v>
      </c>
      <c r="I4679" s="2" t="s">
        <v>10326</v>
      </c>
      <c r="J4679" s="2" t="s">
        <v>10327</v>
      </c>
      <c r="K4679">
        <v>20</v>
      </c>
      <c r="L4679">
        <v>20</v>
      </c>
      <c r="M4679">
        <v>20</v>
      </c>
    </row>
    <row r="4680" spans="1:13" x14ac:dyDescent="0.25">
      <c r="A4680" t="s">
        <v>10328</v>
      </c>
      <c r="B4680" t="s">
        <v>10329</v>
      </c>
      <c r="C4680" t="s">
        <v>540</v>
      </c>
      <c r="D4680" t="s">
        <v>1092</v>
      </c>
      <c r="F4680">
        <v>2</v>
      </c>
      <c r="G4680" t="s">
        <v>16</v>
      </c>
      <c r="H4680">
        <v>0</v>
      </c>
      <c r="I4680" s="2" t="s">
        <v>1179</v>
      </c>
      <c r="J4680" s="2" t="s">
        <v>10330</v>
      </c>
      <c r="K4680">
        <v>20</v>
      </c>
      <c r="L4680">
        <v>20</v>
      </c>
      <c r="M4680">
        <v>20</v>
      </c>
    </row>
    <row r="4681" spans="1:13" x14ac:dyDescent="0.25">
      <c r="A4681" t="s">
        <v>10331</v>
      </c>
      <c r="B4681" t="s">
        <v>10332</v>
      </c>
      <c r="C4681" t="s">
        <v>540</v>
      </c>
      <c r="D4681" t="s">
        <v>1092</v>
      </c>
      <c r="F4681">
        <v>2</v>
      </c>
      <c r="G4681" t="s">
        <v>16</v>
      </c>
      <c r="H4681">
        <v>0</v>
      </c>
      <c r="I4681" s="2" t="s">
        <v>1145</v>
      </c>
      <c r="J4681" s="2" t="s">
        <v>10333</v>
      </c>
      <c r="K4681">
        <v>20</v>
      </c>
      <c r="L4681">
        <v>20</v>
      </c>
      <c r="M4681">
        <v>20</v>
      </c>
    </row>
    <row r="4682" spans="1:13" x14ac:dyDescent="0.25">
      <c r="A4682" t="s">
        <v>10334</v>
      </c>
      <c r="B4682" t="s">
        <v>10335</v>
      </c>
      <c r="C4682" t="s">
        <v>496</v>
      </c>
      <c r="F4682">
        <v>1</v>
      </c>
      <c r="G4682" t="s">
        <v>16</v>
      </c>
      <c r="H4682">
        <v>0</v>
      </c>
      <c r="I4682" s="2" t="s">
        <v>64</v>
      </c>
      <c r="J4682" s="2">
        <v>13020146</v>
      </c>
      <c r="K4682">
        <v>20</v>
      </c>
      <c r="L4682">
        <v>20</v>
      </c>
      <c r="M4682">
        <v>20</v>
      </c>
    </row>
    <row r="4683" spans="1:13" x14ac:dyDescent="0.25">
      <c r="A4683" t="s">
        <v>10336</v>
      </c>
      <c r="B4683" t="s">
        <v>10337</v>
      </c>
      <c r="C4683" t="s">
        <v>496</v>
      </c>
      <c r="F4683">
        <v>1</v>
      </c>
      <c r="G4683" t="s">
        <v>16</v>
      </c>
      <c r="H4683">
        <v>0</v>
      </c>
      <c r="I4683" s="2" t="s">
        <v>64</v>
      </c>
      <c r="J4683" s="2">
        <v>13020147</v>
      </c>
      <c r="K4683">
        <v>20</v>
      </c>
      <c r="L4683">
        <v>20</v>
      </c>
      <c r="M4683">
        <v>20</v>
      </c>
    </row>
    <row r="4684" spans="1:13" x14ac:dyDescent="0.25">
      <c r="A4684" t="s">
        <v>10338</v>
      </c>
      <c r="B4684" t="s">
        <v>10339</v>
      </c>
      <c r="C4684" t="s">
        <v>151</v>
      </c>
      <c r="D4684" t="s">
        <v>1092</v>
      </c>
      <c r="F4684">
        <v>1</v>
      </c>
      <c r="G4684" t="s">
        <v>16</v>
      </c>
      <c r="H4684">
        <v>0</v>
      </c>
      <c r="I4684" s="2" t="s">
        <v>1094</v>
      </c>
      <c r="J4684" s="2" t="s">
        <v>10340</v>
      </c>
      <c r="K4684">
        <v>20</v>
      </c>
      <c r="L4684">
        <v>20</v>
      </c>
      <c r="M4684">
        <v>20</v>
      </c>
    </row>
    <row r="4685" spans="1:13" x14ac:dyDescent="0.25">
      <c r="A4685" t="s">
        <v>10341</v>
      </c>
      <c r="B4685" t="s">
        <v>10342</v>
      </c>
      <c r="C4685" t="s">
        <v>151</v>
      </c>
      <c r="D4685" t="s">
        <v>1092</v>
      </c>
      <c r="F4685">
        <v>1</v>
      </c>
      <c r="G4685" t="s">
        <v>16</v>
      </c>
      <c r="H4685">
        <v>0</v>
      </c>
      <c r="I4685" s="2" t="s">
        <v>1094</v>
      </c>
      <c r="J4685" s="2" t="s">
        <v>10343</v>
      </c>
      <c r="K4685">
        <v>20</v>
      </c>
      <c r="L4685">
        <v>20</v>
      </c>
      <c r="M4685">
        <v>20</v>
      </c>
    </row>
    <row r="4686" spans="1:13" x14ac:dyDescent="0.25">
      <c r="A4686" t="s">
        <v>10344</v>
      </c>
      <c r="B4686" t="s">
        <v>10345</v>
      </c>
      <c r="C4686" t="s">
        <v>20</v>
      </c>
      <c r="D4686" t="s">
        <v>899</v>
      </c>
      <c r="F4686">
        <v>1</v>
      </c>
      <c r="G4686" t="s">
        <v>16</v>
      </c>
      <c r="H4686">
        <v>0</v>
      </c>
      <c r="I4686" s="2" t="s">
        <v>3689</v>
      </c>
      <c r="J4686" s="2" t="s">
        <v>10346</v>
      </c>
      <c r="K4686">
        <v>20</v>
      </c>
      <c r="L4686">
        <v>20</v>
      </c>
      <c r="M4686">
        <v>20</v>
      </c>
    </row>
    <row r="4687" spans="1:13" x14ac:dyDescent="0.25">
      <c r="A4687" t="s">
        <v>10347</v>
      </c>
      <c r="B4687" t="s">
        <v>10348</v>
      </c>
      <c r="C4687" t="s">
        <v>496</v>
      </c>
      <c r="D4687" t="s">
        <v>2360</v>
      </c>
      <c r="F4687">
        <v>2</v>
      </c>
      <c r="G4687" t="s">
        <v>16</v>
      </c>
      <c r="H4687">
        <v>0</v>
      </c>
      <c r="I4687" s="2" t="s">
        <v>64</v>
      </c>
      <c r="J4687" s="2">
        <v>15020289</v>
      </c>
      <c r="K4687">
        <v>20</v>
      </c>
      <c r="L4687">
        <v>20</v>
      </c>
      <c r="M4687">
        <v>20</v>
      </c>
    </row>
    <row r="4688" spans="1:13" x14ac:dyDescent="0.25">
      <c r="A4688" t="s">
        <v>10349</v>
      </c>
      <c r="B4688" t="s">
        <v>10350</v>
      </c>
      <c r="C4688" t="s">
        <v>496</v>
      </c>
      <c r="D4688" t="s">
        <v>2360</v>
      </c>
      <c r="G4688" t="s">
        <v>16</v>
      </c>
      <c r="H4688">
        <v>0</v>
      </c>
      <c r="I4688" s="2" t="s">
        <v>245</v>
      </c>
      <c r="J4688" s="2" t="s">
        <v>10351</v>
      </c>
      <c r="K4688">
        <v>20</v>
      </c>
      <c r="L4688">
        <v>20</v>
      </c>
      <c r="M4688">
        <v>20</v>
      </c>
    </row>
    <row r="4689" spans="1:13" x14ac:dyDescent="0.25">
      <c r="A4689" t="s">
        <v>10352</v>
      </c>
      <c r="B4689" t="s">
        <v>10353</v>
      </c>
      <c r="C4689" t="s">
        <v>2493</v>
      </c>
      <c r="D4689" t="s">
        <v>2360</v>
      </c>
      <c r="F4689">
        <v>6</v>
      </c>
      <c r="G4689" t="s">
        <v>16</v>
      </c>
      <c r="H4689">
        <v>0</v>
      </c>
      <c r="I4689" s="2" t="s">
        <v>55</v>
      </c>
      <c r="J4689" s="2" t="s">
        <v>10352</v>
      </c>
      <c r="K4689">
        <v>20</v>
      </c>
      <c r="L4689">
        <v>20</v>
      </c>
      <c r="M4689">
        <v>20</v>
      </c>
    </row>
    <row r="4690" spans="1:13" x14ac:dyDescent="0.25">
      <c r="A4690" t="s">
        <v>10354</v>
      </c>
      <c r="B4690" t="s">
        <v>10353</v>
      </c>
      <c r="C4690" t="s">
        <v>496</v>
      </c>
      <c r="D4690" t="s">
        <v>2360</v>
      </c>
      <c r="F4690">
        <v>8</v>
      </c>
      <c r="G4690" t="s">
        <v>16</v>
      </c>
      <c r="H4690">
        <v>0</v>
      </c>
      <c r="I4690" s="2" t="s">
        <v>408</v>
      </c>
      <c r="J4690" s="2" t="s">
        <v>10355</v>
      </c>
      <c r="K4690">
        <v>20</v>
      </c>
      <c r="L4690">
        <v>20</v>
      </c>
      <c r="M4690">
        <v>20</v>
      </c>
    </row>
    <row r="4691" spans="1:13" x14ac:dyDescent="0.25">
      <c r="A4691" t="s">
        <v>10356</v>
      </c>
      <c r="B4691" t="s">
        <v>10357</v>
      </c>
      <c r="C4691" t="s">
        <v>496</v>
      </c>
      <c r="D4691" t="s">
        <v>2360</v>
      </c>
      <c r="G4691" t="s">
        <v>16</v>
      </c>
      <c r="H4691">
        <v>0</v>
      </c>
      <c r="I4691" s="2" t="s">
        <v>395</v>
      </c>
      <c r="J4691" s="2" t="s">
        <v>10358</v>
      </c>
      <c r="K4691">
        <v>20</v>
      </c>
      <c r="L4691">
        <v>20</v>
      </c>
      <c r="M4691">
        <v>20</v>
      </c>
    </row>
    <row r="4692" spans="1:13" x14ac:dyDescent="0.25">
      <c r="A4692" t="s">
        <v>10359</v>
      </c>
      <c r="B4692" t="s">
        <v>10360</v>
      </c>
      <c r="C4692" t="s">
        <v>496</v>
      </c>
      <c r="D4692" t="s">
        <v>2360</v>
      </c>
      <c r="F4692">
        <v>0</v>
      </c>
      <c r="G4692" t="s">
        <v>16</v>
      </c>
      <c r="H4692">
        <v>0</v>
      </c>
      <c r="I4692" s="2" t="s">
        <v>55</v>
      </c>
      <c r="J4692" s="2" t="s">
        <v>10359</v>
      </c>
      <c r="K4692">
        <v>20</v>
      </c>
      <c r="L4692">
        <v>20</v>
      </c>
      <c r="M4692">
        <v>20</v>
      </c>
    </row>
    <row r="4693" spans="1:13" x14ac:dyDescent="0.25">
      <c r="A4693" t="s">
        <v>10361</v>
      </c>
      <c r="B4693" t="s">
        <v>10363</v>
      </c>
      <c r="C4693" t="s">
        <v>496</v>
      </c>
      <c r="D4693" t="s">
        <v>2360</v>
      </c>
      <c r="F4693">
        <v>0</v>
      </c>
      <c r="G4693" t="s">
        <v>16</v>
      </c>
      <c r="H4693">
        <v>0</v>
      </c>
      <c r="I4693" s="2" t="s">
        <v>7189</v>
      </c>
      <c r="J4693" s="2" t="s">
        <v>10362</v>
      </c>
      <c r="K4693">
        <v>20</v>
      </c>
      <c r="L4693">
        <v>20</v>
      </c>
      <c r="M4693">
        <v>20</v>
      </c>
    </row>
    <row r="4694" spans="1:13" x14ac:dyDescent="0.25">
      <c r="A4694" t="s">
        <v>10364</v>
      </c>
      <c r="B4694" t="s">
        <v>10365</v>
      </c>
      <c r="C4694" t="s">
        <v>496</v>
      </c>
      <c r="D4694" t="s">
        <v>2360</v>
      </c>
      <c r="F4694">
        <v>2</v>
      </c>
      <c r="G4694" t="s">
        <v>16</v>
      </c>
      <c r="H4694">
        <v>0</v>
      </c>
      <c r="I4694" s="2" t="s">
        <v>408</v>
      </c>
      <c r="J4694" s="2" t="s">
        <v>10366</v>
      </c>
      <c r="K4694">
        <v>20</v>
      </c>
      <c r="L4694">
        <v>20</v>
      </c>
      <c r="M4694">
        <v>20</v>
      </c>
    </row>
    <row r="4695" spans="1:13" x14ac:dyDescent="0.25">
      <c r="A4695" t="s">
        <v>10367</v>
      </c>
      <c r="B4695" t="s">
        <v>10368</v>
      </c>
      <c r="C4695" t="s">
        <v>496</v>
      </c>
      <c r="D4695" t="s">
        <v>2360</v>
      </c>
      <c r="F4695">
        <v>2</v>
      </c>
      <c r="G4695" t="s">
        <v>16</v>
      </c>
      <c r="H4695">
        <v>0</v>
      </c>
      <c r="I4695" s="2" t="s">
        <v>162</v>
      </c>
      <c r="J4695" s="2">
        <v>951061</v>
      </c>
      <c r="K4695">
        <v>20</v>
      </c>
      <c r="L4695">
        <v>20</v>
      </c>
      <c r="M4695">
        <v>20</v>
      </c>
    </row>
    <row r="4696" spans="1:13" x14ac:dyDescent="0.25">
      <c r="A4696" t="s">
        <v>10369</v>
      </c>
      <c r="B4696" t="s">
        <v>10371</v>
      </c>
      <c r="C4696" t="s">
        <v>496</v>
      </c>
      <c r="D4696" t="s">
        <v>2360</v>
      </c>
      <c r="F4696">
        <v>2</v>
      </c>
      <c r="G4696" t="s">
        <v>16</v>
      </c>
      <c r="H4696">
        <v>0</v>
      </c>
      <c r="I4696" s="2" t="s">
        <v>6861</v>
      </c>
      <c r="J4696" s="2" t="s">
        <v>10370</v>
      </c>
      <c r="K4696">
        <v>20</v>
      </c>
      <c r="L4696">
        <v>20</v>
      </c>
      <c r="M4696">
        <v>20</v>
      </c>
    </row>
    <row r="4697" spans="1:13" x14ac:dyDescent="0.25">
      <c r="A4697" t="s">
        <v>10372</v>
      </c>
      <c r="B4697" t="s">
        <v>10371</v>
      </c>
      <c r="C4697" t="s">
        <v>496</v>
      </c>
      <c r="D4697" t="s">
        <v>5856</v>
      </c>
      <c r="F4697">
        <v>2</v>
      </c>
      <c r="G4697" t="s">
        <v>16</v>
      </c>
      <c r="H4697">
        <v>0</v>
      </c>
      <c r="I4697" s="2" t="s">
        <v>2932</v>
      </c>
      <c r="J4697" s="2" t="s">
        <v>10373</v>
      </c>
      <c r="K4697">
        <v>20</v>
      </c>
      <c r="L4697">
        <v>20</v>
      </c>
      <c r="M4697">
        <v>20</v>
      </c>
    </row>
    <row r="4698" spans="1:13" x14ac:dyDescent="0.25">
      <c r="A4698" t="s">
        <v>10374</v>
      </c>
      <c r="B4698" t="s">
        <v>10371</v>
      </c>
      <c r="C4698" t="s">
        <v>2493</v>
      </c>
      <c r="D4698" t="s">
        <v>2360</v>
      </c>
      <c r="G4698" t="s">
        <v>16</v>
      </c>
      <c r="H4698">
        <v>0</v>
      </c>
      <c r="I4698" s="2" t="s">
        <v>737</v>
      </c>
      <c r="J4698" s="2" t="s">
        <v>10375</v>
      </c>
      <c r="K4698">
        <v>20</v>
      </c>
      <c r="L4698">
        <v>20</v>
      </c>
      <c r="M4698">
        <v>20</v>
      </c>
    </row>
    <row r="4699" spans="1:13" x14ac:dyDescent="0.25">
      <c r="A4699" t="s">
        <v>10376</v>
      </c>
      <c r="B4699" t="s">
        <v>10378</v>
      </c>
      <c r="C4699" t="s">
        <v>496</v>
      </c>
      <c r="D4699" t="s">
        <v>2360</v>
      </c>
      <c r="F4699">
        <v>2</v>
      </c>
      <c r="G4699" t="s">
        <v>16</v>
      </c>
      <c r="H4699">
        <v>0</v>
      </c>
      <c r="I4699" s="2" t="s">
        <v>2881</v>
      </c>
      <c r="J4699" s="2" t="s">
        <v>10377</v>
      </c>
      <c r="K4699">
        <v>20</v>
      </c>
      <c r="L4699">
        <v>20</v>
      </c>
      <c r="M4699">
        <v>20</v>
      </c>
    </row>
    <row r="4700" spans="1:13" x14ac:dyDescent="0.25">
      <c r="A4700" t="s">
        <v>10379</v>
      </c>
      <c r="B4700" t="s">
        <v>10378</v>
      </c>
      <c r="C4700" t="s">
        <v>2493</v>
      </c>
      <c r="D4700" t="s">
        <v>2360</v>
      </c>
      <c r="G4700" t="s">
        <v>16</v>
      </c>
      <c r="H4700">
        <v>0</v>
      </c>
      <c r="I4700" s="2" t="s">
        <v>245</v>
      </c>
      <c r="J4700" s="2" t="s">
        <v>10380</v>
      </c>
      <c r="K4700">
        <v>20</v>
      </c>
      <c r="L4700">
        <v>20</v>
      </c>
      <c r="M4700">
        <v>20</v>
      </c>
    </row>
    <row r="4701" spans="1:13" x14ac:dyDescent="0.25">
      <c r="A4701" t="s">
        <v>10381</v>
      </c>
      <c r="B4701" t="s">
        <v>10378</v>
      </c>
      <c r="C4701" t="s">
        <v>496</v>
      </c>
      <c r="D4701" t="s">
        <v>2360</v>
      </c>
      <c r="G4701" t="s">
        <v>16</v>
      </c>
      <c r="H4701">
        <v>0</v>
      </c>
      <c r="I4701" s="2" t="s">
        <v>2300</v>
      </c>
      <c r="J4701" s="2">
        <v>41657</v>
      </c>
      <c r="K4701">
        <v>20</v>
      </c>
      <c r="L4701">
        <v>20</v>
      </c>
      <c r="M4701">
        <v>20</v>
      </c>
    </row>
    <row r="4702" spans="1:13" x14ac:dyDescent="0.25">
      <c r="A4702" t="s">
        <v>10382</v>
      </c>
      <c r="B4702" t="s">
        <v>10383</v>
      </c>
      <c r="C4702" t="s">
        <v>496</v>
      </c>
      <c r="D4702" t="s">
        <v>2360</v>
      </c>
      <c r="F4702">
        <v>2</v>
      </c>
      <c r="G4702" t="s">
        <v>16</v>
      </c>
      <c r="H4702">
        <v>0</v>
      </c>
      <c r="I4702" s="2" t="s">
        <v>51</v>
      </c>
      <c r="K4702">
        <v>20</v>
      </c>
      <c r="L4702">
        <v>20</v>
      </c>
      <c r="M4702">
        <v>20</v>
      </c>
    </row>
    <row r="4703" spans="1:13" x14ac:dyDescent="0.25">
      <c r="A4703" t="s">
        <v>10384</v>
      </c>
      <c r="B4703" t="s">
        <v>10385</v>
      </c>
      <c r="C4703" t="s">
        <v>496</v>
      </c>
      <c r="D4703" t="s">
        <v>2360</v>
      </c>
      <c r="F4703">
        <v>8</v>
      </c>
      <c r="G4703" t="s">
        <v>16</v>
      </c>
      <c r="H4703">
        <v>0</v>
      </c>
      <c r="I4703" s="2" t="s">
        <v>7102</v>
      </c>
      <c r="J4703" s="2">
        <v>20149</v>
      </c>
      <c r="K4703">
        <v>20</v>
      </c>
      <c r="L4703">
        <v>20</v>
      </c>
      <c r="M4703">
        <v>20</v>
      </c>
    </row>
    <row r="4704" spans="1:13" x14ac:dyDescent="0.25">
      <c r="A4704" t="s">
        <v>10386</v>
      </c>
      <c r="B4704" t="s">
        <v>10385</v>
      </c>
      <c r="C4704" t="s">
        <v>496</v>
      </c>
      <c r="D4704" t="s">
        <v>2360</v>
      </c>
      <c r="F4704">
        <v>8</v>
      </c>
      <c r="G4704" t="s">
        <v>16</v>
      </c>
      <c r="H4704">
        <v>0</v>
      </c>
      <c r="I4704" s="2" t="s">
        <v>5249</v>
      </c>
      <c r="J4704" s="2" t="s">
        <v>10387</v>
      </c>
      <c r="K4704">
        <v>20</v>
      </c>
      <c r="L4704">
        <v>20</v>
      </c>
      <c r="M4704">
        <v>20</v>
      </c>
    </row>
    <row r="4705" spans="1:13" x14ac:dyDescent="0.25">
      <c r="A4705" t="s">
        <v>10388</v>
      </c>
      <c r="B4705" t="s">
        <v>10385</v>
      </c>
      <c r="C4705" t="s">
        <v>496</v>
      </c>
      <c r="D4705" t="s">
        <v>2360</v>
      </c>
      <c r="F4705">
        <v>8</v>
      </c>
      <c r="G4705" t="s">
        <v>16</v>
      </c>
      <c r="H4705">
        <v>0</v>
      </c>
      <c r="I4705" s="2" t="s">
        <v>64</v>
      </c>
      <c r="J4705" s="2">
        <v>10010456</v>
      </c>
      <c r="K4705">
        <v>20</v>
      </c>
      <c r="L4705">
        <v>20</v>
      </c>
      <c r="M4705">
        <v>20</v>
      </c>
    </row>
    <row r="4706" spans="1:13" x14ac:dyDescent="0.25">
      <c r="A4706" t="s">
        <v>10389</v>
      </c>
      <c r="B4706" t="s">
        <v>10385</v>
      </c>
      <c r="C4706" t="s">
        <v>496</v>
      </c>
      <c r="D4706" t="s">
        <v>2360</v>
      </c>
      <c r="G4706" t="s">
        <v>16</v>
      </c>
      <c r="H4706">
        <v>0</v>
      </c>
      <c r="I4706" s="2" t="s">
        <v>245</v>
      </c>
      <c r="J4706" s="2" t="s">
        <v>10390</v>
      </c>
      <c r="K4706">
        <v>20</v>
      </c>
      <c r="L4706">
        <v>20</v>
      </c>
      <c r="M4706">
        <v>20</v>
      </c>
    </row>
    <row r="4707" spans="1:13" x14ac:dyDescent="0.25">
      <c r="A4707" t="s">
        <v>10391</v>
      </c>
      <c r="B4707" t="s">
        <v>10392</v>
      </c>
      <c r="C4707" t="s">
        <v>496</v>
      </c>
      <c r="D4707" t="s">
        <v>2360</v>
      </c>
      <c r="F4707">
        <v>2</v>
      </c>
      <c r="G4707" t="s">
        <v>16</v>
      </c>
      <c r="H4707">
        <v>0</v>
      </c>
      <c r="I4707" s="2" t="s">
        <v>2300</v>
      </c>
      <c r="J4707" s="2">
        <v>41651</v>
      </c>
      <c r="K4707">
        <v>20</v>
      </c>
      <c r="L4707">
        <v>20</v>
      </c>
      <c r="M4707">
        <v>20</v>
      </c>
    </row>
    <row r="4708" spans="1:13" x14ac:dyDescent="0.25">
      <c r="A4708" t="s">
        <v>10393</v>
      </c>
      <c r="B4708" t="s">
        <v>10394</v>
      </c>
      <c r="C4708" t="s">
        <v>496</v>
      </c>
      <c r="D4708" t="s">
        <v>2360</v>
      </c>
      <c r="F4708">
        <v>4</v>
      </c>
      <c r="G4708" t="s">
        <v>16</v>
      </c>
      <c r="H4708">
        <v>0</v>
      </c>
      <c r="I4708" s="2" t="s">
        <v>5249</v>
      </c>
      <c r="J4708" s="2" t="s">
        <v>10395</v>
      </c>
      <c r="K4708">
        <v>20</v>
      </c>
      <c r="L4708">
        <v>20</v>
      </c>
      <c r="M4708">
        <v>20</v>
      </c>
    </row>
    <row r="4709" spans="1:13" x14ac:dyDescent="0.25">
      <c r="A4709" t="s">
        <v>10396</v>
      </c>
      <c r="B4709" t="s">
        <v>10394</v>
      </c>
      <c r="C4709" t="s">
        <v>496</v>
      </c>
      <c r="D4709" t="s">
        <v>2360</v>
      </c>
      <c r="F4709">
        <v>4</v>
      </c>
      <c r="G4709" t="s">
        <v>16</v>
      </c>
      <c r="H4709">
        <v>0</v>
      </c>
      <c r="I4709" s="2" t="s">
        <v>6861</v>
      </c>
      <c r="J4709" s="2" t="s">
        <v>10397</v>
      </c>
      <c r="K4709">
        <v>20</v>
      </c>
      <c r="L4709">
        <v>20</v>
      </c>
      <c r="M4709">
        <v>20</v>
      </c>
    </row>
    <row r="4710" spans="1:13" x14ac:dyDescent="0.25">
      <c r="A4710" t="s">
        <v>10398</v>
      </c>
      <c r="B4710" t="s">
        <v>10394</v>
      </c>
      <c r="C4710" t="s">
        <v>496</v>
      </c>
      <c r="D4710" t="s">
        <v>2360</v>
      </c>
      <c r="F4710">
        <v>0</v>
      </c>
      <c r="G4710" t="s">
        <v>16</v>
      </c>
      <c r="H4710">
        <v>0</v>
      </c>
      <c r="I4710" s="2" t="s">
        <v>245</v>
      </c>
      <c r="J4710" s="2" t="s">
        <v>10399</v>
      </c>
      <c r="K4710">
        <v>20</v>
      </c>
      <c r="L4710">
        <v>20</v>
      </c>
      <c r="M4710">
        <v>20</v>
      </c>
    </row>
    <row r="4711" spans="1:13" x14ac:dyDescent="0.25">
      <c r="A4711" t="s">
        <v>10400</v>
      </c>
      <c r="B4711" t="s">
        <v>10401</v>
      </c>
      <c r="C4711" t="s">
        <v>496</v>
      </c>
      <c r="D4711" t="s">
        <v>2360</v>
      </c>
      <c r="F4711">
        <v>0</v>
      </c>
      <c r="G4711" t="s">
        <v>16</v>
      </c>
      <c r="H4711">
        <v>0</v>
      </c>
      <c r="I4711" s="2" t="s">
        <v>64</v>
      </c>
      <c r="J4711" s="2">
        <v>10010460</v>
      </c>
      <c r="K4711">
        <v>20</v>
      </c>
      <c r="L4711">
        <v>20</v>
      </c>
      <c r="M4711">
        <v>20</v>
      </c>
    </row>
    <row r="4712" spans="1:13" x14ac:dyDescent="0.25">
      <c r="A4712" t="s">
        <v>10402</v>
      </c>
      <c r="B4712" t="s">
        <v>10404</v>
      </c>
      <c r="C4712" t="s">
        <v>496</v>
      </c>
      <c r="D4712" t="s">
        <v>5856</v>
      </c>
      <c r="F4712">
        <v>2</v>
      </c>
      <c r="G4712" t="s">
        <v>16</v>
      </c>
      <c r="H4712">
        <v>0</v>
      </c>
      <c r="I4712" s="2" t="s">
        <v>6861</v>
      </c>
      <c r="J4712" s="2" t="s">
        <v>10403</v>
      </c>
      <c r="K4712">
        <v>20</v>
      </c>
      <c r="L4712">
        <v>20</v>
      </c>
      <c r="M4712">
        <v>20</v>
      </c>
    </row>
    <row r="4713" spans="1:13" x14ac:dyDescent="0.25">
      <c r="A4713" t="s">
        <v>10405</v>
      </c>
      <c r="B4713" t="s">
        <v>10404</v>
      </c>
      <c r="C4713" t="s">
        <v>2493</v>
      </c>
      <c r="D4713" t="s">
        <v>2360</v>
      </c>
      <c r="G4713" t="s">
        <v>16</v>
      </c>
      <c r="H4713">
        <v>0</v>
      </c>
      <c r="I4713" s="2" t="s">
        <v>245</v>
      </c>
      <c r="J4713" s="2" t="s">
        <v>10406</v>
      </c>
      <c r="K4713">
        <v>20</v>
      </c>
      <c r="L4713">
        <v>20</v>
      </c>
      <c r="M4713">
        <v>20</v>
      </c>
    </row>
    <row r="4714" spans="1:13" x14ac:dyDescent="0.25">
      <c r="A4714" t="s">
        <v>10407</v>
      </c>
      <c r="B4714" t="s">
        <v>10404</v>
      </c>
      <c r="C4714" t="s">
        <v>496</v>
      </c>
      <c r="D4714" t="s">
        <v>2360</v>
      </c>
      <c r="F4714">
        <v>2</v>
      </c>
      <c r="G4714" t="s">
        <v>16</v>
      </c>
      <c r="H4714">
        <v>0</v>
      </c>
      <c r="I4714" s="2" t="s">
        <v>277</v>
      </c>
      <c r="J4714" s="2">
        <v>31521</v>
      </c>
      <c r="K4714">
        <v>20</v>
      </c>
      <c r="L4714">
        <v>20</v>
      </c>
      <c r="M4714">
        <v>20</v>
      </c>
    </row>
    <row r="4715" spans="1:13" x14ac:dyDescent="0.25">
      <c r="A4715" t="s">
        <v>10408</v>
      </c>
      <c r="B4715" t="s">
        <v>10410</v>
      </c>
      <c r="C4715" t="s">
        <v>496</v>
      </c>
      <c r="D4715" t="s">
        <v>2360</v>
      </c>
      <c r="F4715">
        <v>1</v>
      </c>
      <c r="G4715" t="s">
        <v>16</v>
      </c>
      <c r="H4715">
        <v>0</v>
      </c>
      <c r="I4715" s="2" t="s">
        <v>6861</v>
      </c>
      <c r="J4715" s="2" t="s">
        <v>10409</v>
      </c>
      <c r="K4715">
        <v>20</v>
      </c>
      <c r="L4715">
        <v>20</v>
      </c>
      <c r="M4715">
        <v>20</v>
      </c>
    </row>
    <row r="4716" spans="1:13" x14ac:dyDescent="0.25">
      <c r="A4716" t="s">
        <v>10411</v>
      </c>
      <c r="B4716" t="s">
        <v>10412</v>
      </c>
      <c r="C4716" t="s">
        <v>496</v>
      </c>
      <c r="D4716" t="s">
        <v>2360</v>
      </c>
      <c r="F4716">
        <v>1</v>
      </c>
      <c r="G4716" t="s">
        <v>16</v>
      </c>
      <c r="H4716">
        <v>0</v>
      </c>
      <c r="I4716" s="2" t="s">
        <v>245</v>
      </c>
      <c r="J4716" s="2" t="s">
        <v>10413</v>
      </c>
      <c r="K4716">
        <v>20</v>
      </c>
      <c r="L4716">
        <v>20</v>
      </c>
      <c r="M4716">
        <v>20</v>
      </c>
    </row>
    <row r="4717" spans="1:13" x14ac:dyDescent="0.25">
      <c r="A4717" t="s">
        <v>10414</v>
      </c>
      <c r="B4717" t="s">
        <v>10410</v>
      </c>
      <c r="C4717" t="s">
        <v>496</v>
      </c>
      <c r="D4717" t="s">
        <v>2360</v>
      </c>
      <c r="F4717">
        <v>14</v>
      </c>
      <c r="G4717" t="s">
        <v>16</v>
      </c>
      <c r="H4717">
        <v>0</v>
      </c>
      <c r="I4717" s="2" t="s">
        <v>414</v>
      </c>
      <c r="J4717" s="2" t="s">
        <v>10415</v>
      </c>
      <c r="K4717">
        <v>20</v>
      </c>
      <c r="L4717">
        <v>20</v>
      </c>
      <c r="M4717">
        <v>20</v>
      </c>
    </row>
    <row r="4718" spans="1:13" x14ac:dyDescent="0.25">
      <c r="A4718" t="s">
        <v>10416</v>
      </c>
      <c r="B4718" t="s">
        <v>10412</v>
      </c>
      <c r="C4718" t="s">
        <v>496</v>
      </c>
      <c r="D4718" t="s">
        <v>5856</v>
      </c>
      <c r="F4718">
        <v>32</v>
      </c>
      <c r="G4718" t="s">
        <v>16</v>
      </c>
      <c r="H4718">
        <v>0</v>
      </c>
      <c r="I4718" s="2" t="s">
        <v>408</v>
      </c>
      <c r="J4718" s="2" t="s">
        <v>10417</v>
      </c>
      <c r="K4718">
        <v>20</v>
      </c>
      <c r="L4718">
        <v>20</v>
      </c>
      <c r="M4718">
        <v>20</v>
      </c>
    </row>
    <row r="4719" spans="1:13" x14ac:dyDescent="0.25">
      <c r="A4719" t="s">
        <v>10418</v>
      </c>
      <c r="B4719" t="s">
        <v>10410</v>
      </c>
      <c r="C4719" t="s">
        <v>496</v>
      </c>
      <c r="D4719" t="s">
        <v>2360</v>
      </c>
      <c r="G4719" t="s">
        <v>16</v>
      </c>
      <c r="H4719">
        <v>0</v>
      </c>
      <c r="I4719" s="2" t="s">
        <v>2300</v>
      </c>
      <c r="J4719" s="2">
        <v>41589</v>
      </c>
      <c r="K4719">
        <v>20</v>
      </c>
      <c r="L4719">
        <v>20</v>
      </c>
      <c r="M4719">
        <v>20</v>
      </c>
    </row>
    <row r="4720" spans="1:13" x14ac:dyDescent="0.25">
      <c r="A4720" t="s">
        <v>10419</v>
      </c>
      <c r="B4720" t="s">
        <v>10420</v>
      </c>
      <c r="C4720" t="s">
        <v>496</v>
      </c>
      <c r="D4720" t="s">
        <v>2360</v>
      </c>
      <c r="F4720">
        <v>0</v>
      </c>
      <c r="G4720" t="s">
        <v>16</v>
      </c>
      <c r="H4720">
        <v>0</v>
      </c>
      <c r="I4720" s="2" t="s">
        <v>245</v>
      </c>
      <c r="J4720" s="2" t="s">
        <v>10421</v>
      </c>
      <c r="K4720">
        <v>20</v>
      </c>
      <c r="L4720">
        <v>20</v>
      </c>
      <c r="M4720">
        <v>20</v>
      </c>
    </row>
    <row r="4721" spans="1:13" x14ac:dyDescent="0.25">
      <c r="A4721" t="s">
        <v>10422</v>
      </c>
      <c r="B4721" t="s">
        <v>10423</v>
      </c>
      <c r="C4721" t="s">
        <v>2493</v>
      </c>
      <c r="D4721" t="s">
        <v>2360</v>
      </c>
      <c r="F4721">
        <v>5</v>
      </c>
      <c r="G4721" t="s">
        <v>16</v>
      </c>
      <c r="H4721">
        <v>0</v>
      </c>
      <c r="I4721" s="2" t="s">
        <v>51</v>
      </c>
      <c r="J4721" s="2" t="s">
        <v>10422</v>
      </c>
      <c r="K4721">
        <v>20</v>
      </c>
      <c r="L4721">
        <v>20</v>
      </c>
      <c r="M4721">
        <v>20</v>
      </c>
    </row>
    <row r="4722" spans="1:13" x14ac:dyDescent="0.25">
      <c r="A4722" t="s">
        <v>10424</v>
      </c>
      <c r="B4722" t="s">
        <v>10425</v>
      </c>
      <c r="C4722" t="s">
        <v>496</v>
      </c>
      <c r="D4722" t="s">
        <v>2360</v>
      </c>
      <c r="F4722">
        <v>2</v>
      </c>
      <c r="G4722" t="s">
        <v>16</v>
      </c>
      <c r="H4722">
        <v>0</v>
      </c>
      <c r="I4722" s="2" t="s">
        <v>2300</v>
      </c>
      <c r="J4722" s="2">
        <v>41506</v>
      </c>
      <c r="K4722">
        <v>20</v>
      </c>
      <c r="L4722">
        <v>20</v>
      </c>
      <c r="M4722">
        <v>20</v>
      </c>
    </row>
    <row r="4723" spans="1:13" x14ac:dyDescent="0.25">
      <c r="A4723" t="s">
        <v>10426</v>
      </c>
      <c r="B4723" t="s">
        <v>10427</v>
      </c>
      <c r="C4723" t="s">
        <v>496</v>
      </c>
      <c r="D4723" t="s">
        <v>2360</v>
      </c>
      <c r="F4723">
        <v>4</v>
      </c>
      <c r="G4723" t="s">
        <v>16</v>
      </c>
      <c r="H4723">
        <v>0</v>
      </c>
      <c r="I4723" s="2" t="s">
        <v>5249</v>
      </c>
      <c r="J4723" s="2" t="s">
        <v>10428</v>
      </c>
      <c r="K4723">
        <v>20</v>
      </c>
      <c r="L4723">
        <v>20</v>
      </c>
      <c r="M4723">
        <v>20</v>
      </c>
    </row>
    <row r="4724" spans="1:13" x14ac:dyDescent="0.25">
      <c r="A4724" t="s">
        <v>10429</v>
      </c>
      <c r="B4724" t="s">
        <v>10427</v>
      </c>
      <c r="C4724" t="s">
        <v>496</v>
      </c>
      <c r="D4724" t="s">
        <v>2360</v>
      </c>
      <c r="F4724">
        <v>1</v>
      </c>
      <c r="G4724" t="s">
        <v>16</v>
      </c>
      <c r="H4724">
        <v>0</v>
      </c>
      <c r="I4724" s="2" t="s">
        <v>64</v>
      </c>
      <c r="J4724" s="2">
        <v>10010463</v>
      </c>
      <c r="K4724">
        <v>20</v>
      </c>
      <c r="L4724">
        <v>20</v>
      </c>
      <c r="M4724">
        <v>20</v>
      </c>
    </row>
    <row r="4725" spans="1:13" x14ac:dyDescent="0.25">
      <c r="A4725" t="s">
        <v>10430</v>
      </c>
      <c r="B4725" t="s">
        <v>10427</v>
      </c>
      <c r="C4725" t="s">
        <v>496</v>
      </c>
      <c r="D4725" t="s">
        <v>5856</v>
      </c>
      <c r="F4725">
        <v>1</v>
      </c>
      <c r="G4725" t="s">
        <v>16</v>
      </c>
      <c r="H4725">
        <v>0</v>
      </c>
      <c r="I4725" s="2" t="s">
        <v>2881</v>
      </c>
      <c r="J4725" s="2" t="s">
        <v>10431</v>
      </c>
      <c r="K4725">
        <v>20</v>
      </c>
      <c r="L4725">
        <v>20</v>
      </c>
      <c r="M4725">
        <v>20</v>
      </c>
    </row>
    <row r="4726" spans="1:13" x14ac:dyDescent="0.25">
      <c r="A4726" t="s">
        <v>10432</v>
      </c>
      <c r="B4726" t="s">
        <v>10427</v>
      </c>
      <c r="C4726" t="s">
        <v>496</v>
      </c>
      <c r="D4726" t="s">
        <v>2360</v>
      </c>
      <c r="G4726" t="s">
        <v>16</v>
      </c>
      <c r="H4726">
        <v>0</v>
      </c>
      <c r="I4726" s="2" t="s">
        <v>277</v>
      </c>
      <c r="J4726" s="2">
        <v>41802</v>
      </c>
      <c r="K4726">
        <v>20</v>
      </c>
      <c r="L4726">
        <v>20</v>
      </c>
      <c r="M4726">
        <v>20</v>
      </c>
    </row>
    <row r="4727" spans="1:13" x14ac:dyDescent="0.25">
      <c r="A4727" t="s">
        <v>10433</v>
      </c>
      <c r="B4727" t="s">
        <v>10434</v>
      </c>
      <c r="C4727" t="s">
        <v>496</v>
      </c>
      <c r="D4727" t="s">
        <v>2360</v>
      </c>
      <c r="F4727">
        <v>4</v>
      </c>
      <c r="G4727" t="s">
        <v>16</v>
      </c>
      <c r="H4727">
        <v>0</v>
      </c>
      <c r="I4727" s="2" t="s">
        <v>5249</v>
      </c>
      <c r="J4727" s="2" t="s">
        <v>10435</v>
      </c>
      <c r="K4727">
        <v>20</v>
      </c>
      <c r="L4727">
        <v>20</v>
      </c>
      <c r="M4727">
        <v>20</v>
      </c>
    </row>
    <row r="4728" spans="1:13" x14ac:dyDescent="0.25">
      <c r="A4728" t="s">
        <v>10436</v>
      </c>
      <c r="B4728" t="s">
        <v>10434</v>
      </c>
      <c r="C4728" t="s">
        <v>496</v>
      </c>
      <c r="D4728" t="s">
        <v>2360</v>
      </c>
      <c r="F4728">
        <v>1</v>
      </c>
      <c r="G4728" t="s">
        <v>16</v>
      </c>
      <c r="H4728">
        <v>0</v>
      </c>
      <c r="I4728" s="2" t="s">
        <v>64</v>
      </c>
      <c r="J4728" s="2">
        <v>10010464</v>
      </c>
      <c r="K4728">
        <v>20</v>
      </c>
      <c r="L4728">
        <v>20</v>
      </c>
      <c r="M4728">
        <v>20</v>
      </c>
    </row>
    <row r="4729" spans="1:13" x14ac:dyDescent="0.25">
      <c r="A4729" t="s">
        <v>10437</v>
      </c>
      <c r="B4729" t="s">
        <v>10439</v>
      </c>
      <c r="C4729" t="s">
        <v>496</v>
      </c>
      <c r="D4729" t="s">
        <v>5856</v>
      </c>
      <c r="F4729">
        <v>1</v>
      </c>
      <c r="G4729" t="s">
        <v>16</v>
      </c>
      <c r="H4729">
        <v>0</v>
      </c>
      <c r="I4729" s="2" t="s">
        <v>2881</v>
      </c>
      <c r="J4729" s="2" t="s">
        <v>10438</v>
      </c>
      <c r="K4729">
        <v>20</v>
      </c>
      <c r="L4729">
        <v>20</v>
      </c>
      <c r="M4729">
        <v>20</v>
      </c>
    </row>
    <row r="4730" spans="1:13" x14ac:dyDescent="0.25">
      <c r="A4730" t="s">
        <v>10440</v>
      </c>
      <c r="B4730" t="s">
        <v>10441</v>
      </c>
      <c r="C4730" t="s">
        <v>2493</v>
      </c>
      <c r="D4730" t="s">
        <v>5856</v>
      </c>
      <c r="F4730">
        <v>2</v>
      </c>
      <c r="G4730" t="s">
        <v>16</v>
      </c>
      <c r="H4730">
        <v>0</v>
      </c>
      <c r="I4730" s="2" t="s">
        <v>277</v>
      </c>
      <c r="J4730" s="2" t="s">
        <v>10442</v>
      </c>
      <c r="K4730">
        <v>20</v>
      </c>
      <c r="L4730">
        <v>20</v>
      </c>
      <c r="M4730">
        <v>20</v>
      </c>
    </row>
    <row r="4731" spans="1:13" x14ac:dyDescent="0.25">
      <c r="A4731" t="s">
        <v>10443</v>
      </c>
      <c r="B4731" t="s">
        <v>10444</v>
      </c>
      <c r="C4731" t="s">
        <v>496</v>
      </c>
      <c r="D4731" t="s">
        <v>2360</v>
      </c>
      <c r="G4731" t="s">
        <v>16</v>
      </c>
      <c r="H4731">
        <v>0</v>
      </c>
      <c r="I4731" s="2" t="s">
        <v>64</v>
      </c>
      <c r="J4731" s="2">
        <v>10010455</v>
      </c>
      <c r="K4731">
        <v>20</v>
      </c>
      <c r="L4731">
        <v>20</v>
      </c>
      <c r="M4731">
        <v>20</v>
      </c>
    </row>
    <row r="4732" spans="1:13" x14ac:dyDescent="0.25">
      <c r="A4732" t="s">
        <v>10445</v>
      </c>
      <c r="B4732" t="s">
        <v>10447</v>
      </c>
      <c r="C4732" t="s">
        <v>496</v>
      </c>
      <c r="D4732" t="s">
        <v>2360</v>
      </c>
      <c r="F4732">
        <v>6</v>
      </c>
      <c r="G4732" t="s">
        <v>16</v>
      </c>
      <c r="H4732">
        <v>0</v>
      </c>
      <c r="I4732" s="2" t="s">
        <v>2881</v>
      </c>
      <c r="J4732" s="2" t="s">
        <v>10446</v>
      </c>
      <c r="K4732">
        <v>20</v>
      </c>
      <c r="L4732">
        <v>20</v>
      </c>
      <c r="M4732">
        <v>20</v>
      </c>
    </row>
    <row r="4733" spans="1:13" x14ac:dyDescent="0.25">
      <c r="A4733" t="s">
        <v>10448</v>
      </c>
      <c r="B4733" t="s">
        <v>10449</v>
      </c>
      <c r="C4733" t="s">
        <v>496</v>
      </c>
      <c r="D4733" t="s">
        <v>2360</v>
      </c>
      <c r="G4733" t="s">
        <v>16</v>
      </c>
      <c r="H4733">
        <v>0</v>
      </c>
      <c r="I4733" s="2" t="s">
        <v>408</v>
      </c>
      <c r="J4733" s="2" t="s">
        <v>10450</v>
      </c>
      <c r="K4733">
        <v>20</v>
      </c>
      <c r="L4733">
        <v>20</v>
      </c>
      <c r="M4733">
        <v>20</v>
      </c>
    </row>
    <row r="4734" spans="1:13" x14ac:dyDescent="0.25">
      <c r="A4734" t="s">
        <v>10451</v>
      </c>
      <c r="B4734" t="s">
        <v>10452</v>
      </c>
      <c r="C4734" t="s">
        <v>496</v>
      </c>
      <c r="D4734" t="s">
        <v>2360</v>
      </c>
      <c r="F4734">
        <v>1</v>
      </c>
      <c r="G4734" t="s">
        <v>16</v>
      </c>
      <c r="H4734">
        <v>0</v>
      </c>
      <c r="I4734" s="2" t="s">
        <v>6861</v>
      </c>
      <c r="J4734" s="2" t="s">
        <v>10453</v>
      </c>
      <c r="K4734">
        <v>20</v>
      </c>
      <c r="L4734">
        <v>20</v>
      </c>
      <c r="M4734">
        <v>20</v>
      </c>
    </row>
    <row r="4735" spans="1:13" x14ac:dyDescent="0.25">
      <c r="A4735" t="s">
        <v>10454</v>
      </c>
      <c r="B4735" t="s">
        <v>10452</v>
      </c>
      <c r="C4735" t="s">
        <v>496</v>
      </c>
      <c r="D4735" t="s">
        <v>2360</v>
      </c>
      <c r="F4735">
        <v>2</v>
      </c>
      <c r="G4735" t="s">
        <v>16</v>
      </c>
      <c r="H4735">
        <v>0</v>
      </c>
      <c r="I4735" s="2" t="s">
        <v>162</v>
      </c>
      <c r="J4735" s="2">
        <v>95910</v>
      </c>
      <c r="K4735">
        <v>20</v>
      </c>
      <c r="L4735">
        <v>20</v>
      </c>
      <c r="M4735">
        <v>20</v>
      </c>
    </row>
    <row r="4736" spans="1:13" x14ac:dyDescent="0.25">
      <c r="A4736" t="s">
        <v>10455</v>
      </c>
      <c r="B4736" t="s">
        <v>10452</v>
      </c>
      <c r="C4736" t="s">
        <v>496</v>
      </c>
      <c r="D4736" t="s">
        <v>2360</v>
      </c>
      <c r="F4736">
        <v>4</v>
      </c>
      <c r="G4736" t="s">
        <v>16</v>
      </c>
      <c r="H4736">
        <v>0</v>
      </c>
      <c r="I4736" s="2" t="s">
        <v>245</v>
      </c>
      <c r="J4736" s="2" t="s">
        <v>10456</v>
      </c>
      <c r="K4736">
        <v>20</v>
      </c>
      <c r="L4736">
        <v>20</v>
      </c>
      <c r="M4736">
        <v>20</v>
      </c>
    </row>
    <row r="4737" spans="1:13" x14ac:dyDescent="0.25">
      <c r="A4737" t="s">
        <v>10457</v>
      </c>
      <c r="B4737" t="s">
        <v>10458</v>
      </c>
      <c r="C4737" t="s">
        <v>496</v>
      </c>
      <c r="D4737" t="s">
        <v>2360</v>
      </c>
      <c r="F4737">
        <v>2</v>
      </c>
      <c r="G4737" t="s">
        <v>16</v>
      </c>
      <c r="H4737">
        <v>0</v>
      </c>
      <c r="I4737" s="2" t="s">
        <v>2300</v>
      </c>
      <c r="J4737" s="2">
        <v>41637</v>
      </c>
      <c r="K4737">
        <v>20</v>
      </c>
      <c r="L4737">
        <v>20</v>
      </c>
      <c r="M4737">
        <v>20</v>
      </c>
    </row>
    <row r="4738" spans="1:13" x14ac:dyDescent="0.25">
      <c r="A4738" t="s">
        <v>10459</v>
      </c>
      <c r="B4738" t="s">
        <v>10461</v>
      </c>
      <c r="C4738" t="s">
        <v>496</v>
      </c>
      <c r="D4738" t="s">
        <v>2360</v>
      </c>
      <c r="F4738">
        <v>2</v>
      </c>
      <c r="G4738" t="s">
        <v>16</v>
      </c>
      <c r="H4738">
        <v>0</v>
      </c>
      <c r="I4738" s="2" t="s">
        <v>6861</v>
      </c>
      <c r="J4738" s="2" t="s">
        <v>10460</v>
      </c>
      <c r="K4738">
        <v>20</v>
      </c>
      <c r="L4738">
        <v>20</v>
      </c>
      <c r="M4738">
        <v>20</v>
      </c>
    </row>
    <row r="4739" spans="1:13" x14ac:dyDescent="0.25">
      <c r="A4739" t="s">
        <v>10462</v>
      </c>
      <c r="B4739" t="s">
        <v>10461</v>
      </c>
      <c r="C4739" t="s">
        <v>496</v>
      </c>
      <c r="D4739" t="s">
        <v>2360</v>
      </c>
      <c r="F4739">
        <v>4</v>
      </c>
      <c r="G4739" t="s">
        <v>16</v>
      </c>
      <c r="H4739">
        <v>0</v>
      </c>
      <c r="I4739" s="2" t="s">
        <v>408</v>
      </c>
      <c r="J4739" s="2" t="s">
        <v>10463</v>
      </c>
      <c r="K4739">
        <v>20</v>
      </c>
      <c r="L4739">
        <v>20</v>
      </c>
      <c r="M4739">
        <v>20</v>
      </c>
    </row>
    <row r="4740" spans="1:13" x14ac:dyDescent="0.25">
      <c r="A4740" t="s">
        <v>10464</v>
      </c>
      <c r="B4740" t="s">
        <v>10465</v>
      </c>
      <c r="C4740" t="s">
        <v>496</v>
      </c>
      <c r="D4740" t="s">
        <v>2360</v>
      </c>
      <c r="F4740">
        <v>1</v>
      </c>
      <c r="G4740" t="s">
        <v>16</v>
      </c>
      <c r="H4740">
        <v>0</v>
      </c>
      <c r="I4740" s="2" t="s">
        <v>245</v>
      </c>
      <c r="J4740" s="2" t="s">
        <v>10466</v>
      </c>
      <c r="K4740">
        <v>20</v>
      </c>
      <c r="L4740">
        <v>20</v>
      </c>
      <c r="M4740">
        <v>20</v>
      </c>
    </row>
    <row r="4741" spans="1:13" x14ac:dyDescent="0.25">
      <c r="A4741" t="s">
        <v>10467</v>
      </c>
      <c r="B4741" t="s">
        <v>10468</v>
      </c>
      <c r="C4741" t="s">
        <v>496</v>
      </c>
      <c r="D4741" t="s">
        <v>2360</v>
      </c>
      <c r="F4741">
        <v>1</v>
      </c>
      <c r="G4741" t="s">
        <v>16</v>
      </c>
      <c r="H4741">
        <v>0</v>
      </c>
      <c r="I4741" s="2" t="s">
        <v>245</v>
      </c>
      <c r="J4741" s="2" t="s">
        <v>10469</v>
      </c>
      <c r="K4741">
        <v>20</v>
      </c>
      <c r="L4741">
        <v>20</v>
      </c>
      <c r="M4741">
        <v>20</v>
      </c>
    </row>
    <row r="4742" spans="1:13" x14ac:dyDescent="0.25">
      <c r="A4742" t="s">
        <v>10470</v>
      </c>
      <c r="B4742" t="s">
        <v>10471</v>
      </c>
      <c r="C4742" t="s">
        <v>496</v>
      </c>
      <c r="D4742" t="s">
        <v>2360</v>
      </c>
      <c r="F4742">
        <v>0</v>
      </c>
      <c r="G4742" t="s">
        <v>16</v>
      </c>
      <c r="H4742">
        <v>0</v>
      </c>
      <c r="I4742" s="2" t="s">
        <v>51</v>
      </c>
      <c r="J4742" s="2" t="s">
        <v>10470</v>
      </c>
      <c r="K4742">
        <v>20</v>
      </c>
      <c r="L4742">
        <v>20</v>
      </c>
      <c r="M4742">
        <v>20</v>
      </c>
    </row>
    <row r="4743" spans="1:13" x14ac:dyDescent="0.25">
      <c r="A4743" t="s">
        <v>10472</v>
      </c>
      <c r="B4743" t="s">
        <v>10471</v>
      </c>
      <c r="C4743" t="s">
        <v>496</v>
      </c>
      <c r="D4743" t="s">
        <v>2360</v>
      </c>
      <c r="F4743">
        <v>1</v>
      </c>
      <c r="G4743" t="s">
        <v>16</v>
      </c>
      <c r="H4743">
        <v>0</v>
      </c>
      <c r="I4743" s="2" t="s">
        <v>6855</v>
      </c>
      <c r="J4743" s="2">
        <v>14079</v>
      </c>
      <c r="K4743">
        <v>20</v>
      </c>
      <c r="L4743">
        <v>20</v>
      </c>
      <c r="M4743">
        <v>20</v>
      </c>
    </row>
    <row r="4744" spans="1:13" x14ac:dyDescent="0.25">
      <c r="A4744" t="s">
        <v>10473</v>
      </c>
      <c r="B4744" t="s">
        <v>10474</v>
      </c>
      <c r="C4744" t="s">
        <v>496</v>
      </c>
      <c r="D4744" t="s">
        <v>2360</v>
      </c>
      <c r="F4744">
        <v>0</v>
      </c>
      <c r="G4744" t="s">
        <v>16</v>
      </c>
      <c r="H4744">
        <v>0</v>
      </c>
      <c r="I4744" s="2" t="s">
        <v>51</v>
      </c>
      <c r="J4744" s="2" t="s">
        <v>10473</v>
      </c>
      <c r="K4744">
        <v>20</v>
      </c>
      <c r="L4744">
        <v>20</v>
      </c>
      <c r="M4744">
        <v>20</v>
      </c>
    </row>
    <row r="4745" spans="1:13" x14ac:dyDescent="0.25">
      <c r="A4745" t="s">
        <v>10475</v>
      </c>
      <c r="B4745" t="s">
        <v>10474</v>
      </c>
      <c r="C4745" t="s">
        <v>496</v>
      </c>
      <c r="D4745" t="s">
        <v>2360</v>
      </c>
      <c r="F4745">
        <v>1</v>
      </c>
      <c r="G4745" t="s">
        <v>16</v>
      </c>
      <c r="H4745">
        <v>0</v>
      </c>
      <c r="I4745" s="2" t="s">
        <v>6855</v>
      </c>
      <c r="J4745" s="2">
        <v>14080</v>
      </c>
      <c r="K4745">
        <v>20</v>
      </c>
      <c r="L4745">
        <v>20</v>
      </c>
      <c r="M4745">
        <v>20</v>
      </c>
    </row>
    <row r="4746" spans="1:13" x14ac:dyDescent="0.25">
      <c r="A4746" t="s">
        <v>10476</v>
      </c>
      <c r="B4746" t="s">
        <v>10477</v>
      </c>
      <c r="C4746" t="s">
        <v>496</v>
      </c>
      <c r="D4746" t="s">
        <v>2360</v>
      </c>
      <c r="F4746">
        <v>2</v>
      </c>
      <c r="G4746" t="s">
        <v>16</v>
      </c>
      <c r="H4746">
        <v>0</v>
      </c>
      <c r="I4746" s="2" t="s">
        <v>64</v>
      </c>
      <c r="J4746" s="2">
        <v>10010459</v>
      </c>
      <c r="K4746">
        <v>20</v>
      </c>
      <c r="L4746">
        <v>20</v>
      </c>
      <c r="M4746">
        <v>20</v>
      </c>
    </row>
    <row r="4747" spans="1:13" x14ac:dyDescent="0.25">
      <c r="A4747" t="s">
        <v>10478</v>
      </c>
      <c r="B4747" t="s">
        <v>10479</v>
      </c>
      <c r="C4747" t="s">
        <v>496</v>
      </c>
      <c r="D4747" t="s">
        <v>2360</v>
      </c>
      <c r="G4747" t="s">
        <v>16</v>
      </c>
      <c r="H4747">
        <v>0</v>
      </c>
      <c r="I4747" s="2" t="s">
        <v>7189</v>
      </c>
      <c r="J4747" s="2" t="s">
        <v>10480</v>
      </c>
      <c r="K4747">
        <v>20</v>
      </c>
      <c r="L4747">
        <v>20</v>
      </c>
      <c r="M4747">
        <v>20</v>
      </c>
    </row>
    <row r="4748" spans="1:13" x14ac:dyDescent="0.25">
      <c r="A4748" t="s">
        <v>10481</v>
      </c>
      <c r="B4748" t="s">
        <v>10479</v>
      </c>
      <c r="C4748" t="s">
        <v>496</v>
      </c>
      <c r="D4748" t="s">
        <v>2360</v>
      </c>
      <c r="F4748">
        <v>10</v>
      </c>
      <c r="G4748" t="s">
        <v>16</v>
      </c>
      <c r="H4748">
        <v>0</v>
      </c>
      <c r="I4748" s="2" t="s">
        <v>6855</v>
      </c>
      <c r="J4748" s="2">
        <v>14033</v>
      </c>
      <c r="K4748">
        <v>20</v>
      </c>
      <c r="L4748">
        <v>20</v>
      </c>
      <c r="M4748">
        <v>20</v>
      </c>
    </row>
    <row r="4749" spans="1:13" x14ac:dyDescent="0.25">
      <c r="A4749" t="s">
        <v>10482</v>
      </c>
      <c r="B4749" t="s">
        <v>10479</v>
      </c>
      <c r="C4749" t="s">
        <v>496</v>
      </c>
      <c r="D4749" t="s">
        <v>2360</v>
      </c>
      <c r="G4749" t="s">
        <v>16</v>
      </c>
      <c r="H4749">
        <v>0</v>
      </c>
      <c r="I4749" s="2" t="s">
        <v>5249</v>
      </c>
      <c r="J4749" s="2" t="s">
        <v>10483</v>
      </c>
      <c r="K4749">
        <v>20</v>
      </c>
      <c r="L4749">
        <v>20</v>
      </c>
      <c r="M4749">
        <v>20</v>
      </c>
    </row>
    <row r="4750" spans="1:13" x14ac:dyDescent="0.25">
      <c r="A4750" t="s">
        <v>10484</v>
      </c>
      <c r="B4750" t="s">
        <v>10479</v>
      </c>
      <c r="C4750" t="s">
        <v>496</v>
      </c>
      <c r="D4750" t="s">
        <v>2360</v>
      </c>
      <c r="G4750" t="s">
        <v>16</v>
      </c>
      <c r="H4750">
        <v>0</v>
      </c>
      <c r="I4750" s="2" t="s">
        <v>64</v>
      </c>
      <c r="J4750" s="2">
        <v>10010178</v>
      </c>
      <c r="K4750">
        <v>20</v>
      </c>
      <c r="L4750">
        <v>20</v>
      </c>
      <c r="M4750">
        <v>20</v>
      </c>
    </row>
    <row r="4751" spans="1:13" x14ac:dyDescent="0.25">
      <c r="A4751" t="s">
        <v>10485</v>
      </c>
      <c r="B4751" t="s">
        <v>10479</v>
      </c>
      <c r="C4751" t="s">
        <v>496</v>
      </c>
      <c r="D4751" t="s">
        <v>2360</v>
      </c>
      <c r="F4751">
        <v>2</v>
      </c>
      <c r="G4751" t="s">
        <v>16</v>
      </c>
      <c r="H4751">
        <v>0</v>
      </c>
      <c r="I4751" s="2" t="s">
        <v>245</v>
      </c>
      <c r="J4751" s="2" t="s">
        <v>10486</v>
      </c>
      <c r="K4751">
        <v>20</v>
      </c>
      <c r="L4751">
        <v>20</v>
      </c>
      <c r="M4751">
        <v>20</v>
      </c>
    </row>
    <row r="4752" spans="1:13" x14ac:dyDescent="0.25">
      <c r="A4752" t="s">
        <v>10487</v>
      </c>
      <c r="B4752" t="s">
        <v>10488</v>
      </c>
      <c r="C4752" t="s">
        <v>2493</v>
      </c>
      <c r="D4752" t="s">
        <v>2360</v>
      </c>
      <c r="F4752">
        <v>1</v>
      </c>
      <c r="G4752" t="s">
        <v>16</v>
      </c>
      <c r="H4752">
        <v>0</v>
      </c>
      <c r="I4752" s="2" t="s">
        <v>408</v>
      </c>
      <c r="J4752" s="2" t="s">
        <v>10489</v>
      </c>
      <c r="K4752">
        <v>20</v>
      </c>
      <c r="L4752">
        <v>20</v>
      </c>
      <c r="M4752">
        <v>20</v>
      </c>
    </row>
    <row r="4753" spans="1:13" x14ac:dyDescent="0.25">
      <c r="A4753" t="s">
        <v>10490</v>
      </c>
      <c r="B4753" t="s">
        <v>10491</v>
      </c>
      <c r="C4753" t="s">
        <v>496</v>
      </c>
      <c r="D4753" t="s">
        <v>2360</v>
      </c>
      <c r="F4753">
        <v>15</v>
      </c>
      <c r="G4753" t="s">
        <v>16</v>
      </c>
      <c r="H4753">
        <v>0</v>
      </c>
      <c r="I4753" s="2" t="s">
        <v>6855</v>
      </c>
      <c r="J4753" s="2">
        <v>14029</v>
      </c>
      <c r="K4753">
        <v>20</v>
      </c>
      <c r="L4753">
        <v>20</v>
      </c>
      <c r="M4753">
        <v>20</v>
      </c>
    </row>
    <row r="4754" spans="1:13" x14ac:dyDescent="0.25">
      <c r="A4754" t="s">
        <v>10492</v>
      </c>
      <c r="B4754" t="s">
        <v>10491</v>
      </c>
      <c r="C4754" t="s">
        <v>496</v>
      </c>
      <c r="D4754" t="s">
        <v>2360</v>
      </c>
      <c r="F4754">
        <v>0</v>
      </c>
      <c r="G4754" t="s">
        <v>16</v>
      </c>
      <c r="H4754">
        <v>0</v>
      </c>
      <c r="I4754" s="2" t="s">
        <v>64</v>
      </c>
      <c r="J4754" s="2">
        <v>10010127</v>
      </c>
      <c r="K4754">
        <v>20</v>
      </c>
      <c r="L4754">
        <v>20</v>
      </c>
      <c r="M4754">
        <v>20</v>
      </c>
    </row>
    <row r="4755" spans="1:13" x14ac:dyDescent="0.25">
      <c r="A4755" t="s">
        <v>10493</v>
      </c>
      <c r="B4755" t="s">
        <v>10491</v>
      </c>
      <c r="C4755" t="s">
        <v>496</v>
      </c>
      <c r="D4755" t="s">
        <v>2360</v>
      </c>
      <c r="F4755">
        <v>0</v>
      </c>
      <c r="G4755" t="s">
        <v>16</v>
      </c>
      <c r="H4755">
        <v>0</v>
      </c>
      <c r="I4755" s="2" t="s">
        <v>6907</v>
      </c>
      <c r="J4755" s="2">
        <v>314507</v>
      </c>
      <c r="K4755">
        <v>20</v>
      </c>
      <c r="L4755">
        <v>20</v>
      </c>
      <c r="M4755">
        <v>20</v>
      </c>
    </row>
    <row r="4756" spans="1:13" x14ac:dyDescent="0.25">
      <c r="A4756" t="s">
        <v>10494</v>
      </c>
      <c r="B4756" t="s">
        <v>10491</v>
      </c>
      <c r="C4756" t="s">
        <v>496</v>
      </c>
      <c r="D4756" t="s">
        <v>2360</v>
      </c>
      <c r="F4756">
        <v>6</v>
      </c>
      <c r="G4756" t="s">
        <v>16</v>
      </c>
      <c r="H4756">
        <v>0</v>
      </c>
      <c r="I4756" s="2" t="s">
        <v>245</v>
      </c>
      <c r="J4756" s="2" t="s">
        <v>10495</v>
      </c>
      <c r="K4756">
        <v>20</v>
      </c>
      <c r="L4756">
        <v>20</v>
      </c>
      <c r="M4756">
        <v>20</v>
      </c>
    </row>
    <row r="4757" spans="1:13" x14ac:dyDescent="0.25">
      <c r="A4757" t="s">
        <v>10496</v>
      </c>
      <c r="B4757" t="s">
        <v>10497</v>
      </c>
      <c r="C4757" t="s">
        <v>496</v>
      </c>
      <c r="D4757" t="s">
        <v>2360</v>
      </c>
      <c r="F4757">
        <v>0</v>
      </c>
      <c r="G4757" t="s">
        <v>16</v>
      </c>
      <c r="H4757">
        <v>0</v>
      </c>
      <c r="I4757" s="2" t="s">
        <v>737</v>
      </c>
      <c r="J4757" s="2" t="s">
        <v>10498</v>
      </c>
      <c r="K4757">
        <v>20</v>
      </c>
      <c r="L4757">
        <v>20</v>
      </c>
      <c r="M4757">
        <v>20</v>
      </c>
    </row>
    <row r="4758" spans="1:13" x14ac:dyDescent="0.25">
      <c r="A4758" t="s">
        <v>10499</v>
      </c>
      <c r="B4758" t="s">
        <v>10500</v>
      </c>
      <c r="C4758" t="s">
        <v>496</v>
      </c>
      <c r="D4758" t="s">
        <v>2360</v>
      </c>
      <c r="F4758">
        <v>2</v>
      </c>
      <c r="G4758" t="s">
        <v>16</v>
      </c>
      <c r="H4758">
        <v>0</v>
      </c>
      <c r="I4758" s="2" t="s">
        <v>7189</v>
      </c>
      <c r="J4758" s="2" t="s">
        <v>10501</v>
      </c>
      <c r="K4758">
        <v>20</v>
      </c>
      <c r="L4758">
        <v>20</v>
      </c>
      <c r="M4758">
        <v>20</v>
      </c>
    </row>
    <row r="4759" spans="1:13" x14ac:dyDescent="0.25">
      <c r="A4759" t="s">
        <v>10502</v>
      </c>
      <c r="B4759" t="s">
        <v>10503</v>
      </c>
      <c r="C4759" t="s">
        <v>496</v>
      </c>
      <c r="D4759" t="s">
        <v>2360</v>
      </c>
      <c r="F4759">
        <v>1</v>
      </c>
      <c r="G4759" t="s">
        <v>16</v>
      </c>
      <c r="H4759">
        <v>0</v>
      </c>
      <c r="I4759" s="2" t="s">
        <v>7114</v>
      </c>
      <c r="J4759" s="2">
        <v>2030</v>
      </c>
      <c r="K4759">
        <v>20</v>
      </c>
      <c r="L4759">
        <v>20</v>
      </c>
      <c r="M4759">
        <v>20</v>
      </c>
    </row>
    <row r="4760" spans="1:13" x14ac:dyDescent="0.25">
      <c r="A4760" t="s">
        <v>10504</v>
      </c>
      <c r="B4760" t="s">
        <v>10500</v>
      </c>
      <c r="C4760" t="s">
        <v>496</v>
      </c>
      <c r="D4760" t="s">
        <v>2360</v>
      </c>
      <c r="F4760">
        <v>1</v>
      </c>
      <c r="G4760" t="s">
        <v>16</v>
      </c>
      <c r="H4760">
        <v>0</v>
      </c>
      <c r="I4760" s="2" t="s">
        <v>10505</v>
      </c>
      <c r="J4760" s="2">
        <v>9128</v>
      </c>
      <c r="K4760">
        <v>20</v>
      </c>
      <c r="L4760">
        <v>20</v>
      </c>
      <c r="M4760">
        <v>20</v>
      </c>
    </row>
    <row r="4761" spans="1:13" x14ac:dyDescent="0.25">
      <c r="A4761" t="s">
        <v>10506</v>
      </c>
      <c r="B4761" t="s">
        <v>10500</v>
      </c>
      <c r="C4761" t="s">
        <v>496</v>
      </c>
      <c r="D4761" t="s">
        <v>2360</v>
      </c>
      <c r="F4761">
        <v>1</v>
      </c>
      <c r="G4761" t="s">
        <v>16</v>
      </c>
      <c r="H4761">
        <v>0</v>
      </c>
      <c r="I4761" s="2" t="s">
        <v>245</v>
      </c>
      <c r="J4761" s="2" t="s">
        <v>10507</v>
      </c>
      <c r="K4761">
        <v>20</v>
      </c>
      <c r="L4761">
        <v>20</v>
      </c>
      <c r="M4761">
        <v>20</v>
      </c>
    </row>
    <row r="4762" spans="1:13" x14ac:dyDescent="0.25">
      <c r="A4762" t="s">
        <v>10508</v>
      </c>
      <c r="B4762" t="s">
        <v>10500</v>
      </c>
      <c r="C4762" t="s">
        <v>496</v>
      </c>
      <c r="D4762" t="s">
        <v>2360</v>
      </c>
      <c r="F4762">
        <v>1</v>
      </c>
      <c r="G4762" t="s">
        <v>16</v>
      </c>
      <c r="H4762">
        <v>0</v>
      </c>
      <c r="I4762" s="2" t="s">
        <v>408</v>
      </c>
      <c r="J4762" s="2" t="s">
        <v>10509</v>
      </c>
      <c r="K4762">
        <v>20</v>
      </c>
      <c r="L4762">
        <v>20</v>
      </c>
      <c r="M4762">
        <v>20</v>
      </c>
    </row>
    <row r="4763" spans="1:13" x14ac:dyDescent="0.25">
      <c r="A4763" t="s">
        <v>10510</v>
      </c>
      <c r="B4763" t="s">
        <v>10500</v>
      </c>
      <c r="C4763" t="s">
        <v>2493</v>
      </c>
      <c r="D4763" t="s">
        <v>2360</v>
      </c>
      <c r="G4763" t="s">
        <v>16</v>
      </c>
      <c r="H4763">
        <v>0</v>
      </c>
      <c r="I4763" s="2" t="s">
        <v>737</v>
      </c>
      <c r="J4763" s="2" t="s">
        <v>10511</v>
      </c>
      <c r="K4763">
        <v>20</v>
      </c>
      <c r="L4763">
        <v>20</v>
      </c>
      <c r="M4763">
        <v>20</v>
      </c>
    </row>
    <row r="4764" spans="1:13" x14ac:dyDescent="0.25">
      <c r="A4764" t="s">
        <v>10512</v>
      </c>
      <c r="B4764" t="s">
        <v>10513</v>
      </c>
      <c r="C4764" t="s">
        <v>496</v>
      </c>
      <c r="D4764" t="s">
        <v>2360</v>
      </c>
      <c r="F4764">
        <v>1</v>
      </c>
      <c r="G4764" t="s">
        <v>16</v>
      </c>
      <c r="H4764">
        <v>0</v>
      </c>
      <c r="I4764" s="2" t="s">
        <v>8500</v>
      </c>
      <c r="J4764" s="2" t="s">
        <v>10514</v>
      </c>
      <c r="K4764">
        <v>20</v>
      </c>
      <c r="L4764">
        <v>20</v>
      </c>
      <c r="M4764">
        <v>20</v>
      </c>
    </row>
    <row r="4765" spans="1:13" x14ac:dyDescent="0.25">
      <c r="A4765" t="s">
        <v>10515</v>
      </c>
      <c r="B4765" t="s">
        <v>10513</v>
      </c>
      <c r="C4765" t="s">
        <v>496</v>
      </c>
      <c r="D4765" t="s">
        <v>2360</v>
      </c>
      <c r="F4765">
        <v>2</v>
      </c>
      <c r="G4765" t="s">
        <v>16</v>
      </c>
      <c r="H4765">
        <v>0</v>
      </c>
      <c r="I4765" s="2" t="s">
        <v>7189</v>
      </c>
      <c r="J4765" s="2" t="s">
        <v>10516</v>
      </c>
      <c r="K4765">
        <v>20</v>
      </c>
      <c r="L4765">
        <v>20</v>
      </c>
      <c r="M4765">
        <v>20</v>
      </c>
    </row>
    <row r="4766" spans="1:13" x14ac:dyDescent="0.25">
      <c r="A4766" t="s">
        <v>10517</v>
      </c>
      <c r="B4766" t="s">
        <v>10518</v>
      </c>
      <c r="C4766" t="s">
        <v>496</v>
      </c>
      <c r="D4766" t="s">
        <v>2360</v>
      </c>
      <c r="F4766">
        <v>2</v>
      </c>
      <c r="G4766" t="s">
        <v>16</v>
      </c>
      <c r="H4766">
        <v>0</v>
      </c>
      <c r="I4766" s="2" t="s">
        <v>7114</v>
      </c>
      <c r="J4766" s="2">
        <v>2031</v>
      </c>
      <c r="K4766">
        <v>20</v>
      </c>
      <c r="L4766">
        <v>20</v>
      </c>
      <c r="M4766">
        <v>20</v>
      </c>
    </row>
    <row r="4767" spans="1:13" x14ac:dyDescent="0.25">
      <c r="A4767" t="s">
        <v>10519</v>
      </c>
      <c r="B4767" t="s">
        <v>10513</v>
      </c>
      <c r="C4767" t="s">
        <v>2493</v>
      </c>
      <c r="D4767" t="s">
        <v>2360</v>
      </c>
      <c r="G4767" t="s">
        <v>16</v>
      </c>
      <c r="H4767">
        <v>0</v>
      </c>
      <c r="I4767" s="2" t="s">
        <v>245</v>
      </c>
      <c r="J4767" s="2" t="s">
        <v>10520</v>
      </c>
      <c r="K4767">
        <v>20</v>
      </c>
      <c r="L4767">
        <v>20</v>
      </c>
      <c r="M4767">
        <v>20</v>
      </c>
    </row>
    <row r="4768" spans="1:13" x14ac:dyDescent="0.25">
      <c r="A4768" t="s">
        <v>10521</v>
      </c>
      <c r="B4768" t="s">
        <v>10513</v>
      </c>
      <c r="C4768" t="s">
        <v>496</v>
      </c>
      <c r="D4768" t="s">
        <v>2360</v>
      </c>
      <c r="F4768">
        <v>1</v>
      </c>
      <c r="G4768" t="s">
        <v>16</v>
      </c>
      <c r="H4768">
        <v>0</v>
      </c>
      <c r="I4768" s="2" t="s">
        <v>408</v>
      </c>
      <c r="J4768" s="2" t="s">
        <v>10522</v>
      </c>
      <c r="K4768">
        <v>20</v>
      </c>
      <c r="L4768">
        <v>20</v>
      </c>
      <c r="M4768">
        <v>20</v>
      </c>
    </row>
    <row r="4769" spans="1:13" x14ac:dyDescent="0.25">
      <c r="A4769" t="s">
        <v>10523</v>
      </c>
      <c r="B4769" t="s">
        <v>10513</v>
      </c>
      <c r="C4769" t="s">
        <v>2493</v>
      </c>
      <c r="D4769" t="s">
        <v>2360</v>
      </c>
      <c r="G4769" t="s">
        <v>16</v>
      </c>
      <c r="H4769">
        <v>0</v>
      </c>
      <c r="I4769" s="2" t="s">
        <v>737</v>
      </c>
      <c r="J4769" s="2" t="s">
        <v>10524</v>
      </c>
      <c r="K4769">
        <v>20</v>
      </c>
      <c r="L4769">
        <v>20</v>
      </c>
      <c r="M4769">
        <v>20</v>
      </c>
    </row>
    <row r="4770" spans="1:13" x14ac:dyDescent="0.25">
      <c r="A4770" t="s">
        <v>10525</v>
      </c>
      <c r="B4770" t="s">
        <v>10526</v>
      </c>
      <c r="C4770" t="s">
        <v>496</v>
      </c>
      <c r="D4770" t="s">
        <v>2360</v>
      </c>
      <c r="F4770">
        <v>2</v>
      </c>
      <c r="G4770" t="s">
        <v>16</v>
      </c>
      <c r="H4770">
        <v>0</v>
      </c>
      <c r="I4770" s="2" t="s">
        <v>6855</v>
      </c>
      <c r="J4770" s="2" t="s">
        <v>10527</v>
      </c>
      <c r="K4770">
        <v>20</v>
      </c>
      <c r="L4770">
        <v>20</v>
      </c>
      <c r="M4770">
        <v>20</v>
      </c>
    </row>
    <row r="4771" spans="1:13" x14ac:dyDescent="0.25">
      <c r="A4771" t="s">
        <v>10528</v>
      </c>
      <c r="B4771" t="s">
        <v>10529</v>
      </c>
      <c r="C4771" t="s">
        <v>496</v>
      </c>
      <c r="D4771" t="s">
        <v>2360</v>
      </c>
      <c r="F4771">
        <v>2</v>
      </c>
      <c r="G4771" t="s">
        <v>16</v>
      </c>
      <c r="H4771">
        <v>0</v>
      </c>
      <c r="I4771" s="2" t="s">
        <v>245</v>
      </c>
      <c r="J4771" s="2" t="s">
        <v>10530</v>
      </c>
      <c r="K4771">
        <v>20</v>
      </c>
      <c r="L4771">
        <v>20</v>
      </c>
      <c r="M4771">
        <v>20</v>
      </c>
    </row>
    <row r="4772" spans="1:13" x14ac:dyDescent="0.25">
      <c r="A4772" t="s">
        <v>10531</v>
      </c>
      <c r="B4772" t="s">
        <v>10532</v>
      </c>
      <c r="C4772" t="s">
        <v>496</v>
      </c>
      <c r="D4772" t="s">
        <v>2360</v>
      </c>
      <c r="F4772">
        <v>2</v>
      </c>
      <c r="G4772" t="s">
        <v>16</v>
      </c>
      <c r="H4772">
        <v>0</v>
      </c>
      <c r="I4772" s="2" t="s">
        <v>2300</v>
      </c>
      <c r="J4772" s="2" t="s">
        <v>10533</v>
      </c>
      <c r="K4772">
        <v>20</v>
      </c>
      <c r="L4772">
        <v>20</v>
      </c>
      <c r="M4772">
        <v>20</v>
      </c>
    </row>
    <row r="4773" spans="1:13" x14ac:dyDescent="0.25">
      <c r="A4773" t="s">
        <v>10534</v>
      </c>
      <c r="B4773" t="s">
        <v>10535</v>
      </c>
      <c r="C4773" t="s">
        <v>496</v>
      </c>
      <c r="D4773" t="s">
        <v>2360</v>
      </c>
      <c r="F4773">
        <v>2</v>
      </c>
      <c r="G4773" t="s">
        <v>16</v>
      </c>
      <c r="H4773">
        <v>0</v>
      </c>
      <c r="I4773" s="2" t="s">
        <v>87</v>
      </c>
      <c r="J4773" s="2" t="s">
        <v>10536</v>
      </c>
      <c r="K4773">
        <v>20</v>
      </c>
      <c r="L4773">
        <v>20</v>
      </c>
      <c r="M4773">
        <v>20</v>
      </c>
    </row>
    <row r="4774" spans="1:13" x14ac:dyDescent="0.25">
      <c r="A4774" t="s">
        <v>10537</v>
      </c>
      <c r="B4774" t="s">
        <v>10538</v>
      </c>
      <c r="C4774" t="s">
        <v>496</v>
      </c>
      <c r="D4774" t="s">
        <v>2360</v>
      </c>
      <c r="F4774">
        <v>6</v>
      </c>
      <c r="G4774" t="s">
        <v>16</v>
      </c>
      <c r="H4774">
        <v>0</v>
      </c>
      <c r="I4774" s="2" t="s">
        <v>87</v>
      </c>
      <c r="J4774" s="2" t="s">
        <v>10539</v>
      </c>
      <c r="K4774">
        <v>20</v>
      </c>
      <c r="L4774">
        <v>20</v>
      </c>
      <c r="M4774">
        <v>20</v>
      </c>
    </row>
    <row r="4775" spans="1:13" x14ac:dyDescent="0.25">
      <c r="A4775" t="s">
        <v>10540</v>
      </c>
      <c r="B4775" t="s">
        <v>10538</v>
      </c>
      <c r="C4775" t="s">
        <v>2493</v>
      </c>
      <c r="G4775" t="s">
        <v>16</v>
      </c>
      <c r="H4775">
        <v>0</v>
      </c>
      <c r="I4775" s="2" t="s">
        <v>2533</v>
      </c>
      <c r="J4775" s="2" t="s">
        <v>10541</v>
      </c>
      <c r="K4775">
        <v>20</v>
      </c>
      <c r="L4775">
        <v>20</v>
      </c>
      <c r="M4775">
        <v>20</v>
      </c>
    </row>
    <row r="4776" spans="1:13" x14ac:dyDescent="0.25">
      <c r="A4776" t="s">
        <v>10542</v>
      </c>
      <c r="B4776" t="s">
        <v>10538</v>
      </c>
      <c r="C4776" t="s">
        <v>496</v>
      </c>
      <c r="D4776" t="s">
        <v>2360</v>
      </c>
      <c r="F4776">
        <v>4</v>
      </c>
      <c r="G4776" t="s">
        <v>16</v>
      </c>
      <c r="H4776">
        <v>0</v>
      </c>
      <c r="I4776" s="2" t="s">
        <v>3286</v>
      </c>
      <c r="J4776" s="2" t="s">
        <v>10543</v>
      </c>
      <c r="K4776">
        <v>20</v>
      </c>
      <c r="L4776">
        <v>20</v>
      </c>
      <c r="M4776">
        <v>20</v>
      </c>
    </row>
    <row r="4777" spans="1:13" x14ac:dyDescent="0.25">
      <c r="A4777" t="s">
        <v>10544</v>
      </c>
      <c r="B4777" t="s">
        <v>10538</v>
      </c>
      <c r="C4777" t="s">
        <v>496</v>
      </c>
      <c r="F4777">
        <v>4</v>
      </c>
      <c r="G4777" t="s">
        <v>16</v>
      </c>
      <c r="H4777">
        <v>0</v>
      </c>
      <c r="I4777" s="2" t="s">
        <v>108</v>
      </c>
      <c r="J4777" s="3">
        <v>2561215018</v>
      </c>
      <c r="K4777">
        <v>20</v>
      </c>
      <c r="L4777">
        <v>20</v>
      </c>
      <c r="M4777">
        <v>20</v>
      </c>
    </row>
    <row r="4778" spans="1:13" x14ac:dyDescent="0.25">
      <c r="A4778" t="s">
        <v>10545</v>
      </c>
      <c r="B4778" t="s">
        <v>10538</v>
      </c>
      <c r="C4778" t="s">
        <v>496</v>
      </c>
      <c r="G4778" t="s">
        <v>16</v>
      </c>
      <c r="H4778">
        <v>0</v>
      </c>
      <c r="I4778" s="2" t="s">
        <v>5040</v>
      </c>
      <c r="J4778" s="2" t="str">
        <f>"04-01304"</f>
        <v>04-01304</v>
      </c>
      <c r="K4778">
        <v>20</v>
      </c>
      <c r="L4778">
        <v>20</v>
      </c>
      <c r="M4778">
        <v>20</v>
      </c>
    </row>
    <row r="4779" spans="1:13" x14ac:dyDescent="0.25">
      <c r="A4779" t="s">
        <v>10546</v>
      </c>
      <c r="B4779" t="s">
        <v>10547</v>
      </c>
      <c r="C4779" t="s">
        <v>496</v>
      </c>
      <c r="D4779" t="s">
        <v>2360</v>
      </c>
      <c r="F4779">
        <v>2</v>
      </c>
      <c r="G4779" t="s">
        <v>16</v>
      </c>
      <c r="H4779">
        <v>0</v>
      </c>
      <c r="I4779" s="2" t="s">
        <v>8864</v>
      </c>
      <c r="J4779" s="2" t="s">
        <v>10548</v>
      </c>
      <c r="K4779">
        <v>20</v>
      </c>
      <c r="L4779">
        <v>20</v>
      </c>
      <c r="M4779">
        <v>20</v>
      </c>
    </row>
    <row r="4780" spans="1:13" x14ac:dyDescent="0.25">
      <c r="A4780" t="s">
        <v>10549</v>
      </c>
      <c r="B4780" t="s">
        <v>10538</v>
      </c>
      <c r="C4780" t="s">
        <v>496</v>
      </c>
      <c r="D4780" t="s">
        <v>2360</v>
      </c>
      <c r="F4780">
        <v>2</v>
      </c>
      <c r="G4780" t="s">
        <v>16</v>
      </c>
      <c r="H4780">
        <v>0</v>
      </c>
      <c r="I4780" s="2" t="s">
        <v>64</v>
      </c>
      <c r="J4780" s="2">
        <v>13040150</v>
      </c>
      <c r="K4780">
        <v>20</v>
      </c>
      <c r="L4780">
        <v>20</v>
      </c>
      <c r="M4780">
        <v>20</v>
      </c>
    </row>
    <row r="4781" spans="1:13" x14ac:dyDescent="0.25">
      <c r="A4781" t="s">
        <v>10550</v>
      </c>
      <c r="B4781" t="s">
        <v>10538</v>
      </c>
      <c r="C4781" t="s">
        <v>496</v>
      </c>
      <c r="D4781" t="s">
        <v>2360</v>
      </c>
      <c r="F4781">
        <v>2</v>
      </c>
      <c r="G4781" t="s">
        <v>16</v>
      </c>
      <c r="H4781">
        <v>0</v>
      </c>
      <c r="I4781" s="2" t="s">
        <v>4086</v>
      </c>
      <c r="J4781" s="2" t="str">
        <f>"00912"</f>
        <v>00912</v>
      </c>
      <c r="K4781">
        <v>20</v>
      </c>
      <c r="L4781">
        <v>20</v>
      </c>
      <c r="M4781">
        <v>20</v>
      </c>
    </row>
    <row r="4782" spans="1:13" x14ac:dyDescent="0.25">
      <c r="A4782" t="s">
        <v>10551</v>
      </c>
      <c r="B4782" t="s">
        <v>10538</v>
      </c>
      <c r="C4782" t="s">
        <v>496</v>
      </c>
      <c r="D4782" t="s">
        <v>2360</v>
      </c>
      <c r="F4782">
        <v>2</v>
      </c>
      <c r="G4782" t="s">
        <v>16</v>
      </c>
      <c r="H4782">
        <v>0</v>
      </c>
      <c r="I4782" s="2" t="s">
        <v>266</v>
      </c>
      <c r="J4782" s="2" t="s">
        <v>10552</v>
      </c>
      <c r="K4782">
        <v>20</v>
      </c>
      <c r="L4782">
        <v>20</v>
      </c>
      <c r="M4782">
        <v>20</v>
      </c>
    </row>
    <row r="4783" spans="1:13" x14ac:dyDescent="0.25">
      <c r="A4783" t="s">
        <v>10553</v>
      </c>
      <c r="B4783" t="s">
        <v>10538</v>
      </c>
      <c r="C4783" t="s">
        <v>496</v>
      </c>
      <c r="D4783" t="s">
        <v>2360</v>
      </c>
      <c r="F4783">
        <v>4</v>
      </c>
      <c r="G4783" t="s">
        <v>16</v>
      </c>
      <c r="H4783">
        <v>0</v>
      </c>
      <c r="I4783" s="2" t="s">
        <v>4214</v>
      </c>
      <c r="J4783" s="2" t="s">
        <v>10554</v>
      </c>
      <c r="K4783">
        <v>20</v>
      </c>
      <c r="L4783">
        <v>20</v>
      </c>
      <c r="M4783">
        <v>20</v>
      </c>
    </row>
    <row r="4784" spans="1:13" x14ac:dyDescent="0.25">
      <c r="A4784" t="s">
        <v>10555</v>
      </c>
      <c r="B4784" t="s">
        <v>10556</v>
      </c>
      <c r="C4784" t="s">
        <v>496</v>
      </c>
      <c r="D4784" t="s">
        <v>2360</v>
      </c>
      <c r="F4784">
        <v>2</v>
      </c>
      <c r="G4784" t="s">
        <v>16</v>
      </c>
      <c r="H4784">
        <v>0</v>
      </c>
      <c r="I4784" s="2" t="s">
        <v>87</v>
      </c>
      <c r="J4784" s="2" t="s">
        <v>10557</v>
      </c>
      <c r="K4784">
        <v>20</v>
      </c>
      <c r="L4784">
        <v>20</v>
      </c>
      <c r="M4784">
        <v>20</v>
      </c>
    </row>
    <row r="4785" spans="1:13" x14ac:dyDescent="0.25">
      <c r="A4785" t="s">
        <v>10558</v>
      </c>
      <c r="B4785" t="s">
        <v>10559</v>
      </c>
      <c r="C4785" t="s">
        <v>496</v>
      </c>
      <c r="D4785" t="s">
        <v>2360</v>
      </c>
      <c r="F4785">
        <v>10</v>
      </c>
      <c r="G4785" t="s">
        <v>16</v>
      </c>
      <c r="H4785">
        <v>0</v>
      </c>
      <c r="I4785" s="2" t="s">
        <v>87</v>
      </c>
      <c r="J4785" s="2" t="s">
        <v>10560</v>
      </c>
      <c r="K4785">
        <v>20</v>
      </c>
      <c r="L4785">
        <v>20</v>
      </c>
      <c r="M4785">
        <v>20</v>
      </c>
    </row>
    <row r="4786" spans="1:13" x14ac:dyDescent="0.25">
      <c r="A4786" t="s">
        <v>10561</v>
      </c>
      <c r="B4786" t="s">
        <v>10559</v>
      </c>
      <c r="C4786" t="s">
        <v>496</v>
      </c>
      <c r="F4786">
        <v>16</v>
      </c>
      <c r="G4786" t="s">
        <v>16</v>
      </c>
      <c r="H4786">
        <v>0</v>
      </c>
      <c r="I4786" s="2" t="s">
        <v>2533</v>
      </c>
      <c r="J4786" s="2" t="s">
        <v>10562</v>
      </c>
      <c r="K4786">
        <v>20</v>
      </c>
      <c r="L4786">
        <v>20</v>
      </c>
      <c r="M4786">
        <v>20</v>
      </c>
    </row>
    <row r="4787" spans="1:13" x14ac:dyDescent="0.25">
      <c r="A4787" t="s">
        <v>10563</v>
      </c>
      <c r="B4787" t="s">
        <v>10564</v>
      </c>
      <c r="C4787" t="s">
        <v>496</v>
      </c>
      <c r="D4787" t="s">
        <v>2360</v>
      </c>
      <c r="F4787">
        <v>4</v>
      </c>
      <c r="G4787" t="s">
        <v>16</v>
      </c>
      <c r="H4787">
        <v>0</v>
      </c>
      <c r="I4787" s="2" t="s">
        <v>5528</v>
      </c>
      <c r="J4787" s="2" t="s">
        <v>10565</v>
      </c>
      <c r="K4787">
        <v>20</v>
      </c>
      <c r="L4787">
        <v>20</v>
      </c>
      <c r="M4787">
        <v>20</v>
      </c>
    </row>
    <row r="4788" spans="1:13" x14ac:dyDescent="0.25">
      <c r="A4788" t="s">
        <v>10566</v>
      </c>
      <c r="B4788" t="s">
        <v>10559</v>
      </c>
      <c r="C4788" t="s">
        <v>496</v>
      </c>
      <c r="D4788" t="s">
        <v>2360</v>
      </c>
      <c r="F4788">
        <v>6</v>
      </c>
      <c r="G4788" t="s">
        <v>16</v>
      </c>
      <c r="H4788">
        <v>0</v>
      </c>
      <c r="I4788" s="2" t="s">
        <v>108</v>
      </c>
      <c r="J4788" s="3">
        <v>2541215006</v>
      </c>
      <c r="K4788">
        <v>20</v>
      </c>
      <c r="L4788">
        <v>20</v>
      </c>
      <c r="M4788">
        <v>20</v>
      </c>
    </row>
    <row r="4789" spans="1:13" x14ac:dyDescent="0.25">
      <c r="A4789" t="s">
        <v>10567</v>
      </c>
      <c r="B4789" t="s">
        <v>10568</v>
      </c>
      <c r="C4789" t="s">
        <v>496</v>
      </c>
      <c r="D4789" t="s">
        <v>2360</v>
      </c>
      <c r="F4789">
        <v>3</v>
      </c>
      <c r="G4789" t="s">
        <v>16</v>
      </c>
      <c r="H4789">
        <v>0</v>
      </c>
      <c r="I4789" s="2" t="s">
        <v>64</v>
      </c>
      <c r="J4789" s="2">
        <v>13040043</v>
      </c>
      <c r="K4789">
        <v>20</v>
      </c>
      <c r="L4789">
        <v>20</v>
      </c>
      <c r="M4789">
        <v>20</v>
      </c>
    </row>
    <row r="4790" spans="1:13" x14ac:dyDescent="0.25">
      <c r="A4790" t="s">
        <v>10569</v>
      </c>
      <c r="B4790" t="s">
        <v>10559</v>
      </c>
      <c r="C4790" t="s">
        <v>496</v>
      </c>
      <c r="F4790">
        <v>4</v>
      </c>
      <c r="G4790" t="s">
        <v>16</v>
      </c>
      <c r="H4790">
        <v>0</v>
      </c>
      <c r="I4790" s="2" t="s">
        <v>4086</v>
      </c>
      <c r="J4790" s="2" t="str">
        <f>"00914"</f>
        <v>00914</v>
      </c>
      <c r="K4790">
        <v>20</v>
      </c>
      <c r="L4790">
        <v>20</v>
      </c>
      <c r="M4790">
        <v>20</v>
      </c>
    </row>
    <row r="4791" spans="1:13" x14ac:dyDescent="0.25">
      <c r="A4791" t="s">
        <v>10570</v>
      </c>
      <c r="B4791" t="s">
        <v>10564</v>
      </c>
      <c r="C4791" t="s">
        <v>496</v>
      </c>
      <c r="D4791" t="s">
        <v>2360</v>
      </c>
      <c r="F4791">
        <v>0</v>
      </c>
      <c r="G4791" t="s">
        <v>16</v>
      </c>
      <c r="H4791">
        <v>0</v>
      </c>
      <c r="I4791" s="2" t="s">
        <v>5180</v>
      </c>
      <c r="J4791" s="2" t="s">
        <v>10571</v>
      </c>
      <c r="K4791">
        <v>20</v>
      </c>
      <c r="L4791">
        <v>20</v>
      </c>
      <c r="M4791">
        <v>20</v>
      </c>
    </row>
    <row r="4792" spans="1:13" x14ac:dyDescent="0.25">
      <c r="A4792" t="s">
        <v>10572</v>
      </c>
      <c r="B4792" t="s">
        <v>10559</v>
      </c>
      <c r="C4792" t="s">
        <v>496</v>
      </c>
      <c r="D4792" t="s">
        <v>2360</v>
      </c>
      <c r="F4792">
        <v>7</v>
      </c>
      <c r="G4792" t="s">
        <v>16</v>
      </c>
      <c r="H4792">
        <v>0</v>
      </c>
      <c r="I4792" s="2" t="s">
        <v>4214</v>
      </c>
      <c r="J4792" s="2" t="s">
        <v>10573</v>
      </c>
      <c r="K4792">
        <v>20</v>
      </c>
      <c r="L4792">
        <v>20</v>
      </c>
      <c r="M4792">
        <v>20</v>
      </c>
    </row>
    <row r="4793" spans="1:13" x14ac:dyDescent="0.25">
      <c r="A4793" t="s">
        <v>10574</v>
      </c>
      <c r="B4793" t="s">
        <v>10568</v>
      </c>
      <c r="C4793" t="s">
        <v>496</v>
      </c>
      <c r="D4793" t="s">
        <v>2360</v>
      </c>
      <c r="F4793">
        <v>4</v>
      </c>
      <c r="G4793" t="s">
        <v>16</v>
      </c>
      <c r="H4793">
        <v>0</v>
      </c>
      <c r="I4793" s="2" t="s">
        <v>5044</v>
      </c>
      <c r="J4793" s="2" t="s">
        <v>10575</v>
      </c>
      <c r="K4793">
        <v>20</v>
      </c>
      <c r="L4793">
        <v>20</v>
      </c>
      <c r="M4793">
        <v>20</v>
      </c>
    </row>
    <row r="4794" spans="1:13" x14ac:dyDescent="0.25">
      <c r="A4794" t="s">
        <v>10576</v>
      </c>
      <c r="B4794" t="s">
        <v>10559</v>
      </c>
      <c r="C4794" t="s">
        <v>2493</v>
      </c>
      <c r="F4794">
        <v>4</v>
      </c>
      <c r="G4794" t="s">
        <v>16</v>
      </c>
      <c r="H4794">
        <v>0</v>
      </c>
      <c r="K4794">
        <v>20</v>
      </c>
      <c r="L4794">
        <v>20</v>
      </c>
      <c r="M4794">
        <v>20</v>
      </c>
    </row>
    <row r="4795" spans="1:13" x14ac:dyDescent="0.25">
      <c r="A4795" t="s">
        <v>10577</v>
      </c>
      <c r="B4795" t="s">
        <v>10578</v>
      </c>
      <c r="C4795" t="s">
        <v>2493</v>
      </c>
      <c r="F4795">
        <v>2</v>
      </c>
      <c r="G4795" t="s">
        <v>16</v>
      </c>
      <c r="H4795">
        <v>0</v>
      </c>
      <c r="I4795" s="2" t="s">
        <v>108</v>
      </c>
      <c r="J4795" s="3">
        <v>2571215005</v>
      </c>
      <c r="K4795">
        <v>20</v>
      </c>
      <c r="L4795">
        <v>20</v>
      </c>
      <c r="M4795">
        <v>20</v>
      </c>
    </row>
    <row r="4796" spans="1:13" x14ac:dyDescent="0.25">
      <c r="A4796" t="s">
        <v>10579</v>
      </c>
      <c r="B4796" t="s">
        <v>10580</v>
      </c>
      <c r="C4796" t="s">
        <v>2493</v>
      </c>
      <c r="G4796" t="s">
        <v>16</v>
      </c>
      <c r="H4796">
        <v>0</v>
      </c>
      <c r="I4796" s="2" t="s">
        <v>5040</v>
      </c>
      <c r="J4796" s="2" t="s">
        <v>10581</v>
      </c>
      <c r="K4796">
        <v>20</v>
      </c>
      <c r="L4796">
        <v>20</v>
      </c>
      <c r="M4796">
        <v>20</v>
      </c>
    </row>
    <row r="4797" spans="1:13" x14ac:dyDescent="0.25">
      <c r="A4797" t="s">
        <v>10582</v>
      </c>
      <c r="B4797" t="s">
        <v>10583</v>
      </c>
      <c r="C4797" t="s">
        <v>496</v>
      </c>
      <c r="D4797" t="s">
        <v>2360</v>
      </c>
      <c r="F4797">
        <v>1</v>
      </c>
      <c r="G4797" t="s">
        <v>16</v>
      </c>
      <c r="H4797">
        <v>0</v>
      </c>
      <c r="I4797" s="2" t="s">
        <v>2533</v>
      </c>
      <c r="J4797" s="2" t="s">
        <v>10584</v>
      </c>
      <c r="K4797">
        <v>20</v>
      </c>
      <c r="L4797">
        <v>20</v>
      </c>
      <c r="M4797">
        <v>20</v>
      </c>
    </row>
    <row r="4798" spans="1:13" x14ac:dyDescent="0.25">
      <c r="A4798" t="s">
        <v>10585</v>
      </c>
      <c r="B4798" t="s">
        <v>10586</v>
      </c>
      <c r="C4798" t="s">
        <v>496</v>
      </c>
      <c r="D4798" t="s">
        <v>2360</v>
      </c>
      <c r="F4798">
        <v>1</v>
      </c>
      <c r="G4798" t="s">
        <v>16</v>
      </c>
      <c r="H4798">
        <v>0</v>
      </c>
      <c r="I4798" s="2" t="s">
        <v>2517</v>
      </c>
      <c r="J4798" s="2" t="s">
        <v>10587</v>
      </c>
      <c r="K4798">
        <v>20</v>
      </c>
      <c r="L4798">
        <v>20</v>
      </c>
      <c r="M4798">
        <v>20</v>
      </c>
    </row>
    <row r="4799" spans="1:13" x14ac:dyDescent="0.25">
      <c r="A4799" t="s">
        <v>10588</v>
      </c>
      <c r="B4799" t="s">
        <v>10589</v>
      </c>
      <c r="C4799" t="s">
        <v>496</v>
      </c>
      <c r="F4799">
        <v>8</v>
      </c>
      <c r="G4799" t="s">
        <v>16</v>
      </c>
      <c r="H4799">
        <v>0</v>
      </c>
      <c r="I4799" s="2" t="s">
        <v>2517</v>
      </c>
      <c r="J4799" s="2" t="s">
        <v>10590</v>
      </c>
      <c r="K4799">
        <v>20</v>
      </c>
      <c r="L4799">
        <v>20</v>
      </c>
      <c r="M4799">
        <v>20</v>
      </c>
    </row>
    <row r="4800" spans="1:13" x14ac:dyDescent="0.25">
      <c r="A4800" t="s">
        <v>10591</v>
      </c>
      <c r="B4800" t="s">
        <v>10589</v>
      </c>
      <c r="C4800" t="s">
        <v>496</v>
      </c>
      <c r="F4800">
        <v>6</v>
      </c>
      <c r="G4800" t="s">
        <v>16</v>
      </c>
      <c r="H4800">
        <v>0</v>
      </c>
      <c r="I4800" s="2" t="s">
        <v>6156</v>
      </c>
      <c r="J4800" s="3">
        <v>2551215004</v>
      </c>
      <c r="K4800">
        <v>20</v>
      </c>
      <c r="L4800">
        <v>20</v>
      </c>
      <c r="M4800">
        <v>20</v>
      </c>
    </row>
    <row r="4801" spans="1:13" x14ac:dyDescent="0.25">
      <c r="A4801" t="s">
        <v>10592</v>
      </c>
      <c r="B4801" t="s">
        <v>10589</v>
      </c>
      <c r="C4801" t="s">
        <v>496</v>
      </c>
      <c r="D4801" t="s">
        <v>2360</v>
      </c>
      <c r="F4801">
        <v>1</v>
      </c>
      <c r="G4801" t="s">
        <v>16</v>
      </c>
      <c r="H4801">
        <v>0</v>
      </c>
      <c r="I4801" s="2" t="s">
        <v>5040</v>
      </c>
      <c r="J4801" s="2" t="s">
        <v>10593</v>
      </c>
      <c r="K4801">
        <v>20</v>
      </c>
      <c r="L4801">
        <v>20</v>
      </c>
      <c r="M4801">
        <v>20</v>
      </c>
    </row>
    <row r="4802" spans="1:13" x14ac:dyDescent="0.25">
      <c r="A4802" t="s">
        <v>10594</v>
      </c>
      <c r="B4802" t="s">
        <v>10589</v>
      </c>
      <c r="C4802" t="s">
        <v>496</v>
      </c>
      <c r="G4802" t="s">
        <v>16</v>
      </c>
      <c r="H4802">
        <v>0</v>
      </c>
      <c r="I4802" s="2" t="s">
        <v>64</v>
      </c>
      <c r="J4802" s="2">
        <v>13040197</v>
      </c>
      <c r="K4802">
        <v>20</v>
      </c>
      <c r="L4802">
        <v>20</v>
      </c>
      <c r="M4802">
        <v>20</v>
      </c>
    </row>
    <row r="4803" spans="1:13" x14ac:dyDescent="0.25">
      <c r="A4803" t="s">
        <v>10595</v>
      </c>
      <c r="B4803" t="s">
        <v>10589</v>
      </c>
      <c r="C4803" t="s">
        <v>496</v>
      </c>
      <c r="D4803" t="s">
        <v>2360</v>
      </c>
      <c r="F4803">
        <v>5</v>
      </c>
      <c r="G4803" t="s">
        <v>16</v>
      </c>
      <c r="H4803">
        <v>0</v>
      </c>
      <c r="I4803" s="2" t="s">
        <v>5180</v>
      </c>
      <c r="J4803" s="2" t="s">
        <v>10596</v>
      </c>
      <c r="K4803">
        <v>20</v>
      </c>
      <c r="L4803">
        <v>20</v>
      </c>
      <c r="M4803">
        <v>20</v>
      </c>
    </row>
    <row r="4804" spans="1:13" x14ac:dyDescent="0.25">
      <c r="A4804" t="s">
        <v>10597</v>
      </c>
      <c r="B4804" t="s">
        <v>10589</v>
      </c>
      <c r="C4804" t="s">
        <v>496</v>
      </c>
      <c r="D4804" t="s">
        <v>2360</v>
      </c>
      <c r="F4804">
        <v>2</v>
      </c>
      <c r="G4804" t="s">
        <v>16</v>
      </c>
      <c r="H4804">
        <v>0</v>
      </c>
      <c r="I4804" s="2" t="s">
        <v>266</v>
      </c>
      <c r="J4804" s="2" t="s">
        <v>10598</v>
      </c>
      <c r="K4804">
        <v>20</v>
      </c>
      <c r="L4804">
        <v>20</v>
      </c>
      <c r="M4804">
        <v>20</v>
      </c>
    </row>
    <row r="4805" spans="1:13" x14ac:dyDescent="0.25">
      <c r="A4805" t="s">
        <v>10599</v>
      </c>
      <c r="B4805" t="s">
        <v>10589</v>
      </c>
      <c r="C4805" t="s">
        <v>496</v>
      </c>
      <c r="F4805">
        <v>4</v>
      </c>
      <c r="G4805" t="s">
        <v>16</v>
      </c>
      <c r="H4805">
        <v>0</v>
      </c>
      <c r="I4805" s="2" t="s">
        <v>5267</v>
      </c>
      <c r="J4805" s="2" t="s">
        <v>10600</v>
      </c>
      <c r="K4805">
        <v>20</v>
      </c>
      <c r="L4805">
        <v>20</v>
      </c>
      <c r="M4805">
        <v>20</v>
      </c>
    </row>
    <row r="4806" spans="1:13" x14ac:dyDescent="0.25">
      <c r="A4806" t="s">
        <v>10601</v>
      </c>
      <c r="B4806" t="s">
        <v>10602</v>
      </c>
      <c r="C4806" t="s">
        <v>496</v>
      </c>
      <c r="D4806" t="s">
        <v>2360</v>
      </c>
      <c r="F4806">
        <v>11</v>
      </c>
      <c r="G4806" t="s">
        <v>16</v>
      </c>
      <c r="H4806">
        <v>0</v>
      </c>
      <c r="I4806" s="2" t="s">
        <v>2517</v>
      </c>
      <c r="J4806" s="2" t="s">
        <v>10603</v>
      </c>
      <c r="K4806">
        <v>20</v>
      </c>
      <c r="L4806">
        <v>20</v>
      </c>
      <c r="M4806">
        <v>20</v>
      </c>
    </row>
    <row r="4807" spans="1:13" x14ac:dyDescent="0.25">
      <c r="A4807" t="s">
        <v>10604</v>
      </c>
      <c r="B4807" t="s">
        <v>10602</v>
      </c>
      <c r="C4807" t="s">
        <v>496</v>
      </c>
      <c r="D4807" t="s">
        <v>2360</v>
      </c>
      <c r="F4807">
        <v>2</v>
      </c>
      <c r="G4807" t="s">
        <v>16</v>
      </c>
      <c r="H4807">
        <v>0</v>
      </c>
      <c r="I4807" s="2" t="s">
        <v>108</v>
      </c>
      <c r="J4807" s="3">
        <v>2551215003</v>
      </c>
      <c r="K4807">
        <v>20</v>
      </c>
      <c r="L4807">
        <v>20</v>
      </c>
      <c r="M4807">
        <v>20</v>
      </c>
    </row>
    <row r="4808" spans="1:13" x14ac:dyDescent="0.25">
      <c r="A4808" t="s">
        <v>10605</v>
      </c>
      <c r="B4808" t="s">
        <v>10602</v>
      </c>
      <c r="C4808" t="s">
        <v>2493</v>
      </c>
      <c r="G4808" t="s">
        <v>16</v>
      </c>
      <c r="H4808">
        <v>0</v>
      </c>
      <c r="I4808" s="2" t="s">
        <v>8864</v>
      </c>
      <c r="J4808" s="2" t="s">
        <v>10606</v>
      </c>
      <c r="K4808">
        <v>20</v>
      </c>
      <c r="L4808">
        <v>20</v>
      </c>
      <c r="M4808">
        <v>20</v>
      </c>
    </row>
    <row r="4809" spans="1:13" x14ac:dyDescent="0.25">
      <c r="A4809" t="s">
        <v>10607</v>
      </c>
      <c r="B4809" t="s">
        <v>10602</v>
      </c>
      <c r="C4809" t="s">
        <v>496</v>
      </c>
      <c r="D4809" t="s">
        <v>2360</v>
      </c>
      <c r="F4809">
        <v>8</v>
      </c>
      <c r="G4809" t="s">
        <v>16</v>
      </c>
      <c r="H4809">
        <v>0</v>
      </c>
      <c r="I4809" s="2" t="s">
        <v>5180</v>
      </c>
      <c r="J4809" s="2" t="s">
        <v>10608</v>
      </c>
      <c r="K4809">
        <v>20</v>
      </c>
      <c r="L4809">
        <v>20</v>
      </c>
      <c r="M4809">
        <v>20</v>
      </c>
    </row>
    <row r="4810" spans="1:13" x14ac:dyDescent="0.25">
      <c r="A4810" t="s">
        <v>10609</v>
      </c>
      <c r="B4810" t="s">
        <v>10602</v>
      </c>
      <c r="C4810" t="s">
        <v>496</v>
      </c>
      <c r="D4810" t="s">
        <v>2360</v>
      </c>
      <c r="F4810">
        <v>2</v>
      </c>
      <c r="G4810" t="s">
        <v>16</v>
      </c>
      <c r="H4810">
        <v>0</v>
      </c>
      <c r="I4810" s="2" t="s">
        <v>266</v>
      </c>
      <c r="J4810" s="2" t="s">
        <v>10610</v>
      </c>
      <c r="K4810">
        <v>20</v>
      </c>
      <c r="L4810">
        <v>20</v>
      </c>
      <c r="M4810">
        <v>20</v>
      </c>
    </row>
    <row r="4811" spans="1:13" x14ac:dyDescent="0.25">
      <c r="A4811" t="s">
        <v>10611</v>
      </c>
      <c r="B4811" t="s">
        <v>10612</v>
      </c>
      <c r="C4811" t="s">
        <v>496</v>
      </c>
      <c r="D4811" t="s">
        <v>2360</v>
      </c>
      <c r="F4811">
        <v>2</v>
      </c>
      <c r="G4811" t="s">
        <v>16</v>
      </c>
      <c r="H4811">
        <v>0</v>
      </c>
      <c r="I4811" s="2" t="s">
        <v>108</v>
      </c>
      <c r="J4811" s="3">
        <v>1681215001</v>
      </c>
      <c r="K4811">
        <v>20</v>
      </c>
      <c r="L4811">
        <v>20</v>
      </c>
      <c r="M4811">
        <v>20</v>
      </c>
    </row>
    <row r="4812" spans="1:13" x14ac:dyDescent="0.25">
      <c r="A4812" t="s">
        <v>10613</v>
      </c>
      <c r="B4812" t="s">
        <v>10614</v>
      </c>
      <c r="C4812" t="s">
        <v>496</v>
      </c>
      <c r="D4812" t="s">
        <v>2360</v>
      </c>
      <c r="F4812">
        <v>2</v>
      </c>
      <c r="G4812" t="s">
        <v>16</v>
      </c>
      <c r="H4812">
        <v>0</v>
      </c>
      <c r="I4812" s="2" t="s">
        <v>64</v>
      </c>
      <c r="J4812" s="2">
        <v>13040046</v>
      </c>
      <c r="K4812">
        <v>20</v>
      </c>
      <c r="L4812">
        <v>20</v>
      </c>
      <c r="M4812">
        <v>20</v>
      </c>
    </row>
    <row r="4813" spans="1:13" x14ac:dyDescent="0.25">
      <c r="A4813" t="s">
        <v>10615</v>
      </c>
      <c r="B4813" t="s">
        <v>10616</v>
      </c>
      <c r="C4813" t="s">
        <v>2493</v>
      </c>
      <c r="G4813" t="s">
        <v>16</v>
      </c>
      <c r="H4813">
        <v>0</v>
      </c>
      <c r="I4813" s="2" t="s">
        <v>2533</v>
      </c>
      <c r="J4813" s="2" t="s">
        <v>10617</v>
      </c>
      <c r="K4813">
        <v>20</v>
      </c>
      <c r="L4813">
        <v>20</v>
      </c>
      <c r="M4813">
        <v>20</v>
      </c>
    </row>
    <row r="4814" spans="1:13" x14ac:dyDescent="0.25">
      <c r="A4814" t="s">
        <v>10618</v>
      </c>
      <c r="B4814" t="s">
        <v>10619</v>
      </c>
      <c r="C4814" t="s">
        <v>2493</v>
      </c>
      <c r="F4814">
        <v>2</v>
      </c>
      <c r="G4814" t="s">
        <v>16</v>
      </c>
      <c r="H4814">
        <v>0</v>
      </c>
      <c r="I4814" s="2" t="s">
        <v>108</v>
      </c>
      <c r="J4814" s="3">
        <v>2671215001</v>
      </c>
      <c r="K4814">
        <v>20</v>
      </c>
      <c r="L4814">
        <v>20</v>
      </c>
      <c r="M4814">
        <v>20</v>
      </c>
    </row>
    <row r="4815" spans="1:13" x14ac:dyDescent="0.25">
      <c r="A4815" t="s">
        <v>10620</v>
      </c>
      <c r="B4815" t="s">
        <v>10616</v>
      </c>
      <c r="C4815" t="s">
        <v>2493</v>
      </c>
      <c r="F4815">
        <v>2</v>
      </c>
      <c r="G4815" t="s">
        <v>16</v>
      </c>
      <c r="H4815">
        <v>0</v>
      </c>
      <c r="I4815" s="2" t="s">
        <v>5040</v>
      </c>
      <c r="J4815" s="2" t="s">
        <v>10621</v>
      </c>
      <c r="K4815">
        <v>20</v>
      </c>
      <c r="L4815">
        <v>20</v>
      </c>
      <c r="M4815">
        <v>20</v>
      </c>
    </row>
    <row r="4816" spans="1:13" x14ac:dyDescent="0.25">
      <c r="A4816" t="s">
        <v>10622</v>
      </c>
      <c r="B4816" t="s">
        <v>10623</v>
      </c>
      <c r="C4816" t="s">
        <v>496</v>
      </c>
      <c r="D4816" t="s">
        <v>2360</v>
      </c>
      <c r="G4816" t="s">
        <v>16</v>
      </c>
      <c r="H4816">
        <v>0</v>
      </c>
      <c r="I4816" s="2" t="s">
        <v>238</v>
      </c>
      <c r="J4816" s="2">
        <v>280447</v>
      </c>
      <c r="K4816">
        <v>20</v>
      </c>
      <c r="L4816">
        <v>20</v>
      </c>
      <c r="M4816">
        <v>20</v>
      </c>
    </row>
    <row r="4817" spans="1:13" x14ac:dyDescent="0.25">
      <c r="A4817" t="s">
        <v>10624</v>
      </c>
      <c r="B4817" t="s">
        <v>10625</v>
      </c>
      <c r="C4817" t="s">
        <v>496</v>
      </c>
      <c r="F4817">
        <v>4</v>
      </c>
      <c r="G4817" t="s">
        <v>16</v>
      </c>
      <c r="H4817">
        <v>0</v>
      </c>
      <c r="I4817" s="2" t="s">
        <v>5040</v>
      </c>
      <c r="J4817" s="2" t="str">
        <f>"07-01612"</f>
        <v>07-01612</v>
      </c>
      <c r="K4817">
        <v>20</v>
      </c>
      <c r="L4817">
        <v>20</v>
      </c>
      <c r="M4817">
        <v>20</v>
      </c>
    </row>
    <row r="4818" spans="1:13" x14ac:dyDescent="0.25">
      <c r="A4818" t="s">
        <v>10626</v>
      </c>
      <c r="B4818" t="s">
        <v>10625</v>
      </c>
      <c r="C4818" t="s">
        <v>496</v>
      </c>
      <c r="G4818" t="s">
        <v>16</v>
      </c>
      <c r="H4818">
        <v>0</v>
      </c>
      <c r="I4818" s="2" t="s">
        <v>10627</v>
      </c>
      <c r="J4818" s="2" t="s">
        <v>10628</v>
      </c>
      <c r="K4818">
        <v>20</v>
      </c>
      <c r="L4818">
        <v>20</v>
      </c>
      <c r="M4818">
        <v>20</v>
      </c>
    </row>
    <row r="4819" spans="1:13" x14ac:dyDescent="0.25">
      <c r="A4819" t="s">
        <v>10629</v>
      </c>
      <c r="B4819" t="s">
        <v>10623</v>
      </c>
      <c r="C4819" t="s">
        <v>496</v>
      </c>
      <c r="D4819" t="s">
        <v>2360</v>
      </c>
      <c r="G4819" t="s">
        <v>16</v>
      </c>
      <c r="H4819">
        <v>0</v>
      </c>
      <c r="I4819" s="2" t="s">
        <v>737</v>
      </c>
      <c r="J4819" s="2" t="s">
        <v>10630</v>
      </c>
      <c r="K4819">
        <v>20</v>
      </c>
      <c r="L4819">
        <v>20</v>
      </c>
      <c r="M4819">
        <v>20</v>
      </c>
    </row>
    <row r="4820" spans="1:13" x14ac:dyDescent="0.25">
      <c r="A4820" t="s">
        <v>10631</v>
      </c>
      <c r="B4820" t="s">
        <v>10632</v>
      </c>
      <c r="C4820" t="s">
        <v>496</v>
      </c>
      <c r="F4820">
        <v>6</v>
      </c>
      <c r="G4820" t="s">
        <v>16</v>
      </c>
      <c r="H4820">
        <v>0</v>
      </c>
      <c r="I4820" s="2" t="s">
        <v>2533</v>
      </c>
      <c r="J4820" s="2" t="s">
        <v>10633</v>
      </c>
      <c r="K4820">
        <v>20</v>
      </c>
      <c r="L4820">
        <v>20</v>
      </c>
      <c r="M4820">
        <v>20</v>
      </c>
    </row>
    <row r="4821" spans="1:13" x14ac:dyDescent="0.25">
      <c r="A4821" t="s">
        <v>10634</v>
      </c>
      <c r="B4821" t="s">
        <v>10635</v>
      </c>
      <c r="C4821" t="s">
        <v>496</v>
      </c>
      <c r="D4821" t="s">
        <v>2360</v>
      </c>
      <c r="F4821">
        <v>2</v>
      </c>
      <c r="G4821" t="s">
        <v>16</v>
      </c>
      <c r="H4821">
        <v>0</v>
      </c>
      <c r="I4821" s="2" t="s">
        <v>941</v>
      </c>
      <c r="J4821" s="2" t="s">
        <v>10636</v>
      </c>
      <c r="K4821">
        <v>20</v>
      </c>
      <c r="L4821">
        <v>20</v>
      </c>
      <c r="M4821">
        <v>20</v>
      </c>
    </row>
    <row r="4822" spans="1:13" x14ac:dyDescent="0.25">
      <c r="A4822" t="s">
        <v>10637</v>
      </c>
      <c r="B4822" t="s">
        <v>10638</v>
      </c>
      <c r="C4822" t="s">
        <v>496</v>
      </c>
      <c r="D4822" t="s">
        <v>2360</v>
      </c>
      <c r="F4822">
        <v>4</v>
      </c>
      <c r="G4822" t="s">
        <v>16</v>
      </c>
      <c r="H4822">
        <v>0</v>
      </c>
      <c r="I4822" s="2" t="s">
        <v>5500</v>
      </c>
      <c r="J4822" s="2" t="s">
        <v>10639</v>
      </c>
      <c r="K4822">
        <v>20</v>
      </c>
      <c r="L4822">
        <v>20</v>
      </c>
      <c r="M4822">
        <v>20</v>
      </c>
    </row>
    <row r="4823" spans="1:13" x14ac:dyDescent="0.25">
      <c r="A4823" t="s">
        <v>10640</v>
      </c>
      <c r="B4823" t="s">
        <v>10632</v>
      </c>
      <c r="C4823" t="s">
        <v>496</v>
      </c>
      <c r="D4823" t="s">
        <v>2360</v>
      </c>
      <c r="F4823">
        <v>2</v>
      </c>
      <c r="G4823" t="s">
        <v>16</v>
      </c>
      <c r="H4823">
        <v>0</v>
      </c>
      <c r="I4823" s="2" t="s">
        <v>248</v>
      </c>
      <c r="J4823" s="2">
        <v>280448</v>
      </c>
      <c r="K4823">
        <v>20</v>
      </c>
      <c r="L4823">
        <v>20</v>
      </c>
      <c r="M4823">
        <v>20</v>
      </c>
    </row>
    <row r="4824" spans="1:13" x14ac:dyDescent="0.25">
      <c r="A4824" t="s">
        <v>10641</v>
      </c>
      <c r="B4824" t="s">
        <v>10632</v>
      </c>
      <c r="C4824" t="s">
        <v>496</v>
      </c>
      <c r="F4824">
        <v>4</v>
      </c>
      <c r="G4824" t="s">
        <v>16</v>
      </c>
      <c r="H4824">
        <v>0</v>
      </c>
      <c r="I4824" s="2" t="s">
        <v>108</v>
      </c>
      <c r="J4824" s="3">
        <v>2581215001</v>
      </c>
      <c r="K4824">
        <v>20</v>
      </c>
      <c r="L4824">
        <v>20</v>
      </c>
      <c r="M4824">
        <v>20</v>
      </c>
    </row>
    <row r="4825" spans="1:13" x14ac:dyDescent="0.25">
      <c r="A4825" t="s">
        <v>10642</v>
      </c>
      <c r="B4825" t="s">
        <v>10632</v>
      </c>
      <c r="C4825" t="s">
        <v>496</v>
      </c>
      <c r="D4825" t="s">
        <v>2360</v>
      </c>
      <c r="F4825">
        <v>4</v>
      </c>
      <c r="G4825" t="s">
        <v>16</v>
      </c>
      <c r="H4825">
        <v>0</v>
      </c>
      <c r="I4825" s="2" t="s">
        <v>5040</v>
      </c>
      <c r="J4825" s="2" t="s">
        <v>10643</v>
      </c>
      <c r="K4825">
        <v>20</v>
      </c>
      <c r="L4825">
        <v>20</v>
      </c>
      <c r="M4825">
        <v>20</v>
      </c>
    </row>
    <row r="4826" spans="1:13" x14ac:dyDescent="0.25">
      <c r="A4826" t="s">
        <v>10644</v>
      </c>
      <c r="B4826" t="s">
        <v>10638</v>
      </c>
      <c r="C4826" t="s">
        <v>496</v>
      </c>
      <c r="G4826" t="s">
        <v>16</v>
      </c>
      <c r="H4826">
        <v>0</v>
      </c>
      <c r="I4826" s="2" t="s">
        <v>64</v>
      </c>
      <c r="J4826" s="2">
        <v>13040198</v>
      </c>
      <c r="K4826">
        <v>20</v>
      </c>
      <c r="L4826">
        <v>20</v>
      </c>
      <c r="M4826">
        <v>20</v>
      </c>
    </row>
    <row r="4827" spans="1:13" x14ac:dyDescent="0.25">
      <c r="A4827" t="s">
        <v>10645</v>
      </c>
      <c r="B4827" t="s">
        <v>10632</v>
      </c>
      <c r="C4827" t="s">
        <v>496</v>
      </c>
      <c r="D4827" t="s">
        <v>2360</v>
      </c>
      <c r="F4827">
        <v>4</v>
      </c>
      <c r="G4827" t="s">
        <v>16</v>
      </c>
      <c r="H4827">
        <v>0</v>
      </c>
      <c r="I4827" s="2" t="s">
        <v>4086</v>
      </c>
      <c r="J4827" s="2" t="str">
        <f>"02358"</f>
        <v>02358</v>
      </c>
      <c r="K4827">
        <v>20</v>
      </c>
      <c r="L4827">
        <v>20</v>
      </c>
      <c r="M4827">
        <v>20</v>
      </c>
    </row>
    <row r="4828" spans="1:13" x14ac:dyDescent="0.25">
      <c r="A4828" t="s">
        <v>10646</v>
      </c>
      <c r="B4828" t="s">
        <v>10632</v>
      </c>
      <c r="C4828" t="s">
        <v>496</v>
      </c>
      <c r="D4828" t="s">
        <v>2360</v>
      </c>
      <c r="F4828">
        <v>4</v>
      </c>
      <c r="G4828" t="s">
        <v>16</v>
      </c>
      <c r="H4828">
        <v>0</v>
      </c>
      <c r="I4828" s="2" t="s">
        <v>266</v>
      </c>
      <c r="J4828" s="2" t="s">
        <v>10647</v>
      </c>
      <c r="K4828">
        <v>20</v>
      </c>
      <c r="L4828">
        <v>20</v>
      </c>
      <c r="M4828">
        <v>20</v>
      </c>
    </row>
    <row r="4829" spans="1:13" x14ac:dyDescent="0.25">
      <c r="A4829" t="s">
        <v>10648</v>
      </c>
      <c r="B4829" t="s">
        <v>10635</v>
      </c>
      <c r="C4829" t="s">
        <v>496</v>
      </c>
      <c r="D4829" t="s">
        <v>2360</v>
      </c>
      <c r="F4829">
        <v>11</v>
      </c>
      <c r="G4829" t="s">
        <v>16</v>
      </c>
      <c r="H4829">
        <v>0</v>
      </c>
      <c r="I4829" s="2" t="s">
        <v>4214</v>
      </c>
      <c r="J4829" s="2" t="s">
        <v>10649</v>
      </c>
      <c r="K4829">
        <v>20</v>
      </c>
      <c r="L4829">
        <v>20</v>
      </c>
      <c r="M4829">
        <v>20</v>
      </c>
    </row>
    <row r="4830" spans="1:13" x14ac:dyDescent="0.25">
      <c r="A4830" t="s">
        <v>10650</v>
      </c>
      <c r="B4830" t="s">
        <v>10632</v>
      </c>
      <c r="C4830" t="s">
        <v>496</v>
      </c>
      <c r="D4830" t="s">
        <v>2360</v>
      </c>
      <c r="F4830">
        <v>4</v>
      </c>
      <c r="G4830" t="s">
        <v>16</v>
      </c>
      <c r="H4830">
        <v>0</v>
      </c>
      <c r="I4830" s="2" t="s">
        <v>5044</v>
      </c>
      <c r="J4830" s="2" t="s">
        <v>10651</v>
      </c>
      <c r="K4830">
        <v>20</v>
      </c>
      <c r="L4830">
        <v>20</v>
      </c>
      <c r="M4830">
        <v>20</v>
      </c>
    </row>
    <row r="4831" spans="1:13" x14ac:dyDescent="0.25">
      <c r="A4831" t="s">
        <v>10652</v>
      </c>
      <c r="B4831" t="s">
        <v>10632</v>
      </c>
      <c r="C4831" t="s">
        <v>496</v>
      </c>
      <c r="G4831" t="s">
        <v>16</v>
      </c>
      <c r="H4831">
        <v>0</v>
      </c>
      <c r="K4831">
        <v>20</v>
      </c>
      <c r="L4831">
        <v>20</v>
      </c>
      <c r="M4831">
        <v>20</v>
      </c>
    </row>
    <row r="4832" spans="1:13" x14ac:dyDescent="0.25">
      <c r="A4832" t="s">
        <v>10653</v>
      </c>
      <c r="B4832" t="s">
        <v>10654</v>
      </c>
      <c r="C4832" t="s">
        <v>2493</v>
      </c>
      <c r="F4832">
        <v>2</v>
      </c>
      <c r="G4832" t="s">
        <v>16</v>
      </c>
      <c r="H4832">
        <v>0</v>
      </c>
      <c r="I4832" s="2" t="s">
        <v>6914</v>
      </c>
      <c r="J4832" s="2" t="s">
        <v>10655</v>
      </c>
      <c r="K4832">
        <v>20</v>
      </c>
      <c r="L4832">
        <v>20</v>
      </c>
      <c r="M4832">
        <v>20</v>
      </c>
    </row>
    <row r="4833" spans="1:13" x14ac:dyDescent="0.25">
      <c r="A4833" t="s">
        <v>10656</v>
      </c>
      <c r="B4833" t="s">
        <v>10654</v>
      </c>
      <c r="C4833" t="s">
        <v>496</v>
      </c>
      <c r="G4833" t="s">
        <v>16</v>
      </c>
      <c r="H4833">
        <v>0</v>
      </c>
      <c r="I4833" s="2" t="s">
        <v>245</v>
      </c>
      <c r="J4833" s="2" t="s">
        <v>10657</v>
      </c>
      <c r="K4833">
        <v>20</v>
      </c>
      <c r="L4833">
        <v>20</v>
      </c>
      <c r="M4833">
        <v>20</v>
      </c>
    </row>
    <row r="4834" spans="1:13" x14ac:dyDescent="0.25">
      <c r="A4834" t="s">
        <v>10658</v>
      </c>
      <c r="B4834" t="s">
        <v>10654</v>
      </c>
      <c r="C4834" t="s">
        <v>496</v>
      </c>
      <c r="G4834" t="s">
        <v>16</v>
      </c>
      <c r="H4834">
        <v>0</v>
      </c>
      <c r="I4834" s="2" t="s">
        <v>10659</v>
      </c>
      <c r="J4834" s="2" t="str">
        <f>"0945655"</f>
        <v>0945655</v>
      </c>
      <c r="K4834">
        <v>20</v>
      </c>
      <c r="L4834">
        <v>20</v>
      </c>
      <c r="M4834">
        <v>20</v>
      </c>
    </row>
    <row r="4835" spans="1:13" x14ac:dyDescent="0.25">
      <c r="A4835" t="s">
        <v>10660</v>
      </c>
      <c r="B4835" t="s">
        <v>10661</v>
      </c>
      <c r="C4835" t="s">
        <v>2493</v>
      </c>
      <c r="F4835">
        <v>2</v>
      </c>
      <c r="G4835" t="s">
        <v>16</v>
      </c>
      <c r="H4835">
        <v>0</v>
      </c>
      <c r="I4835" s="2" t="s">
        <v>2932</v>
      </c>
      <c r="J4835" s="2" t="s">
        <v>10662</v>
      </c>
      <c r="K4835">
        <v>20</v>
      </c>
      <c r="L4835">
        <v>20</v>
      </c>
      <c r="M4835">
        <v>20</v>
      </c>
    </row>
    <row r="4836" spans="1:13" x14ac:dyDescent="0.25">
      <c r="A4836" t="s">
        <v>10663</v>
      </c>
      <c r="B4836" t="s">
        <v>10664</v>
      </c>
      <c r="C4836" t="s">
        <v>496</v>
      </c>
      <c r="D4836" t="s">
        <v>2360</v>
      </c>
      <c r="F4836">
        <v>5</v>
      </c>
      <c r="G4836" t="s">
        <v>16</v>
      </c>
      <c r="H4836">
        <v>0</v>
      </c>
      <c r="I4836" s="2" t="s">
        <v>6855</v>
      </c>
      <c r="J4836" s="2">
        <v>14168</v>
      </c>
      <c r="K4836">
        <v>20</v>
      </c>
      <c r="L4836">
        <v>20</v>
      </c>
      <c r="M4836">
        <v>20</v>
      </c>
    </row>
    <row r="4837" spans="1:13" x14ac:dyDescent="0.25">
      <c r="A4837" t="s">
        <v>10665</v>
      </c>
      <c r="B4837" t="s">
        <v>10664</v>
      </c>
      <c r="C4837" t="s">
        <v>496</v>
      </c>
      <c r="D4837" t="s">
        <v>2360</v>
      </c>
      <c r="F4837">
        <v>2</v>
      </c>
      <c r="G4837" t="s">
        <v>16</v>
      </c>
      <c r="H4837">
        <v>0</v>
      </c>
      <c r="I4837" s="2" t="s">
        <v>245</v>
      </c>
      <c r="J4837" s="2" t="s">
        <v>10666</v>
      </c>
      <c r="K4837">
        <v>20</v>
      </c>
      <c r="L4837">
        <v>20</v>
      </c>
      <c r="M4837">
        <v>20</v>
      </c>
    </row>
    <row r="4838" spans="1:13" x14ac:dyDescent="0.25">
      <c r="A4838" t="s">
        <v>10667</v>
      </c>
      <c r="B4838" t="s">
        <v>10668</v>
      </c>
      <c r="C4838" t="s">
        <v>496</v>
      </c>
      <c r="D4838" t="s">
        <v>2360</v>
      </c>
      <c r="F4838">
        <v>2</v>
      </c>
      <c r="G4838" t="s">
        <v>16</v>
      </c>
      <c r="H4838">
        <v>0</v>
      </c>
      <c r="I4838" s="2" t="s">
        <v>245</v>
      </c>
      <c r="J4838" s="2" t="s">
        <v>10669</v>
      </c>
      <c r="K4838">
        <v>20</v>
      </c>
      <c r="L4838">
        <v>20</v>
      </c>
      <c r="M4838">
        <v>20</v>
      </c>
    </row>
    <row r="4839" spans="1:13" x14ac:dyDescent="0.25">
      <c r="A4839" t="s">
        <v>10670</v>
      </c>
      <c r="B4839" t="s">
        <v>10672</v>
      </c>
      <c r="C4839" t="s">
        <v>496</v>
      </c>
      <c r="F4839">
        <v>6</v>
      </c>
      <c r="G4839" t="s">
        <v>16</v>
      </c>
      <c r="H4839">
        <v>0</v>
      </c>
      <c r="I4839" s="2" t="s">
        <v>2881</v>
      </c>
      <c r="J4839" s="2" t="s">
        <v>10671</v>
      </c>
      <c r="K4839">
        <v>20</v>
      </c>
      <c r="L4839">
        <v>20</v>
      </c>
      <c r="M4839">
        <v>20</v>
      </c>
    </row>
    <row r="4840" spans="1:13" x14ac:dyDescent="0.25">
      <c r="A4840" t="s">
        <v>10673</v>
      </c>
      <c r="B4840" t="s">
        <v>10672</v>
      </c>
      <c r="C4840" t="s">
        <v>496</v>
      </c>
      <c r="D4840" t="s">
        <v>2360</v>
      </c>
      <c r="F4840">
        <v>10</v>
      </c>
      <c r="G4840" t="s">
        <v>16</v>
      </c>
      <c r="H4840">
        <v>0</v>
      </c>
      <c r="I4840" s="2" t="s">
        <v>2300</v>
      </c>
      <c r="J4840" s="2">
        <v>41820</v>
      </c>
      <c r="K4840">
        <v>20</v>
      </c>
      <c r="L4840">
        <v>20</v>
      </c>
      <c r="M4840">
        <v>20</v>
      </c>
    </row>
    <row r="4841" spans="1:13" x14ac:dyDescent="0.25">
      <c r="A4841" t="s">
        <v>10674</v>
      </c>
      <c r="B4841" t="s">
        <v>10675</v>
      </c>
      <c r="C4841" t="s">
        <v>2493</v>
      </c>
      <c r="F4841">
        <v>4</v>
      </c>
      <c r="G4841" t="s">
        <v>16</v>
      </c>
      <c r="H4841">
        <v>0</v>
      </c>
      <c r="I4841" s="2" t="s">
        <v>245</v>
      </c>
      <c r="J4841" s="2" t="s">
        <v>10676</v>
      </c>
      <c r="K4841">
        <v>20</v>
      </c>
      <c r="L4841">
        <v>20</v>
      </c>
      <c r="M4841">
        <v>20</v>
      </c>
    </row>
    <row r="4842" spans="1:13" x14ac:dyDescent="0.25">
      <c r="A4842" t="s">
        <v>10677</v>
      </c>
      <c r="B4842" t="s">
        <v>10678</v>
      </c>
      <c r="C4842" t="s">
        <v>2493</v>
      </c>
      <c r="F4842">
        <v>4</v>
      </c>
      <c r="G4842" t="s">
        <v>16</v>
      </c>
      <c r="H4842">
        <v>0</v>
      </c>
      <c r="I4842" s="2" t="s">
        <v>245</v>
      </c>
      <c r="J4842" s="2" t="s">
        <v>10679</v>
      </c>
      <c r="K4842">
        <v>20</v>
      </c>
      <c r="L4842">
        <v>20</v>
      </c>
      <c r="M4842">
        <v>20</v>
      </c>
    </row>
    <row r="4843" spans="1:13" x14ac:dyDescent="0.25">
      <c r="A4843" t="s">
        <v>10680</v>
      </c>
      <c r="B4843" t="s">
        <v>10681</v>
      </c>
      <c r="C4843" t="s">
        <v>2493</v>
      </c>
      <c r="F4843">
        <v>2</v>
      </c>
      <c r="G4843" t="s">
        <v>16</v>
      </c>
      <c r="H4843">
        <v>0</v>
      </c>
      <c r="I4843" s="2" t="s">
        <v>245</v>
      </c>
      <c r="J4843" s="2" t="s">
        <v>10682</v>
      </c>
      <c r="K4843">
        <v>20</v>
      </c>
      <c r="L4843">
        <v>20</v>
      </c>
      <c r="M4843">
        <v>20</v>
      </c>
    </row>
    <row r="4844" spans="1:13" x14ac:dyDescent="0.25">
      <c r="A4844" t="s">
        <v>10683</v>
      </c>
      <c r="B4844" t="s">
        <v>10685</v>
      </c>
      <c r="C4844" t="s">
        <v>496</v>
      </c>
      <c r="F4844">
        <v>6</v>
      </c>
      <c r="G4844" t="s">
        <v>16</v>
      </c>
      <c r="H4844">
        <v>0</v>
      </c>
      <c r="I4844" s="2" t="s">
        <v>6861</v>
      </c>
      <c r="J4844" s="2" t="s">
        <v>10684</v>
      </c>
      <c r="K4844">
        <v>20</v>
      </c>
      <c r="L4844">
        <v>20</v>
      </c>
      <c r="M4844">
        <v>20</v>
      </c>
    </row>
    <row r="4845" spans="1:13" x14ac:dyDescent="0.25">
      <c r="A4845" t="s">
        <v>10686</v>
      </c>
      <c r="B4845" t="s">
        <v>10685</v>
      </c>
      <c r="C4845" t="s">
        <v>496</v>
      </c>
      <c r="F4845">
        <v>2</v>
      </c>
      <c r="G4845" t="s">
        <v>16</v>
      </c>
      <c r="H4845">
        <v>0</v>
      </c>
      <c r="I4845" s="2" t="s">
        <v>245</v>
      </c>
      <c r="J4845" s="2" t="s">
        <v>10687</v>
      </c>
      <c r="K4845">
        <v>20</v>
      </c>
      <c r="L4845">
        <v>20</v>
      </c>
      <c r="M4845">
        <v>20</v>
      </c>
    </row>
    <row r="4846" spans="1:13" x14ac:dyDescent="0.25">
      <c r="A4846" t="s">
        <v>10688</v>
      </c>
      <c r="B4846" t="s">
        <v>10689</v>
      </c>
      <c r="C4846" t="s">
        <v>540</v>
      </c>
      <c r="G4846" t="s">
        <v>16</v>
      </c>
      <c r="H4846">
        <v>0</v>
      </c>
      <c r="K4846">
        <v>20</v>
      </c>
      <c r="L4846">
        <v>20</v>
      </c>
      <c r="M4846">
        <v>20</v>
      </c>
    </row>
    <row r="4847" spans="1:13" x14ac:dyDescent="0.25">
      <c r="A4847" t="s">
        <v>10690</v>
      </c>
      <c r="B4847" t="s">
        <v>10691</v>
      </c>
      <c r="C4847" t="s">
        <v>2493</v>
      </c>
      <c r="F4847">
        <v>1</v>
      </c>
      <c r="G4847" t="s">
        <v>16</v>
      </c>
      <c r="H4847">
        <v>0</v>
      </c>
      <c r="I4847" s="2" t="s">
        <v>108</v>
      </c>
      <c r="J4847" s="3">
        <v>2661311001</v>
      </c>
      <c r="K4847">
        <v>20</v>
      </c>
      <c r="L4847">
        <v>20</v>
      </c>
      <c r="M4847">
        <v>20</v>
      </c>
    </row>
    <row r="4848" spans="1:13" x14ac:dyDescent="0.25">
      <c r="A4848" t="s">
        <v>10692</v>
      </c>
      <c r="B4848" t="s">
        <v>10693</v>
      </c>
      <c r="C4848" t="s">
        <v>496</v>
      </c>
      <c r="F4848">
        <v>2</v>
      </c>
      <c r="G4848" t="s">
        <v>16</v>
      </c>
      <c r="H4848">
        <v>0</v>
      </c>
      <c r="I4848" s="2" t="s">
        <v>2881</v>
      </c>
      <c r="J4848" s="2" t="s">
        <v>10694</v>
      </c>
      <c r="K4848">
        <v>20</v>
      </c>
      <c r="L4848">
        <v>20</v>
      </c>
      <c r="M4848">
        <v>20</v>
      </c>
    </row>
    <row r="4849" spans="1:13" x14ac:dyDescent="0.25">
      <c r="A4849" t="s">
        <v>10695</v>
      </c>
      <c r="B4849" t="s">
        <v>10696</v>
      </c>
      <c r="C4849" t="s">
        <v>496</v>
      </c>
      <c r="F4849">
        <v>2</v>
      </c>
      <c r="G4849" t="s">
        <v>16</v>
      </c>
      <c r="H4849">
        <v>0</v>
      </c>
      <c r="I4849" s="2" t="s">
        <v>64</v>
      </c>
      <c r="J4849" s="2">
        <v>10050185</v>
      </c>
      <c r="K4849">
        <v>20</v>
      </c>
      <c r="L4849">
        <v>20</v>
      </c>
      <c r="M4849">
        <v>20</v>
      </c>
    </row>
    <row r="4850" spans="1:13" x14ac:dyDescent="0.25">
      <c r="A4850" t="s">
        <v>10697</v>
      </c>
      <c r="B4850" t="s">
        <v>10698</v>
      </c>
      <c r="C4850" t="s">
        <v>496</v>
      </c>
      <c r="D4850" t="s">
        <v>2360</v>
      </c>
      <c r="F4850">
        <v>2</v>
      </c>
      <c r="G4850" t="s">
        <v>16</v>
      </c>
      <c r="H4850">
        <v>0</v>
      </c>
      <c r="I4850" s="2" t="s">
        <v>6861</v>
      </c>
      <c r="J4850" s="2" t="s">
        <v>10699</v>
      </c>
      <c r="K4850">
        <v>20</v>
      </c>
      <c r="L4850">
        <v>20</v>
      </c>
      <c r="M4850">
        <v>20</v>
      </c>
    </row>
    <row r="4851" spans="1:13" x14ac:dyDescent="0.25">
      <c r="A4851" t="s">
        <v>10700</v>
      </c>
      <c r="B4851" t="s">
        <v>10701</v>
      </c>
      <c r="C4851" t="s">
        <v>2493</v>
      </c>
      <c r="F4851">
        <v>2</v>
      </c>
      <c r="G4851" t="s">
        <v>16</v>
      </c>
      <c r="H4851">
        <v>0</v>
      </c>
      <c r="I4851" s="2" t="s">
        <v>108</v>
      </c>
      <c r="J4851" s="3">
        <v>2541311001</v>
      </c>
      <c r="K4851">
        <v>20</v>
      </c>
      <c r="L4851">
        <v>20</v>
      </c>
      <c r="M4851">
        <v>20</v>
      </c>
    </row>
    <row r="4852" spans="1:13" x14ac:dyDescent="0.25">
      <c r="A4852" t="s">
        <v>10702</v>
      </c>
      <c r="B4852" t="s">
        <v>10703</v>
      </c>
      <c r="C4852" t="s">
        <v>496</v>
      </c>
      <c r="D4852" t="s">
        <v>2360</v>
      </c>
      <c r="F4852">
        <v>1</v>
      </c>
      <c r="G4852" t="s">
        <v>16</v>
      </c>
      <c r="H4852">
        <v>0</v>
      </c>
      <c r="I4852" s="2" t="s">
        <v>245</v>
      </c>
      <c r="J4852" s="2" t="s">
        <v>10704</v>
      </c>
      <c r="K4852">
        <v>20</v>
      </c>
      <c r="L4852">
        <v>20</v>
      </c>
      <c r="M4852">
        <v>20</v>
      </c>
    </row>
    <row r="4853" spans="1:13" x14ac:dyDescent="0.25">
      <c r="A4853" t="s">
        <v>10705</v>
      </c>
      <c r="B4853" t="s">
        <v>10706</v>
      </c>
      <c r="C4853" t="s">
        <v>496</v>
      </c>
      <c r="D4853" t="s">
        <v>2360</v>
      </c>
      <c r="F4853">
        <v>2</v>
      </c>
      <c r="G4853" t="s">
        <v>16</v>
      </c>
      <c r="H4853">
        <v>0</v>
      </c>
      <c r="I4853" s="2" t="s">
        <v>87</v>
      </c>
      <c r="J4853" s="2" t="s">
        <v>10707</v>
      </c>
      <c r="K4853">
        <v>20</v>
      </c>
      <c r="L4853">
        <v>20</v>
      </c>
      <c r="M4853">
        <v>20</v>
      </c>
    </row>
    <row r="4854" spans="1:13" x14ac:dyDescent="0.25">
      <c r="A4854" t="s">
        <v>10708</v>
      </c>
      <c r="B4854" t="s">
        <v>10709</v>
      </c>
      <c r="C4854" t="s">
        <v>540</v>
      </c>
      <c r="F4854">
        <v>2</v>
      </c>
      <c r="G4854" t="s">
        <v>16</v>
      </c>
      <c r="H4854">
        <v>0</v>
      </c>
      <c r="I4854" s="2" t="s">
        <v>64</v>
      </c>
      <c r="J4854" s="2" t="str">
        <f>"09010095"</f>
        <v>09010095</v>
      </c>
      <c r="K4854">
        <v>20</v>
      </c>
      <c r="L4854">
        <v>20</v>
      </c>
      <c r="M4854">
        <v>20</v>
      </c>
    </row>
    <row r="4855" spans="1:13" x14ac:dyDescent="0.25">
      <c r="A4855" t="s">
        <v>10710</v>
      </c>
      <c r="B4855" t="s">
        <v>10711</v>
      </c>
      <c r="C4855" t="s">
        <v>2493</v>
      </c>
      <c r="F4855">
        <v>4</v>
      </c>
      <c r="G4855" t="s">
        <v>16</v>
      </c>
      <c r="H4855">
        <v>0</v>
      </c>
      <c r="I4855" s="2" t="s">
        <v>51</v>
      </c>
      <c r="J4855" s="2">
        <v>513311</v>
      </c>
      <c r="K4855">
        <v>20</v>
      </c>
      <c r="L4855">
        <v>20</v>
      </c>
      <c r="M4855">
        <v>20</v>
      </c>
    </row>
    <row r="4856" spans="1:13" x14ac:dyDescent="0.25">
      <c r="A4856" t="s">
        <v>10712</v>
      </c>
      <c r="B4856" t="s">
        <v>10713</v>
      </c>
      <c r="C4856" t="s">
        <v>2493</v>
      </c>
      <c r="D4856" t="s">
        <v>2360</v>
      </c>
      <c r="G4856" t="s">
        <v>16</v>
      </c>
      <c r="H4856">
        <v>0</v>
      </c>
      <c r="I4856" s="2" t="s">
        <v>737</v>
      </c>
      <c r="J4856" s="2" t="s">
        <v>10714</v>
      </c>
      <c r="K4856">
        <v>20</v>
      </c>
      <c r="L4856">
        <v>20</v>
      </c>
      <c r="M4856">
        <v>20</v>
      </c>
    </row>
    <row r="4857" spans="1:13" x14ac:dyDescent="0.25">
      <c r="A4857">
        <v>5154010</v>
      </c>
      <c r="B4857" t="s">
        <v>10715</v>
      </c>
      <c r="C4857" t="s">
        <v>1426</v>
      </c>
      <c r="F4857">
        <v>1</v>
      </c>
      <c r="G4857" t="s">
        <v>16</v>
      </c>
      <c r="H4857">
        <v>0</v>
      </c>
      <c r="I4857" s="2" t="s">
        <v>497</v>
      </c>
      <c r="J4857" s="2">
        <v>90464305</v>
      </c>
      <c r="K4857">
        <v>20</v>
      </c>
      <c r="L4857">
        <v>20</v>
      </c>
      <c r="M4857">
        <v>20</v>
      </c>
    </row>
    <row r="4858" spans="1:13" x14ac:dyDescent="0.25">
      <c r="A4858" t="s">
        <v>10716</v>
      </c>
      <c r="B4858" t="s">
        <v>10717</v>
      </c>
      <c r="C4858" t="s">
        <v>540</v>
      </c>
      <c r="G4858" t="s">
        <v>16</v>
      </c>
      <c r="H4858">
        <v>0</v>
      </c>
      <c r="I4858" s="2" t="s">
        <v>5029</v>
      </c>
      <c r="J4858" s="2">
        <v>1301</v>
      </c>
      <c r="K4858">
        <v>20</v>
      </c>
      <c r="L4858">
        <v>20</v>
      </c>
      <c r="M4858">
        <v>20</v>
      </c>
    </row>
    <row r="4859" spans="1:13" x14ac:dyDescent="0.25">
      <c r="A4859" t="s">
        <v>10718</v>
      </c>
      <c r="B4859" t="s">
        <v>10719</v>
      </c>
      <c r="C4859" t="s">
        <v>540</v>
      </c>
      <c r="F4859">
        <v>2</v>
      </c>
      <c r="G4859" t="s">
        <v>16</v>
      </c>
      <c r="H4859">
        <v>0</v>
      </c>
      <c r="I4859" s="2" t="s">
        <v>5029</v>
      </c>
      <c r="K4859">
        <v>20</v>
      </c>
      <c r="L4859">
        <v>20</v>
      </c>
      <c r="M4859">
        <v>20</v>
      </c>
    </row>
    <row r="4860" spans="1:13" x14ac:dyDescent="0.25">
      <c r="A4860" t="s">
        <v>10720</v>
      </c>
      <c r="B4860" t="s">
        <v>10721</v>
      </c>
      <c r="C4860" t="s">
        <v>540</v>
      </c>
      <c r="F4860">
        <v>4</v>
      </c>
      <c r="G4860" t="s">
        <v>16</v>
      </c>
      <c r="H4860">
        <v>0</v>
      </c>
      <c r="I4860" s="2" t="s">
        <v>5029</v>
      </c>
      <c r="J4860" s="2">
        <v>1309</v>
      </c>
      <c r="K4860">
        <v>20</v>
      </c>
      <c r="L4860">
        <v>20</v>
      </c>
      <c r="M4860">
        <v>20</v>
      </c>
    </row>
    <row r="4861" spans="1:13" x14ac:dyDescent="0.25">
      <c r="A4861" t="s">
        <v>10722</v>
      </c>
      <c r="B4861" t="s">
        <v>10721</v>
      </c>
      <c r="C4861" t="s">
        <v>540</v>
      </c>
      <c r="F4861">
        <v>1</v>
      </c>
      <c r="G4861" t="s">
        <v>16</v>
      </c>
      <c r="H4861">
        <v>0</v>
      </c>
      <c r="I4861" s="2" t="s">
        <v>737</v>
      </c>
      <c r="J4861" s="2" t="s">
        <v>10723</v>
      </c>
      <c r="K4861">
        <v>20</v>
      </c>
      <c r="L4861">
        <v>20</v>
      </c>
      <c r="M4861">
        <v>20</v>
      </c>
    </row>
    <row r="4862" spans="1:13" x14ac:dyDescent="0.25">
      <c r="A4862" t="s">
        <v>10724</v>
      </c>
      <c r="B4862" t="s">
        <v>10725</v>
      </c>
      <c r="C4862" t="s">
        <v>540</v>
      </c>
      <c r="F4862">
        <v>2</v>
      </c>
      <c r="G4862" t="s">
        <v>16</v>
      </c>
      <c r="H4862">
        <v>0</v>
      </c>
      <c r="I4862" s="2" t="s">
        <v>511</v>
      </c>
      <c r="J4862" s="2">
        <v>220633</v>
      </c>
      <c r="K4862">
        <v>20</v>
      </c>
      <c r="L4862">
        <v>20</v>
      </c>
      <c r="M4862">
        <v>20</v>
      </c>
    </row>
    <row r="4863" spans="1:13" x14ac:dyDescent="0.25">
      <c r="A4863" t="s">
        <v>10726</v>
      </c>
      <c r="B4863" t="s">
        <v>10727</v>
      </c>
      <c r="C4863" t="s">
        <v>540</v>
      </c>
      <c r="G4863" t="s">
        <v>16</v>
      </c>
      <c r="H4863">
        <v>0</v>
      </c>
      <c r="I4863" s="2" t="s">
        <v>500</v>
      </c>
      <c r="J4863" s="2" t="s">
        <v>10728</v>
      </c>
      <c r="K4863">
        <v>20</v>
      </c>
      <c r="L4863">
        <v>20</v>
      </c>
      <c r="M4863">
        <v>20</v>
      </c>
    </row>
    <row r="4864" spans="1:13" x14ac:dyDescent="0.25">
      <c r="A4864" t="s">
        <v>10729</v>
      </c>
      <c r="B4864" t="s">
        <v>10730</v>
      </c>
      <c r="C4864" t="s">
        <v>540</v>
      </c>
      <c r="F4864">
        <v>2</v>
      </c>
      <c r="G4864" t="s">
        <v>16</v>
      </c>
      <c r="H4864">
        <v>0</v>
      </c>
      <c r="I4864" s="2" t="s">
        <v>500</v>
      </c>
      <c r="J4864" s="2" t="s">
        <v>10731</v>
      </c>
      <c r="K4864">
        <v>20</v>
      </c>
      <c r="L4864">
        <v>20</v>
      </c>
      <c r="M4864">
        <v>20</v>
      </c>
    </row>
    <row r="4865" spans="1:13" x14ac:dyDescent="0.25">
      <c r="A4865" t="s">
        <v>10732</v>
      </c>
      <c r="B4865" t="s">
        <v>10733</v>
      </c>
      <c r="C4865" t="s">
        <v>496</v>
      </c>
      <c r="D4865" t="s">
        <v>2360</v>
      </c>
      <c r="F4865">
        <v>2</v>
      </c>
      <c r="G4865" t="s">
        <v>16</v>
      </c>
      <c r="H4865">
        <v>0</v>
      </c>
      <c r="I4865" s="2" t="s">
        <v>64</v>
      </c>
      <c r="J4865" s="2">
        <v>10011278</v>
      </c>
      <c r="K4865">
        <v>20</v>
      </c>
      <c r="L4865">
        <v>20</v>
      </c>
      <c r="M4865">
        <v>20</v>
      </c>
    </row>
    <row r="4866" spans="1:13" x14ac:dyDescent="0.25">
      <c r="A4866" t="s">
        <v>10734</v>
      </c>
      <c r="B4866" t="s">
        <v>10735</v>
      </c>
      <c r="C4866" t="s">
        <v>496</v>
      </c>
      <c r="D4866" t="s">
        <v>2360</v>
      </c>
      <c r="F4866">
        <v>4</v>
      </c>
      <c r="G4866" t="s">
        <v>16</v>
      </c>
      <c r="H4866">
        <v>0</v>
      </c>
      <c r="I4866" s="2" t="s">
        <v>2300</v>
      </c>
      <c r="J4866" s="2">
        <v>41671</v>
      </c>
      <c r="K4866">
        <v>20</v>
      </c>
      <c r="L4866">
        <v>20</v>
      </c>
      <c r="M4866">
        <v>20</v>
      </c>
    </row>
    <row r="4867" spans="1:13" x14ac:dyDescent="0.25">
      <c r="A4867" t="s">
        <v>10736</v>
      </c>
      <c r="B4867" t="s">
        <v>10738</v>
      </c>
      <c r="C4867" t="s">
        <v>2493</v>
      </c>
      <c r="D4867" t="s">
        <v>2360</v>
      </c>
      <c r="F4867">
        <v>2</v>
      </c>
      <c r="G4867" t="s">
        <v>16</v>
      </c>
      <c r="H4867">
        <v>0</v>
      </c>
      <c r="I4867" s="2" t="s">
        <v>2881</v>
      </c>
      <c r="J4867" s="2" t="s">
        <v>10737</v>
      </c>
      <c r="K4867">
        <v>20</v>
      </c>
      <c r="L4867">
        <v>20</v>
      </c>
      <c r="M4867">
        <v>20</v>
      </c>
    </row>
    <row r="4868" spans="1:13" x14ac:dyDescent="0.25">
      <c r="A4868" t="s">
        <v>10739</v>
      </c>
      <c r="B4868" t="s">
        <v>10741</v>
      </c>
      <c r="C4868" t="s">
        <v>2493</v>
      </c>
      <c r="D4868" t="s">
        <v>2360</v>
      </c>
      <c r="F4868">
        <v>2</v>
      </c>
      <c r="G4868" t="s">
        <v>16</v>
      </c>
      <c r="H4868">
        <v>0</v>
      </c>
      <c r="I4868" s="2" t="s">
        <v>2881</v>
      </c>
      <c r="J4868" s="2" t="s">
        <v>10740</v>
      </c>
      <c r="K4868">
        <v>20</v>
      </c>
      <c r="L4868">
        <v>20</v>
      </c>
      <c r="M4868">
        <v>20</v>
      </c>
    </row>
    <row r="4869" spans="1:13" x14ac:dyDescent="0.25">
      <c r="A4869" t="s">
        <v>10742</v>
      </c>
      <c r="B4869" t="s">
        <v>10743</v>
      </c>
      <c r="C4869" t="s">
        <v>540</v>
      </c>
      <c r="F4869">
        <v>1</v>
      </c>
      <c r="G4869" t="s">
        <v>16</v>
      </c>
      <c r="H4869">
        <v>0</v>
      </c>
      <c r="I4869" s="2" t="s">
        <v>643</v>
      </c>
      <c r="J4869" s="2">
        <v>111284</v>
      </c>
      <c r="K4869">
        <v>20</v>
      </c>
      <c r="L4869">
        <v>20</v>
      </c>
      <c r="M4869">
        <v>20</v>
      </c>
    </row>
    <row r="4870" spans="1:13" x14ac:dyDescent="0.25">
      <c r="A4870" t="s">
        <v>10744</v>
      </c>
      <c r="B4870" t="s">
        <v>10745</v>
      </c>
      <c r="C4870" t="s">
        <v>540</v>
      </c>
      <c r="F4870">
        <v>0</v>
      </c>
      <c r="G4870" t="s">
        <v>16</v>
      </c>
      <c r="H4870">
        <v>0</v>
      </c>
      <c r="I4870" s="2" t="s">
        <v>643</v>
      </c>
      <c r="J4870" s="2">
        <v>111215</v>
      </c>
      <c r="K4870">
        <v>20</v>
      </c>
      <c r="L4870">
        <v>20</v>
      </c>
      <c r="M4870">
        <v>20</v>
      </c>
    </row>
    <row r="4871" spans="1:13" x14ac:dyDescent="0.25">
      <c r="A4871" t="s">
        <v>10746</v>
      </c>
      <c r="B4871" t="s">
        <v>10747</v>
      </c>
      <c r="C4871" t="s">
        <v>540</v>
      </c>
      <c r="F4871">
        <v>1</v>
      </c>
      <c r="G4871" t="s">
        <v>16</v>
      </c>
      <c r="H4871">
        <v>0</v>
      </c>
      <c r="I4871" s="2" t="s">
        <v>643</v>
      </c>
      <c r="J4871" s="2">
        <v>111530</v>
      </c>
      <c r="K4871">
        <v>20</v>
      </c>
      <c r="L4871">
        <v>20</v>
      </c>
      <c r="M4871">
        <v>20</v>
      </c>
    </row>
    <row r="4872" spans="1:13" x14ac:dyDescent="0.25">
      <c r="A4872" t="s">
        <v>10748</v>
      </c>
      <c r="B4872" t="s">
        <v>10749</v>
      </c>
      <c r="C4872" t="s">
        <v>540</v>
      </c>
      <c r="F4872">
        <v>2</v>
      </c>
      <c r="G4872" t="s">
        <v>16</v>
      </c>
      <c r="H4872">
        <v>0</v>
      </c>
      <c r="I4872" s="2" t="s">
        <v>643</v>
      </c>
      <c r="J4872" s="2">
        <v>111533</v>
      </c>
      <c r="K4872">
        <v>20</v>
      </c>
      <c r="L4872">
        <v>20</v>
      </c>
      <c r="M4872">
        <v>20</v>
      </c>
    </row>
    <row r="4873" spans="1:13" x14ac:dyDescent="0.25">
      <c r="A4873" t="s">
        <v>10750</v>
      </c>
      <c r="B4873" t="s">
        <v>10751</v>
      </c>
      <c r="C4873" t="s">
        <v>540</v>
      </c>
      <c r="F4873">
        <v>2</v>
      </c>
      <c r="G4873" t="s">
        <v>16</v>
      </c>
      <c r="H4873">
        <v>0</v>
      </c>
      <c r="I4873" s="2" t="s">
        <v>643</v>
      </c>
      <c r="J4873" s="2">
        <v>111495</v>
      </c>
      <c r="K4873">
        <v>20</v>
      </c>
      <c r="L4873">
        <v>20</v>
      </c>
      <c r="M4873">
        <v>20</v>
      </c>
    </row>
    <row r="4874" spans="1:13" x14ac:dyDescent="0.25">
      <c r="A4874" t="s">
        <v>10752</v>
      </c>
      <c r="B4874" t="s">
        <v>10753</v>
      </c>
      <c r="C4874" t="s">
        <v>540</v>
      </c>
      <c r="F4874">
        <v>1</v>
      </c>
      <c r="G4874" t="s">
        <v>16</v>
      </c>
      <c r="H4874">
        <v>0</v>
      </c>
      <c r="I4874" s="2" t="s">
        <v>643</v>
      </c>
      <c r="J4874" s="2">
        <v>111496</v>
      </c>
      <c r="K4874">
        <v>20</v>
      </c>
      <c r="L4874">
        <v>20</v>
      </c>
      <c r="M4874">
        <v>20</v>
      </c>
    </row>
    <row r="4875" spans="1:13" x14ac:dyDescent="0.25">
      <c r="A4875" t="s">
        <v>10754</v>
      </c>
      <c r="B4875" t="s">
        <v>10755</v>
      </c>
      <c r="C4875" t="s">
        <v>540</v>
      </c>
      <c r="F4875">
        <v>1</v>
      </c>
      <c r="G4875" t="s">
        <v>16</v>
      </c>
      <c r="H4875">
        <v>0</v>
      </c>
      <c r="I4875" s="2" t="s">
        <v>643</v>
      </c>
      <c r="J4875" s="2">
        <v>111500</v>
      </c>
      <c r="K4875">
        <v>20</v>
      </c>
      <c r="L4875">
        <v>20</v>
      </c>
      <c r="M4875">
        <v>20</v>
      </c>
    </row>
    <row r="4876" spans="1:13" x14ac:dyDescent="0.25">
      <c r="A4876" t="s">
        <v>10756</v>
      </c>
      <c r="B4876" t="s">
        <v>10757</v>
      </c>
      <c r="C4876" t="s">
        <v>540</v>
      </c>
      <c r="G4876" t="s">
        <v>16</v>
      </c>
      <c r="H4876">
        <v>0</v>
      </c>
      <c r="I4876" s="2" t="s">
        <v>734</v>
      </c>
      <c r="J4876" s="2">
        <v>111285</v>
      </c>
      <c r="K4876">
        <v>20</v>
      </c>
      <c r="L4876">
        <v>20</v>
      </c>
      <c r="M4876">
        <v>20</v>
      </c>
    </row>
    <row r="4877" spans="1:13" x14ac:dyDescent="0.25">
      <c r="A4877" t="s">
        <v>10758</v>
      </c>
      <c r="B4877" t="s">
        <v>10759</v>
      </c>
      <c r="C4877" t="s">
        <v>540</v>
      </c>
      <c r="F4877">
        <v>1</v>
      </c>
      <c r="G4877" t="s">
        <v>16</v>
      </c>
      <c r="H4877">
        <v>0</v>
      </c>
      <c r="I4877" s="2" t="s">
        <v>734</v>
      </c>
      <c r="J4877" s="2">
        <v>111286</v>
      </c>
      <c r="K4877">
        <v>20</v>
      </c>
      <c r="L4877">
        <v>20</v>
      </c>
      <c r="M4877">
        <v>20</v>
      </c>
    </row>
    <row r="4878" spans="1:13" x14ac:dyDescent="0.25">
      <c r="A4878" t="s">
        <v>10760</v>
      </c>
      <c r="B4878" t="s">
        <v>10761</v>
      </c>
      <c r="C4878" t="s">
        <v>14</v>
      </c>
      <c r="D4878" t="s">
        <v>2620</v>
      </c>
      <c r="F4878">
        <v>0</v>
      </c>
      <c r="G4878" t="s">
        <v>16</v>
      </c>
      <c r="H4878">
        <v>0</v>
      </c>
      <c r="I4878" s="2" t="s">
        <v>7200</v>
      </c>
      <c r="J4878" s="2" t="s">
        <v>10762</v>
      </c>
      <c r="K4878">
        <v>20</v>
      </c>
      <c r="L4878">
        <v>20</v>
      </c>
      <c r="M4878">
        <v>20</v>
      </c>
    </row>
    <row r="4879" spans="1:13" x14ac:dyDescent="0.25">
      <c r="A4879" t="s">
        <v>10763</v>
      </c>
      <c r="B4879" t="s">
        <v>10764</v>
      </c>
      <c r="C4879" t="s">
        <v>540</v>
      </c>
      <c r="G4879" t="s">
        <v>16</v>
      </c>
      <c r="H4879">
        <v>0</v>
      </c>
      <c r="I4879" s="2" t="s">
        <v>504</v>
      </c>
      <c r="J4879" s="2">
        <v>5176952</v>
      </c>
      <c r="K4879">
        <v>20</v>
      </c>
      <c r="L4879">
        <v>20</v>
      </c>
      <c r="M4879">
        <v>20</v>
      </c>
    </row>
    <row r="4880" spans="1:13" x14ac:dyDescent="0.25">
      <c r="A4880" t="s">
        <v>10765</v>
      </c>
      <c r="B4880" t="s">
        <v>10766</v>
      </c>
      <c r="C4880" t="s">
        <v>540</v>
      </c>
      <c r="G4880" t="s">
        <v>16</v>
      </c>
      <c r="H4880">
        <v>0</v>
      </c>
      <c r="K4880">
        <v>20</v>
      </c>
      <c r="L4880">
        <v>20</v>
      </c>
      <c r="M4880">
        <v>20</v>
      </c>
    </row>
    <row r="4881" spans="1:13" x14ac:dyDescent="0.25">
      <c r="A4881" t="s">
        <v>10767</v>
      </c>
      <c r="B4881" t="s">
        <v>10768</v>
      </c>
      <c r="C4881" t="s">
        <v>540</v>
      </c>
      <c r="G4881" t="s">
        <v>16</v>
      </c>
      <c r="H4881">
        <v>0</v>
      </c>
      <c r="K4881">
        <v>20</v>
      </c>
      <c r="L4881">
        <v>20</v>
      </c>
      <c r="M4881">
        <v>20</v>
      </c>
    </row>
    <row r="4882" spans="1:13" x14ac:dyDescent="0.25">
      <c r="A4882" t="s">
        <v>10769</v>
      </c>
      <c r="B4882" t="s">
        <v>10770</v>
      </c>
      <c r="C4882" t="s">
        <v>540</v>
      </c>
      <c r="F4882">
        <v>1</v>
      </c>
      <c r="G4882" t="s">
        <v>16</v>
      </c>
      <c r="H4882">
        <v>0</v>
      </c>
      <c r="K4882">
        <v>20</v>
      </c>
      <c r="L4882">
        <v>20</v>
      </c>
      <c r="M4882">
        <v>20</v>
      </c>
    </row>
    <row r="4883" spans="1:13" x14ac:dyDescent="0.25">
      <c r="A4883" t="s">
        <v>10771</v>
      </c>
      <c r="B4883" t="s">
        <v>10772</v>
      </c>
      <c r="C4883" t="s">
        <v>540</v>
      </c>
      <c r="G4883" t="s">
        <v>16</v>
      </c>
      <c r="H4883">
        <v>0</v>
      </c>
      <c r="K4883">
        <v>20</v>
      </c>
      <c r="L4883">
        <v>20</v>
      </c>
      <c r="M4883">
        <v>20</v>
      </c>
    </row>
    <row r="4884" spans="1:13" x14ac:dyDescent="0.25">
      <c r="A4884" t="s">
        <v>10773</v>
      </c>
      <c r="B4884" t="s">
        <v>10774</v>
      </c>
      <c r="C4884" t="s">
        <v>496</v>
      </c>
      <c r="D4884" t="s">
        <v>2360</v>
      </c>
      <c r="F4884">
        <v>1</v>
      </c>
      <c r="G4884" t="s">
        <v>16</v>
      </c>
      <c r="H4884">
        <v>0</v>
      </c>
      <c r="I4884" s="2" t="s">
        <v>1137</v>
      </c>
      <c r="J4884" s="2" t="s">
        <v>10775</v>
      </c>
      <c r="K4884">
        <v>20</v>
      </c>
      <c r="L4884">
        <v>20</v>
      </c>
      <c r="M4884">
        <v>20</v>
      </c>
    </row>
    <row r="4885" spans="1:13" x14ac:dyDescent="0.25">
      <c r="A4885" t="s">
        <v>10776</v>
      </c>
      <c r="B4885" t="s">
        <v>10777</v>
      </c>
      <c r="C4885" t="s">
        <v>496</v>
      </c>
      <c r="D4885" t="s">
        <v>2360</v>
      </c>
      <c r="F4885">
        <v>1</v>
      </c>
      <c r="G4885" t="s">
        <v>16</v>
      </c>
      <c r="H4885">
        <v>0</v>
      </c>
      <c r="I4885" s="2" t="s">
        <v>64</v>
      </c>
      <c r="J4885" s="2">
        <v>13050098</v>
      </c>
      <c r="K4885">
        <v>20</v>
      </c>
      <c r="L4885">
        <v>20</v>
      </c>
      <c r="M4885">
        <v>20</v>
      </c>
    </row>
    <row r="4886" spans="1:13" x14ac:dyDescent="0.25">
      <c r="A4886" t="s">
        <v>10778</v>
      </c>
      <c r="B4886" t="s">
        <v>10779</v>
      </c>
      <c r="C4886" t="s">
        <v>496</v>
      </c>
      <c r="D4886" t="s">
        <v>4083</v>
      </c>
      <c r="F4886">
        <v>1</v>
      </c>
      <c r="G4886" t="s">
        <v>16</v>
      </c>
      <c r="H4886">
        <v>0</v>
      </c>
      <c r="I4886" s="2" t="s">
        <v>162</v>
      </c>
      <c r="J4886" s="2">
        <v>70933</v>
      </c>
      <c r="K4886">
        <v>20</v>
      </c>
      <c r="L4886">
        <v>20</v>
      </c>
      <c r="M4886">
        <v>20</v>
      </c>
    </row>
    <row r="4887" spans="1:13" x14ac:dyDescent="0.25">
      <c r="A4887" t="s">
        <v>10780</v>
      </c>
      <c r="B4887" t="s">
        <v>10781</v>
      </c>
      <c r="C4887" t="s">
        <v>540</v>
      </c>
      <c r="G4887" t="s">
        <v>16</v>
      </c>
      <c r="H4887">
        <v>0</v>
      </c>
      <c r="I4887" s="2" t="s">
        <v>2251</v>
      </c>
      <c r="J4887" s="2">
        <v>5184317</v>
      </c>
      <c r="K4887">
        <v>20</v>
      </c>
      <c r="L4887">
        <v>20</v>
      </c>
      <c r="M4887">
        <v>20</v>
      </c>
    </row>
    <row r="4888" spans="1:13" x14ac:dyDescent="0.25">
      <c r="A4888" t="s">
        <v>10782</v>
      </c>
      <c r="B4888" t="s">
        <v>10783</v>
      </c>
      <c r="C4888" t="s">
        <v>540</v>
      </c>
      <c r="F4888">
        <v>8</v>
      </c>
      <c r="G4888" t="s">
        <v>16</v>
      </c>
      <c r="H4888">
        <v>0</v>
      </c>
      <c r="I4888" s="2" t="s">
        <v>759</v>
      </c>
      <c r="J4888" s="2" t="s">
        <v>10784</v>
      </c>
      <c r="K4888">
        <v>20</v>
      </c>
      <c r="L4888">
        <v>20</v>
      </c>
      <c r="M4888">
        <v>20</v>
      </c>
    </row>
    <row r="4889" spans="1:13" x14ac:dyDescent="0.25">
      <c r="A4889" t="s">
        <v>10785</v>
      </c>
      <c r="B4889" t="s">
        <v>10786</v>
      </c>
      <c r="C4889" t="s">
        <v>540</v>
      </c>
      <c r="F4889">
        <v>8</v>
      </c>
      <c r="G4889" t="s">
        <v>16</v>
      </c>
      <c r="H4889">
        <v>0</v>
      </c>
      <c r="I4889" s="2" t="s">
        <v>759</v>
      </c>
      <c r="J4889" s="2" t="s">
        <v>10787</v>
      </c>
      <c r="K4889">
        <v>20</v>
      </c>
      <c r="L4889">
        <v>20</v>
      </c>
      <c r="M4889">
        <v>20</v>
      </c>
    </row>
    <row r="4890" spans="1:13" x14ac:dyDescent="0.25">
      <c r="A4890" t="s">
        <v>10788</v>
      </c>
      <c r="B4890" t="s">
        <v>10789</v>
      </c>
      <c r="C4890" t="s">
        <v>540</v>
      </c>
      <c r="F4890">
        <v>0</v>
      </c>
      <c r="G4890" t="s">
        <v>16</v>
      </c>
      <c r="H4890">
        <v>0</v>
      </c>
      <c r="I4890" s="2" t="s">
        <v>7537</v>
      </c>
      <c r="J4890" s="2">
        <v>51952366</v>
      </c>
      <c r="K4890">
        <v>20</v>
      </c>
      <c r="L4890">
        <v>20</v>
      </c>
      <c r="M4890">
        <v>20</v>
      </c>
    </row>
    <row r="4891" spans="1:13" x14ac:dyDescent="0.25">
      <c r="A4891" t="s">
        <v>10790</v>
      </c>
      <c r="B4891" t="s">
        <v>10791</v>
      </c>
      <c r="C4891" t="s">
        <v>496</v>
      </c>
      <c r="D4891" t="s">
        <v>5856</v>
      </c>
      <c r="F4891">
        <v>1</v>
      </c>
      <c r="G4891" t="s">
        <v>16</v>
      </c>
      <c r="H4891">
        <v>0</v>
      </c>
      <c r="I4891" s="2" t="s">
        <v>5500</v>
      </c>
      <c r="J4891" s="2" t="s">
        <v>10792</v>
      </c>
      <c r="K4891">
        <v>20</v>
      </c>
      <c r="L4891">
        <v>20</v>
      </c>
      <c r="M4891">
        <v>20</v>
      </c>
    </row>
    <row r="4892" spans="1:13" x14ac:dyDescent="0.25">
      <c r="A4892" t="s">
        <v>10793</v>
      </c>
      <c r="B4892" t="s">
        <v>10794</v>
      </c>
      <c r="C4892" t="s">
        <v>496</v>
      </c>
      <c r="D4892" t="s">
        <v>2360</v>
      </c>
      <c r="F4892">
        <v>2</v>
      </c>
      <c r="G4892" t="s">
        <v>16</v>
      </c>
      <c r="H4892">
        <v>0</v>
      </c>
      <c r="I4892" s="2" t="s">
        <v>5044</v>
      </c>
      <c r="J4892" s="2" t="s">
        <v>10795</v>
      </c>
      <c r="K4892">
        <v>20</v>
      </c>
      <c r="L4892">
        <v>20</v>
      </c>
      <c r="M4892">
        <v>20</v>
      </c>
    </row>
    <row r="4893" spans="1:13" x14ac:dyDescent="0.25">
      <c r="A4893" t="s">
        <v>10796</v>
      </c>
      <c r="B4893" t="s">
        <v>10797</v>
      </c>
      <c r="C4893" t="s">
        <v>496</v>
      </c>
      <c r="D4893" t="s">
        <v>5856</v>
      </c>
      <c r="F4893">
        <v>1</v>
      </c>
      <c r="G4893" t="s">
        <v>16</v>
      </c>
      <c r="H4893">
        <v>0</v>
      </c>
      <c r="I4893" s="2" t="s">
        <v>5500</v>
      </c>
      <c r="J4893" s="2" t="s">
        <v>10798</v>
      </c>
      <c r="K4893">
        <v>20</v>
      </c>
      <c r="L4893">
        <v>20</v>
      </c>
      <c r="M4893">
        <v>20</v>
      </c>
    </row>
    <row r="4894" spans="1:13" x14ac:dyDescent="0.25">
      <c r="A4894" t="s">
        <v>10799</v>
      </c>
      <c r="B4894" t="s">
        <v>10800</v>
      </c>
      <c r="C4894" t="s">
        <v>496</v>
      </c>
      <c r="D4894" t="s">
        <v>2360</v>
      </c>
      <c r="F4894">
        <v>2</v>
      </c>
      <c r="G4894" t="s">
        <v>16</v>
      </c>
      <c r="H4894">
        <v>0</v>
      </c>
      <c r="I4894" s="2" t="s">
        <v>5044</v>
      </c>
      <c r="J4894" s="2" t="s">
        <v>10801</v>
      </c>
      <c r="K4894">
        <v>20</v>
      </c>
      <c r="L4894">
        <v>20</v>
      </c>
      <c r="M4894">
        <v>20</v>
      </c>
    </row>
    <row r="4895" spans="1:13" x14ac:dyDescent="0.25">
      <c r="A4895" t="s">
        <v>10802</v>
      </c>
      <c r="B4895" t="s">
        <v>10803</v>
      </c>
      <c r="C4895" t="s">
        <v>496</v>
      </c>
      <c r="D4895" t="s">
        <v>2360</v>
      </c>
      <c r="F4895">
        <v>2</v>
      </c>
      <c r="G4895" t="s">
        <v>16</v>
      </c>
      <c r="H4895">
        <v>0</v>
      </c>
      <c r="I4895" s="2" t="s">
        <v>87</v>
      </c>
      <c r="J4895" s="2" t="s">
        <v>10804</v>
      </c>
      <c r="K4895">
        <v>20</v>
      </c>
      <c r="L4895">
        <v>20</v>
      </c>
      <c r="M4895">
        <v>20</v>
      </c>
    </row>
    <row r="4896" spans="1:13" x14ac:dyDescent="0.25">
      <c r="A4896" t="s">
        <v>10805</v>
      </c>
      <c r="B4896" t="s">
        <v>10806</v>
      </c>
      <c r="C4896" t="s">
        <v>496</v>
      </c>
      <c r="D4896" t="s">
        <v>2360</v>
      </c>
      <c r="F4896">
        <v>1</v>
      </c>
      <c r="G4896" t="s">
        <v>16</v>
      </c>
      <c r="H4896">
        <v>0</v>
      </c>
      <c r="I4896" s="2" t="s">
        <v>5500</v>
      </c>
      <c r="J4896" s="2" t="s">
        <v>10807</v>
      </c>
      <c r="K4896">
        <v>20</v>
      </c>
      <c r="L4896">
        <v>20</v>
      </c>
      <c r="M4896">
        <v>20</v>
      </c>
    </row>
    <row r="4897" spans="1:13" x14ac:dyDescent="0.25">
      <c r="A4897" t="s">
        <v>10808</v>
      </c>
      <c r="B4897" t="s">
        <v>10809</v>
      </c>
      <c r="C4897" t="s">
        <v>496</v>
      </c>
      <c r="D4897" t="s">
        <v>2360</v>
      </c>
      <c r="G4897" t="s">
        <v>16</v>
      </c>
      <c r="H4897">
        <v>0</v>
      </c>
      <c r="I4897" s="2" t="s">
        <v>7654</v>
      </c>
      <c r="J4897" s="2" t="s">
        <v>10810</v>
      </c>
      <c r="K4897">
        <v>20</v>
      </c>
      <c r="L4897">
        <v>20</v>
      </c>
      <c r="M4897">
        <v>20</v>
      </c>
    </row>
    <row r="4898" spans="1:13" x14ac:dyDescent="0.25">
      <c r="A4898" t="s">
        <v>10811</v>
      </c>
      <c r="B4898" t="s">
        <v>10809</v>
      </c>
      <c r="C4898" t="s">
        <v>496</v>
      </c>
      <c r="D4898" t="s">
        <v>2360</v>
      </c>
      <c r="F4898">
        <v>2</v>
      </c>
      <c r="G4898" t="s">
        <v>16</v>
      </c>
      <c r="H4898">
        <v>0</v>
      </c>
      <c r="I4898" s="2" t="s">
        <v>2670</v>
      </c>
      <c r="J4898" s="2" t="s">
        <v>10812</v>
      </c>
      <c r="K4898">
        <v>20</v>
      </c>
      <c r="L4898">
        <v>20</v>
      </c>
      <c r="M4898">
        <v>20</v>
      </c>
    </row>
    <row r="4899" spans="1:13" x14ac:dyDescent="0.25">
      <c r="A4899" t="s">
        <v>10813</v>
      </c>
      <c r="B4899" t="s">
        <v>10809</v>
      </c>
      <c r="C4899" t="s">
        <v>496</v>
      </c>
      <c r="D4899" t="s">
        <v>2360</v>
      </c>
      <c r="F4899">
        <v>1</v>
      </c>
      <c r="G4899" t="s">
        <v>16</v>
      </c>
      <c r="H4899">
        <v>0</v>
      </c>
      <c r="I4899" s="2" t="s">
        <v>5057</v>
      </c>
      <c r="J4899" s="2" t="s">
        <v>10814</v>
      </c>
      <c r="K4899">
        <v>20</v>
      </c>
      <c r="L4899">
        <v>20</v>
      </c>
      <c r="M4899">
        <v>20</v>
      </c>
    </row>
    <row r="4900" spans="1:13" x14ac:dyDescent="0.25">
      <c r="A4900" t="s">
        <v>10815</v>
      </c>
      <c r="B4900" t="s">
        <v>10816</v>
      </c>
      <c r="C4900" t="s">
        <v>496</v>
      </c>
      <c r="D4900" t="s">
        <v>2360</v>
      </c>
      <c r="F4900">
        <v>1</v>
      </c>
      <c r="G4900" t="s">
        <v>16</v>
      </c>
      <c r="H4900">
        <v>0</v>
      </c>
      <c r="I4900" s="2" t="s">
        <v>5500</v>
      </c>
      <c r="J4900" s="2" t="s">
        <v>10817</v>
      </c>
      <c r="K4900">
        <v>20</v>
      </c>
      <c r="L4900">
        <v>20</v>
      </c>
      <c r="M4900">
        <v>20</v>
      </c>
    </row>
    <row r="4901" spans="1:13" x14ac:dyDescent="0.25">
      <c r="A4901" t="s">
        <v>10818</v>
      </c>
      <c r="B4901" t="s">
        <v>10819</v>
      </c>
      <c r="C4901" t="s">
        <v>496</v>
      </c>
      <c r="D4901" t="s">
        <v>2360</v>
      </c>
      <c r="F4901">
        <v>1</v>
      </c>
      <c r="G4901" t="s">
        <v>16</v>
      </c>
      <c r="H4901">
        <v>0</v>
      </c>
      <c r="I4901" s="2" t="s">
        <v>2670</v>
      </c>
      <c r="J4901" s="2" t="s">
        <v>10820</v>
      </c>
      <c r="K4901">
        <v>20</v>
      </c>
      <c r="L4901">
        <v>20</v>
      </c>
      <c r="M4901">
        <v>20</v>
      </c>
    </row>
    <row r="4902" spans="1:13" x14ac:dyDescent="0.25">
      <c r="A4902" t="s">
        <v>10821</v>
      </c>
      <c r="B4902" t="s">
        <v>10819</v>
      </c>
      <c r="C4902" t="s">
        <v>496</v>
      </c>
      <c r="D4902" t="s">
        <v>2360</v>
      </c>
      <c r="F4902">
        <v>1</v>
      </c>
      <c r="G4902" t="s">
        <v>16</v>
      </c>
      <c r="H4902">
        <v>0</v>
      </c>
      <c r="I4902" s="2" t="s">
        <v>5057</v>
      </c>
      <c r="J4902" s="2" t="s">
        <v>10822</v>
      </c>
      <c r="K4902">
        <v>20</v>
      </c>
      <c r="L4902">
        <v>20</v>
      </c>
      <c r="M4902">
        <v>20</v>
      </c>
    </row>
    <row r="4903" spans="1:13" x14ac:dyDescent="0.25">
      <c r="A4903" t="s">
        <v>10823</v>
      </c>
      <c r="B4903" t="s">
        <v>10824</v>
      </c>
      <c r="C4903" t="s">
        <v>496</v>
      </c>
      <c r="D4903" t="s">
        <v>2360</v>
      </c>
      <c r="F4903">
        <v>2</v>
      </c>
      <c r="G4903" t="s">
        <v>16</v>
      </c>
      <c r="H4903">
        <v>0</v>
      </c>
      <c r="I4903" s="2" t="s">
        <v>5044</v>
      </c>
      <c r="J4903" s="2" t="s">
        <v>10825</v>
      </c>
      <c r="K4903">
        <v>20</v>
      </c>
      <c r="L4903">
        <v>20</v>
      </c>
      <c r="M4903">
        <v>20</v>
      </c>
    </row>
    <row r="4904" spans="1:13" x14ac:dyDescent="0.25">
      <c r="A4904" t="s">
        <v>10826</v>
      </c>
      <c r="B4904" t="s">
        <v>10827</v>
      </c>
      <c r="C4904" t="s">
        <v>496</v>
      </c>
      <c r="D4904" t="s">
        <v>5856</v>
      </c>
      <c r="F4904">
        <v>1</v>
      </c>
      <c r="G4904" t="s">
        <v>16</v>
      </c>
      <c r="H4904">
        <v>0</v>
      </c>
      <c r="I4904" s="2" t="s">
        <v>2670</v>
      </c>
      <c r="J4904" s="2" t="s">
        <v>10828</v>
      </c>
      <c r="K4904">
        <v>20</v>
      </c>
      <c r="L4904">
        <v>20</v>
      </c>
      <c r="M4904">
        <v>20</v>
      </c>
    </row>
    <row r="4905" spans="1:13" x14ac:dyDescent="0.25">
      <c r="A4905" t="s">
        <v>10829</v>
      </c>
      <c r="B4905" t="s">
        <v>10830</v>
      </c>
      <c r="C4905" t="s">
        <v>2493</v>
      </c>
      <c r="D4905" t="s">
        <v>5856</v>
      </c>
      <c r="F4905">
        <v>2</v>
      </c>
      <c r="G4905" t="s">
        <v>16</v>
      </c>
      <c r="H4905">
        <v>0</v>
      </c>
      <c r="I4905" s="2" t="s">
        <v>5500</v>
      </c>
      <c r="J4905" s="2" t="s">
        <v>10831</v>
      </c>
      <c r="K4905">
        <v>20</v>
      </c>
      <c r="L4905">
        <v>20</v>
      </c>
      <c r="M4905">
        <v>20</v>
      </c>
    </row>
    <row r="4906" spans="1:13" x14ac:dyDescent="0.25">
      <c r="A4906" t="s">
        <v>10832</v>
      </c>
      <c r="B4906" t="s">
        <v>10833</v>
      </c>
      <c r="C4906" t="s">
        <v>496</v>
      </c>
      <c r="D4906" t="s">
        <v>2360</v>
      </c>
      <c r="F4906">
        <v>1</v>
      </c>
      <c r="G4906" t="s">
        <v>16</v>
      </c>
      <c r="H4906">
        <v>0</v>
      </c>
      <c r="I4906" s="2" t="s">
        <v>64</v>
      </c>
      <c r="J4906" s="2">
        <v>15010018</v>
      </c>
      <c r="K4906">
        <v>20</v>
      </c>
      <c r="L4906">
        <v>20</v>
      </c>
      <c r="M4906">
        <v>20</v>
      </c>
    </row>
    <row r="4907" spans="1:13" x14ac:dyDescent="0.25">
      <c r="A4907" t="s">
        <v>10834</v>
      </c>
      <c r="B4907" t="s">
        <v>10835</v>
      </c>
      <c r="C4907" t="s">
        <v>496</v>
      </c>
      <c r="D4907" t="s">
        <v>5856</v>
      </c>
      <c r="G4907" t="s">
        <v>16</v>
      </c>
      <c r="H4907">
        <v>0</v>
      </c>
      <c r="I4907" s="2" t="s">
        <v>2670</v>
      </c>
      <c r="J4907" s="2" t="s">
        <v>10836</v>
      </c>
      <c r="K4907">
        <v>20</v>
      </c>
      <c r="L4907">
        <v>20</v>
      </c>
      <c r="M4907">
        <v>20</v>
      </c>
    </row>
    <row r="4908" spans="1:13" x14ac:dyDescent="0.25">
      <c r="A4908" t="s">
        <v>10837</v>
      </c>
      <c r="B4908" t="s">
        <v>10838</v>
      </c>
      <c r="C4908" t="s">
        <v>2493</v>
      </c>
      <c r="D4908" t="s">
        <v>5856</v>
      </c>
      <c r="F4908">
        <v>1</v>
      </c>
      <c r="G4908" t="s">
        <v>16</v>
      </c>
      <c r="H4908">
        <v>0</v>
      </c>
      <c r="I4908" s="2" t="s">
        <v>5500</v>
      </c>
      <c r="J4908" s="2" t="s">
        <v>10839</v>
      </c>
      <c r="K4908">
        <v>20</v>
      </c>
      <c r="L4908">
        <v>20</v>
      </c>
      <c r="M4908">
        <v>20</v>
      </c>
    </row>
    <row r="4909" spans="1:13" x14ac:dyDescent="0.25">
      <c r="A4909" t="s">
        <v>10840</v>
      </c>
      <c r="B4909" t="s">
        <v>10841</v>
      </c>
      <c r="C4909" t="s">
        <v>2493</v>
      </c>
      <c r="D4909" t="s">
        <v>5856</v>
      </c>
      <c r="F4909">
        <v>2</v>
      </c>
      <c r="G4909" t="s">
        <v>16</v>
      </c>
      <c r="H4909">
        <v>0</v>
      </c>
      <c r="I4909" s="2" t="s">
        <v>5500</v>
      </c>
      <c r="J4909" s="2" t="s">
        <v>10842</v>
      </c>
      <c r="K4909">
        <v>20</v>
      </c>
      <c r="L4909">
        <v>20</v>
      </c>
      <c r="M4909">
        <v>20</v>
      </c>
    </row>
    <row r="4910" spans="1:13" x14ac:dyDescent="0.25">
      <c r="A4910" t="s">
        <v>10843</v>
      </c>
      <c r="B4910" t="s">
        <v>10844</v>
      </c>
      <c r="C4910" t="s">
        <v>496</v>
      </c>
      <c r="D4910" t="s">
        <v>2360</v>
      </c>
      <c r="F4910">
        <v>1</v>
      </c>
      <c r="G4910" t="s">
        <v>16</v>
      </c>
      <c r="H4910">
        <v>0</v>
      </c>
      <c r="I4910" s="2" t="s">
        <v>64</v>
      </c>
      <c r="J4910" s="2">
        <v>15010017</v>
      </c>
      <c r="K4910">
        <v>20</v>
      </c>
      <c r="L4910">
        <v>20</v>
      </c>
      <c r="M4910">
        <v>20</v>
      </c>
    </row>
    <row r="4911" spans="1:13" x14ac:dyDescent="0.25">
      <c r="A4911" t="s">
        <v>10845</v>
      </c>
      <c r="B4911" t="s">
        <v>10846</v>
      </c>
      <c r="C4911" t="s">
        <v>496</v>
      </c>
      <c r="D4911" t="s">
        <v>5856</v>
      </c>
      <c r="G4911" t="s">
        <v>16</v>
      </c>
      <c r="H4911">
        <v>0</v>
      </c>
      <c r="I4911" s="2" t="s">
        <v>2670</v>
      </c>
      <c r="J4911" s="2" t="s">
        <v>10847</v>
      </c>
      <c r="K4911">
        <v>20</v>
      </c>
      <c r="L4911">
        <v>20</v>
      </c>
      <c r="M4911">
        <v>20</v>
      </c>
    </row>
    <row r="4912" spans="1:13" x14ac:dyDescent="0.25">
      <c r="A4912" t="s">
        <v>10848</v>
      </c>
      <c r="B4912" t="s">
        <v>10849</v>
      </c>
      <c r="C4912" t="s">
        <v>2493</v>
      </c>
      <c r="D4912" t="s">
        <v>5856</v>
      </c>
      <c r="F4912">
        <v>1</v>
      </c>
      <c r="G4912" t="s">
        <v>16</v>
      </c>
      <c r="H4912">
        <v>0</v>
      </c>
      <c r="I4912" s="2" t="s">
        <v>5500</v>
      </c>
      <c r="J4912" s="2" t="s">
        <v>10850</v>
      </c>
      <c r="K4912">
        <v>20</v>
      </c>
      <c r="L4912">
        <v>20</v>
      </c>
      <c r="M4912">
        <v>20</v>
      </c>
    </row>
    <row r="4913" spans="1:13" x14ac:dyDescent="0.25">
      <c r="A4913" t="s">
        <v>10851</v>
      </c>
      <c r="B4913" t="s">
        <v>10852</v>
      </c>
      <c r="C4913" t="s">
        <v>496</v>
      </c>
      <c r="D4913" t="s">
        <v>2360</v>
      </c>
      <c r="F4913">
        <v>1</v>
      </c>
      <c r="G4913" t="s">
        <v>16</v>
      </c>
      <c r="H4913">
        <v>0</v>
      </c>
      <c r="I4913" s="2" t="s">
        <v>2670</v>
      </c>
      <c r="J4913" s="2" t="s">
        <v>10853</v>
      </c>
      <c r="K4913">
        <v>20</v>
      </c>
      <c r="L4913">
        <v>20</v>
      </c>
      <c r="M4913">
        <v>20</v>
      </c>
    </row>
    <row r="4914" spans="1:13" x14ac:dyDescent="0.25">
      <c r="A4914" t="s">
        <v>10854</v>
      </c>
      <c r="B4914" t="s">
        <v>10855</v>
      </c>
      <c r="C4914" t="s">
        <v>2493</v>
      </c>
      <c r="D4914" t="s">
        <v>5856</v>
      </c>
      <c r="F4914">
        <v>1</v>
      </c>
      <c r="G4914" t="s">
        <v>16</v>
      </c>
      <c r="H4914">
        <v>0</v>
      </c>
      <c r="I4914" s="2" t="s">
        <v>5528</v>
      </c>
      <c r="J4914" s="2" t="s">
        <v>10856</v>
      </c>
      <c r="K4914">
        <v>20</v>
      </c>
      <c r="L4914">
        <v>20</v>
      </c>
      <c r="M4914">
        <v>20</v>
      </c>
    </row>
    <row r="4915" spans="1:13" x14ac:dyDescent="0.25">
      <c r="A4915" t="s">
        <v>10857</v>
      </c>
      <c r="B4915" t="s">
        <v>10858</v>
      </c>
      <c r="C4915" t="s">
        <v>496</v>
      </c>
      <c r="D4915" t="s">
        <v>2360</v>
      </c>
      <c r="G4915" t="s">
        <v>16</v>
      </c>
      <c r="H4915">
        <v>0</v>
      </c>
      <c r="I4915" s="2" t="s">
        <v>2670</v>
      </c>
      <c r="J4915" s="2" t="s">
        <v>10859</v>
      </c>
      <c r="K4915">
        <v>20</v>
      </c>
      <c r="L4915">
        <v>20</v>
      </c>
      <c r="M4915">
        <v>20</v>
      </c>
    </row>
    <row r="4916" spans="1:13" x14ac:dyDescent="0.25">
      <c r="A4916" t="s">
        <v>10860</v>
      </c>
      <c r="B4916" t="s">
        <v>10861</v>
      </c>
      <c r="C4916" t="s">
        <v>496</v>
      </c>
      <c r="D4916" t="s">
        <v>2360</v>
      </c>
      <c r="F4916">
        <v>4</v>
      </c>
      <c r="G4916" t="s">
        <v>16</v>
      </c>
      <c r="H4916">
        <v>0</v>
      </c>
      <c r="I4916" s="2" t="s">
        <v>5500</v>
      </c>
      <c r="J4916" s="2" t="s">
        <v>10862</v>
      </c>
      <c r="K4916">
        <v>20</v>
      </c>
      <c r="L4916">
        <v>20</v>
      </c>
      <c r="M4916">
        <v>20</v>
      </c>
    </row>
    <row r="4917" spans="1:13" x14ac:dyDescent="0.25">
      <c r="A4917" t="s">
        <v>10863</v>
      </c>
      <c r="B4917" t="s">
        <v>10861</v>
      </c>
      <c r="C4917" t="s">
        <v>496</v>
      </c>
      <c r="D4917" t="s">
        <v>2360</v>
      </c>
      <c r="F4917">
        <v>2</v>
      </c>
      <c r="G4917" t="s">
        <v>16</v>
      </c>
      <c r="H4917">
        <v>0</v>
      </c>
      <c r="I4917" s="2" t="s">
        <v>2670</v>
      </c>
      <c r="J4917" s="2" t="s">
        <v>10864</v>
      </c>
      <c r="K4917">
        <v>20</v>
      </c>
      <c r="L4917">
        <v>20</v>
      </c>
      <c r="M4917">
        <v>20</v>
      </c>
    </row>
    <row r="4918" spans="1:13" x14ac:dyDescent="0.25">
      <c r="A4918" t="s">
        <v>10865</v>
      </c>
      <c r="B4918" t="s">
        <v>10866</v>
      </c>
      <c r="C4918" t="s">
        <v>496</v>
      </c>
      <c r="D4918" t="s">
        <v>5856</v>
      </c>
      <c r="F4918">
        <v>2</v>
      </c>
      <c r="G4918" t="s">
        <v>16</v>
      </c>
      <c r="H4918">
        <v>0</v>
      </c>
      <c r="I4918" s="2" t="s">
        <v>5528</v>
      </c>
      <c r="J4918" s="2" t="s">
        <v>10867</v>
      </c>
      <c r="K4918">
        <v>20</v>
      </c>
      <c r="L4918">
        <v>20</v>
      </c>
      <c r="M4918">
        <v>20</v>
      </c>
    </row>
    <row r="4919" spans="1:13" x14ac:dyDescent="0.25">
      <c r="A4919" t="s">
        <v>10868</v>
      </c>
      <c r="B4919" t="s">
        <v>10866</v>
      </c>
      <c r="C4919" t="s">
        <v>496</v>
      </c>
      <c r="D4919" t="s">
        <v>2360</v>
      </c>
      <c r="F4919">
        <v>0</v>
      </c>
      <c r="G4919" t="s">
        <v>16</v>
      </c>
      <c r="H4919">
        <v>0</v>
      </c>
      <c r="I4919" s="2" t="s">
        <v>2670</v>
      </c>
      <c r="J4919" s="2" t="s">
        <v>10869</v>
      </c>
      <c r="K4919">
        <v>20</v>
      </c>
      <c r="L4919">
        <v>20</v>
      </c>
      <c r="M4919">
        <v>20</v>
      </c>
    </row>
    <row r="4920" spans="1:13" x14ac:dyDescent="0.25">
      <c r="A4920" t="s">
        <v>10870</v>
      </c>
      <c r="B4920" t="s">
        <v>10871</v>
      </c>
      <c r="C4920" t="s">
        <v>496</v>
      </c>
      <c r="D4920" t="s">
        <v>2360</v>
      </c>
      <c r="F4920">
        <v>2</v>
      </c>
      <c r="G4920" t="s">
        <v>16</v>
      </c>
      <c r="H4920">
        <v>0</v>
      </c>
      <c r="I4920" s="2" t="s">
        <v>851</v>
      </c>
      <c r="J4920" s="2">
        <v>32111040</v>
      </c>
      <c r="K4920">
        <v>20</v>
      </c>
      <c r="L4920">
        <v>20</v>
      </c>
      <c r="M4920">
        <v>20</v>
      </c>
    </row>
    <row r="4921" spans="1:13" x14ac:dyDescent="0.25">
      <c r="A4921" t="s">
        <v>10872</v>
      </c>
      <c r="B4921" t="s">
        <v>10873</v>
      </c>
      <c r="C4921" t="s">
        <v>496</v>
      </c>
      <c r="D4921" t="s">
        <v>2360</v>
      </c>
      <c r="F4921">
        <v>1</v>
      </c>
      <c r="G4921" t="s">
        <v>16</v>
      </c>
      <c r="H4921">
        <v>0</v>
      </c>
      <c r="I4921" s="2" t="s">
        <v>64</v>
      </c>
      <c r="J4921" s="2">
        <v>15010123</v>
      </c>
      <c r="K4921">
        <v>20</v>
      </c>
      <c r="L4921">
        <v>20</v>
      </c>
      <c r="M4921">
        <v>20</v>
      </c>
    </row>
    <row r="4922" spans="1:13" x14ac:dyDescent="0.25">
      <c r="A4922" t="s">
        <v>10874</v>
      </c>
      <c r="B4922" t="s">
        <v>10875</v>
      </c>
      <c r="C4922" t="s">
        <v>496</v>
      </c>
      <c r="D4922" t="s">
        <v>2360</v>
      </c>
      <c r="F4922">
        <v>1</v>
      </c>
      <c r="G4922" t="s">
        <v>16</v>
      </c>
      <c r="H4922">
        <v>0</v>
      </c>
      <c r="I4922" s="2" t="s">
        <v>491</v>
      </c>
      <c r="J4922" s="2">
        <v>379000630000</v>
      </c>
      <c r="K4922">
        <v>20</v>
      </c>
      <c r="L4922">
        <v>20</v>
      </c>
      <c r="M4922">
        <v>20</v>
      </c>
    </row>
    <row r="4923" spans="1:13" x14ac:dyDescent="0.25">
      <c r="A4923" t="s">
        <v>10876</v>
      </c>
      <c r="B4923" t="s">
        <v>10873</v>
      </c>
      <c r="C4923" t="s">
        <v>496</v>
      </c>
      <c r="D4923" t="s">
        <v>5856</v>
      </c>
      <c r="G4923" t="s">
        <v>16</v>
      </c>
      <c r="H4923">
        <v>0</v>
      </c>
      <c r="I4923" s="2" t="s">
        <v>2670</v>
      </c>
      <c r="J4923" s="2" t="s">
        <v>10877</v>
      </c>
      <c r="K4923">
        <v>20</v>
      </c>
      <c r="L4923">
        <v>20</v>
      </c>
      <c r="M4923">
        <v>20</v>
      </c>
    </row>
    <row r="4924" spans="1:13" x14ac:dyDescent="0.25">
      <c r="A4924" t="s">
        <v>10878</v>
      </c>
      <c r="B4924" t="s">
        <v>10879</v>
      </c>
      <c r="C4924" t="s">
        <v>496</v>
      </c>
      <c r="D4924" t="s">
        <v>2360</v>
      </c>
      <c r="F4924">
        <v>4</v>
      </c>
      <c r="G4924" t="s">
        <v>16</v>
      </c>
      <c r="H4924">
        <v>0</v>
      </c>
      <c r="I4924" s="2" t="s">
        <v>2670</v>
      </c>
      <c r="J4924" s="2" t="s">
        <v>10880</v>
      </c>
      <c r="K4924">
        <v>20</v>
      </c>
      <c r="L4924">
        <v>20</v>
      </c>
      <c r="M4924">
        <v>20</v>
      </c>
    </row>
    <row r="4925" spans="1:13" x14ac:dyDescent="0.25">
      <c r="A4925" t="s">
        <v>10881</v>
      </c>
      <c r="B4925" t="s">
        <v>10882</v>
      </c>
      <c r="C4925" t="s">
        <v>496</v>
      </c>
      <c r="D4925" t="s">
        <v>2360</v>
      </c>
      <c r="F4925">
        <v>2</v>
      </c>
      <c r="G4925" t="s">
        <v>16</v>
      </c>
      <c r="H4925">
        <v>0</v>
      </c>
      <c r="I4925" s="2" t="s">
        <v>5500</v>
      </c>
      <c r="J4925" s="2" t="s">
        <v>10883</v>
      </c>
      <c r="K4925">
        <v>20</v>
      </c>
      <c r="L4925">
        <v>20</v>
      </c>
      <c r="M4925">
        <v>20</v>
      </c>
    </row>
    <row r="4926" spans="1:13" x14ac:dyDescent="0.25">
      <c r="A4926" t="s">
        <v>10884</v>
      </c>
      <c r="B4926" t="s">
        <v>10885</v>
      </c>
      <c r="C4926" t="s">
        <v>2493</v>
      </c>
      <c r="D4926" t="s">
        <v>5856</v>
      </c>
      <c r="F4926">
        <v>2</v>
      </c>
      <c r="G4926" t="s">
        <v>16</v>
      </c>
      <c r="H4926">
        <v>0</v>
      </c>
      <c r="I4926" s="2" t="s">
        <v>5500</v>
      </c>
      <c r="J4926" s="2" t="s">
        <v>10886</v>
      </c>
      <c r="K4926">
        <v>20</v>
      </c>
      <c r="L4926">
        <v>20</v>
      </c>
      <c r="M4926">
        <v>20</v>
      </c>
    </row>
    <row r="4927" spans="1:13" x14ac:dyDescent="0.25">
      <c r="A4927" t="s">
        <v>10887</v>
      </c>
      <c r="B4927" t="s">
        <v>10885</v>
      </c>
      <c r="C4927" t="s">
        <v>2493</v>
      </c>
      <c r="D4927" t="s">
        <v>2360</v>
      </c>
      <c r="G4927" t="s">
        <v>16</v>
      </c>
      <c r="H4927">
        <v>0</v>
      </c>
      <c r="I4927" s="2" t="s">
        <v>8325</v>
      </c>
      <c r="J4927" s="2" t="s">
        <v>10888</v>
      </c>
      <c r="K4927">
        <v>20</v>
      </c>
      <c r="L4927">
        <v>20</v>
      </c>
      <c r="M4927">
        <v>20</v>
      </c>
    </row>
    <row r="4928" spans="1:13" x14ac:dyDescent="0.25">
      <c r="A4928" t="s">
        <v>10889</v>
      </c>
      <c r="B4928" t="s">
        <v>10861</v>
      </c>
      <c r="C4928" t="s">
        <v>496</v>
      </c>
      <c r="D4928" t="s">
        <v>2360</v>
      </c>
      <c r="G4928" t="s">
        <v>16</v>
      </c>
      <c r="H4928">
        <v>0</v>
      </c>
      <c r="I4928" s="2" t="s">
        <v>5688</v>
      </c>
      <c r="J4928" s="2">
        <v>290965009</v>
      </c>
      <c r="K4928">
        <v>20</v>
      </c>
      <c r="L4928">
        <v>20</v>
      </c>
      <c r="M4928">
        <v>20</v>
      </c>
    </row>
    <row r="4929" spans="1:13" x14ac:dyDescent="0.25">
      <c r="A4929" t="s">
        <v>10890</v>
      </c>
      <c r="B4929" t="s">
        <v>10891</v>
      </c>
      <c r="C4929" t="s">
        <v>357</v>
      </c>
      <c r="D4929" t="s">
        <v>1836</v>
      </c>
      <c r="F4929">
        <v>1</v>
      </c>
      <c r="G4929" t="s">
        <v>16</v>
      </c>
      <c r="H4929">
        <v>0</v>
      </c>
      <c r="I4929" s="2" t="s">
        <v>1852</v>
      </c>
      <c r="J4929" s="2">
        <v>53961</v>
      </c>
      <c r="K4929">
        <v>20</v>
      </c>
      <c r="L4929">
        <v>20</v>
      </c>
      <c r="M4929">
        <v>20</v>
      </c>
    </row>
    <row r="4930" spans="1:13" x14ac:dyDescent="0.25">
      <c r="A4930" t="s">
        <v>10892</v>
      </c>
      <c r="B4930" t="s">
        <v>10893</v>
      </c>
      <c r="C4930" t="s">
        <v>496</v>
      </c>
      <c r="D4930" t="s">
        <v>2360</v>
      </c>
      <c r="F4930">
        <v>1</v>
      </c>
      <c r="G4930" t="s">
        <v>16</v>
      </c>
      <c r="H4930">
        <v>0</v>
      </c>
      <c r="I4930" s="2" t="s">
        <v>64</v>
      </c>
      <c r="J4930" s="2">
        <v>15010100</v>
      </c>
      <c r="K4930">
        <v>20</v>
      </c>
      <c r="L4930">
        <v>20</v>
      </c>
      <c r="M4930">
        <v>20</v>
      </c>
    </row>
    <row r="4931" spans="1:13" x14ac:dyDescent="0.25">
      <c r="A4931" t="s">
        <v>10894</v>
      </c>
      <c r="B4931" t="s">
        <v>10895</v>
      </c>
      <c r="C4931" t="s">
        <v>496</v>
      </c>
      <c r="D4931" t="s">
        <v>5856</v>
      </c>
      <c r="F4931">
        <v>1</v>
      </c>
      <c r="G4931" t="s">
        <v>16</v>
      </c>
      <c r="H4931">
        <v>0</v>
      </c>
      <c r="I4931" s="2" t="s">
        <v>5297</v>
      </c>
      <c r="J4931" s="2" t="s">
        <v>10896</v>
      </c>
      <c r="K4931">
        <v>20</v>
      </c>
      <c r="L4931">
        <v>20</v>
      </c>
      <c r="M4931">
        <v>20</v>
      </c>
    </row>
    <row r="4932" spans="1:13" x14ac:dyDescent="0.25">
      <c r="A4932" t="s">
        <v>10897</v>
      </c>
      <c r="B4932" t="s">
        <v>10895</v>
      </c>
      <c r="C4932" t="s">
        <v>496</v>
      </c>
      <c r="D4932" t="s">
        <v>2360</v>
      </c>
      <c r="F4932">
        <v>1</v>
      </c>
      <c r="G4932" t="s">
        <v>16</v>
      </c>
      <c r="H4932">
        <v>0</v>
      </c>
      <c r="I4932" s="2" t="s">
        <v>5044</v>
      </c>
      <c r="J4932" s="2" t="s">
        <v>10898</v>
      </c>
      <c r="K4932">
        <v>20</v>
      </c>
      <c r="L4932">
        <v>20</v>
      </c>
      <c r="M4932">
        <v>20</v>
      </c>
    </row>
    <row r="4933" spans="1:13" x14ac:dyDescent="0.25">
      <c r="A4933" t="s">
        <v>10899</v>
      </c>
      <c r="B4933" t="s">
        <v>10900</v>
      </c>
      <c r="C4933" t="s">
        <v>496</v>
      </c>
      <c r="D4933" t="s">
        <v>2360</v>
      </c>
      <c r="G4933" t="s">
        <v>16</v>
      </c>
      <c r="H4933">
        <v>0</v>
      </c>
      <c r="I4933" s="2" t="s">
        <v>87</v>
      </c>
      <c r="J4933" s="2" t="s">
        <v>10901</v>
      </c>
      <c r="K4933">
        <v>20</v>
      </c>
      <c r="L4933">
        <v>20</v>
      </c>
      <c r="M4933">
        <v>20</v>
      </c>
    </row>
    <row r="4934" spans="1:13" x14ac:dyDescent="0.25">
      <c r="A4934" t="s">
        <v>10902</v>
      </c>
      <c r="B4934" t="s">
        <v>10900</v>
      </c>
      <c r="C4934" t="s">
        <v>496</v>
      </c>
      <c r="D4934" t="s">
        <v>5856</v>
      </c>
      <c r="F4934">
        <v>1</v>
      </c>
      <c r="G4934" t="s">
        <v>16</v>
      </c>
      <c r="H4934">
        <v>0</v>
      </c>
      <c r="I4934" s="2" t="s">
        <v>5500</v>
      </c>
      <c r="J4934" s="2" t="s">
        <v>10903</v>
      </c>
      <c r="K4934">
        <v>20</v>
      </c>
      <c r="L4934">
        <v>20</v>
      </c>
      <c r="M4934">
        <v>20</v>
      </c>
    </row>
    <row r="4935" spans="1:13" x14ac:dyDescent="0.25">
      <c r="A4935" t="s">
        <v>10904</v>
      </c>
      <c r="B4935" t="s">
        <v>10900</v>
      </c>
      <c r="C4935" t="s">
        <v>496</v>
      </c>
      <c r="D4935" t="s">
        <v>2360</v>
      </c>
      <c r="G4935" t="s">
        <v>16</v>
      </c>
      <c r="H4935">
        <v>0</v>
      </c>
      <c r="I4935" s="2" t="s">
        <v>8480</v>
      </c>
      <c r="J4935" s="2" t="s">
        <v>10905</v>
      </c>
      <c r="K4935">
        <v>20</v>
      </c>
      <c r="L4935">
        <v>20</v>
      </c>
      <c r="M4935">
        <v>20</v>
      </c>
    </row>
    <row r="4936" spans="1:13" x14ac:dyDescent="0.25">
      <c r="A4936" t="s">
        <v>10906</v>
      </c>
      <c r="B4936" t="s">
        <v>10900</v>
      </c>
      <c r="C4936" t="s">
        <v>496</v>
      </c>
      <c r="D4936" t="s">
        <v>2360</v>
      </c>
      <c r="F4936">
        <v>1</v>
      </c>
      <c r="G4936" t="s">
        <v>16</v>
      </c>
      <c r="H4936">
        <v>0</v>
      </c>
      <c r="I4936" s="2" t="s">
        <v>2670</v>
      </c>
      <c r="J4936" s="2" t="s">
        <v>10907</v>
      </c>
      <c r="K4936">
        <v>20</v>
      </c>
      <c r="L4936">
        <v>20</v>
      </c>
      <c r="M4936">
        <v>20</v>
      </c>
    </row>
    <row r="4937" spans="1:13" x14ac:dyDescent="0.25">
      <c r="A4937" t="s">
        <v>10908</v>
      </c>
      <c r="B4937" t="s">
        <v>10900</v>
      </c>
      <c r="C4937" t="s">
        <v>496</v>
      </c>
      <c r="D4937" t="s">
        <v>2360</v>
      </c>
      <c r="G4937" t="s">
        <v>16</v>
      </c>
      <c r="H4937">
        <v>0</v>
      </c>
      <c r="I4937" s="2" t="s">
        <v>5688</v>
      </c>
      <c r="J4937" s="2">
        <v>314886</v>
      </c>
      <c r="K4937">
        <v>20</v>
      </c>
      <c r="L4937">
        <v>20</v>
      </c>
      <c r="M4937">
        <v>20</v>
      </c>
    </row>
    <row r="4938" spans="1:13" x14ac:dyDescent="0.25">
      <c r="A4938" t="s">
        <v>10909</v>
      </c>
      <c r="B4938" t="s">
        <v>10900</v>
      </c>
      <c r="C4938" t="s">
        <v>496</v>
      </c>
      <c r="D4938" t="s">
        <v>2360</v>
      </c>
      <c r="G4938" t="s">
        <v>16</v>
      </c>
      <c r="H4938">
        <v>0</v>
      </c>
      <c r="I4938" s="2" t="s">
        <v>8325</v>
      </c>
      <c r="J4938" s="2" t="s">
        <v>10910</v>
      </c>
      <c r="K4938">
        <v>20</v>
      </c>
      <c r="L4938">
        <v>20</v>
      </c>
      <c r="M4938">
        <v>20</v>
      </c>
    </row>
    <row r="4939" spans="1:13" x14ac:dyDescent="0.25">
      <c r="A4939" t="s">
        <v>10911</v>
      </c>
      <c r="B4939" t="s">
        <v>10912</v>
      </c>
      <c r="C4939" t="s">
        <v>496</v>
      </c>
      <c r="D4939" t="s">
        <v>2360</v>
      </c>
      <c r="F4939">
        <v>2</v>
      </c>
      <c r="G4939" t="s">
        <v>16</v>
      </c>
      <c r="H4939">
        <v>0</v>
      </c>
      <c r="I4939" s="2" t="s">
        <v>5044</v>
      </c>
      <c r="J4939" s="2" t="s">
        <v>10913</v>
      </c>
      <c r="K4939">
        <v>20</v>
      </c>
      <c r="L4939">
        <v>20</v>
      </c>
      <c r="M4939">
        <v>20</v>
      </c>
    </row>
    <row r="4940" spans="1:13" x14ac:dyDescent="0.25">
      <c r="A4940" t="s">
        <v>10914</v>
      </c>
      <c r="B4940" t="s">
        <v>10915</v>
      </c>
      <c r="C4940" t="s">
        <v>496</v>
      </c>
      <c r="D4940" t="s">
        <v>2360</v>
      </c>
      <c r="G4940" t="s">
        <v>16</v>
      </c>
      <c r="H4940">
        <v>0</v>
      </c>
      <c r="I4940" s="2" t="s">
        <v>87</v>
      </c>
      <c r="J4940" s="2" t="s">
        <v>10916</v>
      </c>
      <c r="K4940">
        <v>20</v>
      </c>
      <c r="L4940">
        <v>20</v>
      </c>
      <c r="M4940">
        <v>20</v>
      </c>
    </row>
    <row r="4941" spans="1:13" x14ac:dyDescent="0.25">
      <c r="A4941" t="s">
        <v>10917</v>
      </c>
      <c r="B4941" t="s">
        <v>10915</v>
      </c>
      <c r="C4941" t="s">
        <v>496</v>
      </c>
      <c r="D4941" t="s">
        <v>5856</v>
      </c>
      <c r="F4941">
        <v>1</v>
      </c>
      <c r="G4941" t="s">
        <v>16</v>
      </c>
      <c r="H4941">
        <v>0</v>
      </c>
      <c r="I4941" s="2" t="s">
        <v>5500</v>
      </c>
      <c r="J4941" s="2" t="s">
        <v>10918</v>
      </c>
      <c r="K4941">
        <v>20</v>
      </c>
      <c r="L4941">
        <v>20</v>
      </c>
      <c r="M4941">
        <v>20</v>
      </c>
    </row>
    <row r="4942" spans="1:13" x14ac:dyDescent="0.25">
      <c r="A4942" t="s">
        <v>10919</v>
      </c>
      <c r="B4942" t="s">
        <v>10915</v>
      </c>
      <c r="C4942" t="s">
        <v>496</v>
      </c>
      <c r="D4942" t="s">
        <v>2360</v>
      </c>
      <c r="G4942" t="s">
        <v>16</v>
      </c>
      <c r="H4942">
        <v>0</v>
      </c>
      <c r="I4942" s="2" t="s">
        <v>8480</v>
      </c>
      <c r="J4942" s="2" t="s">
        <v>10920</v>
      </c>
      <c r="K4942">
        <v>20</v>
      </c>
      <c r="L4942">
        <v>20</v>
      </c>
      <c r="M4942">
        <v>20</v>
      </c>
    </row>
    <row r="4943" spans="1:13" x14ac:dyDescent="0.25">
      <c r="A4943" t="s">
        <v>10921</v>
      </c>
      <c r="B4943" t="s">
        <v>10915</v>
      </c>
      <c r="C4943" t="s">
        <v>496</v>
      </c>
      <c r="D4943" t="s">
        <v>2360</v>
      </c>
      <c r="F4943">
        <v>3</v>
      </c>
      <c r="G4943" t="s">
        <v>16</v>
      </c>
      <c r="H4943">
        <v>0</v>
      </c>
      <c r="I4943" s="2" t="s">
        <v>5297</v>
      </c>
      <c r="J4943" s="2" t="s">
        <v>10922</v>
      </c>
      <c r="K4943">
        <v>20</v>
      </c>
      <c r="L4943">
        <v>20</v>
      </c>
      <c r="M4943">
        <v>20</v>
      </c>
    </row>
    <row r="4944" spans="1:13" x14ac:dyDescent="0.25">
      <c r="A4944" t="s">
        <v>10923</v>
      </c>
      <c r="B4944" t="s">
        <v>10915</v>
      </c>
      <c r="C4944" t="s">
        <v>496</v>
      </c>
      <c r="D4944" t="s">
        <v>2360</v>
      </c>
      <c r="G4944" t="s">
        <v>16</v>
      </c>
      <c r="H4944">
        <v>0</v>
      </c>
      <c r="I4944" s="2" t="s">
        <v>5688</v>
      </c>
      <c r="J4944" s="2">
        <v>314888</v>
      </c>
      <c r="K4944">
        <v>20</v>
      </c>
      <c r="L4944">
        <v>20</v>
      </c>
      <c r="M4944">
        <v>20</v>
      </c>
    </row>
    <row r="4945" spans="1:13" x14ac:dyDescent="0.25">
      <c r="A4945" t="s">
        <v>10924</v>
      </c>
      <c r="B4945" t="s">
        <v>10915</v>
      </c>
      <c r="C4945" t="s">
        <v>496</v>
      </c>
      <c r="D4945" t="s">
        <v>2360</v>
      </c>
      <c r="G4945" t="s">
        <v>16</v>
      </c>
      <c r="H4945">
        <v>0</v>
      </c>
      <c r="I4945" s="2" t="s">
        <v>8325</v>
      </c>
      <c r="J4945" s="2" t="s">
        <v>10925</v>
      </c>
      <c r="K4945">
        <v>20</v>
      </c>
      <c r="L4945">
        <v>20</v>
      </c>
      <c r="M4945">
        <v>20</v>
      </c>
    </row>
    <row r="4946" spans="1:13" x14ac:dyDescent="0.25">
      <c r="A4946" t="s">
        <v>10926</v>
      </c>
      <c r="B4946" t="s">
        <v>10915</v>
      </c>
      <c r="C4946" t="s">
        <v>496</v>
      </c>
      <c r="D4946" t="s">
        <v>2360</v>
      </c>
      <c r="F4946">
        <v>1</v>
      </c>
      <c r="G4946" t="s">
        <v>16</v>
      </c>
      <c r="H4946">
        <v>0</v>
      </c>
      <c r="I4946" s="2" t="s">
        <v>5044</v>
      </c>
      <c r="J4946" s="2" t="s">
        <v>10927</v>
      </c>
      <c r="K4946">
        <v>20</v>
      </c>
      <c r="L4946">
        <v>20</v>
      </c>
      <c r="M4946">
        <v>20</v>
      </c>
    </row>
    <row r="4947" spans="1:13" x14ac:dyDescent="0.25">
      <c r="A4947" t="s">
        <v>10928</v>
      </c>
      <c r="B4947" t="s">
        <v>10929</v>
      </c>
      <c r="C4947" t="s">
        <v>496</v>
      </c>
      <c r="D4947" t="s">
        <v>2360</v>
      </c>
      <c r="F4947">
        <v>0</v>
      </c>
      <c r="G4947" t="s">
        <v>22</v>
      </c>
      <c r="H4947">
        <v>0</v>
      </c>
      <c r="I4947" s="2" t="s">
        <v>5057</v>
      </c>
      <c r="J4947" s="2" t="s">
        <v>10930</v>
      </c>
      <c r="K4947">
        <v>20</v>
      </c>
      <c r="L4947">
        <v>20</v>
      </c>
      <c r="M4947">
        <v>20</v>
      </c>
    </row>
    <row r="4948" spans="1:13" x14ac:dyDescent="0.25">
      <c r="A4948" t="s">
        <v>10931</v>
      </c>
      <c r="B4948" t="s">
        <v>10932</v>
      </c>
      <c r="C4948" t="s">
        <v>496</v>
      </c>
      <c r="D4948" t="s">
        <v>2360</v>
      </c>
      <c r="F4948">
        <v>1</v>
      </c>
      <c r="G4948" t="s">
        <v>16</v>
      </c>
      <c r="H4948">
        <v>0</v>
      </c>
      <c r="I4948" s="2" t="s">
        <v>5500</v>
      </c>
      <c r="J4948" s="2" t="s">
        <v>10933</v>
      </c>
      <c r="K4948">
        <v>20</v>
      </c>
      <c r="L4948">
        <v>20</v>
      </c>
      <c r="M4948">
        <v>20</v>
      </c>
    </row>
    <row r="4949" spans="1:13" x14ac:dyDescent="0.25">
      <c r="A4949" t="s">
        <v>10934</v>
      </c>
      <c r="B4949" t="s">
        <v>10932</v>
      </c>
      <c r="C4949" t="s">
        <v>496</v>
      </c>
      <c r="D4949" t="s">
        <v>5856</v>
      </c>
      <c r="F4949">
        <v>1</v>
      </c>
      <c r="G4949" t="s">
        <v>16</v>
      </c>
      <c r="H4949">
        <v>0</v>
      </c>
      <c r="I4949" s="2" t="s">
        <v>6078</v>
      </c>
      <c r="J4949" s="2" t="s">
        <v>10935</v>
      </c>
      <c r="K4949">
        <v>20</v>
      </c>
      <c r="L4949">
        <v>20</v>
      </c>
      <c r="M4949">
        <v>20</v>
      </c>
    </row>
    <row r="4950" spans="1:13" x14ac:dyDescent="0.25">
      <c r="A4950" t="s">
        <v>10936</v>
      </c>
      <c r="B4950" t="s">
        <v>10932</v>
      </c>
      <c r="C4950" t="s">
        <v>496</v>
      </c>
      <c r="D4950" t="s">
        <v>2360</v>
      </c>
      <c r="G4950" t="s">
        <v>16</v>
      </c>
      <c r="H4950">
        <v>0</v>
      </c>
      <c r="I4950" s="2" t="s">
        <v>8480</v>
      </c>
      <c r="J4950" s="2" t="s">
        <v>10937</v>
      </c>
      <c r="K4950">
        <v>20</v>
      </c>
      <c r="L4950">
        <v>20</v>
      </c>
      <c r="M4950">
        <v>20</v>
      </c>
    </row>
    <row r="4951" spans="1:13" x14ac:dyDescent="0.25">
      <c r="A4951" t="s">
        <v>10938</v>
      </c>
      <c r="B4951" t="s">
        <v>10939</v>
      </c>
      <c r="C4951" t="s">
        <v>496</v>
      </c>
      <c r="D4951" t="s">
        <v>2360</v>
      </c>
      <c r="F4951">
        <v>1</v>
      </c>
      <c r="G4951" t="s">
        <v>16</v>
      </c>
      <c r="H4951">
        <v>0</v>
      </c>
      <c r="I4951" s="2" t="s">
        <v>5500</v>
      </c>
      <c r="J4951" s="2" t="s">
        <v>10940</v>
      </c>
      <c r="K4951">
        <v>20</v>
      </c>
      <c r="L4951">
        <v>20</v>
      </c>
      <c r="M4951">
        <v>20</v>
      </c>
    </row>
    <row r="4952" spans="1:13" x14ac:dyDescent="0.25">
      <c r="A4952" t="s">
        <v>10941</v>
      </c>
      <c r="B4952" t="s">
        <v>10942</v>
      </c>
      <c r="C4952" t="s">
        <v>2493</v>
      </c>
      <c r="D4952" t="s">
        <v>5856</v>
      </c>
      <c r="F4952">
        <v>1</v>
      </c>
      <c r="G4952" t="s">
        <v>16</v>
      </c>
      <c r="H4952">
        <v>0</v>
      </c>
      <c r="I4952" s="2" t="s">
        <v>6078</v>
      </c>
      <c r="J4952" s="2" t="s">
        <v>10943</v>
      </c>
      <c r="K4952">
        <v>20</v>
      </c>
      <c r="L4952">
        <v>20</v>
      </c>
      <c r="M4952">
        <v>20</v>
      </c>
    </row>
    <row r="4953" spans="1:13" x14ac:dyDescent="0.25">
      <c r="A4953" t="s">
        <v>10944</v>
      </c>
      <c r="B4953" t="s">
        <v>10942</v>
      </c>
      <c r="C4953" t="s">
        <v>496</v>
      </c>
      <c r="D4953" t="s">
        <v>5856</v>
      </c>
      <c r="G4953" t="s">
        <v>16</v>
      </c>
      <c r="H4953">
        <v>0</v>
      </c>
      <c r="I4953" s="2" t="s">
        <v>7654</v>
      </c>
      <c r="J4953" s="2" t="s">
        <v>10945</v>
      </c>
      <c r="K4953">
        <v>20</v>
      </c>
      <c r="L4953">
        <v>20</v>
      </c>
      <c r="M4953">
        <v>20</v>
      </c>
    </row>
    <row r="4954" spans="1:13" x14ac:dyDescent="0.25">
      <c r="A4954" t="s">
        <v>10946</v>
      </c>
      <c r="B4954" t="s">
        <v>10947</v>
      </c>
      <c r="C4954" t="s">
        <v>496</v>
      </c>
      <c r="D4954" t="s">
        <v>2360</v>
      </c>
      <c r="F4954">
        <v>1</v>
      </c>
      <c r="G4954" t="s">
        <v>16</v>
      </c>
      <c r="H4954">
        <v>0</v>
      </c>
      <c r="I4954" s="2" t="s">
        <v>248</v>
      </c>
      <c r="J4954" s="2">
        <v>1002705</v>
      </c>
      <c r="K4954">
        <v>20</v>
      </c>
      <c r="L4954">
        <v>20</v>
      </c>
      <c r="M4954">
        <v>20</v>
      </c>
    </row>
    <row r="4955" spans="1:13" x14ac:dyDescent="0.25">
      <c r="A4955" t="s">
        <v>10948</v>
      </c>
      <c r="B4955" t="s">
        <v>10949</v>
      </c>
      <c r="C4955" t="s">
        <v>496</v>
      </c>
      <c r="D4955" t="s">
        <v>2360</v>
      </c>
      <c r="F4955">
        <v>1</v>
      </c>
      <c r="G4955" t="s">
        <v>16</v>
      </c>
      <c r="H4955">
        <v>0</v>
      </c>
      <c r="I4955" s="2" t="s">
        <v>248</v>
      </c>
      <c r="J4955" s="2">
        <v>1002697</v>
      </c>
      <c r="K4955">
        <v>20</v>
      </c>
      <c r="L4955">
        <v>20</v>
      </c>
      <c r="M4955">
        <v>20</v>
      </c>
    </row>
    <row r="4956" spans="1:13" x14ac:dyDescent="0.25">
      <c r="A4956" t="s">
        <v>10950</v>
      </c>
      <c r="B4956" t="s">
        <v>10951</v>
      </c>
      <c r="C4956" t="s">
        <v>496</v>
      </c>
      <c r="D4956" t="s">
        <v>2360</v>
      </c>
      <c r="F4956">
        <v>1</v>
      </c>
      <c r="G4956" t="s">
        <v>16</v>
      </c>
      <c r="H4956">
        <v>0</v>
      </c>
      <c r="I4956" s="2" t="s">
        <v>64</v>
      </c>
      <c r="J4956" s="2">
        <v>15010099</v>
      </c>
      <c r="K4956">
        <v>20</v>
      </c>
      <c r="L4956">
        <v>20</v>
      </c>
      <c r="M4956">
        <v>20</v>
      </c>
    </row>
    <row r="4957" spans="1:13" x14ac:dyDescent="0.25">
      <c r="A4957" t="s">
        <v>10952</v>
      </c>
      <c r="B4957" t="s">
        <v>10953</v>
      </c>
      <c r="C4957" t="s">
        <v>496</v>
      </c>
      <c r="D4957" t="s">
        <v>5856</v>
      </c>
      <c r="F4957">
        <v>1</v>
      </c>
      <c r="G4957" t="s">
        <v>16</v>
      </c>
      <c r="H4957">
        <v>0</v>
      </c>
      <c r="I4957" s="2" t="s">
        <v>2670</v>
      </c>
      <c r="J4957" s="2" t="s">
        <v>10954</v>
      </c>
      <c r="K4957">
        <v>20</v>
      </c>
      <c r="L4957">
        <v>20</v>
      </c>
      <c r="M4957">
        <v>20</v>
      </c>
    </row>
    <row r="4958" spans="1:13" x14ac:dyDescent="0.25">
      <c r="A4958" t="s">
        <v>10955</v>
      </c>
      <c r="B4958" t="s">
        <v>10956</v>
      </c>
      <c r="C4958" t="s">
        <v>496</v>
      </c>
      <c r="D4958" t="s">
        <v>2360</v>
      </c>
      <c r="F4958">
        <v>1</v>
      </c>
      <c r="G4958" t="s">
        <v>16</v>
      </c>
      <c r="H4958">
        <v>0</v>
      </c>
      <c r="I4958" s="2" t="s">
        <v>5500</v>
      </c>
      <c r="J4958" s="2" t="s">
        <v>10957</v>
      </c>
      <c r="K4958">
        <v>20</v>
      </c>
      <c r="L4958">
        <v>20</v>
      </c>
      <c r="M4958">
        <v>20</v>
      </c>
    </row>
    <row r="4959" spans="1:13" x14ac:dyDescent="0.25">
      <c r="A4959" t="s">
        <v>10958</v>
      </c>
      <c r="B4959" t="s">
        <v>10956</v>
      </c>
      <c r="C4959" t="s">
        <v>496</v>
      </c>
      <c r="D4959" t="s">
        <v>2360</v>
      </c>
      <c r="F4959">
        <v>2</v>
      </c>
      <c r="G4959" t="s">
        <v>16</v>
      </c>
      <c r="H4959">
        <v>0</v>
      </c>
      <c r="I4959" s="2" t="s">
        <v>5044</v>
      </c>
      <c r="J4959" s="2" t="s">
        <v>10959</v>
      </c>
      <c r="K4959">
        <v>20</v>
      </c>
      <c r="L4959">
        <v>20</v>
      </c>
      <c r="M4959">
        <v>20</v>
      </c>
    </row>
    <row r="4960" spans="1:13" x14ac:dyDescent="0.25">
      <c r="A4960" t="s">
        <v>10960</v>
      </c>
      <c r="B4960" t="s">
        <v>10961</v>
      </c>
      <c r="C4960" t="s">
        <v>496</v>
      </c>
      <c r="D4960" t="s">
        <v>2360</v>
      </c>
      <c r="F4960">
        <v>1</v>
      </c>
      <c r="G4960" t="s">
        <v>16</v>
      </c>
      <c r="H4960">
        <v>0</v>
      </c>
      <c r="I4960" s="2" t="s">
        <v>5500</v>
      </c>
      <c r="J4960" s="2" t="s">
        <v>10962</v>
      </c>
      <c r="K4960">
        <v>20</v>
      </c>
      <c r="L4960">
        <v>20</v>
      </c>
      <c r="M4960">
        <v>20</v>
      </c>
    </row>
    <row r="4961" spans="1:13" x14ac:dyDescent="0.25">
      <c r="A4961" t="s">
        <v>10963</v>
      </c>
      <c r="B4961" t="s">
        <v>10961</v>
      </c>
      <c r="C4961" t="s">
        <v>496</v>
      </c>
      <c r="D4961" t="s">
        <v>2360</v>
      </c>
      <c r="F4961">
        <v>2</v>
      </c>
      <c r="G4961" t="s">
        <v>16</v>
      </c>
      <c r="H4961">
        <v>0</v>
      </c>
      <c r="I4961" s="2" t="s">
        <v>5044</v>
      </c>
      <c r="J4961" s="2" t="s">
        <v>10964</v>
      </c>
      <c r="K4961">
        <v>20</v>
      </c>
      <c r="L4961">
        <v>20</v>
      </c>
      <c r="M4961">
        <v>20</v>
      </c>
    </row>
    <row r="4962" spans="1:13" x14ac:dyDescent="0.25">
      <c r="A4962" t="s">
        <v>10965</v>
      </c>
      <c r="B4962" t="s">
        <v>10966</v>
      </c>
      <c r="C4962" t="s">
        <v>362</v>
      </c>
      <c r="D4962" t="s">
        <v>10315</v>
      </c>
      <c r="G4962" t="s">
        <v>16</v>
      </c>
      <c r="H4962">
        <v>0</v>
      </c>
      <c r="I4962" s="2" t="s">
        <v>10967</v>
      </c>
      <c r="J4962" s="2">
        <v>522005</v>
      </c>
      <c r="K4962">
        <v>20</v>
      </c>
      <c r="L4962">
        <v>20</v>
      </c>
      <c r="M4962">
        <v>20</v>
      </c>
    </row>
    <row r="4963" spans="1:13" x14ac:dyDescent="0.25">
      <c r="A4963" t="s">
        <v>10968</v>
      </c>
      <c r="B4963" t="s">
        <v>10969</v>
      </c>
      <c r="C4963" t="s">
        <v>362</v>
      </c>
      <c r="D4963" t="s">
        <v>10315</v>
      </c>
      <c r="G4963" t="s">
        <v>16</v>
      </c>
      <c r="H4963">
        <v>0</v>
      </c>
      <c r="I4963" s="2" t="s">
        <v>1713</v>
      </c>
      <c r="J4963" s="2">
        <v>59026060</v>
      </c>
      <c r="K4963">
        <v>20</v>
      </c>
      <c r="L4963">
        <v>20</v>
      </c>
      <c r="M4963">
        <v>20</v>
      </c>
    </row>
    <row r="4964" spans="1:13" x14ac:dyDescent="0.25">
      <c r="A4964" t="s">
        <v>10970</v>
      </c>
      <c r="B4964" t="s">
        <v>10972</v>
      </c>
      <c r="C4964" t="s">
        <v>362</v>
      </c>
      <c r="D4964" t="s">
        <v>10315</v>
      </c>
      <c r="G4964" t="s">
        <v>16</v>
      </c>
      <c r="H4964">
        <v>0</v>
      </c>
      <c r="I4964" s="2" t="s">
        <v>1713</v>
      </c>
      <c r="J4964" s="2" t="s">
        <v>10971</v>
      </c>
      <c r="K4964">
        <v>20</v>
      </c>
      <c r="L4964">
        <v>20</v>
      </c>
      <c r="M4964">
        <v>20</v>
      </c>
    </row>
    <row r="4965" spans="1:13" x14ac:dyDescent="0.25">
      <c r="A4965" t="s">
        <v>10973</v>
      </c>
      <c r="B4965" t="s">
        <v>10975</v>
      </c>
      <c r="C4965" t="s">
        <v>362</v>
      </c>
      <c r="D4965" t="s">
        <v>10315</v>
      </c>
      <c r="F4965">
        <v>1</v>
      </c>
      <c r="G4965" t="s">
        <v>16</v>
      </c>
      <c r="H4965">
        <v>0</v>
      </c>
      <c r="I4965" s="2" t="s">
        <v>142</v>
      </c>
      <c r="J4965" s="2" t="s">
        <v>10974</v>
      </c>
      <c r="K4965">
        <v>20</v>
      </c>
      <c r="L4965">
        <v>20</v>
      </c>
      <c r="M4965">
        <v>20</v>
      </c>
    </row>
    <row r="4966" spans="1:13" x14ac:dyDescent="0.25">
      <c r="A4966" t="s">
        <v>10976</v>
      </c>
      <c r="B4966" t="s">
        <v>10975</v>
      </c>
      <c r="C4966" t="s">
        <v>362</v>
      </c>
      <c r="D4966" t="s">
        <v>10315</v>
      </c>
      <c r="G4966" t="s">
        <v>16</v>
      </c>
      <c r="H4966">
        <v>0</v>
      </c>
      <c r="I4966" s="2" t="s">
        <v>1713</v>
      </c>
      <c r="J4966" s="2">
        <v>59026080</v>
      </c>
      <c r="K4966">
        <v>20</v>
      </c>
      <c r="L4966">
        <v>20</v>
      </c>
      <c r="M4966">
        <v>20</v>
      </c>
    </row>
    <row r="4967" spans="1:13" x14ac:dyDescent="0.25">
      <c r="A4967" t="s">
        <v>10977</v>
      </c>
      <c r="B4967" t="s">
        <v>10978</v>
      </c>
      <c r="C4967" t="s">
        <v>362</v>
      </c>
      <c r="D4967" t="s">
        <v>10315</v>
      </c>
      <c r="F4967">
        <v>1</v>
      </c>
      <c r="G4967" t="s">
        <v>16</v>
      </c>
      <c r="H4967">
        <v>0</v>
      </c>
      <c r="I4967" s="2" t="s">
        <v>759</v>
      </c>
      <c r="J4967" s="2" t="s">
        <v>10979</v>
      </c>
      <c r="K4967">
        <v>20</v>
      </c>
      <c r="L4967">
        <v>20</v>
      </c>
      <c r="M4967">
        <v>20</v>
      </c>
    </row>
    <row r="4968" spans="1:13" x14ac:dyDescent="0.25">
      <c r="A4968" t="s">
        <v>10980</v>
      </c>
      <c r="B4968" t="s">
        <v>10981</v>
      </c>
      <c r="C4968" t="s">
        <v>362</v>
      </c>
      <c r="D4968" t="s">
        <v>10315</v>
      </c>
      <c r="F4968">
        <v>1</v>
      </c>
      <c r="G4968" t="s">
        <v>16</v>
      </c>
      <c r="H4968">
        <v>0</v>
      </c>
      <c r="K4968">
        <v>20</v>
      </c>
      <c r="L4968">
        <v>20</v>
      </c>
      <c r="M4968">
        <v>20</v>
      </c>
    </row>
    <row r="4969" spans="1:13" x14ac:dyDescent="0.25">
      <c r="A4969" t="s">
        <v>10982</v>
      </c>
      <c r="B4969" t="s">
        <v>10983</v>
      </c>
      <c r="C4969" t="s">
        <v>362</v>
      </c>
      <c r="D4969" t="s">
        <v>10315</v>
      </c>
      <c r="F4969">
        <v>1</v>
      </c>
      <c r="G4969" t="s">
        <v>16</v>
      </c>
      <c r="H4969">
        <v>0</v>
      </c>
      <c r="I4969" s="2" t="s">
        <v>10984</v>
      </c>
      <c r="J4969" s="2">
        <v>30211028</v>
      </c>
      <c r="K4969">
        <v>20</v>
      </c>
      <c r="L4969">
        <v>20</v>
      </c>
      <c r="M4969">
        <v>20</v>
      </c>
    </row>
    <row r="4970" spans="1:13" x14ac:dyDescent="0.25">
      <c r="A4970" t="s">
        <v>10985</v>
      </c>
      <c r="B4970" t="s">
        <v>10986</v>
      </c>
      <c r="C4970" t="s">
        <v>362</v>
      </c>
      <c r="D4970" t="s">
        <v>10315</v>
      </c>
      <c r="F4970">
        <v>1</v>
      </c>
      <c r="G4970" t="s">
        <v>16</v>
      </c>
      <c r="H4970">
        <v>0</v>
      </c>
      <c r="I4970" s="2" t="s">
        <v>1175</v>
      </c>
      <c r="J4970" s="2" t="s">
        <v>10987</v>
      </c>
      <c r="K4970">
        <v>20</v>
      </c>
      <c r="L4970">
        <v>20</v>
      </c>
      <c r="M4970">
        <v>20</v>
      </c>
    </row>
    <row r="4971" spans="1:13" x14ac:dyDescent="0.25">
      <c r="A4971" t="s">
        <v>10988</v>
      </c>
      <c r="B4971" t="s">
        <v>10986</v>
      </c>
      <c r="C4971" t="s">
        <v>362</v>
      </c>
      <c r="D4971" t="s">
        <v>10315</v>
      </c>
      <c r="F4971">
        <v>1</v>
      </c>
      <c r="G4971" t="s">
        <v>16</v>
      </c>
      <c r="H4971">
        <v>0</v>
      </c>
      <c r="I4971" s="2" t="s">
        <v>10984</v>
      </c>
      <c r="J4971" s="2">
        <v>30211035</v>
      </c>
      <c r="K4971">
        <v>20</v>
      </c>
      <c r="L4971">
        <v>20</v>
      </c>
      <c r="M4971">
        <v>20</v>
      </c>
    </row>
    <row r="4972" spans="1:13" x14ac:dyDescent="0.25">
      <c r="A4972" t="s">
        <v>10989</v>
      </c>
      <c r="B4972" t="s">
        <v>10990</v>
      </c>
      <c r="C4972" t="s">
        <v>362</v>
      </c>
      <c r="D4972" t="s">
        <v>10315</v>
      </c>
      <c r="F4972">
        <v>1</v>
      </c>
      <c r="G4972" t="s">
        <v>16</v>
      </c>
      <c r="H4972">
        <v>0</v>
      </c>
      <c r="I4972" s="2" t="s">
        <v>10984</v>
      </c>
      <c r="J4972" s="2">
        <v>30211034</v>
      </c>
      <c r="K4972">
        <v>20</v>
      </c>
      <c r="L4972">
        <v>20</v>
      </c>
      <c r="M4972">
        <v>20</v>
      </c>
    </row>
    <row r="4973" spans="1:13" x14ac:dyDescent="0.25">
      <c r="A4973" t="s">
        <v>10991</v>
      </c>
      <c r="B4973" t="s">
        <v>10990</v>
      </c>
      <c r="C4973" t="s">
        <v>362</v>
      </c>
      <c r="D4973" t="s">
        <v>10315</v>
      </c>
      <c r="G4973" t="s">
        <v>16</v>
      </c>
      <c r="H4973">
        <v>0</v>
      </c>
      <c r="K4973">
        <v>20</v>
      </c>
      <c r="L4973">
        <v>20</v>
      </c>
      <c r="M4973">
        <v>20</v>
      </c>
    </row>
    <row r="4974" spans="1:13" x14ac:dyDescent="0.25">
      <c r="A4974" t="s">
        <v>10992</v>
      </c>
      <c r="B4974" t="s">
        <v>10993</v>
      </c>
      <c r="C4974" t="s">
        <v>362</v>
      </c>
      <c r="D4974" t="s">
        <v>10315</v>
      </c>
      <c r="F4974">
        <v>1</v>
      </c>
      <c r="G4974" t="s">
        <v>16</v>
      </c>
      <c r="H4974">
        <v>0</v>
      </c>
      <c r="I4974" s="2" t="s">
        <v>1713</v>
      </c>
      <c r="J4974" s="2">
        <v>59026050</v>
      </c>
      <c r="K4974">
        <v>20</v>
      </c>
      <c r="L4974">
        <v>20</v>
      </c>
      <c r="M4974">
        <v>20</v>
      </c>
    </row>
    <row r="4975" spans="1:13" x14ac:dyDescent="0.25">
      <c r="A4975" t="s">
        <v>10994</v>
      </c>
      <c r="B4975" t="s">
        <v>10996</v>
      </c>
      <c r="C4975" t="s">
        <v>362</v>
      </c>
      <c r="D4975" t="s">
        <v>10315</v>
      </c>
      <c r="G4975" t="s">
        <v>16</v>
      </c>
      <c r="H4975">
        <v>0</v>
      </c>
      <c r="I4975" s="2" t="s">
        <v>1723</v>
      </c>
      <c r="J4975" s="2" t="s">
        <v>10995</v>
      </c>
      <c r="K4975">
        <v>20</v>
      </c>
      <c r="L4975">
        <v>20</v>
      </c>
      <c r="M4975">
        <v>20</v>
      </c>
    </row>
    <row r="4976" spans="1:13" x14ac:dyDescent="0.25">
      <c r="A4976" t="s">
        <v>10997</v>
      </c>
      <c r="B4976" t="s">
        <v>10996</v>
      </c>
      <c r="C4976" t="s">
        <v>362</v>
      </c>
      <c r="D4976" t="s">
        <v>10315</v>
      </c>
      <c r="F4976">
        <v>1</v>
      </c>
      <c r="G4976" t="s">
        <v>16</v>
      </c>
      <c r="H4976">
        <v>0</v>
      </c>
      <c r="I4976" s="2" t="s">
        <v>10998</v>
      </c>
      <c r="J4976" s="2">
        <v>30211001</v>
      </c>
      <c r="K4976">
        <v>20</v>
      </c>
      <c r="L4976">
        <v>20</v>
      </c>
      <c r="M4976">
        <v>20</v>
      </c>
    </row>
    <row r="4977" spans="1:13" x14ac:dyDescent="0.25">
      <c r="A4977" t="s">
        <v>10999</v>
      </c>
      <c r="B4977" t="s">
        <v>11000</v>
      </c>
      <c r="C4977" t="s">
        <v>362</v>
      </c>
      <c r="D4977" t="s">
        <v>10315</v>
      </c>
      <c r="F4977">
        <v>1</v>
      </c>
      <c r="G4977" t="s">
        <v>16</v>
      </c>
      <c r="H4977">
        <v>0</v>
      </c>
      <c r="I4977" s="2" t="s">
        <v>759</v>
      </c>
      <c r="J4977" s="2" t="s">
        <v>11001</v>
      </c>
      <c r="K4977">
        <v>20</v>
      </c>
      <c r="L4977">
        <v>20</v>
      </c>
      <c r="M4977">
        <v>20</v>
      </c>
    </row>
    <row r="4978" spans="1:13" x14ac:dyDescent="0.25">
      <c r="A4978" t="s">
        <v>11002</v>
      </c>
      <c r="B4978" t="s">
        <v>11000</v>
      </c>
      <c r="C4978" t="s">
        <v>362</v>
      </c>
      <c r="D4978" t="s">
        <v>10315</v>
      </c>
      <c r="F4978">
        <v>1</v>
      </c>
      <c r="G4978" t="s">
        <v>16</v>
      </c>
      <c r="H4978">
        <v>0</v>
      </c>
      <c r="I4978" s="2" t="s">
        <v>1713</v>
      </c>
      <c r="J4978" s="2">
        <v>5902002</v>
      </c>
      <c r="K4978">
        <v>20</v>
      </c>
      <c r="L4978">
        <v>20</v>
      </c>
      <c r="M4978">
        <v>20</v>
      </c>
    </row>
    <row r="4979" spans="1:13" x14ac:dyDescent="0.25">
      <c r="A4979" t="s">
        <v>11003</v>
      </c>
      <c r="B4979" t="s">
        <v>11004</v>
      </c>
      <c r="C4979" t="s">
        <v>14</v>
      </c>
      <c r="D4979" t="s">
        <v>10315</v>
      </c>
      <c r="F4979">
        <v>2</v>
      </c>
      <c r="G4979" t="s">
        <v>16</v>
      </c>
      <c r="H4979">
        <v>0</v>
      </c>
      <c r="I4979" s="2" t="s">
        <v>1713</v>
      </c>
      <c r="J4979" s="2">
        <v>5902275</v>
      </c>
      <c r="K4979">
        <v>20</v>
      </c>
      <c r="L4979">
        <v>20</v>
      </c>
      <c r="M4979">
        <v>20</v>
      </c>
    </row>
    <row r="4980" spans="1:13" x14ac:dyDescent="0.25">
      <c r="A4980" t="s">
        <v>11005</v>
      </c>
      <c r="B4980" t="s">
        <v>11004</v>
      </c>
      <c r="C4980" t="s">
        <v>362</v>
      </c>
      <c r="D4980" t="s">
        <v>10315</v>
      </c>
      <c r="F4980">
        <v>2</v>
      </c>
      <c r="G4980" t="s">
        <v>16</v>
      </c>
      <c r="H4980">
        <v>0</v>
      </c>
      <c r="I4980" s="2" t="s">
        <v>64</v>
      </c>
      <c r="J4980" s="2" t="str">
        <f>"01090040"</f>
        <v>01090040</v>
      </c>
      <c r="K4980">
        <v>20</v>
      </c>
      <c r="L4980">
        <v>20</v>
      </c>
      <c r="M4980">
        <v>20</v>
      </c>
    </row>
    <row r="4981" spans="1:13" x14ac:dyDescent="0.25">
      <c r="A4981" t="s">
        <v>11006</v>
      </c>
      <c r="B4981" t="s">
        <v>11004</v>
      </c>
      <c r="C4981" t="s">
        <v>362</v>
      </c>
      <c r="D4981" t="s">
        <v>10315</v>
      </c>
      <c r="G4981" t="s">
        <v>16</v>
      </c>
      <c r="H4981">
        <v>0</v>
      </c>
      <c r="I4981" s="2" t="s">
        <v>500</v>
      </c>
      <c r="J4981" s="2" t="s">
        <v>11007</v>
      </c>
      <c r="K4981">
        <v>20</v>
      </c>
      <c r="L4981">
        <v>20</v>
      </c>
      <c r="M4981">
        <v>20</v>
      </c>
    </row>
    <row r="4982" spans="1:13" x14ac:dyDescent="0.25">
      <c r="A4982" t="s">
        <v>11008</v>
      </c>
      <c r="B4982" t="s">
        <v>11009</v>
      </c>
      <c r="C4982" t="s">
        <v>362</v>
      </c>
      <c r="D4982" t="s">
        <v>10315</v>
      </c>
      <c r="G4982" t="s">
        <v>16</v>
      </c>
      <c r="H4982">
        <v>0</v>
      </c>
      <c r="I4982" s="2" t="s">
        <v>1713</v>
      </c>
      <c r="J4982" s="2">
        <v>5902247</v>
      </c>
      <c r="K4982">
        <v>20</v>
      </c>
      <c r="L4982">
        <v>20</v>
      </c>
      <c r="M4982">
        <v>20</v>
      </c>
    </row>
    <row r="4983" spans="1:13" x14ac:dyDescent="0.25">
      <c r="A4983" t="s">
        <v>11010</v>
      </c>
      <c r="B4983" t="s">
        <v>11011</v>
      </c>
      <c r="C4983" t="s">
        <v>362</v>
      </c>
      <c r="D4983" t="s">
        <v>10315</v>
      </c>
      <c r="G4983" t="s">
        <v>16</v>
      </c>
      <c r="H4983">
        <v>0</v>
      </c>
      <c r="I4983" s="2" t="s">
        <v>737</v>
      </c>
      <c r="J4983" s="2" t="s">
        <v>11012</v>
      </c>
      <c r="K4983">
        <v>20</v>
      </c>
      <c r="L4983">
        <v>20</v>
      </c>
      <c r="M4983">
        <v>20</v>
      </c>
    </row>
    <row r="4984" spans="1:13" x14ac:dyDescent="0.25">
      <c r="A4984" t="s">
        <v>11013</v>
      </c>
      <c r="B4984" t="s">
        <v>11015</v>
      </c>
      <c r="C4984" t="s">
        <v>362</v>
      </c>
      <c r="D4984" t="s">
        <v>10315</v>
      </c>
      <c r="F4984">
        <v>1</v>
      </c>
      <c r="G4984" t="s">
        <v>16</v>
      </c>
      <c r="H4984">
        <v>0</v>
      </c>
      <c r="I4984" s="2" t="s">
        <v>1713</v>
      </c>
      <c r="J4984" s="2" t="s">
        <v>11014</v>
      </c>
      <c r="K4984">
        <v>20</v>
      </c>
      <c r="L4984">
        <v>20</v>
      </c>
      <c r="M4984">
        <v>20</v>
      </c>
    </row>
    <row r="4985" spans="1:13" x14ac:dyDescent="0.25">
      <c r="A4985" t="s">
        <v>11016</v>
      </c>
      <c r="B4985" t="s">
        <v>11017</v>
      </c>
      <c r="C4985" t="s">
        <v>362</v>
      </c>
      <c r="D4985" t="s">
        <v>10315</v>
      </c>
      <c r="F4985">
        <v>1</v>
      </c>
      <c r="G4985" t="s">
        <v>16</v>
      </c>
      <c r="H4985">
        <v>0</v>
      </c>
      <c r="I4985" s="2" t="s">
        <v>64</v>
      </c>
      <c r="J4985" s="2" t="str">
        <f>"01090318"</f>
        <v>01090318</v>
      </c>
      <c r="K4985">
        <v>20</v>
      </c>
      <c r="L4985">
        <v>20</v>
      </c>
      <c r="M4985">
        <v>20</v>
      </c>
    </row>
    <row r="4986" spans="1:13" x14ac:dyDescent="0.25">
      <c r="A4986" t="s">
        <v>11018</v>
      </c>
      <c r="B4986" t="s">
        <v>11019</v>
      </c>
      <c r="C4986" t="s">
        <v>362</v>
      </c>
      <c r="D4986" t="s">
        <v>10315</v>
      </c>
      <c r="F4986">
        <v>1</v>
      </c>
      <c r="G4986" t="s">
        <v>16</v>
      </c>
      <c r="H4986">
        <v>0</v>
      </c>
      <c r="I4986" s="2" t="s">
        <v>759</v>
      </c>
      <c r="J4986" s="2" t="s">
        <v>11020</v>
      </c>
      <c r="K4986">
        <v>20</v>
      </c>
      <c r="L4986">
        <v>20</v>
      </c>
      <c r="M4986">
        <v>20</v>
      </c>
    </row>
    <row r="4987" spans="1:13" x14ac:dyDescent="0.25">
      <c r="A4987" t="s">
        <v>11021</v>
      </c>
      <c r="B4987" t="s">
        <v>11019</v>
      </c>
      <c r="C4987" t="s">
        <v>362</v>
      </c>
      <c r="D4987" t="s">
        <v>10315</v>
      </c>
      <c r="F4987">
        <v>1</v>
      </c>
      <c r="G4987" t="s">
        <v>16</v>
      </c>
      <c r="H4987">
        <v>0</v>
      </c>
      <c r="I4987" s="2" t="s">
        <v>1713</v>
      </c>
      <c r="J4987" s="2" t="s">
        <v>11022</v>
      </c>
      <c r="K4987">
        <v>20</v>
      </c>
      <c r="L4987">
        <v>20</v>
      </c>
      <c r="M4987">
        <v>20</v>
      </c>
    </row>
    <row r="4988" spans="1:13" x14ac:dyDescent="0.25">
      <c r="A4988" t="s">
        <v>11023</v>
      </c>
      <c r="B4988" t="s">
        <v>11019</v>
      </c>
      <c r="C4988" t="s">
        <v>362</v>
      </c>
      <c r="D4988" t="s">
        <v>10315</v>
      </c>
      <c r="F4988">
        <v>1</v>
      </c>
      <c r="G4988" t="s">
        <v>16</v>
      </c>
      <c r="H4988">
        <v>0</v>
      </c>
      <c r="I4988" s="2" t="s">
        <v>64</v>
      </c>
      <c r="J4988" s="2" t="str">
        <f>"01090106"</f>
        <v>01090106</v>
      </c>
      <c r="K4988">
        <v>20</v>
      </c>
      <c r="L4988">
        <v>20</v>
      </c>
      <c r="M4988">
        <v>20</v>
      </c>
    </row>
    <row r="4989" spans="1:13" x14ac:dyDescent="0.25">
      <c r="A4989" t="s">
        <v>11024</v>
      </c>
      <c r="B4989" t="s">
        <v>11026</v>
      </c>
      <c r="C4989" t="s">
        <v>362</v>
      </c>
      <c r="D4989" t="s">
        <v>10315</v>
      </c>
      <c r="G4989" t="s">
        <v>16</v>
      </c>
      <c r="H4989">
        <v>0</v>
      </c>
      <c r="I4989" s="2" t="s">
        <v>1713</v>
      </c>
      <c r="J4989" s="2" t="s">
        <v>11025</v>
      </c>
      <c r="K4989">
        <v>20</v>
      </c>
      <c r="L4989">
        <v>20</v>
      </c>
      <c r="M4989">
        <v>20</v>
      </c>
    </row>
    <row r="4990" spans="1:13" x14ac:dyDescent="0.25">
      <c r="A4990" t="s">
        <v>11027</v>
      </c>
      <c r="B4990" t="s">
        <v>11028</v>
      </c>
      <c r="C4990" t="s">
        <v>362</v>
      </c>
      <c r="D4990" t="s">
        <v>10315</v>
      </c>
      <c r="F4990">
        <v>1</v>
      </c>
      <c r="G4990" t="s">
        <v>16</v>
      </c>
      <c r="H4990">
        <v>0</v>
      </c>
      <c r="I4990" s="2" t="s">
        <v>759</v>
      </c>
      <c r="J4990" s="2" t="s">
        <v>11029</v>
      </c>
      <c r="K4990">
        <v>20</v>
      </c>
      <c r="L4990">
        <v>20</v>
      </c>
      <c r="M4990">
        <v>20</v>
      </c>
    </row>
    <row r="4991" spans="1:13" x14ac:dyDescent="0.25">
      <c r="A4991" t="s">
        <v>11030</v>
      </c>
      <c r="B4991" t="s">
        <v>11028</v>
      </c>
      <c r="C4991" t="s">
        <v>362</v>
      </c>
      <c r="D4991" t="s">
        <v>10315</v>
      </c>
      <c r="F4991">
        <v>1</v>
      </c>
      <c r="G4991" t="s">
        <v>16</v>
      </c>
      <c r="H4991">
        <v>0</v>
      </c>
      <c r="I4991" s="2" t="s">
        <v>1713</v>
      </c>
      <c r="J4991" s="2">
        <v>5902267</v>
      </c>
      <c r="K4991">
        <v>20</v>
      </c>
      <c r="L4991">
        <v>20</v>
      </c>
      <c r="M4991">
        <v>20</v>
      </c>
    </row>
    <row r="4992" spans="1:13" x14ac:dyDescent="0.25">
      <c r="A4992" t="s">
        <v>11031</v>
      </c>
      <c r="B4992" t="s">
        <v>11033</v>
      </c>
      <c r="C4992" t="s">
        <v>362</v>
      </c>
      <c r="D4992" t="s">
        <v>10315</v>
      </c>
      <c r="G4992" t="s">
        <v>16</v>
      </c>
      <c r="H4992">
        <v>0</v>
      </c>
      <c r="I4992" s="2" t="s">
        <v>1713</v>
      </c>
      <c r="J4992" s="2" t="s">
        <v>11032</v>
      </c>
      <c r="K4992">
        <v>20</v>
      </c>
      <c r="L4992">
        <v>20</v>
      </c>
      <c r="M4992">
        <v>20</v>
      </c>
    </row>
    <row r="4993" spans="1:13" x14ac:dyDescent="0.25">
      <c r="A4993" t="s">
        <v>11034</v>
      </c>
      <c r="B4993" t="s">
        <v>11033</v>
      </c>
      <c r="C4993" t="s">
        <v>362</v>
      </c>
      <c r="D4993" t="s">
        <v>10315</v>
      </c>
      <c r="G4993" t="s">
        <v>16</v>
      </c>
      <c r="H4993">
        <v>0</v>
      </c>
      <c r="K4993">
        <v>20</v>
      </c>
      <c r="L4993">
        <v>20</v>
      </c>
      <c r="M4993">
        <v>20</v>
      </c>
    </row>
    <row r="4994" spans="1:13" x14ac:dyDescent="0.25">
      <c r="A4994" t="s">
        <v>11035</v>
      </c>
      <c r="B4994" t="s">
        <v>11037</v>
      </c>
      <c r="C4994" t="s">
        <v>362</v>
      </c>
      <c r="D4994" t="s">
        <v>10315</v>
      </c>
      <c r="G4994" t="s">
        <v>16</v>
      </c>
      <c r="H4994">
        <v>0</v>
      </c>
      <c r="I4994" s="2" t="s">
        <v>1713</v>
      </c>
      <c r="J4994" s="2" t="s">
        <v>11036</v>
      </c>
      <c r="K4994">
        <v>20</v>
      </c>
      <c r="L4994">
        <v>20</v>
      </c>
      <c r="M4994">
        <v>20</v>
      </c>
    </row>
    <row r="4995" spans="1:13" x14ac:dyDescent="0.25">
      <c r="A4995" t="s">
        <v>11038</v>
      </c>
      <c r="B4995" t="s">
        <v>11039</v>
      </c>
      <c r="C4995" t="s">
        <v>362</v>
      </c>
      <c r="D4995" t="s">
        <v>10315</v>
      </c>
      <c r="F4995">
        <v>3</v>
      </c>
      <c r="G4995" t="s">
        <v>16</v>
      </c>
      <c r="H4995">
        <v>0</v>
      </c>
      <c r="I4995" s="2" t="s">
        <v>1713</v>
      </c>
      <c r="J4995" s="2">
        <v>5902658</v>
      </c>
      <c r="K4995">
        <v>20</v>
      </c>
      <c r="L4995">
        <v>20</v>
      </c>
      <c r="M4995">
        <v>20</v>
      </c>
    </row>
    <row r="4996" spans="1:13" x14ac:dyDescent="0.25">
      <c r="A4996" t="s">
        <v>11040</v>
      </c>
      <c r="B4996" t="s">
        <v>11041</v>
      </c>
      <c r="C4996" t="s">
        <v>362</v>
      </c>
      <c r="D4996" t="s">
        <v>10315</v>
      </c>
      <c r="F4996">
        <v>1</v>
      </c>
      <c r="G4996" t="s">
        <v>16</v>
      </c>
      <c r="H4996">
        <v>0</v>
      </c>
      <c r="I4996" s="2" t="s">
        <v>759</v>
      </c>
      <c r="J4996" s="2" t="s">
        <v>11042</v>
      </c>
      <c r="K4996">
        <v>20</v>
      </c>
      <c r="L4996">
        <v>20</v>
      </c>
      <c r="M4996">
        <v>20</v>
      </c>
    </row>
    <row r="4997" spans="1:13" x14ac:dyDescent="0.25">
      <c r="A4997" t="s">
        <v>11043</v>
      </c>
      <c r="B4997" t="s">
        <v>11041</v>
      </c>
      <c r="C4997" t="s">
        <v>362</v>
      </c>
      <c r="D4997" t="s">
        <v>10315</v>
      </c>
      <c r="G4997" t="s">
        <v>16</v>
      </c>
      <c r="H4997">
        <v>0</v>
      </c>
      <c r="I4997" s="2" t="s">
        <v>1713</v>
      </c>
      <c r="J4997" s="2" t="s">
        <v>11044</v>
      </c>
      <c r="K4997">
        <v>20</v>
      </c>
      <c r="L4997">
        <v>20</v>
      </c>
      <c r="M4997">
        <v>20</v>
      </c>
    </row>
    <row r="4998" spans="1:13" x14ac:dyDescent="0.25">
      <c r="A4998" t="s">
        <v>11045</v>
      </c>
      <c r="B4998" t="s">
        <v>11046</v>
      </c>
      <c r="C4998" t="s">
        <v>362</v>
      </c>
      <c r="D4998" t="s">
        <v>10315</v>
      </c>
      <c r="G4998" t="s">
        <v>16</v>
      </c>
      <c r="H4998">
        <v>0</v>
      </c>
      <c r="I4998" s="2" t="s">
        <v>238</v>
      </c>
      <c r="J4998" s="2">
        <v>49627</v>
      </c>
      <c r="K4998">
        <v>20</v>
      </c>
      <c r="L4998">
        <v>20</v>
      </c>
      <c r="M4998">
        <v>20</v>
      </c>
    </row>
    <row r="4999" spans="1:13" x14ac:dyDescent="0.25">
      <c r="A4999" t="s">
        <v>11047</v>
      </c>
      <c r="B4999" t="s">
        <v>11041</v>
      </c>
      <c r="C4999" t="s">
        <v>362</v>
      </c>
      <c r="D4999" t="s">
        <v>10315</v>
      </c>
      <c r="F4999">
        <v>1</v>
      </c>
      <c r="G4999" t="s">
        <v>16</v>
      </c>
      <c r="H4999">
        <v>0</v>
      </c>
      <c r="I4999" s="2" t="s">
        <v>1175</v>
      </c>
      <c r="J4999" s="2" t="s">
        <v>11048</v>
      </c>
      <c r="K4999">
        <v>20</v>
      </c>
      <c r="L4999">
        <v>20</v>
      </c>
      <c r="M4999">
        <v>20</v>
      </c>
    </row>
    <row r="5000" spans="1:13" x14ac:dyDescent="0.25">
      <c r="A5000" t="s">
        <v>11049</v>
      </c>
      <c r="B5000" t="s">
        <v>11046</v>
      </c>
      <c r="C5000" t="s">
        <v>362</v>
      </c>
      <c r="D5000" t="s">
        <v>10315</v>
      </c>
      <c r="F5000">
        <v>1</v>
      </c>
      <c r="G5000" t="s">
        <v>16</v>
      </c>
      <c r="H5000">
        <v>0</v>
      </c>
      <c r="I5000" s="2" t="s">
        <v>486</v>
      </c>
      <c r="J5000" s="2">
        <v>13949627</v>
      </c>
      <c r="K5000">
        <v>20</v>
      </c>
      <c r="L5000">
        <v>20</v>
      </c>
      <c r="M5000">
        <v>20</v>
      </c>
    </row>
    <row r="5001" spans="1:13" x14ac:dyDescent="0.25">
      <c r="A5001" t="s">
        <v>11050</v>
      </c>
      <c r="B5001" t="s">
        <v>11051</v>
      </c>
      <c r="C5001" t="s">
        <v>362</v>
      </c>
      <c r="F5001">
        <v>2</v>
      </c>
      <c r="G5001" t="s">
        <v>16</v>
      </c>
      <c r="H5001">
        <v>0</v>
      </c>
      <c r="I5001" s="2" t="s">
        <v>737</v>
      </c>
      <c r="J5001" s="2" t="s">
        <v>11052</v>
      </c>
      <c r="K5001">
        <v>20</v>
      </c>
      <c r="L5001">
        <v>20</v>
      </c>
      <c r="M5001">
        <v>20</v>
      </c>
    </row>
    <row r="5002" spans="1:13" x14ac:dyDescent="0.25">
      <c r="A5002" t="s">
        <v>11053</v>
      </c>
      <c r="B5002" t="s">
        <v>11054</v>
      </c>
      <c r="C5002" t="s">
        <v>2493</v>
      </c>
      <c r="D5002" t="s">
        <v>2360</v>
      </c>
      <c r="F5002">
        <v>1</v>
      </c>
      <c r="G5002" t="s">
        <v>16</v>
      </c>
      <c r="H5002">
        <v>0</v>
      </c>
      <c r="I5002" s="2" t="s">
        <v>737</v>
      </c>
      <c r="J5002" s="2" t="s">
        <v>11055</v>
      </c>
      <c r="K5002">
        <v>20</v>
      </c>
      <c r="L5002">
        <v>20</v>
      </c>
      <c r="M5002">
        <v>20</v>
      </c>
    </row>
    <row r="5003" spans="1:13" x14ac:dyDescent="0.25">
      <c r="A5003" t="s">
        <v>11056</v>
      </c>
      <c r="B5003" t="s">
        <v>11057</v>
      </c>
      <c r="C5003" t="s">
        <v>2493</v>
      </c>
      <c r="D5003" t="s">
        <v>2360</v>
      </c>
      <c r="F5003">
        <v>2</v>
      </c>
      <c r="G5003" t="s">
        <v>16</v>
      </c>
      <c r="H5003">
        <v>0</v>
      </c>
      <c r="I5003" s="2" t="s">
        <v>737</v>
      </c>
      <c r="J5003" s="2" t="s">
        <v>11058</v>
      </c>
      <c r="K5003">
        <v>20</v>
      </c>
      <c r="L5003">
        <v>20</v>
      </c>
      <c r="M5003">
        <v>20</v>
      </c>
    </row>
    <row r="5004" spans="1:13" x14ac:dyDescent="0.25">
      <c r="A5004" t="s">
        <v>11059</v>
      </c>
      <c r="B5004" t="s">
        <v>11060</v>
      </c>
      <c r="C5004" t="s">
        <v>2493</v>
      </c>
      <c r="D5004" t="s">
        <v>2360</v>
      </c>
      <c r="F5004">
        <v>2</v>
      </c>
      <c r="G5004" t="s">
        <v>16</v>
      </c>
      <c r="H5004">
        <v>0</v>
      </c>
      <c r="I5004" s="2" t="s">
        <v>737</v>
      </c>
      <c r="J5004" s="2" t="s">
        <v>11061</v>
      </c>
      <c r="K5004">
        <v>20</v>
      </c>
      <c r="L5004">
        <v>20</v>
      </c>
      <c r="M5004">
        <v>20</v>
      </c>
    </row>
    <row r="5005" spans="1:13" x14ac:dyDescent="0.25">
      <c r="A5005" t="s">
        <v>11062</v>
      </c>
      <c r="B5005" t="s">
        <v>11063</v>
      </c>
      <c r="C5005" t="s">
        <v>151</v>
      </c>
      <c r="D5005" t="s">
        <v>1381</v>
      </c>
      <c r="F5005">
        <v>8</v>
      </c>
      <c r="G5005" t="s">
        <v>16</v>
      </c>
      <c r="H5005">
        <v>0</v>
      </c>
      <c r="K5005">
        <v>20</v>
      </c>
      <c r="L5005">
        <v>20</v>
      </c>
      <c r="M5005">
        <v>20</v>
      </c>
    </row>
    <row r="5006" spans="1:13" x14ac:dyDescent="0.25">
      <c r="A5006" t="s">
        <v>11064</v>
      </c>
      <c r="B5006" t="s">
        <v>11065</v>
      </c>
      <c r="C5006" t="s">
        <v>496</v>
      </c>
      <c r="D5006" t="s">
        <v>4083</v>
      </c>
      <c r="F5006">
        <v>1</v>
      </c>
      <c r="G5006" t="s">
        <v>16</v>
      </c>
      <c r="H5006">
        <v>0</v>
      </c>
      <c r="I5006" s="2" t="s">
        <v>500</v>
      </c>
      <c r="J5006" s="2" t="s">
        <v>11066</v>
      </c>
      <c r="K5006">
        <v>20</v>
      </c>
      <c r="L5006">
        <v>20</v>
      </c>
      <c r="M5006">
        <v>20</v>
      </c>
    </row>
    <row r="5007" spans="1:13" x14ac:dyDescent="0.25">
      <c r="A5007" t="s">
        <v>11067</v>
      </c>
      <c r="B5007" t="s">
        <v>11068</v>
      </c>
      <c r="C5007" t="s">
        <v>496</v>
      </c>
      <c r="D5007" t="s">
        <v>4083</v>
      </c>
      <c r="F5007">
        <v>0</v>
      </c>
      <c r="G5007" t="s">
        <v>16</v>
      </c>
      <c r="H5007">
        <v>0</v>
      </c>
      <c r="I5007" s="2" t="s">
        <v>500</v>
      </c>
      <c r="J5007" s="2" t="s">
        <v>11069</v>
      </c>
      <c r="K5007">
        <v>20</v>
      </c>
      <c r="L5007">
        <v>20</v>
      </c>
      <c r="M5007">
        <v>20</v>
      </c>
    </row>
    <row r="5008" spans="1:13" x14ac:dyDescent="0.25">
      <c r="A5008" t="s">
        <v>11070</v>
      </c>
      <c r="B5008" t="s">
        <v>11072</v>
      </c>
      <c r="C5008" t="s">
        <v>496</v>
      </c>
      <c r="D5008" t="s">
        <v>4083</v>
      </c>
      <c r="F5008">
        <v>1</v>
      </c>
      <c r="G5008" t="s">
        <v>16</v>
      </c>
      <c r="H5008">
        <v>0</v>
      </c>
      <c r="I5008" s="2" t="s">
        <v>288</v>
      </c>
      <c r="J5008" s="2" t="s">
        <v>11071</v>
      </c>
      <c r="K5008">
        <v>20</v>
      </c>
      <c r="L5008">
        <v>20</v>
      </c>
      <c r="M5008">
        <v>20</v>
      </c>
    </row>
    <row r="5009" spans="1:13" x14ac:dyDescent="0.25">
      <c r="A5009" t="s">
        <v>11073</v>
      </c>
      <c r="B5009" t="s">
        <v>11074</v>
      </c>
      <c r="C5009" t="s">
        <v>496</v>
      </c>
      <c r="D5009" t="s">
        <v>4083</v>
      </c>
      <c r="F5009">
        <v>1</v>
      </c>
      <c r="G5009" t="s">
        <v>16</v>
      </c>
      <c r="H5009">
        <v>0</v>
      </c>
      <c r="I5009" s="2" t="s">
        <v>64</v>
      </c>
      <c r="J5009" s="2" t="str">
        <f>"01030132"</f>
        <v>01030132</v>
      </c>
      <c r="K5009">
        <v>20</v>
      </c>
      <c r="L5009">
        <v>20</v>
      </c>
      <c r="M5009">
        <v>20</v>
      </c>
    </row>
    <row r="5010" spans="1:13" x14ac:dyDescent="0.25">
      <c r="A5010" t="s">
        <v>11075</v>
      </c>
      <c r="B5010" t="s">
        <v>11076</v>
      </c>
      <c r="C5010" t="s">
        <v>496</v>
      </c>
      <c r="D5010" t="s">
        <v>4083</v>
      </c>
      <c r="G5010" t="s">
        <v>16</v>
      </c>
      <c r="H5010">
        <v>0</v>
      </c>
      <c r="I5010" s="2" t="s">
        <v>288</v>
      </c>
      <c r="J5010" s="2" t="s">
        <v>11077</v>
      </c>
      <c r="K5010">
        <v>20</v>
      </c>
      <c r="L5010">
        <v>20</v>
      </c>
      <c r="M5010">
        <v>20</v>
      </c>
    </row>
    <row r="5011" spans="1:13" x14ac:dyDescent="0.25">
      <c r="A5011" t="s">
        <v>11078</v>
      </c>
      <c r="B5011" t="s">
        <v>11080</v>
      </c>
      <c r="C5011" t="s">
        <v>496</v>
      </c>
      <c r="D5011" t="s">
        <v>2360</v>
      </c>
      <c r="F5011">
        <v>-1</v>
      </c>
      <c r="G5011" t="s">
        <v>16</v>
      </c>
      <c r="H5011">
        <v>0</v>
      </c>
      <c r="I5011" s="2" t="s">
        <v>288</v>
      </c>
      <c r="J5011" s="2" t="s">
        <v>11079</v>
      </c>
      <c r="K5011">
        <v>20</v>
      </c>
      <c r="L5011">
        <v>20</v>
      </c>
      <c r="M5011">
        <v>20</v>
      </c>
    </row>
    <row r="5012" spans="1:13" x14ac:dyDescent="0.25">
      <c r="A5012" t="s">
        <v>11081</v>
      </c>
      <c r="B5012" t="s">
        <v>11080</v>
      </c>
      <c r="C5012" t="s">
        <v>496</v>
      </c>
      <c r="F5012">
        <v>3</v>
      </c>
      <c r="G5012" t="s">
        <v>16</v>
      </c>
      <c r="H5012">
        <v>0</v>
      </c>
      <c r="I5012" s="2" t="s">
        <v>2517</v>
      </c>
      <c r="J5012" s="2" t="s">
        <v>11082</v>
      </c>
      <c r="K5012">
        <v>20</v>
      </c>
      <c r="L5012">
        <v>20</v>
      </c>
      <c r="M5012">
        <v>20</v>
      </c>
    </row>
    <row r="5013" spans="1:13" x14ac:dyDescent="0.25">
      <c r="A5013" t="s">
        <v>11083</v>
      </c>
      <c r="B5013" t="s">
        <v>11080</v>
      </c>
      <c r="C5013" t="s">
        <v>496</v>
      </c>
      <c r="D5013" t="s">
        <v>2360</v>
      </c>
      <c r="G5013" t="s">
        <v>16</v>
      </c>
      <c r="H5013">
        <v>0</v>
      </c>
      <c r="I5013" s="2" t="s">
        <v>3421</v>
      </c>
      <c r="J5013" s="2" t="s">
        <v>11084</v>
      </c>
      <c r="K5013">
        <v>20</v>
      </c>
      <c r="L5013">
        <v>20</v>
      </c>
      <c r="M5013">
        <v>20</v>
      </c>
    </row>
    <row r="5014" spans="1:13" x14ac:dyDescent="0.25">
      <c r="A5014" t="s">
        <v>11085</v>
      </c>
      <c r="B5014" t="s">
        <v>11080</v>
      </c>
      <c r="C5014" t="s">
        <v>496</v>
      </c>
      <c r="F5014">
        <v>0</v>
      </c>
      <c r="G5014" t="s">
        <v>16</v>
      </c>
      <c r="H5014">
        <v>0</v>
      </c>
      <c r="I5014" s="2" t="s">
        <v>941</v>
      </c>
      <c r="J5014" s="2" t="s">
        <v>11086</v>
      </c>
      <c r="K5014">
        <v>20</v>
      </c>
      <c r="L5014">
        <v>20</v>
      </c>
      <c r="M5014">
        <v>20</v>
      </c>
    </row>
    <row r="5015" spans="1:13" x14ac:dyDescent="0.25">
      <c r="A5015" t="s">
        <v>11087</v>
      </c>
      <c r="B5015" t="s">
        <v>11080</v>
      </c>
      <c r="C5015" t="s">
        <v>496</v>
      </c>
      <c r="G5015" t="s">
        <v>16</v>
      </c>
      <c r="H5015">
        <v>0</v>
      </c>
      <c r="I5015" s="2" t="s">
        <v>8864</v>
      </c>
      <c r="J5015" s="2" t="s">
        <v>11088</v>
      </c>
      <c r="K5015">
        <v>20</v>
      </c>
      <c r="L5015">
        <v>20</v>
      </c>
      <c r="M5015">
        <v>20</v>
      </c>
    </row>
    <row r="5016" spans="1:13" x14ac:dyDescent="0.25">
      <c r="A5016" t="s">
        <v>11089</v>
      </c>
      <c r="B5016" t="s">
        <v>11080</v>
      </c>
      <c r="C5016" t="s">
        <v>496</v>
      </c>
      <c r="D5016" t="s">
        <v>2360</v>
      </c>
      <c r="F5016">
        <v>0</v>
      </c>
      <c r="G5016" t="s">
        <v>16</v>
      </c>
      <c r="H5016">
        <v>0</v>
      </c>
      <c r="I5016" s="2" t="s">
        <v>5609</v>
      </c>
      <c r="J5016" s="2">
        <v>13050065</v>
      </c>
      <c r="K5016">
        <v>20</v>
      </c>
      <c r="L5016">
        <v>20</v>
      </c>
      <c r="M5016">
        <v>20</v>
      </c>
    </row>
    <row r="5017" spans="1:13" x14ac:dyDescent="0.25">
      <c r="A5017" t="s">
        <v>11090</v>
      </c>
      <c r="B5017" t="s">
        <v>11080</v>
      </c>
      <c r="C5017" t="s">
        <v>496</v>
      </c>
      <c r="G5017" t="s">
        <v>16</v>
      </c>
      <c r="H5017">
        <v>0</v>
      </c>
      <c r="I5017" s="2" t="s">
        <v>4086</v>
      </c>
      <c r="J5017" s="2" t="str">
        <f>"00799"</f>
        <v>00799</v>
      </c>
      <c r="K5017">
        <v>20</v>
      </c>
      <c r="L5017">
        <v>20</v>
      </c>
      <c r="M5017">
        <v>20</v>
      </c>
    </row>
    <row r="5018" spans="1:13" x14ac:dyDescent="0.25">
      <c r="A5018" t="s">
        <v>11091</v>
      </c>
      <c r="B5018" t="s">
        <v>11080</v>
      </c>
      <c r="C5018" t="s">
        <v>496</v>
      </c>
      <c r="F5018">
        <v>2</v>
      </c>
      <c r="G5018" t="s">
        <v>16</v>
      </c>
      <c r="H5018">
        <v>0</v>
      </c>
      <c r="I5018" s="2" t="s">
        <v>266</v>
      </c>
      <c r="J5018" s="2" t="s">
        <v>11092</v>
      </c>
      <c r="K5018">
        <v>20</v>
      </c>
      <c r="L5018">
        <v>20</v>
      </c>
      <c r="M5018">
        <v>20</v>
      </c>
    </row>
    <row r="5019" spans="1:13" x14ac:dyDescent="0.25">
      <c r="A5019" t="s">
        <v>11093</v>
      </c>
      <c r="B5019" t="s">
        <v>11080</v>
      </c>
      <c r="C5019" t="s">
        <v>496</v>
      </c>
      <c r="D5019" t="s">
        <v>2360</v>
      </c>
      <c r="G5019" t="s">
        <v>16</v>
      </c>
      <c r="H5019">
        <v>0</v>
      </c>
      <c r="I5019" s="2" t="s">
        <v>11094</v>
      </c>
      <c r="J5019" s="2" t="s">
        <v>11095</v>
      </c>
      <c r="K5019">
        <v>20</v>
      </c>
      <c r="L5019">
        <v>20</v>
      </c>
      <c r="M5019">
        <v>20</v>
      </c>
    </row>
    <row r="5020" spans="1:13" x14ac:dyDescent="0.25">
      <c r="A5020" t="s">
        <v>11096</v>
      </c>
      <c r="B5020" t="s">
        <v>11098</v>
      </c>
      <c r="C5020" t="s">
        <v>496</v>
      </c>
      <c r="D5020" t="s">
        <v>2360</v>
      </c>
      <c r="F5020">
        <v>3</v>
      </c>
      <c r="G5020" t="s">
        <v>16</v>
      </c>
      <c r="H5020">
        <v>0</v>
      </c>
      <c r="I5020" s="2" t="s">
        <v>288</v>
      </c>
      <c r="J5020" s="2" t="s">
        <v>11097</v>
      </c>
      <c r="K5020">
        <v>20</v>
      </c>
      <c r="L5020">
        <v>20</v>
      </c>
      <c r="M5020">
        <v>20</v>
      </c>
    </row>
    <row r="5021" spans="1:13" x14ac:dyDescent="0.25">
      <c r="A5021" t="s">
        <v>11099</v>
      </c>
      <c r="B5021" t="s">
        <v>11098</v>
      </c>
      <c r="C5021" t="s">
        <v>2493</v>
      </c>
      <c r="F5021">
        <v>3</v>
      </c>
      <c r="G5021" t="s">
        <v>16</v>
      </c>
      <c r="H5021">
        <v>0</v>
      </c>
      <c r="I5021" s="2" t="s">
        <v>2517</v>
      </c>
      <c r="J5021" s="2" t="s">
        <v>11100</v>
      </c>
      <c r="K5021">
        <v>20</v>
      </c>
      <c r="L5021">
        <v>20</v>
      </c>
      <c r="M5021">
        <v>20</v>
      </c>
    </row>
    <row r="5022" spans="1:13" x14ac:dyDescent="0.25">
      <c r="A5022" t="s">
        <v>11101</v>
      </c>
      <c r="B5022" t="s">
        <v>11098</v>
      </c>
      <c r="C5022" t="s">
        <v>496</v>
      </c>
      <c r="D5022" t="s">
        <v>2360</v>
      </c>
      <c r="G5022" t="s">
        <v>16</v>
      </c>
      <c r="H5022">
        <v>0</v>
      </c>
      <c r="I5022" s="2" t="s">
        <v>3421</v>
      </c>
      <c r="J5022" s="2" t="s">
        <v>11102</v>
      </c>
      <c r="K5022">
        <v>20</v>
      </c>
      <c r="L5022">
        <v>20</v>
      </c>
      <c r="M5022">
        <v>20</v>
      </c>
    </row>
    <row r="5023" spans="1:13" x14ac:dyDescent="0.25">
      <c r="A5023" t="s">
        <v>11103</v>
      </c>
      <c r="B5023" t="s">
        <v>11098</v>
      </c>
      <c r="C5023" t="s">
        <v>496</v>
      </c>
      <c r="F5023">
        <v>0</v>
      </c>
      <c r="G5023" t="s">
        <v>16</v>
      </c>
      <c r="H5023">
        <v>0</v>
      </c>
      <c r="I5023" s="2" t="s">
        <v>707</v>
      </c>
      <c r="J5023" s="2" t="s">
        <v>11104</v>
      </c>
      <c r="K5023">
        <v>20</v>
      </c>
      <c r="L5023">
        <v>20</v>
      </c>
      <c r="M5023">
        <v>20</v>
      </c>
    </row>
    <row r="5024" spans="1:13" x14ac:dyDescent="0.25">
      <c r="A5024" t="s">
        <v>11105</v>
      </c>
      <c r="B5024" t="s">
        <v>11098</v>
      </c>
      <c r="C5024" t="s">
        <v>496</v>
      </c>
      <c r="D5024" t="s">
        <v>2360</v>
      </c>
      <c r="G5024" t="s">
        <v>16</v>
      </c>
      <c r="H5024">
        <v>0</v>
      </c>
      <c r="I5024" s="2" t="s">
        <v>5040</v>
      </c>
      <c r="J5024" s="2" t="s">
        <v>11106</v>
      </c>
      <c r="K5024">
        <v>20</v>
      </c>
      <c r="L5024">
        <v>20</v>
      </c>
      <c r="M5024">
        <v>20</v>
      </c>
    </row>
    <row r="5025" spans="1:13" x14ac:dyDescent="0.25">
      <c r="A5025" t="s">
        <v>11107</v>
      </c>
      <c r="B5025" t="s">
        <v>11098</v>
      </c>
      <c r="C5025" t="s">
        <v>496</v>
      </c>
      <c r="D5025" t="s">
        <v>2360</v>
      </c>
      <c r="F5025">
        <v>0</v>
      </c>
      <c r="G5025" t="s">
        <v>16</v>
      </c>
      <c r="H5025">
        <v>0</v>
      </c>
      <c r="I5025" s="2" t="s">
        <v>64</v>
      </c>
      <c r="J5025" s="2">
        <v>13050064</v>
      </c>
      <c r="K5025">
        <v>20</v>
      </c>
      <c r="L5025">
        <v>20</v>
      </c>
      <c r="M5025">
        <v>20</v>
      </c>
    </row>
    <row r="5026" spans="1:13" x14ac:dyDescent="0.25">
      <c r="A5026" t="s">
        <v>11108</v>
      </c>
      <c r="B5026" t="s">
        <v>11098</v>
      </c>
      <c r="C5026" t="s">
        <v>2493</v>
      </c>
      <c r="G5026" t="s">
        <v>16</v>
      </c>
      <c r="H5026">
        <v>0</v>
      </c>
      <c r="I5026" s="2" t="s">
        <v>4086</v>
      </c>
      <c r="J5026" s="2" t="str">
        <f>"00798"</f>
        <v>00798</v>
      </c>
      <c r="K5026">
        <v>20</v>
      </c>
      <c r="L5026">
        <v>20</v>
      </c>
      <c r="M5026">
        <v>20</v>
      </c>
    </row>
    <row r="5027" spans="1:13" x14ac:dyDescent="0.25">
      <c r="A5027" t="s">
        <v>11109</v>
      </c>
      <c r="B5027" t="s">
        <v>11098</v>
      </c>
      <c r="C5027" t="s">
        <v>496</v>
      </c>
      <c r="F5027">
        <v>2</v>
      </c>
      <c r="G5027" t="s">
        <v>16</v>
      </c>
      <c r="H5027">
        <v>0</v>
      </c>
      <c r="I5027" s="2" t="s">
        <v>266</v>
      </c>
      <c r="J5027" s="2" t="s">
        <v>11110</v>
      </c>
      <c r="K5027">
        <v>20</v>
      </c>
      <c r="L5027">
        <v>20</v>
      </c>
      <c r="M5027">
        <v>20</v>
      </c>
    </row>
    <row r="5028" spans="1:13" x14ac:dyDescent="0.25">
      <c r="A5028" t="s">
        <v>11111</v>
      </c>
      <c r="B5028" t="s">
        <v>11098</v>
      </c>
      <c r="C5028" t="s">
        <v>496</v>
      </c>
      <c r="D5028" t="s">
        <v>2360</v>
      </c>
      <c r="F5028">
        <v>1</v>
      </c>
      <c r="G5028" t="s">
        <v>16</v>
      </c>
      <c r="H5028">
        <v>0</v>
      </c>
      <c r="I5028" s="2" t="s">
        <v>5044</v>
      </c>
      <c r="J5028" s="2" t="s">
        <v>11112</v>
      </c>
      <c r="K5028">
        <v>20</v>
      </c>
      <c r="L5028">
        <v>20</v>
      </c>
      <c r="M5028">
        <v>20</v>
      </c>
    </row>
    <row r="5029" spans="1:13" x14ac:dyDescent="0.25">
      <c r="A5029" t="s">
        <v>11113</v>
      </c>
      <c r="B5029" t="s">
        <v>11114</v>
      </c>
      <c r="C5029" t="s">
        <v>2493</v>
      </c>
      <c r="D5029" t="s">
        <v>2360</v>
      </c>
      <c r="G5029" t="s">
        <v>16</v>
      </c>
      <c r="H5029">
        <v>0</v>
      </c>
      <c r="I5029" s="2" t="s">
        <v>2517</v>
      </c>
      <c r="J5029" s="2" t="s">
        <v>11115</v>
      </c>
      <c r="K5029">
        <v>20</v>
      </c>
      <c r="L5029">
        <v>20</v>
      </c>
      <c r="M5029">
        <v>20</v>
      </c>
    </row>
    <row r="5030" spans="1:13" x14ac:dyDescent="0.25">
      <c r="A5030" t="s">
        <v>11116</v>
      </c>
      <c r="B5030" t="s">
        <v>11117</v>
      </c>
      <c r="C5030" t="s">
        <v>496</v>
      </c>
      <c r="D5030" t="s">
        <v>2360</v>
      </c>
      <c r="G5030" t="s">
        <v>16</v>
      </c>
      <c r="H5030">
        <v>0</v>
      </c>
      <c r="I5030" s="2" t="s">
        <v>5040</v>
      </c>
      <c r="J5030" s="2" t="s">
        <v>11118</v>
      </c>
      <c r="K5030">
        <v>20</v>
      </c>
      <c r="L5030">
        <v>20</v>
      </c>
      <c r="M5030">
        <v>20</v>
      </c>
    </row>
    <row r="5031" spans="1:13" x14ac:dyDescent="0.25">
      <c r="A5031" t="s">
        <v>11119</v>
      </c>
      <c r="B5031" t="s">
        <v>11120</v>
      </c>
      <c r="C5031" t="s">
        <v>2493</v>
      </c>
      <c r="D5031" t="s">
        <v>2360</v>
      </c>
      <c r="G5031" t="s">
        <v>16</v>
      </c>
      <c r="H5031">
        <v>0</v>
      </c>
      <c r="I5031" s="2" t="s">
        <v>2533</v>
      </c>
      <c r="J5031" s="2" t="s">
        <v>11121</v>
      </c>
      <c r="K5031">
        <v>20</v>
      </c>
      <c r="L5031">
        <v>20</v>
      </c>
      <c r="M5031">
        <v>20</v>
      </c>
    </row>
    <row r="5032" spans="1:13" x14ac:dyDescent="0.25">
      <c r="A5032" t="s">
        <v>11122</v>
      </c>
      <c r="B5032" t="s">
        <v>11123</v>
      </c>
      <c r="C5032" t="s">
        <v>496</v>
      </c>
      <c r="D5032" t="s">
        <v>2360</v>
      </c>
      <c r="G5032" t="s">
        <v>16</v>
      </c>
      <c r="H5032">
        <v>0</v>
      </c>
      <c r="I5032" s="2" t="s">
        <v>5040</v>
      </c>
      <c r="J5032" s="2" t="s">
        <v>11124</v>
      </c>
      <c r="K5032">
        <v>20</v>
      </c>
      <c r="L5032">
        <v>20</v>
      </c>
      <c r="M5032">
        <v>20</v>
      </c>
    </row>
    <row r="5033" spans="1:13" x14ac:dyDescent="0.25">
      <c r="A5033" t="s">
        <v>11125</v>
      </c>
      <c r="B5033" t="s">
        <v>11126</v>
      </c>
      <c r="C5033" t="s">
        <v>496</v>
      </c>
      <c r="D5033" t="s">
        <v>2360</v>
      </c>
      <c r="F5033">
        <v>1</v>
      </c>
      <c r="G5033" t="s">
        <v>16</v>
      </c>
      <c r="H5033">
        <v>0</v>
      </c>
      <c r="I5033" s="2" t="s">
        <v>5044</v>
      </c>
      <c r="J5033" s="2" t="s">
        <v>11127</v>
      </c>
      <c r="K5033">
        <v>20</v>
      </c>
      <c r="L5033">
        <v>20</v>
      </c>
      <c r="M5033">
        <v>20</v>
      </c>
    </row>
    <row r="5034" spans="1:13" x14ac:dyDescent="0.25">
      <c r="A5034" t="s">
        <v>11128</v>
      </c>
      <c r="B5034" t="s">
        <v>11129</v>
      </c>
      <c r="C5034" t="s">
        <v>496</v>
      </c>
      <c r="D5034" t="s">
        <v>2360</v>
      </c>
      <c r="F5034">
        <v>1</v>
      </c>
      <c r="G5034" t="s">
        <v>16</v>
      </c>
      <c r="H5034">
        <v>0</v>
      </c>
      <c r="I5034" s="2" t="s">
        <v>64</v>
      </c>
      <c r="J5034" s="2">
        <v>13050357</v>
      </c>
      <c r="K5034">
        <v>20</v>
      </c>
      <c r="L5034">
        <v>20</v>
      </c>
      <c r="M5034">
        <v>20</v>
      </c>
    </row>
    <row r="5035" spans="1:13" x14ac:dyDescent="0.25">
      <c r="A5035" t="s">
        <v>11130</v>
      </c>
      <c r="B5035" t="s">
        <v>11132</v>
      </c>
      <c r="C5035" t="s">
        <v>496</v>
      </c>
      <c r="D5035" t="s">
        <v>2360</v>
      </c>
      <c r="F5035">
        <v>3</v>
      </c>
      <c r="G5035" t="s">
        <v>16</v>
      </c>
      <c r="H5035">
        <v>0</v>
      </c>
      <c r="I5035" s="2" t="s">
        <v>765</v>
      </c>
      <c r="J5035" s="2" t="s">
        <v>11131</v>
      </c>
      <c r="K5035">
        <v>20</v>
      </c>
      <c r="L5035">
        <v>20</v>
      </c>
      <c r="M5035">
        <v>20</v>
      </c>
    </row>
    <row r="5036" spans="1:13" x14ac:dyDescent="0.25">
      <c r="A5036" t="s">
        <v>11133</v>
      </c>
      <c r="B5036" t="s">
        <v>11132</v>
      </c>
      <c r="C5036" t="s">
        <v>496</v>
      </c>
      <c r="F5036">
        <v>3</v>
      </c>
      <c r="G5036" t="s">
        <v>16</v>
      </c>
      <c r="H5036">
        <v>0</v>
      </c>
      <c r="I5036" s="2" t="s">
        <v>2517</v>
      </c>
      <c r="J5036" s="2" t="s">
        <v>11134</v>
      </c>
      <c r="K5036">
        <v>20</v>
      </c>
      <c r="L5036">
        <v>20</v>
      </c>
      <c r="M5036">
        <v>20</v>
      </c>
    </row>
    <row r="5037" spans="1:13" x14ac:dyDescent="0.25">
      <c r="A5037" t="s">
        <v>11135</v>
      </c>
      <c r="B5037" t="s">
        <v>11132</v>
      </c>
      <c r="C5037" t="s">
        <v>496</v>
      </c>
      <c r="G5037" t="s">
        <v>16</v>
      </c>
      <c r="H5037">
        <v>0</v>
      </c>
      <c r="I5037" s="2" t="s">
        <v>64</v>
      </c>
      <c r="J5037" s="2">
        <v>13050355</v>
      </c>
      <c r="K5037">
        <v>20</v>
      </c>
      <c r="L5037">
        <v>20</v>
      </c>
      <c r="M5037">
        <v>20</v>
      </c>
    </row>
    <row r="5038" spans="1:13" x14ac:dyDescent="0.25">
      <c r="A5038" t="s">
        <v>11136</v>
      </c>
      <c r="B5038" t="s">
        <v>11132</v>
      </c>
      <c r="C5038" t="s">
        <v>2493</v>
      </c>
      <c r="G5038" t="s">
        <v>16</v>
      </c>
      <c r="H5038">
        <v>0</v>
      </c>
      <c r="I5038" s="2" t="s">
        <v>4086</v>
      </c>
      <c r="J5038" s="2" t="str">
        <f>"00887"</f>
        <v>00887</v>
      </c>
      <c r="K5038">
        <v>20</v>
      </c>
      <c r="L5038">
        <v>20</v>
      </c>
      <c r="M5038">
        <v>20</v>
      </c>
    </row>
    <row r="5039" spans="1:13" x14ac:dyDescent="0.25">
      <c r="A5039" t="s">
        <v>11137</v>
      </c>
      <c r="B5039" t="s">
        <v>11132</v>
      </c>
      <c r="C5039" t="s">
        <v>496</v>
      </c>
      <c r="D5039" t="s">
        <v>2360</v>
      </c>
      <c r="F5039">
        <v>1</v>
      </c>
      <c r="G5039" t="s">
        <v>16</v>
      </c>
      <c r="H5039">
        <v>0</v>
      </c>
      <c r="I5039" s="2" t="s">
        <v>5044</v>
      </c>
      <c r="J5039" s="2" t="s">
        <v>11138</v>
      </c>
      <c r="K5039">
        <v>20</v>
      </c>
      <c r="L5039">
        <v>20</v>
      </c>
      <c r="M5039">
        <v>20</v>
      </c>
    </row>
    <row r="5040" spans="1:13" x14ac:dyDescent="0.25">
      <c r="A5040" t="s">
        <v>11139</v>
      </c>
      <c r="B5040" t="s">
        <v>11141</v>
      </c>
      <c r="C5040" t="s">
        <v>496</v>
      </c>
      <c r="D5040" t="s">
        <v>2360</v>
      </c>
      <c r="F5040">
        <v>2</v>
      </c>
      <c r="G5040" t="s">
        <v>16</v>
      </c>
      <c r="H5040">
        <v>0</v>
      </c>
      <c r="I5040" s="2" t="s">
        <v>765</v>
      </c>
      <c r="J5040" s="2" t="s">
        <v>11140</v>
      </c>
      <c r="K5040">
        <v>20</v>
      </c>
      <c r="L5040">
        <v>20</v>
      </c>
      <c r="M5040">
        <v>20</v>
      </c>
    </row>
    <row r="5041" spans="1:13" x14ac:dyDescent="0.25">
      <c r="A5041" t="s">
        <v>11142</v>
      </c>
      <c r="B5041" t="s">
        <v>11141</v>
      </c>
      <c r="C5041" t="s">
        <v>496</v>
      </c>
      <c r="D5041" t="s">
        <v>2360</v>
      </c>
      <c r="F5041">
        <v>3</v>
      </c>
      <c r="G5041" t="s">
        <v>16</v>
      </c>
      <c r="H5041">
        <v>0</v>
      </c>
      <c r="I5041" s="2" t="s">
        <v>2517</v>
      </c>
      <c r="J5041" s="2" t="s">
        <v>11143</v>
      </c>
      <c r="K5041">
        <v>20</v>
      </c>
      <c r="L5041">
        <v>20</v>
      </c>
      <c r="M5041">
        <v>20</v>
      </c>
    </row>
    <row r="5042" spans="1:13" x14ac:dyDescent="0.25">
      <c r="A5042" t="s">
        <v>11144</v>
      </c>
      <c r="B5042" t="s">
        <v>11141</v>
      </c>
      <c r="C5042" t="s">
        <v>496</v>
      </c>
      <c r="D5042" t="s">
        <v>2360</v>
      </c>
      <c r="F5042">
        <v>1</v>
      </c>
      <c r="G5042" t="s">
        <v>16</v>
      </c>
      <c r="H5042">
        <v>0</v>
      </c>
      <c r="I5042" s="2" t="s">
        <v>5044</v>
      </c>
      <c r="J5042" s="2" t="s">
        <v>11145</v>
      </c>
      <c r="K5042">
        <v>20</v>
      </c>
      <c r="L5042">
        <v>20</v>
      </c>
      <c r="M5042">
        <v>20</v>
      </c>
    </row>
    <row r="5043" spans="1:13" x14ac:dyDescent="0.25">
      <c r="A5043" t="s">
        <v>11146</v>
      </c>
      <c r="B5043" t="s">
        <v>11147</v>
      </c>
      <c r="C5043" t="s">
        <v>496</v>
      </c>
      <c r="D5043" t="s">
        <v>4083</v>
      </c>
      <c r="G5043" t="s">
        <v>16</v>
      </c>
      <c r="H5043">
        <v>0</v>
      </c>
      <c r="I5043" s="2" t="s">
        <v>11148</v>
      </c>
      <c r="J5043" s="2" t="s">
        <v>11149</v>
      </c>
      <c r="K5043">
        <v>20</v>
      </c>
      <c r="L5043">
        <v>20</v>
      </c>
      <c r="M5043">
        <v>20</v>
      </c>
    </row>
    <row r="5044" spans="1:13" x14ac:dyDescent="0.25">
      <c r="A5044" t="s">
        <v>11150</v>
      </c>
      <c r="B5044" t="s">
        <v>11151</v>
      </c>
      <c r="C5044" t="s">
        <v>496</v>
      </c>
      <c r="D5044" t="s">
        <v>4083</v>
      </c>
      <c r="G5044" t="s">
        <v>16</v>
      </c>
      <c r="H5044">
        <v>0</v>
      </c>
      <c r="I5044" s="2" t="s">
        <v>11148</v>
      </c>
      <c r="J5044" s="2" t="s">
        <v>11152</v>
      </c>
      <c r="K5044">
        <v>20</v>
      </c>
      <c r="L5044">
        <v>20</v>
      </c>
      <c r="M5044">
        <v>20</v>
      </c>
    </row>
    <row r="5045" spans="1:13" x14ac:dyDescent="0.25">
      <c r="A5045" t="s">
        <v>11153</v>
      </c>
      <c r="B5045" t="s">
        <v>11154</v>
      </c>
      <c r="C5045" t="s">
        <v>496</v>
      </c>
      <c r="D5045" t="s">
        <v>2360</v>
      </c>
      <c r="F5045">
        <v>2</v>
      </c>
      <c r="G5045" t="s">
        <v>16</v>
      </c>
      <c r="H5045">
        <v>0</v>
      </c>
      <c r="I5045" s="2" t="b">
        <v>1</v>
      </c>
      <c r="J5045" s="2" t="s">
        <v>11155</v>
      </c>
      <c r="K5045">
        <v>20</v>
      </c>
      <c r="L5045">
        <v>20</v>
      </c>
      <c r="M5045">
        <v>20</v>
      </c>
    </row>
    <row r="5046" spans="1:13" x14ac:dyDescent="0.25">
      <c r="A5046" t="s">
        <v>11156</v>
      </c>
      <c r="B5046" t="s">
        <v>11157</v>
      </c>
      <c r="C5046" t="s">
        <v>496</v>
      </c>
      <c r="F5046">
        <v>4</v>
      </c>
      <c r="G5046" t="s">
        <v>16</v>
      </c>
      <c r="H5046">
        <v>0</v>
      </c>
      <c r="I5046" s="2" t="b">
        <v>1</v>
      </c>
      <c r="J5046" s="2" t="s">
        <v>11158</v>
      </c>
      <c r="K5046">
        <v>20</v>
      </c>
      <c r="L5046">
        <v>20</v>
      </c>
      <c r="M5046">
        <v>20</v>
      </c>
    </row>
    <row r="5047" spans="1:13" x14ac:dyDescent="0.25">
      <c r="A5047" t="s">
        <v>11159</v>
      </c>
      <c r="B5047" t="s">
        <v>11161</v>
      </c>
      <c r="C5047" t="s">
        <v>496</v>
      </c>
      <c r="F5047">
        <v>4</v>
      </c>
      <c r="G5047" t="s">
        <v>16</v>
      </c>
      <c r="H5047">
        <v>0</v>
      </c>
      <c r="I5047" s="2" t="s">
        <v>288</v>
      </c>
      <c r="J5047" s="2" t="s">
        <v>11160</v>
      </c>
      <c r="K5047">
        <v>20</v>
      </c>
      <c r="L5047">
        <v>20</v>
      </c>
      <c r="M5047">
        <v>20</v>
      </c>
    </row>
    <row r="5048" spans="1:13" x14ac:dyDescent="0.25">
      <c r="A5048" t="s">
        <v>11162</v>
      </c>
      <c r="B5048" t="s">
        <v>11163</v>
      </c>
      <c r="C5048" t="s">
        <v>496</v>
      </c>
      <c r="F5048">
        <v>0</v>
      </c>
      <c r="G5048" t="s">
        <v>16</v>
      </c>
      <c r="H5048">
        <v>0</v>
      </c>
      <c r="I5048" s="2" t="s">
        <v>737</v>
      </c>
      <c r="J5048" s="2" t="s">
        <v>11164</v>
      </c>
      <c r="K5048">
        <v>20</v>
      </c>
      <c r="L5048">
        <v>20</v>
      </c>
      <c r="M5048">
        <v>20</v>
      </c>
    </row>
    <row r="5049" spans="1:13" x14ac:dyDescent="0.25">
      <c r="A5049" t="s">
        <v>11165</v>
      </c>
      <c r="B5049" t="s">
        <v>11167</v>
      </c>
      <c r="C5049" t="s">
        <v>496</v>
      </c>
      <c r="F5049">
        <v>10</v>
      </c>
      <c r="G5049" t="s">
        <v>16</v>
      </c>
      <c r="H5049">
        <v>0</v>
      </c>
      <c r="I5049" s="2" t="s">
        <v>69</v>
      </c>
      <c r="J5049" s="2" t="s">
        <v>11166</v>
      </c>
      <c r="K5049">
        <v>20</v>
      </c>
      <c r="L5049">
        <v>20</v>
      </c>
      <c r="M5049">
        <v>20</v>
      </c>
    </row>
    <row r="5050" spans="1:13" x14ac:dyDescent="0.25">
      <c r="A5050" t="s">
        <v>11168</v>
      </c>
      <c r="B5050" t="s">
        <v>11169</v>
      </c>
      <c r="C5050" t="s">
        <v>496</v>
      </c>
      <c r="F5050">
        <v>10</v>
      </c>
      <c r="G5050" t="s">
        <v>16</v>
      </c>
      <c r="H5050">
        <v>0</v>
      </c>
      <c r="I5050" s="2" t="s">
        <v>266</v>
      </c>
      <c r="J5050" s="2">
        <v>34734</v>
      </c>
      <c r="K5050">
        <v>20</v>
      </c>
      <c r="L5050">
        <v>20</v>
      </c>
      <c r="M5050">
        <v>20</v>
      </c>
    </row>
    <row r="5051" spans="1:13" x14ac:dyDescent="0.25">
      <c r="A5051" t="s">
        <v>11170</v>
      </c>
      <c r="B5051" t="s">
        <v>11171</v>
      </c>
      <c r="C5051" t="s">
        <v>362</v>
      </c>
      <c r="D5051" t="s">
        <v>4091</v>
      </c>
      <c r="G5051" t="s">
        <v>16</v>
      </c>
      <c r="H5051">
        <v>0</v>
      </c>
      <c r="I5051" s="2" t="s">
        <v>4093</v>
      </c>
      <c r="J5051" s="2" t="s">
        <v>11172</v>
      </c>
      <c r="K5051">
        <v>20</v>
      </c>
      <c r="L5051">
        <v>20</v>
      </c>
      <c r="M5051">
        <v>20</v>
      </c>
    </row>
    <row r="5052" spans="1:13" x14ac:dyDescent="0.25">
      <c r="A5052" t="s">
        <v>11173</v>
      </c>
      <c r="B5052" t="s">
        <v>11171</v>
      </c>
      <c r="C5052" t="s">
        <v>362</v>
      </c>
      <c r="D5052" t="s">
        <v>4091</v>
      </c>
      <c r="G5052" t="s">
        <v>16</v>
      </c>
      <c r="H5052">
        <v>0</v>
      </c>
      <c r="I5052" s="2" t="s">
        <v>288</v>
      </c>
      <c r="J5052" s="2" t="s">
        <v>11174</v>
      </c>
      <c r="K5052">
        <v>20</v>
      </c>
      <c r="L5052">
        <v>20</v>
      </c>
      <c r="M5052">
        <v>20</v>
      </c>
    </row>
    <row r="5053" spans="1:13" x14ac:dyDescent="0.25">
      <c r="A5053" t="s">
        <v>11175</v>
      </c>
      <c r="B5053" t="s">
        <v>11176</v>
      </c>
      <c r="C5053" t="s">
        <v>362</v>
      </c>
      <c r="D5053" t="s">
        <v>4091</v>
      </c>
      <c r="G5053" t="s">
        <v>16</v>
      </c>
      <c r="H5053">
        <v>0</v>
      </c>
      <c r="I5053" s="2" t="s">
        <v>2517</v>
      </c>
      <c r="J5053" s="2" t="s">
        <v>11177</v>
      </c>
      <c r="K5053">
        <v>20</v>
      </c>
      <c r="L5053">
        <v>20</v>
      </c>
      <c r="M5053">
        <v>20</v>
      </c>
    </row>
    <row r="5054" spans="1:13" x14ac:dyDescent="0.25">
      <c r="A5054" t="s">
        <v>11178</v>
      </c>
      <c r="B5054" t="s">
        <v>11171</v>
      </c>
      <c r="C5054" t="s">
        <v>362</v>
      </c>
      <c r="D5054" t="s">
        <v>4091</v>
      </c>
      <c r="F5054">
        <v>9</v>
      </c>
      <c r="G5054" t="s">
        <v>16</v>
      </c>
      <c r="H5054">
        <v>0</v>
      </c>
      <c r="I5054" s="2" t="s">
        <v>685</v>
      </c>
      <c r="J5054" s="2" t="str">
        <f>"0986495259"</f>
        <v>0986495259</v>
      </c>
      <c r="K5054">
        <v>20</v>
      </c>
      <c r="L5054">
        <v>20</v>
      </c>
      <c r="M5054">
        <v>20</v>
      </c>
    </row>
    <row r="5055" spans="1:13" x14ac:dyDescent="0.25">
      <c r="A5055" t="s">
        <v>11179</v>
      </c>
      <c r="B5055" t="s">
        <v>11171</v>
      </c>
      <c r="C5055" t="s">
        <v>362</v>
      </c>
      <c r="D5055" t="s">
        <v>4091</v>
      </c>
      <c r="F5055">
        <v>2</v>
      </c>
      <c r="G5055" t="s">
        <v>16</v>
      </c>
      <c r="H5055">
        <v>0</v>
      </c>
      <c r="I5055" s="2" t="s">
        <v>707</v>
      </c>
      <c r="J5055" s="2" t="s">
        <v>11180</v>
      </c>
      <c r="K5055">
        <v>20</v>
      </c>
      <c r="L5055">
        <v>20</v>
      </c>
      <c r="M5055">
        <v>20</v>
      </c>
    </row>
    <row r="5056" spans="1:13" x14ac:dyDescent="0.25">
      <c r="A5056" t="s">
        <v>11181</v>
      </c>
      <c r="B5056" t="s">
        <v>11182</v>
      </c>
      <c r="C5056" t="s">
        <v>362</v>
      </c>
      <c r="D5056" t="s">
        <v>4097</v>
      </c>
      <c r="F5056">
        <v>0</v>
      </c>
      <c r="G5056" t="s">
        <v>16</v>
      </c>
      <c r="H5056">
        <v>0</v>
      </c>
      <c r="I5056" s="2" t="s">
        <v>500</v>
      </c>
      <c r="J5056" s="2" t="s">
        <v>11183</v>
      </c>
      <c r="K5056">
        <v>20</v>
      </c>
      <c r="L5056">
        <v>20</v>
      </c>
      <c r="M5056">
        <v>20</v>
      </c>
    </row>
    <row r="5057" spans="1:13" x14ac:dyDescent="0.25">
      <c r="A5057" t="s">
        <v>11184</v>
      </c>
      <c r="B5057" t="s">
        <v>11185</v>
      </c>
      <c r="C5057" t="s">
        <v>362</v>
      </c>
      <c r="D5057" t="s">
        <v>4097</v>
      </c>
      <c r="F5057">
        <v>1</v>
      </c>
      <c r="G5057" t="s">
        <v>16</v>
      </c>
      <c r="H5057">
        <v>0</v>
      </c>
      <c r="I5057" s="2" t="s">
        <v>3539</v>
      </c>
      <c r="J5057" s="2" t="s">
        <v>11186</v>
      </c>
      <c r="K5057">
        <v>20</v>
      </c>
      <c r="L5057">
        <v>20</v>
      </c>
      <c r="M5057">
        <v>20</v>
      </c>
    </row>
    <row r="5058" spans="1:13" x14ac:dyDescent="0.25">
      <c r="A5058" t="s">
        <v>11187</v>
      </c>
      <c r="B5058" t="s">
        <v>11185</v>
      </c>
      <c r="C5058" t="s">
        <v>362</v>
      </c>
      <c r="D5058" t="s">
        <v>4097</v>
      </c>
      <c r="F5058">
        <v>3</v>
      </c>
      <c r="G5058" t="s">
        <v>16</v>
      </c>
      <c r="H5058">
        <v>0</v>
      </c>
      <c r="I5058" s="2" t="s">
        <v>162</v>
      </c>
      <c r="J5058" s="2">
        <v>56840</v>
      </c>
      <c r="K5058">
        <v>20</v>
      </c>
      <c r="L5058">
        <v>20</v>
      </c>
      <c r="M5058">
        <v>20</v>
      </c>
    </row>
    <row r="5059" spans="1:13" x14ac:dyDescent="0.25">
      <c r="A5059" t="s">
        <v>11188</v>
      </c>
      <c r="B5059" t="s">
        <v>11185</v>
      </c>
      <c r="C5059" t="s">
        <v>362</v>
      </c>
      <c r="D5059" t="s">
        <v>4097</v>
      </c>
      <c r="F5059">
        <v>1</v>
      </c>
      <c r="G5059" t="s">
        <v>16</v>
      </c>
      <c r="H5059">
        <v>0</v>
      </c>
      <c r="I5059" s="2" t="s">
        <v>5057</v>
      </c>
      <c r="J5059" s="2" t="s">
        <v>11189</v>
      </c>
      <c r="K5059">
        <v>20</v>
      </c>
      <c r="L5059">
        <v>20</v>
      </c>
      <c r="M5059">
        <v>20</v>
      </c>
    </row>
    <row r="5060" spans="1:13" x14ac:dyDescent="0.25">
      <c r="A5060" t="s">
        <v>11190</v>
      </c>
      <c r="B5060" t="s">
        <v>11191</v>
      </c>
      <c r="C5060" t="s">
        <v>362</v>
      </c>
      <c r="D5060" t="s">
        <v>4097</v>
      </c>
      <c r="F5060">
        <v>3</v>
      </c>
      <c r="G5060" t="s">
        <v>16</v>
      </c>
      <c r="H5060">
        <v>0</v>
      </c>
      <c r="I5060" s="2" t="s">
        <v>3539</v>
      </c>
      <c r="J5060" s="2" t="s">
        <v>11192</v>
      </c>
      <c r="K5060">
        <v>20</v>
      </c>
      <c r="L5060">
        <v>20</v>
      </c>
      <c r="M5060">
        <v>20</v>
      </c>
    </row>
    <row r="5061" spans="1:13" x14ac:dyDescent="0.25">
      <c r="A5061" t="s">
        <v>11193</v>
      </c>
      <c r="B5061" t="s">
        <v>11191</v>
      </c>
      <c r="C5061" t="s">
        <v>362</v>
      </c>
      <c r="D5061" t="s">
        <v>4097</v>
      </c>
      <c r="F5061">
        <v>2</v>
      </c>
      <c r="G5061" t="s">
        <v>16</v>
      </c>
      <c r="H5061">
        <v>0</v>
      </c>
      <c r="I5061" s="2" t="s">
        <v>162</v>
      </c>
      <c r="J5061" s="2">
        <v>56841</v>
      </c>
      <c r="K5061">
        <v>20</v>
      </c>
      <c r="L5061">
        <v>20</v>
      </c>
      <c r="M5061">
        <v>20</v>
      </c>
    </row>
    <row r="5062" spans="1:13" x14ac:dyDescent="0.25">
      <c r="A5062" t="s">
        <v>11194</v>
      </c>
      <c r="B5062" t="s">
        <v>11191</v>
      </c>
      <c r="C5062" t="s">
        <v>362</v>
      </c>
      <c r="D5062" t="s">
        <v>4097</v>
      </c>
      <c r="F5062">
        <v>1</v>
      </c>
      <c r="G5062" t="s">
        <v>16</v>
      </c>
      <c r="H5062">
        <v>0</v>
      </c>
      <c r="I5062" s="2" t="s">
        <v>5057</v>
      </c>
      <c r="J5062" s="2" t="s">
        <v>11195</v>
      </c>
      <c r="K5062">
        <v>20</v>
      </c>
      <c r="L5062">
        <v>20</v>
      </c>
      <c r="M5062">
        <v>20</v>
      </c>
    </row>
    <row r="5063" spans="1:13" x14ac:dyDescent="0.25">
      <c r="A5063" t="s">
        <v>11196</v>
      </c>
      <c r="B5063" t="s">
        <v>11197</v>
      </c>
      <c r="C5063" t="s">
        <v>362</v>
      </c>
      <c r="G5063" t="s">
        <v>16</v>
      </c>
      <c r="H5063">
        <v>0</v>
      </c>
      <c r="I5063" s="2" t="s">
        <v>4193</v>
      </c>
      <c r="J5063" s="2" t="s">
        <v>11198</v>
      </c>
      <c r="K5063">
        <v>20</v>
      </c>
      <c r="L5063">
        <v>20</v>
      </c>
      <c r="M5063">
        <v>20</v>
      </c>
    </row>
    <row r="5064" spans="1:13" x14ac:dyDescent="0.25">
      <c r="A5064" t="s">
        <v>11199</v>
      </c>
      <c r="B5064" t="s">
        <v>11200</v>
      </c>
      <c r="C5064" t="s">
        <v>362</v>
      </c>
      <c r="F5064">
        <v>1</v>
      </c>
      <c r="G5064" t="s">
        <v>16</v>
      </c>
      <c r="H5064">
        <v>0</v>
      </c>
      <c r="I5064" s="2" t="s">
        <v>1175</v>
      </c>
      <c r="J5064" s="2" t="s">
        <v>11201</v>
      </c>
      <c r="K5064">
        <v>20</v>
      </c>
      <c r="L5064">
        <v>20</v>
      </c>
      <c r="M5064">
        <v>20</v>
      </c>
    </row>
    <row r="5065" spans="1:13" x14ac:dyDescent="0.25">
      <c r="A5065" t="s">
        <v>11202</v>
      </c>
      <c r="B5065" t="s">
        <v>11203</v>
      </c>
      <c r="C5065" t="s">
        <v>496</v>
      </c>
      <c r="D5065" t="s">
        <v>2360</v>
      </c>
      <c r="F5065">
        <v>1</v>
      </c>
      <c r="G5065" t="s">
        <v>16</v>
      </c>
      <c r="H5065">
        <v>0</v>
      </c>
      <c r="I5065" s="2" t="s">
        <v>5267</v>
      </c>
      <c r="J5065" s="2" t="s">
        <v>11204</v>
      </c>
      <c r="K5065">
        <v>20</v>
      </c>
      <c r="L5065">
        <v>20</v>
      </c>
      <c r="M5065">
        <v>20</v>
      </c>
    </row>
    <row r="5066" spans="1:13" x14ac:dyDescent="0.25">
      <c r="A5066" t="s">
        <v>11205</v>
      </c>
      <c r="B5066" t="s">
        <v>11206</v>
      </c>
      <c r="C5066" t="s">
        <v>496</v>
      </c>
      <c r="D5066" t="s">
        <v>2360</v>
      </c>
      <c r="F5066">
        <v>1</v>
      </c>
      <c r="G5066" t="s">
        <v>16</v>
      </c>
      <c r="H5066">
        <v>0</v>
      </c>
      <c r="I5066" s="2" t="s">
        <v>64</v>
      </c>
      <c r="J5066" s="2">
        <v>13050365</v>
      </c>
      <c r="K5066">
        <v>20</v>
      </c>
      <c r="L5066">
        <v>20</v>
      </c>
      <c r="M5066">
        <v>20</v>
      </c>
    </row>
    <row r="5067" spans="1:13" x14ac:dyDescent="0.25">
      <c r="A5067" t="s">
        <v>11207</v>
      </c>
      <c r="B5067" t="s">
        <v>11208</v>
      </c>
      <c r="C5067" t="s">
        <v>496</v>
      </c>
      <c r="D5067" t="s">
        <v>2360</v>
      </c>
      <c r="F5067">
        <v>1</v>
      </c>
      <c r="G5067" t="s">
        <v>16</v>
      </c>
      <c r="H5067">
        <v>0</v>
      </c>
      <c r="I5067" s="2" t="s">
        <v>64</v>
      </c>
      <c r="J5067" s="2">
        <v>13050364</v>
      </c>
      <c r="K5067">
        <v>20</v>
      </c>
      <c r="L5067">
        <v>20</v>
      </c>
      <c r="M5067">
        <v>20</v>
      </c>
    </row>
    <row r="5068" spans="1:13" x14ac:dyDescent="0.25">
      <c r="A5068" t="s">
        <v>11209</v>
      </c>
      <c r="B5068" t="s">
        <v>11210</v>
      </c>
      <c r="C5068" t="s">
        <v>362</v>
      </c>
      <c r="D5068" t="s">
        <v>2545</v>
      </c>
      <c r="F5068">
        <v>2</v>
      </c>
      <c r="G5068" t="s">
        <v>16</v>
      </c>
      <c r="H5068">
        <v>0</v>
      </c>
      <c r="I5068" s="2" t="s">
        <v>500</v>
      </c>
      <c r="J5068" s="2" t="s">
        <v>11211</v>
      </c>
      <c r="K5068">
        <v>20</v>
      </c>
      <c r="L5068">
        <v>20</v>
      </c>
      <c r="M5068">
        <v>20</v>
      </c>
    </row>
    <row r="5069" spans="1:13" x14ac:dyDescent="0.25">
      <c r="A5069" t="s">
        <v>11212</v>
      </c>
      <c r="B5069" t="s">
        <v>11213</v>
      </c>
      <c r="C5069" t="s">
        <v>362</v>
      </c>
      <c r="D5069" t="s">
        <v>2545</v>
      </c>
      <c r="F5069">
        <v>2</v>
      </c>
      <c r="G5069" t="s">
        <v>16</v>
      </c>
      <c r="H5069">
        <v>0</v>
      </c>
      <c r="I5069" s="2" t="s">
        <v>685</v>
      </c>
      <c r="J5069" s="2" t="str">
        <f>"0986475029"</f>
        <v>0986475029</v>
      </c>
      <c r="K5069">
        <v>20</v>
      </c>
      <c r="L5069">
        <v>20</v>
      </c>
      <c r="M5069">
        <v>20</v>
      </c>
    </row>
    <row r="5070" spans="1:13" x14ac:dyDescent="0.25">
      <c r="A5070" t="s">
        <v>11214</v>
      </c>
      <c r="B5070" t="s">
        <v>11213</v>
      </c>
      <c r="C5070" t="s">
        <v>362</v>
      </c>
      <c r="D5070" t="s">
        <v>2545</v>
      </c>
      <c r="G5070" t="s">
        <v>16</v>
      </c>
      <c r="H5070">
        <v>0</v>
      </c>
      <c r="I5070" s="2" t="s">
        <v>941</v>
      </c>
      <c r="J5070" s="2" t="s">
        <v>11215</v>
      </c>
      <c r="K5070">
        <v>20</v>
      </c>
      <c r="L5070">
        <v>20</v>
      </c>
      <c r="M5070">
        <v>20</v>
      </c>
    </row>
    <row r="5071" spans="1:13" x14ac:dyDescent="0.25">
      <c r="A5071" t="s">
        <v>11216</v>
      </c>
      <c r="B5071" t="s">
        <v>11213</v>
      </c>
      <c r="C5071" t="s">
        <v>362</v>
      </c>
      <c r="D5071" t="s">
        <v>2545</v>
      </c>
      <c r="G5071" t="s">
        <v>16</v>
      </c>
      <c r="H5071">
        <v>0</v>
      </c>
      <c r="I5071" s="2" t="s">
        <v>5057</v>
      </c>
      <c r="J5071" s="2" t="s">
        <v>11217</v>
      </c>
      <c r="K5071">
        <v>20</v>
      </c>
      <c r="L5071">
        <v>20</v>
      </c>
      <c r="M5071">
        <v>20</v>
      </c>
    </row>
    <row r="5072" spans="1:13" x14ac:dyDescent="0.25">
      <c r="A5072" t="s">
        <v>11218</v>
      </c>
      <c r="B5072" t="s">
        <v>11219</v>
      </c>
      <c r="C5072" t="s">
        <v>362</v>
      </c>
      <c r="D5072" t="s">
        <v>2545</v>
      </c>
      <c r="F5072">
        <v>2</v>
      </c>
      <c r="G5072" t="s">
        <v>16</v>
      </c>
      <c r="H5072">
        <v>0</v>
      </c>
      <c r="I5072" s="2" t="s">
        <v>6120</v>
      </c>
      <c r="J5072" s="2" t="s">
        <v>11220</v>
      </c>
      <c r="K5072">
        <v>20</v>
      </c>
      <c r="L5072">
        <v>20</v>
      </c>
      <c r="M5072">
        <v>20</v>
      </c>
    </row>
    <row r="5073" spans="1:13" x14ac:dyDescent="0.25">
      <c r="A5073" t="s">
        <v>11221</v>
      </c>
      <c r="B5073" t="s">
        <v>11219</v>
      </c>
      <c r="C5073" t="s">
        <v>362</v>
      </c>
      <c r="D5073" t="s">
        <v>2545</v>
      </c>
      <c r="F5073">
        <v>3</v>
      </c>
      <c r="G5073" t="s">
        <v>16</v>
      </c>
      <c r="H5073">
        <v>0</v>
      </c>
      <c r="I5073" s="2" t="s">
        <v>941</v>
      </c>
      <c r="J5073" s="2" t="s">
        <v>11222</v>
      </c>
      <c r="K5073">
        <v>20</v>
      </c>
      <c r="L5073">
        <v>20</v>
      </c>
      <c r="M5073">
        <v>20</v>
      </c>
    </row>
    <row r="5074" spans="1:13" x14ac:dyDescent="0.25">
      <c r="A5074" t="s">
        <v>11223</v>
      </c>
      <c r="B5074" t="s">
        <v>11219</v>
      </c>
      <c r="C5074" t="s">
        <v>362</v>
      </c>
      <c r="D5074" t="s">
        <v>2545</v>
      </c>
      <c r="G5074" t="s">
        <v>16</v>
      </c>
      <c r="H5074">
        <v>0</v>
      </c>
      <c r="I5074" s="2" t="s">
        <v>5057</v>
      </c>
      <c r="J5074" s="2" t="s">
        <v>11224</v>
      </c>
      <c r="K5074">
        <v>20</v>
      </c>
      <c r="L5074">
        <v>20</v>
      </c>
      <c r="M5074">
        <v>20</v>
      </c>
    </row>
    <row r="5075" spans="1:13" x14ac:dyDescent="0.25">
      <c r="A5075" t="s">
        <v>11225</v>
      </c>
      <c r="B5075" t="s">
        <v>11226</v>
      </c>
      <c r="C5075" t="s">
        <v>362</v>
      </c>
      <c r="D5075" t="s">
        <v>2545</v>
      </c>
      <c r="F5075">
        <v>2</v>
      </c>
      <c r="G5075" t="s">
        <v>16</v>
      </c>
      <c r="H5075">
        <v>0</v>
      </c>
      <c r="I5075" s="2" t="s">
        <v>383</v>
      </c>
      <c r="J5075" s="2" t="s">
        <v>11227</v>
      </c>
      <c r="K5075">
        <v>20</v>
      </c>
      <c r="L5075">
        <v>20</v>
      </c>
      <c r="M5075">
        <v>20</v>
      </c>
    </row>
    <row r="5076" spans="1:13" x14ac:dyDescent="0.25">
      <c r="A5076" t="s">
        <v>11228</v>
      </c>
      <c r="B5076" t="s">
        <v>11226</v>
      </c>
      <c r="C5076" t="s">
        <v>362</v>
      </c>
      <c r="D5076" t="s">
        <v>2545</v>
      </c>
      <c r="F5076">
        <v>12</v>
      </c>
      <c r="G5076" t="s">
        <v>16</v>
      </c>
      <c r="H5076">
        <v>0</v>
      </c>
      <c r="I5076" s="2" t="s">
        <v>6120</v>
      </c>
      <c r="J5076" s="2" t="s">
        <v>11229</v>
      </c>
      <c r="K5076">
        <v>20</v>
      </c>
      <c r="L5076">
        <v>20</v>
      </c>
      <c r="M5076">
        <v>20</v>
      </c>
    </row>
    <row r="5077" spans="1:13" x14ac:dyDescent="0.25">
      <c r="A5077" t="s">
        <v>11230</v>
      </c>
      <c r="B5077" t="s">
        <v>11231</v>
      </c>
      <c r="C5077" t="s">
        <v>362</v>
      </c>
      <c r="D5077" t="s">
        <v>2545</v>
      </c>
      <c r="F5077">
        <v>7</v>
      </c>
      <c r="G5077" t="s">
        <v>16</v>
      </c>
      <c r="H5077">
        <v>0</v>
      </c>
      <c r="I5077" s="2" t="s">
        <v>941</v>
      </c>
      <c r="J5077" s="2" t="s">
        <v>11232</v>
      </c>
      <c r="K5077">
        <v>20</v>
      </c>
      <c r="L5077">
        <v>20</v>
      </c>
      <c r="M5077">
        <v>20</v>
      </c>
    </row>
    <row r="5078" spans="1:13" x14ac:dyDescent="0.25">
      <c r="A5078" t="s">
        <v>11233</v>
      </c>
      <c r="B5078" t="s">
        <v>11231</v>
      </c>
      <c r="C5078" t="s">
        <v>362</v>
      </c>
      <c r="D5078" t="s">
        <v>2545</v>
      </c>
      <c r="G5078" t="s">
        <v>16</v>
      </c>
      <c r="H5078">
        <v>0</v>
      </c>
      <c r="I5078" s="2" t="s">
        <v>5057</v>
      </c>
      <c r="J5078" s="2" t="s">
        <v>11234</v>
      </c>
      <c r="K5078">
        <v>20</v>
      </c>
      <c r="L5078">
        <v>20</v>
      </c>
      <c r="M5078">
        <v>20</v>
      </c>
    </row>
    <row r="5079" spans="1:13" x14ac:dyDescent="0.25">
      <c r="A5079">
        <v>55205036</v>
      </c>
      <c r="B5079" t="s">
        <v>11235</v>
      </c>
      <c r="C5079" t="s">
        <v>20</v>
      </c>
      <c r="D5079" t="s">
        <v>26</v>
      </c>
      <c r="F5079">
        <v>16</v>
      </c>
      <c r="G5079" t="s">
        <v>16</v>
      </c>
      <c r="H5079">
        <v>0</v>
      </c>
      <c r="I5079" s="2" t="s">
        <v>497</v>
      </c>
      <c r="J5079" s="2">
        <v>55205036</v>
      </c>
      <c r="K5079">
        <v>20</v>
      </c>
      <c r="L5079">
        <v>20</v>
      </c>
      <c r="M5079">
        <v>20</v>
      </c>
    </row>
    <row r="5080" spans="1:13" x14ac:dyDescent="0.25">
      <c r="A5080" t="s">
        <v>11236</v>
      </c>
      <c r="B5080" t="s">
        <v>11237</v>
      </c>
      <c r="C5080" t="s">
        <v>357</v>
      </c>
      <c r="D5080" t="s">
        <v>241</v>
      </c>
      <c r="G5080" t="s">
        <v>16</v>
      </c>
      <c r="H5080">
        <v>0</v>
      </c>
      <c r="I5080" s="2" t="s">
        <v>7513</v>
      </c>
      <c r="J5080" s="2" t="s">
        <v>11238</v>
      </c>
      <c r="K5080">
        <v>20</v>
      </c>
      <c r="L5080">
        <v>20</v>
      </c>
      <c r="M5080">
        <v>20</v>
      </c>
    </row>
    <row r="5081" spans="1:13" x14ac:dyDescent="0.25">
      <c r="A5081" t="s">
        <v>11239</v>
      </c>
      <c r="B5081" t="s">
        <v>11240</v>
      </c>
      <c r="C5081" t="s">
        <v>20</v>
      </c>
      <c r="G5081" t="s">
        <v>16</v>
      </c>
      <c r="H5081">
        <v>0</v>
      </c>
      <c r="I5081" s="2" t="s">
        <v>11241</v>
      </c>
      <c r="J5081" s="2">
        <v>55200308</v>
      </c>
      <c r="K5081">
        <v>20</v>
      </c>
      <c r="L5081">
        <v>20</v>
      </c>
      <c r="M5081">
        <v>20</v>
      </c>
    </row>
    <row r="5082" spans="1:13" x14ac:dyDescent="0.25">
      <c r="A5082" t="s">
        <v>11242</v>
      </c>
      <c r="B5082" t="s">
        <v>11243</v>
      </c>
      <c r="C5082" t="s">
        <v>20</v>
      </c>
      <c r="F5082">
        <v>1</v>
      </c>
      <c r="G5082" t="s">
        <v>16</v>
      </c>
      <c r="H5082">
        <v>0</v>
      </c>
      <c r="I5082" s="2" t="s">
        <v>10075</v>
      </c>
      <c r="J5082" s="2">
        <v>84201</v>
      </c>
      <c r="K5082">
        <v>20</v>
      </c>
      <c r="L5082">
        <v>20</v>
      </c>
      <c r="M5082">
        <v>20</v>
      </c>
    </row>
    <row r="5083" spans="1:13" x14ac:dyDescent="0.25">
      <c r="A5083" t="s">
        <v>11244</v>
      </c>
      <c r="B5083" t="s">
        <v>11245</v>
      </c>
      <c r="C5083" t="s">
        <v>20</v>
      </c>
      <c r="F5083">
        <v>1</v>
      </c>
      <c r="G5083" t="s">
        <v>16</v>
      </c>
      <c r="H5083">
        <v>0</v>
      </c>
      <c r="I5083" s="2" t="s">
        <v>11246</v>
      </c>
      <c r="J5083" s="2" t="s">
        <v>11247</v>
      </c>
      <c r="K5083">
        <v>20</v>
      </c>
      <c r="L5083">
        <v>20</v>
      </c>
      <c r="M5083">
        <v>20</v>
      </c>
    </row>
    <row r="5084" spans="1:13" x14ac:dyDescent="0.25">
      <c r="A5084" t="s">
        <v>11248</v>
      </c>
      <c r="B5084" t="s">
        <v>11250</v>
      </c>
      <c r="C5084" t="s">
        <v>20</v>
      </c>
      <c r="D5084" t="s">
        <v>764</v>
      </c>
      <c r="G5084" t="s">
        <v>16</v>
      </c>
      <c r="H5084">
        <v>0</v>
      </c>
      <c r="I5084" s="2" t="s">
        <v>610</v>
      </c>
      <c r="J5084" s="2" t="s">
        <v>11249</v>
      </c>
      <c r="K5084">
        <v>20</v>
      </c>
      <c r="L5084">
        <v>20</v>
      </c>
      <c r="M5084">
        <v>20</v>
      </c>
    </row>
    <row r="5085" spans="1:13" x14ac:dyDescent="0.25">
      <c r="A5085" t="s">
        <v>11251</v>
      </c>
      <c r="B5085" t="s">
        <v>11253</v>
      </c>
      <c r="C5085" t="s">
        <v>241</v>
      </c>
      <c r="D5085" t="s">
        <v>1436</v>
      </c>
      <c r="F5085">
        <v>1</v>
      </c>
      <c r="G5085" t="s">
        <v>16</v>
      </c>
      <c r="H5085">
        <v>0</v>
      </c>
      <c r="I5085" s="2" t="s">
        <v>784</v>
      </c>
      <c r="J5085" s="2" t="s">
        <v>11252</v>
      </c>
      <c r="K5085">
        <v>20</v>
      </c>
      <c r="L5085">
        <v>20</v>
      </c>
      <c r="M5085">
        <v>20</v>
      </c>
    </row>
    <row r="5086" spans="1:13" x14ac:dyDescent="0.25">
      <c r="A5086" t="s">
        <v>11254</v>
      </c>
      <c r="B5086" t="s">
        <v>11256</v>
      </c>
      <c r="C5086" t="s">
        <v>241</v>
      </c>
      <c r="D5086" t="s">
        <v>1436</v>
      </c>
      <c r="F5086">
        <v>3</v>
      </c>
      <c r="G5086" t="s">
        <v>16</v>
      </c>
      <c r="H5086">
        <v>0</v>
      </c>
      <c r="I5086" s="2" t="s">
        <v>784</v>
      </c>
      <c r="J5086" s="2" t="s">
        <v>11255</v>
      </c>
      <c r="K5086">
        <v>20</v>
      </c>
      <c r="L5086">
        <v>20</v>
      </c>
      <c r="M5086">
        <v>20</v>
      </c>
    </row>
    <row r="5087" spans="1:13" x14ac:dyDescent="0.25">
      <c r="A5087" t="s">
        <v>11257</v>
      </c>
      <c r="B5087" t="s">
        <v>11258</v>
      </c>
      <c r="C5087" t="s">
        <v>151</v>
      </c>
      <c r="G5087" t="s">
        <v>16</v>
      </c>
      <c r="H5087">
        <v>0</v>
      </c>
      <c r="I5087" s="2" t="s">
        <v>500</v>
      </c>
      <c r="J5087" s="2" t="s">
        <v>11259</v>
      </c>
      <c r="K5087">
        <v>20</v>
      </c>
      <c r="L5087">
        <v>20</v>
      </c>
      <c r="M5087">
        <v>20</v>
      </c>
    </row>
    <row r="5088" spans="1:13" x14ac:dyDescent="0.25">
      <c r="A5088" t="s">
        <v>11260</v>
      </c>
      <c r="B5088" t="s">
        <v>11261</v>
      </c>
      <c r="C5088" t="s">
        <v>151</v>
      </c>
      <c r="D5088" t="s">
        <v>1381</v>
      </c>
      <c r="G5088" t="s">
        <v>16</v>
      </c>
      <c r="H5088">
        <v>0</v>
      </c>
      <c r="I5088" s="2" t="s">
        <v>504</v>
      </c>
      <c r="J5088" s="2">
        <v>5550482</v>
      </c>
      <c r="K5088">
        <v>20</v>
      </c>
      <c r="L5088">
        <v>20</v>
      </c>
      <c r="M5088">
        <v>20</v>
      </c>
    </row>
    <row r="5089" spans="1:13" x14ac:dyDescent="0.25">
      <c r="A5089" t="s">
        <v>11262</v>
      </c>
      <c r="B5089" t="s">
        <v>11263</v>
      </c>
      <c r="C5089" t="s">
        <v>151</v>
      </c>
      <c r="G5089" t="s">
        <v>16</v>
      </c>
      <c r="H5089">
        <v>0</v>
      </c>
      <c r="I5089" s="2" t="s">
        <v>500</v>
      </c>
      <c r="J5089" s="2" t="s">
        <v>11264</v>
      </c>
      <c r="K5089">
        <v>20</v>
      </c>
      <c r="L5089">
        <v>20</v>
      </c>
      <c r="M5089">
        <v>20</v>
      </c>
    </row>
    <row r="5090" spans="1:13" x14ac:dyDescent="0.25">
      <c r="A5090" t="s">
        <v>11265</v>
      </c>
      <c r="B5090" t="s">
        <v>11266</v>
      </c>
      <c r="C5090" t="s">
        <v>151</v>
      </c>
      <c r="D5090" t="s">
        <v>1381</v>
      </c>
      <c r="G5090" t="s">
        <v>16</v>
      </c>
      <c r="H5090">
        <v>0</v>
      </c>
      <c r="I5090" s="2" t="s">
        <v>504</v>
      </c>
      <c r="J5090" s="2">
        <v>5550483</v>
      </c>
      <c r="K5090">
        <v>20</v>
      </c>
      <c r="L5090">
        <v>20</v>
      </c>
      <c r="M5090">
        <v>20</v>
      </c>
    </row>
    <row r="5091" spans="1:13" x14ac:dyDescent="0.25">
      <c r="A5091">
        <v>55353334</v>
      </c>
      <c r="B5091" t="s">
        <v>11267</v>
      </c>
      <c r="C5091" t="s">
        <v>20</v>
      </c>
      <c r="G5091" t="s">
        <v>16</v>
      </c>
      <c r="H5091">
        <v>0</v>
      </c>
      <c r="I5091" s="2" t="s">
        <v>497</v>
      </c>
      <c r="J5091" s="2">
        <v>55353334</v>
      </c>
      <c r="K5091">
        <v>20</v>
      </c>
      <c r="L5091">
        <v>20</v>
      </c>
      <c r="M5091">
        <v>20</v>
      </c>
    </row>
    <row r="5092" spans="1:13" x14ac:dyDescent="0.25">
      <c r="A5092" t="s">
        <v>11268</v>
      </c>
      <c r="B5092" t="s">
        <v>11269</v>
      </c>
      <c r="C5092" t="s">
        <v>241</v>
      </c>
      <c r="D5092" t="s">
        <v>244</v>
      </c>
      <c r="F5092">
        <v>1</v>
      </c>
      <c r="G5092" t="s">
        <v>16</v>
      </c>
      <c r="H5092">
        <v>0</v>
      </c>
      <c r="I5092" s="2" t="s">
        <v>497</v>
      </c>
      <c r="J5092" s="2">
        <v>55353723</v>
      </c>
      <c r="K5092">
        <v>20</v>
      </c>
      <c r="L5092">
        <v>20</v>
      </c>
      <c r="M5092">
        <v>20</v>
      </c>
    </row>
    <row r="5093" spans="1:13" x14ac:dyDescent="0.25">
      <c r="A5093" t="s">
        <v>11270</v>
      </c>
      <c r="B5093" t="s">
        <v>11269</v>
      </c>
      <c r="C5093" t="s">
        <v>20</v>
      </c>
      <c r="F5093">
        <v>1</v>
      </c>
      <c r="G5093" t="s">
        <v>16</v>
      </c>
      <c r="H5093">
        <v>0</v>
      </c>
      <c r="I5093" s="2" t="s">
        <v>11271</v>
      </c>
      <c r="J5093" s="2">
        <v>1801071603</v>
      </c>
      <c r="K5093">
        <v>20</v>
      </c>
      <c r="L5093">
        <v>20</v>
      </c>
      <c r="M5093">
        <v>20</v>
      </c>
    </row>
    <row r="5094" spans="1:13" x14ac:dyDescent="0.25">
      <c r="A5094" t="s">
        <v>11272</v>
      </c>
      <c r="B5094" t="s">
        <v>11273</v>
      </c>
      <c r="C5094" t="s">
        <v>362</v>
      </c>
      <c r="F5094">
        <v>1</v>
      </c>
      <c r="G5094" t="s">
        <v>16</v>
      </c>
      <c r="H5094">
        <v>0</v>
      </c>
      <c r="I5094" s="2" t="s">
        <v>5057</v>
      </c>
      <c r="J5094" s="2" t="s">
        <v>11274</v>
      </c>
      <c r="K5094">
        <v>20</v>
      </c>
      <c r="L5094">
        <v>20</v>
      </c>
      <c r="M5094">
        <v>20</v>
      </c>
    </row>
    <row r="5095" spans="1:13" x14ac:dyDescent="0.25">
      <c r="A5095" t="s">
        <v>11275</v>
      </c>
      <c r="B5095" t="s">
        <v>11276</v>
      </c>
      <c r="C5095" t="s">
        <v>362</v>
      </c>
      <c r="F5095">
        <v>1</v>
      </c>
      <c r="G5095" t="s">
        <v>16</v>
      </c>
      <c r="H5095">
        <v>0</v>
      </c>
      <c r="I5095" s="2" t="s">
        <v>1175</v>
      </c>
      <c r="J5095" s="2" t="s">
        <v>11277</v>
      </c>
      <c r="K5095">
        <v>20</v>
      </c>
      <c r="L5095">
        <v>20</v>
      </c>
      <c r="M5095">
        <v>20</v>
      </c>
    </row>
    <row r="5096" spans="1:13" x14ac:dyDescent="0.25">
      <c r="A5096" t="s">
        <v>11278</v>
      </c>
      <c r="B5096" t="s">
        <v>11279</v>
      </c>
      <c r="C5096" t="s">
        <v>362</v>
      </c>
      <c r="F5096">
        <v>5</v>
      </c>
      <c r="G5096" t="s">
        <v>16</v>
      </c>
      <c r="H5096">
        <v>0</v>
      </c>
      <c r="I5096" s="2" t="s">
        <v>1175</v>
      </c>
      <c r="J5096" s="2" t="s">
        <v>11280</v>
      </c>
      <c r="K5096">
        <v>20</v>
      </c>
      <c r="L5096">
        <v>20</v>
      </c>
      <c r="M5096">
        <v>20</v>
      </c>
    </row>
    <row r="5097" spans="1:13" x14ac:dyDescent="0.25">
      <c r="A5097" t="s">
        <v>11281</v>
      </c>
      <c r="B5097" t="s">
        <v>11282</v>
      </c>
      <c r="C5097" t="s">
        <v>362</v>
      </c>
      <c r="F5097">
        <v>5</v>
      </c>
      <c r="G5097" t="s">
        <v>16</v>
      </c>
      <c r="H5097">
        <v>0</v>
      </c>
      <c r="I5097" s="2" t="s">
        <v>1175</v>
      </c>
      <c r="J5097" s="2" t="s">
        <v>11283</v>
      </c>
      <c r="K5097">
        <v>20</v>
      </c>
      <c r="L5097">
        <v>20</v>
      </c>
      <c r="M5097">
        <v>20</v>
      </c>
    </row>
    <row r="5098" spans="1:13" x14ac:dyDescent="0.25">
      <c r="A5098">
        <v>55484777</v>
      </c>
      <c r="B5098" t="s">
        <v>11284</v>
      </c>
      <c r="C5098" t="s">
        <v>357</v>
      </c>
      <c r="D5098" t="s">
        <v>792</v>
      </c>
      <c r="F5098">
        <v>1</v>
      </c>
      <c r="G5098" t="s">
        <v>16</v>
      </c>
      <c r="H5098">
        <v>0</v>
      </c>
      <c r="I5098" s="2" t="s">
        <v>497</v>
      </c>
      <c r="J5098" s="2">
        <v>55484777</v>
      </c>
      <c r="K5098">
        <v>20</v>
      </c>
      <c r="L5098">
        <v>20</v>
      </c>
      <c r="M5098">
        <v>20</v>
      </c>
    </row>
    <row r="5099" spans="1:13" x14ac:dyDescent="0.25">
      <c r="A5099">
        <v>55485507</v>
      </c>
      <c r="B5099" t="s">
        <v>11285</v>
      </c>
      <c r="C5099" t="s">
        <v>1432</v>
      </c>
      <c r="F5099">
        <v>1</v>
      </c>
      <c r="G5099" t="s">
        <v>16</v>
      </c>
      <c r="H5099">
        <v>0</v>
      </c>
      <c r="I5099" s="2" t="s">
        <v>497</v>
      </c>
      <c r="J5099" s="2">
        <v>55485507</v>
      </c>
      <c r="K5099">
        <v>20</v>
      </c>
      <c r="L5099">
        <v>20</v>
      </c>
      <c r="M5099">
        <v>20</v>
      </c>
    </row>
    <row r="5100" spans="1:13" x14ac:dyDescent="0.25">
      <c r="A5100">
        <v>55488382</v>
      </c>
      <c r="B5100" t="s">
        <v>11286</v>
      </c>
      <c r="C5100" t="s">
        <v>241</v>
      </c>
      <c r="D5100" t="s">
        <v>244</v>
      </c>
      <c r="F5100">
        <v>1</v>
      </c>
      <c r="G5100" t="s">
        <v>16</v>
      </c>
      <c r="H5100">
        <v>0</v>
      </c>
      <c r="I5100" s="2" t="s">
        <v>1444</v>
      </c>
      <c r="J5100" s="2">
        <v>55488382</v>
      </c>
      <c r="K5100">
        <v>20</v>
      </c>
      <c r="L5100">
        <v>20</v>
      </c>
      <c r="M5100">
        <v>20</v>
      </c>
    </row>
    <row r="5101" spans="1:13" x14ac:dyDescent="0.25">
      <c r="A5101" t="s">
        <v>11287</v>
      </c>
      <c r="B5101" t="s">
        <v>11286</v>
      </c>
      <c r="C5101" t="s">
        <v>241</v>
      </c>
      <c r="D5101" t="s">
        <v>244</v>
      </c>
      <c r="F5101">
        <v>2</v>
      </c>
      <c r="G5101" t="s">
        <v>16</v>
      </c>
      <c r="H5101">
        <v>0</v>
      </c>
      <c r="I5101" s="2" t="s">
        <v>243</v>
      </c>
      <c r="J5101" s="2">
        <v>21666</v>
      </c>
      <c r="K5101">
        <v>20</v>
      </c>
      <c r="L5101">
        <v>20</v>
      </c>
      <c r="M5101">
        <v>20</v>
      </c>
    </row>
    <row r="5102" spans="1:13" x14ac:dyDescent="0.25">
      <c r="A5102" t="s">
        <v>11288</v>
      </c>
      <c r="B5102" t="s">
        <v>11289</v>
      </c>
      <c r="C5102" t="s">
        <v>151</v>
      </c>
      <c r="F5102">
        <v>1</v>
      </c>
      <c r="G5102" t="s">
        <v>16</v>
      </c>
      <c r="H5102">
        <v>0</v>
      </c>
      <c r="I5102" s="2" t="s">
        <v>11290</v>
      </c>
      <c r="J5102" s="2" t="s">
        <v>11291</v>
      </c>
      <c r="K5102">
        <v>20</v>
      </c>
      <c r="L5102">
        <v>20</v>
      </c>
      <c r="M5102">
        <v>20</v>
      </c>
    </row>
    <row r="5103" spans="1:13" x14ac:dyDescent="0.25">
      <c r="A5103" t="s">
        <v>11292</v>
      </c>
      <c r="B5103" t="s">
        <v>11294</v>
      </c>
      <c r="C5103" t="s">
        <v>20</v>
      </c>
      <c r="D5103" t="s">
        <v>26</v>
      </c>
      <c r="G5103" t="s">
        <v>16</v>
      </c>
      <c r="H5103">
        <v>0</v>
      </c>
      <c r="I5103" s="2" t="s">
        <v>142</v>
      </c>
      <c r="J5103" s="2" t="s">
        <v>11293</v>
      </c>
      <c r="K5103">
        <v>20</v>
      </c>
      <c r="L5103">
        <v>20</v>
      </c>
      <c r="M5103">
        <v>20</v>
      </c>
    </row>
    <row r="5104" spans="1:13" x14ac:dyDescent="0.25">
      <c r="A5104" t="s">
        <v>11295</v>
      </c>
      <c r="B5104" t="s">
        <v>11296</v>
      </c>
      <c r="C5104" t="s">
        <v>20</v>
      </c>
      <c r="D5104" t="s">
        <v>26</v>
      </c>
      <c r="G5104" t="s">
        <v>16</v>
      </c>
      <c r="H5104">
        <v>0</v>
      </c>
      <c r="I5104" s="2" t="s">
        <v>99</v>
      </c>
      <c r="J5104" s="3">
        <v>994100</v>
      </c>
      <c r="K5104">
        <v>20</v>
      </c>
      <c r="L5104">
        <v>20</v>
      </c>
      <c r="M5104">
        <v>20</v>
      </c>
    </row>
    <row r="5105" spans="1:13" x14ac:dyDescent="0.25">
      <c r="A5105" t="s">
        <v>11297</v>
      </c>
      <c r="B5105" t="s">
        <v>11298</v>
      </c>
      <c r="C5105" t="s">
        <v>20</v>
      </c>
      <c r="F5105">
        <v>0</v>
      </c>
      <c r="G5105" t="s">
        <v>16</v>
      </c>
      <c r="H5105">
        <v>0</v>
      </c>
      <c r="I5105" s="2" t="s">
        <v>639</v>
      </c>
      <c r="J5105" s="2" t="s">
        <v>11299</v>
      </c>
      <c r="K5105">
        <v>20</v>
      </c>
      <c r="L5105">
        <v>20</v>
      </c>
      <c r="M5105">
        <v>20</v>
      </c>
    </row>
    <row r="5106" spans="1:13" x14ac:dyDescent="0.25">
      <c r="A5106">
        <v>55496222</v>
      </c>
      <c r="B5106" t="s">
        <v>11300</v>
      </c>
      <c r="C5106" t="s">
        <v>20</v>
      </c>
      <c r="D5106" t="s">
        <v>26</v>
      </c>
      <c r="F5106">
        <v>1</v>
      </c>
      <c r="G5106" t="s">
        <v>16</v>
      </c>
      <c r="H5106">
        <v>0</v>
      </c>
      <c r="I5106" s="2" t="s">
        <v>497</v>
      </c>
      <c r="J5106" s="2">
        <v>55496222</v>
      </c>
      <c r="K5106">
        <v>20</v>
      </c>
      <c r="L5106">
        <v>20</v>
      </c>
      <c r="M5106">
        <v>20</v>
      </c>
    </row>
    <row r="5107" spans="1:13" x14ac:dyDescent="0.25">
      <c r="A5107">
        <v>55497481</v>
      </c>
      <c r="B5107" t="s">
        <v>11301</v>
      </c>
      <c r="C5107" t="s">
        <v>151</v>
      </c>
      <c r="D5107" t="s">
        <v>11302</v>
      </c>
      <c r="G5107" t="s">
        <v>16</v>
      </c>
      <c r="H5107">
        <v>0</v>
      </c>
      <c r="I5107" s="2" t="s">
        <v>1444</v>
      </c>
      <c r="J5107" s="2">
        <v>55497481</v>
      </c>
      <c r="K5107">
        <v>20</v>
      </c>
      <c r="L5107">
        <v>20</v>
      </c>
      <c r="M5107">
        <v>20</v>
      </c>
    </row>
    <row r="5108" spans="1:13" x14ac:dyDescent="0.25">
      <c r="A5108">
        <v>55500069</v>
      </c>
      <c r="B5108" t="s">
        <v>11303</v>
      </c>
      <c r="C5108" t="s">
        <v>20</v>
      </c>
      <c r="D5108" t="s">
        <v>385</v>
      </c>
      <c r="F5108">
        <v>0</v>
      </c>
      <c r="G5108" t="s">
        <v>16</v>
      </c>
      <c r="H5108">
        <v>0</v>
      </c>
      <c r="I5108" s="2" t="s">
        <v>497</v>
      </c>
      <c r="J5108" s="2">
        <v>1686219380</v>
      </c>
      <c r="K5108">
        <v>20</v>
      </c>
      <c r="L5108">
        <v>20</v>
      </c>
      <c r="M5108">
        <v>20</v>
      </c>
    </row>
    <row r="5109" spans="1:13" x14ac:dyDescent="0.25">
      <c r="A5109" t="s">
        <v>11304</v>
      </c>
      <c r="B5109" t="s">
        <v>11305</v>
      </c>
      <c r="C5109" t="s">
        <v>241</v>
      </c>
      <c r="D5109" t="s">
        <v>1436</v>
      </c>
      <c r="F5109">
        <v>1</v>
      </c>
      <c r="G5109" t="s">
        <v>16</v>
      </c>
      <c r="H5109">
        <v>0</v>
      </c>
      <c r="I5109" s="2" t="s">
        <v>11306</v>
      </c>
      <c r="J5109" s="2" t="s">
        <v>11307</v>
      </c>
      <c r="K5109">
        <v>20</v>
      </c>
      <c r="L5109">
        <v>20</v>
      </c>
      <c r="M5109">
        <v>20</v>
      </c>
    </row>
    <row r="5110" spans="1:13" x14ac:dyDescent="0.25">
      <c r="A5110" t="s">
        <v>11308</v>
      </c>
      <c r="B5110" t="s">
        <v>11305</v>
      </c>
      <c r="C5110" t="s">
        <v>241</v>
      </c>
      <c r="D5110" t="s">
        <v>1436</v>
      </c>
      <c r="F5110">
        <v>1</v>
      </c>
      <c r="G5110" t="s">
        <v>16</v>
      </c>
      <c r="H5110">
        <v>0</v>
      </c>
      <c r="I5110" s="2" t="s">
        <v>221</v>
      </c>
      <c r="J5110" s="2">
        <v>21654</v>
      </c>
      <c r="K5110">
        <v>20</v>
      </c>
      <c r="L5110">
        <v>20</v>
      </c>
      <c r="M5110">
        <v>20</v>
      </c>
    </row>
    <row r="5111" spans="1:13" x14ac:dyDescent="0.25">
      <c r="A5111" t="s">
        <v>11309</v>
      </c>
      <c r="B5111" t="s">
        <v>11305</v>
      </c>
      <c r="C5111" t="s">
        <v>1436</v>
      </c>
      <c r="G5111" t="s">
        <v>16</v>
      </c>
      <c r="H5111">
        <v>0</v>
      </c>
      <c r="I5111" s="2" t="s">
        <v>737</v>
      </c>
      <c r="J5111" s="2" t="s">
        <v>11310</v>
      </c>
      <c r="K5111">
        <v>20</v>
      </c>
      <c r="L5111">
        <v>20</v>
      </c>
      <c r="M5111">
        <v>20</v>
      </c>
    </row>
    <row r="5112" spans="1:13" x14ac:dyDescent="0.25">
      <c r="A5112">
        <v>55504335</v>
      </c>
      <c r="B5112" t="s">
        <v>11312</v>
      </c>
      <c r="C5112" t="s">
        <v>1432</v>
      </c>
      <c r="F5112">
        <v>1</v>
      </c>
      <c r="G5112" t="s">
        <v>16</v>
      </c>
      <c r="H5112">
        <v>0</v>
      </c>
      <c r="I5112" s="2" t="s">
        <v>497</v>
      </c>
      <c r="J5112" s="2" t="s">
        <v>11311</v>
      </c>
      <c r="K5112">
        <v>20</v>
      </c>
      <c r="L5112">
        <v>20</v>
      </c>
      <c r="M5112">
        <v>20</v>
      </c>
    </row>
    <row r="5113" spans="1:13" x14ac:dyDescent="0.25">
      <c r="A5113" t="s">
        <v>11313</v>
      </c>
      <c r="B5113" t="s">
        <v>11314</v>
      </c>
      <c r="C5113" t="s">
        <v>20</v>
      </c>
      <c r="D5113" t="s">
        <v>26</v>
      </c>
      <c r="G5113" t="s">
        <v>16</v>
      </c>
      <c r="H5113">
        <v>0</v>
      </c>
      <c r="I5113" s="2" t="s">
        <v>1175</v>
      </c>
      <c r="J5113" s="2" t="s">
        <v>11315</v>
      </c>
      <c r="K5113">
        <v>20</v>
      </c>
      <c r="L5113">
        <v>20</v>
      </c>
      <c r="M5113">
        <v>20</v>
      </c>
    </row>
    <row r="5114" spans="1:13" x14ac:dyDescent="0.25">
      <c r="A5114">
        <v>55509127</v>
      </c>
      <c r="B5114" t="s">
        <v>11316</v>
      </c>
      <c r="C5114" t="s">
        <v>20</v>
      </c>
      <c r="D5114" t="s">
        <v>478</v>
      </c>
      <c r="F5114">
        <v>1</v>
      </c>
      <c r="G5114" t="s">
        <v>16</v>
      </c>
      <c r="H5114">
        <v>0</v>
      </c>
      <c r="I5114" s="2" t="s">
        <v>497</v>
      </c>
      <c r="J5114" s="2">
        <v>55509127</v>
      </c>
      <c r="K5114">
        <v>20</v>
      </c>
      <c r="L5114">
        <v>20</v>
      </c>
      <c r="M5114">
        <v>20</v>
      </c>
    </row>
    <row r="5115" spans="1:13" x14ac:dyDescent="0.25">
      <c r="A5115">
        <v>55510116</v>
      </c>
      <c r="B5115" t="s">
        <v>11317</v>
      </c>
      <c r="C5115" t="s">
        <v>20</v>
      </c>
      <c r="D5115" t="s">
        <v>597</v>
      </c>
      <c r="F5115">
        <v>1</v>
      </c>
      <c r="G5115" t="s">
        <v>16</v>
      </c>
      <c r="H5115">
        <v>0</v>
      </c>
      <c r="I5115" s="2" t="s">
        <v>497</v>
      </c>
      <c r="J5115" s="2">
        <v>55510116</v>
      </c>
      <c r="K5115">
        <v>20</v>
      </c>
      <c r="L5115">
        <v>20</v>
      </c>
      <c r="M5115">
        <v>20</v>
      </c>
    </row>
    <row r="5116" spans="1:13" x14ac:dyDescent="0.25">
      <c r="A5116">
        <v>55513549</v>
      </c>
      <c r="B5116" t="s">
        <v>11318</v>
      </c>
      <c r="C5116" t="s">
        <v>357</v>
      </c>
      <c r="D5116" t="s">
        <v>358</v>
      </c>
      <c r="G5116" t="s">
        <v>16</v>
      </c>
      <c r="H5116">
        <v>0</v>
      </c>
      <c r="I5116" s="2" t="s">
        <v>497</v>
      </c>
      <c r="J5116" s="2">
        <v>55513549</v>
      </c>
      <c r="K5116">
        <v>20</v>
      </c>
      <c r="L5116">
        <v>20</v>
      </c>
      <c r="M5116">
        <v>20</v>
      </c>
    </row>
    <row r="5117" spans="1:13" x14ac:dyDescent="0.25">
      <c r="A5117">
        <v>55513552</v>
      </c>
      <c r="B5117" t="s">
        <v>11319</v>
      </c>
      <c r="C5117" t="s">
        <v>357</v>
      </c>
      <c r="D5117" t="s">
        <v>792</v>
      </c>
      <c r="F5117">
        <v>0</v>
      </c>
      <c r="G5117" t="s">
        <v>16</v>
      </c>
      <c r="H5117">
        <v>0</v>
      </c>
      <c r="I5117" s="2" t="s">
        <v>497</v>
      </c>
      <c r="J5117" s="2">
        <v>55513552</v>
      </c>
      <c r="K5117">
        <v>20</v>
      </c>
      <c r="L5117">
        <v>20</v>
      </c>
      <c r="M5117">
        <v>20</v>
      </c>
    </row>
    <row r="5118" spans="1:13" x14ac:dyDescent="0.25">
      <c r="A5118" t="s">
        <v>11320</v>
      </c>
      <c r="B5118" t="s">
        <v>11322</v>
      </c>
      <c r="C5118" t="s">
        <v>20</v>
      </c>
      <c r="D5118" t="s">
        <v>26</v>
      </c>
      <c r="G5118" t="s">
        <v>16</v>
      </c>
      <c r="H5118">
        <v>0</v>
      </c>
      <c r="I5118" s="2" t="s">
        <v>288</v>
      </c>
      <c r="J5118" s="2" t="s">
        <v>11321</v>
      </c>
      <c r="K5118">
        <v>20</v>
      </c>
      <c r="L5118">
        <v>20</v>
      </c>
      <c r="M5118">
        <v>20</v>
      </c>
    </row>
    <row r="5119" spans="1:13" x14ac:dyDescent="0.25">
      <c r="A5119">
        <v>55515474</v>
      </c>
      <c r="B5119" t="s">
        <v>11323</v>
      </c>
      <c r="C5119" t="s">
        <v>14</v>
      </c>
      <c r="D5119" t="s">
        <v>293</v>
      </c>
      <c r="G5119" t="s">
        <v>16</v>
      </c>
      <c r="H5119">
        <v>0</v>
      </c>
      <c r="I5119" s="2" t="s">
        <v>497</v>
      </c>
      <c r="J5119" s="2">
        <v>55515574</v>
      </c>
      <c r="K5119">
        <v>20</v>
      </c>
      <c r="L5119">
        <v>20</v>
      </c>
      <c r="M5119">
        <v>20</v>
      </c>
    </row>
    <row r="5120" spans="1:13" x14ac:dyDescent="0.25">
      <c r="A5120" t="s">
        <v>11324</v>
      </c>
      <c r="B5120" t="s">
        <v>11323</v>
      </c>
      <c r="C5120" t="s">
        <v>14</v>
      </c>
      <c r="D5120" t="s">
        <v>293</v>
      </c>
      <c r="G5120" t="s">
        <v>16</v>
      </c>
      <c r="H5120">
        <v>0</v>
      </c>
      <c r="I5120" s="2" t="s">
        <v>4736</v>
      </c>
      <c r="J5120" s="2" t="s">
        <v>11325</v>
      </c>
      <c r="K5120">
        <v>20</v>
      </c>
      <c r="L5120">
        <v>20</v>
      </c>
      <c r="M5120">
        <v>20</v>
      </c>
    </row>
    <row r="5121" spans="1:13" x14ac:dyDescent="0.25">
      <c r="A5121">
        <v>55516904</v>
      </c>
      <c r="B5121" t="s">
        <v>11326</v>
      </c>
      <c r="C5121" t="s">
        <v>357</v>
      </c>
      <c r="D5121" t="s">
        <v>358</v>
      </c>
      <c r="F5121">
        <v>1</v>
      </c>
      <c r="G5121" t="s">
        <v>16</v>
      </c>
      <c r="H5121">
        <v>0</v>
      </c>
      <c r="I5121" s="2" t="s">
        <v>497</v>
      </c>
      <c r="J5121" s="2">
        <v>55516904</v>
      </c>
      <c r="K5121">
        <v>20</v>
      </c>
      <c r="L5121">
        <v>20</v>
      </c>
      <c r="M5121">
        <v>20</v>
      </c>
    </row>
    <row r="5122" spans="1:13" x14ac:dyDescent="0.25">
      <c r="A5122">
        <v>55556227</v>
      </c>
      <c r="B5122" t="s">
        <v>11327</v>
      </c>
      <c r="C5122" t="s">
        <v>20</v>
      </c>
      <c r="F5122">
        <v>5</v>
      </c>
      <c r="G5122" t="s">
        <v>16</v>
      </c>
      <c r="H5122">
        <v>0</v>
      </c>
      <c r="I5122" s="2" t="s">
        <v>497</v>
      </c>
      <c r="J5122" s="2">
        <v>55556227</v>
      </c>
      <c r="K5122">
        <v>20</v>
      </c>
      <c r="L5122">
        <v>20</v>
      </c>
      <c r="M5122">
        <v>20</v>
      </c>
    </row>
    <row r="5123" spans="1:13" x14ac:dyDescent="0.25">
      <c r="A5123" t="s">
        <v>11328</v>
      </c>
      <c r="B5123" t="s">
        <v>11327</v>
      </c>
      <c r="C5123" t="s">
        <v>20</v>
      </c>
      <c r="G5123" t="s">
        <v>16</v>
      </c>
      <c r="H5123">
        <v>0</v>
      </c>
      <c r="I5123" s="2" t="s">
        <v>3528</v>
      </c>
      <c r="J5123" s="2" t="s">
        <v>11329</v>
      </c>
      <c r="K5123">
        <v>20</v>
      </c>
      <c r="L5123">
        <v>20</v>
      </c>
      <c r="M5123">
        <v>20</v>
      </c>
    </row>
    <row r="5124" spans="1:13" x14ac:dyDescent="0.25">
      <c r="A5124">
        <v>55556495</v>
      </c>
      <c r="B5124" t="s">
        <v>11330</v>
      </c>
      <c r="C5124" t="s">
        <v>241</v>
      </c>
      <c r="G5124" t="s">
        <v>16</v>
      </c>
      <c r="H5124">
        <v>0</v>
      </c>
      <c r="I5124" s="2" t="s">
        <v>11331</v>
      </c>
      <c r="J5124" s="2">
        <v>55556495</v>
      </c>
      <c r="K5124">
        <v>20</v>
      </c>
      <c r="L5124">
        <v>20</v>
      </c>
      <c r="M5124">
        <v>20</v>
      </c>
    </row>
    <row r="5125" spans="1:13" x14ac:dyDescent="0.25">
      <c r="A5125" t="s">
        <v>11332</v>
      </c>
      <c r="B5125" t="s">
        <v>11330</v>
      </c>
      <c r="C5125" t="s">
        <v>241</v>
      </c>
      <c r="G5125" t="s">
        <v>16</v>
      </c>
      <c r="H5125">
        <v>0</v>
      </c>
      <c r="K5125">
        <v>20</v>
      </c>
      <c r="L5125">
        <v>20</v>
      </c>
      <c r="M5125">
        <v>20</v>
      </c>
    </row>
    <row r="5126" spans="1:13" x14ac:dyDescent="0.25">
      <c r="A5126" t="s">
        <v>11333</v>
      </c>
      <c r="B5126" t="s">
        <v>11334</v>
      </c>
      <c r="C5126" t="s">
        <v>1432</v>
      </c>
      <c r="F5126">
        <v>2</v>
      </c>
      <c r="G5126" t="s">
        <v>16</v>
      </c>
      <c r="H5126">
        <v>0</v>
      </c>
      <c r="I5126" s="2" t="s">
        <v>142</v>
      </c>
      <c r="J5126" s="2" t="s">
        <v>11335</v>
      </c>
      <c r="K5126">
        <v>20</v>
      </c>
      <c r="L5126">
        <v>20</v>
      </c>
      <c r="M5126">
        <v>20</v>
      </c>
    </row>
    <row r="5127" spans="1:13" x14ac:dyDescent="0.25">
      <c r="A5127" t="s">
        <v>11336</v>
      </c>
      <c r="B5127" t="s">
        <v>11337</v>
      </c>
      <c r="C5127" t="s">
        <v>241</v>
      </c>
      <c r="D5127" t="s">
        <v>1436</v>
      </c>
      <c r="G5127" t="s">
        <v>16</v>
      </c>
      <c r="H5127">
        <v>0</v>
      </c>
      <c r="I5127" s="2" t="s">
        <v>243</v>
      </c>
      <c r="J5127" s="2">
        <v>21159</v>
      </c>
      <c r="K5127">
        <v>20</v>
      </c>
      <c r="L5127">
        <v>20</v>
      </c>
      <c r="M5127">
        <v>20</v>
      </c>
    </row>
    <row r="5128" spans="1:13" x14ac:dyDescent="0.25">
      <c r="A5128">
        <v>55562190</v>
      </c>
      <c r="B5128" t="s">
        <v>11338</v>
      </c>
      <c r="C5128" t="s">
        <v>20</v>
      </c>
      <c r="G5128" t="s">
        <v>16</v>
      </c>
      <c r="H5128">
        <v>0</v>
      </c>
      <c r="I5128" s="2" t="s">
        <v>497</v>
      </c>
      <c r="J5128" s="2">
        <v>55562190</v>
      </c>
      <c r="K5128">
        <v>20</v>
      </c>
      <c r="L5128">
        <v>20</v>
      </c>
      <c r="M5128">
        <v>20</v>
      </c>
    </row>
    <row r="5129" spans="1:13" x14ac:dyDescent="0.25">
      <c r="A5129">
        <v>55562233</v>
      </c>
      <c r="B5129" t="s">
        <v>11339</v>
      </c>
      <c r="C5129" t="s">
        <v>20</v>
      </c>
      <c r="D5129" t="s">
        <v>26</v>
      </c>
      <c r="G5129" t="s">
        <v>16</v>
      </c>
      <c r="H5129">
        <v>0</v>
      </c>
      <c r="I5129" s="2" t="s">
        <v>497</v>
      </c>
      <c r="J5129" s="2">
        <v>55562233</v>
      </c>
      <c r="K5129">
        <v>20</v>
      </c>
      <c r="L5129">
        <v>20</v>
      </c>
      <c r="M5129">
        <v>20</v>
      </c>
    </row>
    <row r="5130" spans="1:13" x14ac:dyDescent="0.25">
      <c r="A5130" t="s">
        <v>11340</v>
      </c>
      <c r="B5130" t="s">
        <v>11339</v>
      </c>
      <c r="C5130" t="s">
        <v>20</v>
      </c>
      <c r="D5130" t="s">
        <v>26</v>
      </c>
      <c r="F5130">
        <v>1</v>
      </c>
      <c r="G5130" t="s">
        <v>16</v>
      </c>
      <c r="H5130">
        <v>0</v>
      </c>
      <c r="I5130" s="2" t="s">
        <v>97</v>
      </c>
      <c r="J5130" s="3">
        <v>493141</v>
      </c>
      <c r="K5130">
        <v>20</v>
      </c>
      <c r="L5130">
        <v>20</v>
      </c>
      <c r="M5130">
        <v>20</v>
      </c>
    </row>
    <row r="5131" spans="1:13" x14ac:dyDescent="0.25">
      <c r="A5131" t="s">
        <v>11341</v>
      </c>
      <c r="B5131" t="s">
        <v>11342</v>
      </c>
      <c r="C5131" t="s">
        <v>20</v>
      </c>
      <c r="G5131" t="s">
        <v>16</v>
      </c>
      <c r="H5131">
        <v>0</v>
      </c>
      <c r="K5131">
        <v>20</v>
      </c>
      <c r="L5131">
        <v>20</v>
      </c>
      <c r="M5131">
        <v>20</v>
      </c>
    </row>
    <row r="5132" spans="1:13" x14ac:dyDescent="0.25">
      <c r="A5132">
        <v>55563097</v>
      </c>
      <c r="B5132" t="s">
        <v>11343</v>
      </c>
      <c r="C5132" t="s">
        <v>241</v>
      </c>
      <c r="D5132" t="s">
        <v>244</v>
      </c>
      <c r="F5132">
        <v>1</v>
      </c>
      <c r="G5132" t="s">
        <v>16</v>
      </c>
      <c r="H5132">
        <v>0</v>
      </c>
      <c r="I5132" s="2" t="s">
        <v>1444</v>
      </c>
      <c r="J5132" s="2">
        <v>55563097</v>
      </c>
      <c r="K5132">
        <v>20</v>
      </c>
      <c r="L5132">
        <v>20</v>
      </c>
      <c r="M5132">
        <v>20</v>
      </c>
    </row>
    <row r="5133" spans="1:13" x14ac:dyDescent="0.25">
      <c r="A5133" t="s">
        <v>11344</v>
      </c>
      <c r="B5133" t="s">
        <v>11345</v>
      </c>
      <c r="C5133" t="s">
        <v>20</v>
      </c>
      <c r="D5133" t="s">
        <v>899</v>
      </c>
      <c r="F5133">
        <v>7</v>
      </c>
      <c r="G5133" t="s">
        <v>16</v>
      </c>
      <c r="H5133">
        <v>0</v>
      </c>
      <c r="I5133" s="2" t="s">
        <v>383</v>
      </c>
      <c r="J5133" s="2">
        <v>1987947949</v>
      </c>
      <c r="K5133">
        <v>20</v>
      </c>
      <c r="L5133">
        <v>20</v>
      </c>
      <c r="M5133">
        <v>20</v>
      </c>
    </row>
    <row r="5134" spans="1:13" x14ac:dyDescent="0.25">
      <c r="A5134">
        <v>55563957</v>
      </c>
      <c r="B5134" t="s">
        <v>11346</v>
      </c>
      <c r="C5134" t="s">
        <v>20</v>
      </c>
      <c r="F5134">
        <v>12</v>
      </c>
      <c r="G5134" t="s">
        <v>16</v>
      </c>
      <c r="H5134">
        <v>0</v>
      </c>
      <c r="I5134" s="2" t="s">
        <v>497</v>
      </c>
      <c r="J5134" s="2">
        <v>55563957</v>
      </c>
      <c r="K5134">
        <v>20</v>
      </c>
      <c r="L5134">
        <v>20</v>
      </c>
      <c r="M5134">
        <v>20</v>
      </c>
    </row>
    <row r="5135" spans="1:13" x14ac:dyDescent="0.25">
      <c r="A5135">
        <v>55564441</v>
      </c>
      <c r="B5135" t="s">
        <v>11348</v>
      </c>
      <c r="C5135" t="s">
        <v>20</v>
      </c>
      <c r="F5135">
        <v>7</v>
      </c>
      <c r="G5135" t="s">
        <v>16</v>
      </c>
      <c r="H5135">
        <v>0</v>
      </c>
      <c r="I5135" s="2" t="s">
        <v>497</v>
      </c>
      <c r="J5135" s="2" t="s">
        <v>11347</v>
      </c>
      <c r="K5135">
        <v>20</v>
      </c>
      <c r="L5135">
        <v>20</v>
      </c>
      <c r="M5135">
        <v>20</v>
      </c>
    </row>
    <row r="5136" spans="1:13" x14ac:dyDescent="0.25">
      <c r="A5136" t="s">
        <v>11349</v>
      </c>
      <c r="B5136" t="s">
        <v>11350</v>
      </c>
      <c r="C5136" t="s">
        <v>20</v>
      </c>
      <c r="D5136" t="s">
        <v>899</v>
      </c>
      <c r="G5136" t="s">
        <v>16</v>
      </c>
      <c r="H5136">
        <v>0</v>
      </c>
      <c r="I5136" s="2" t="s">
        <v>11351</v>
      </c>
      <c r="J5136" s="2" t="s">
        <v>11352</v>
      </c>
      <c r="K5136">
        <v>20</v>
      </c>
      <c r="L5136">
        <v>20</v>
      </c>
      <c r="M5136">
        <v>20</v>
      </c>
    </row>
    <row r="5137" spans="1:13" x14ac:dyDescent="0.25">
      <c r="A5137" t="s">
        <v>11353</v>
      </c>
      <c r="B5137" t="s">
        <v>11354</v>
      </c>
      <c r="C5137" t="s">
        <v>20</v>
      </c>
      <c r="D5137" t="s">
        <v>899</v>
      </c>
      <c r="F5137">
        <v>4</v>
      </c>
      <c r="G5137" t="s">
        <v>16</v>
      </c>
      <c r="H5137">
        <v>0</v>
      </c>
      <c r="I5137" s="2" t="s">
        <v>404</v>
      </c>
      <c r="J5137" s="2" t="s">
        <v>11355</v>
      </c>
      <c r="K5137">
        <v>20</v>
      </c>
      <c r="L5137">
        <v>20</v>
      </c>
      <c r="M5137">
        <v>20</v>
      </c>
    </row>
    <row r="5138" spans="1:13" x14ac:dyDescent="0.25">
      <c r="A5138" t="s">
        <v>11356</v>
      </c>
      <c r="B5138" t="s">
        <v>11357</v>
      </c>
      <c r="C5138" t="s">
        <v>20</v>
      </c>
      <c r="G5138" t="s">
        <v>16</v>
      </c>
      <c r="H5138">
        <v>0</v>
      </c>
      <c r="I5138" s="2" t="s">
        <v>765</v>
      </c>
      <c r="J5138" s="2">
        <v>140048116</v>
      </c>
      <c r="K5138">
        <v>20</v>
      </c>
      <c r="L5138">
        <v>20</v>
      </c>
      <c r="M5138">
        <v>20</v>
      </c>
    </row>
    <row r="5139" spans="1:13" x14ac:dyDescent="0.25">
      <c r="A5139" t="s">
        <v>11358</v>
      </c>
      <c r="B5139" t="s">
        <v>11359</v>
      </c>
      <c r="C5139" t="s">
        <v>151</v>
      </c>
      <c r="D5139" t="s">
        <v>11302</v>
      </c>
      <c r="F5139">
        <v>1</v>
      </c>
      <c r="G5139" t="s">
        <v>16</v>
      </c>
      <c r="H5139">
        <v>0</v>
      </c>
      <c r="I5139" s="2" t="s">
        <v>707</v>
      </c>
      <c r="J5139" s="2" t="s">
        <v>11360</v>
      </c>
      <c r="K5139">
        <v>20</v>
      </c>
      <c r="L5139">
        <v>20</v>
      </c>
      <c r="M5139">
        <v>20</v>
      </c>
    </row>
    <row r="5140" spans="1:13" x14ac:dyDescent="0.25">
      <c r="A5140" t="s">
        <v>11361</v>
      </c>
      <c r="B5140" t="s">
        <v>11362</v>
      </c>
      <c r="C5140" t="s">
        <v>20</v>
      </c>
      <c r="F5140">
        <v>1</v>
      </c>
      <c r="G5140" t="s">
        <v>16</v>
      </c>
      <c r="H5140">
        <v>0</v>
      </c>
      <c r="I5140" s="2" t="s">
        <v>508</v>
      </c>
      <c r="J5140" s="2">
        <v>55565351</v>
      </c>
      <c r="K5140">
        <v>20</v>
      </c>
      <c r="L5140">
        <v>20</v>
      </c>
      <c r="M5140">
        <v>20</v>
      </c>
    </row>
    <row r="5141" spans="1:13" x14ac:dyDescent="0.25">
      <c r="A5141" t="s">
        <v>11363</v>
      </c>
      <c r="B5141" t="s">
        <v>11364</v>
      </c>
      <c r="C5141" t="s">
        <v>20</v>
      </c>
      <c r="F5141">
        <v>1</v>
      </c>
      <c r="G5141" t="s">
        <v>16</v>
      </c>
      <c r="H5141">
        <v>0</v>
      </c>
      <c r="I5141" s="2" t="s">
        <v>508</v>
      </c>
      <c r="J5141" s="2" t="s">
        <v>11365</v>
      </c>
      <c r="K5141">
        <v>20</v>
      </c>
      <c r="L5141">
        <v>20</v>
      </c>
      <c r="M5141">
        <v>20</v>
      </c>
    </row>
    <row r="5142" spans="1:13" x14ac:dyDescent="0.25">
      <c r="A5142" t="s">
        <v>11366</v>
      </c>
      <c r="B5142" t="s">
        <v>11368</v>
      </c>
      <c r="C5142" t="s">
        <v>20</v>
      </c>
      <c r="F5142">
        <v>0</v>
      </c>
      <c r="G5142" t="s">
        <v>16</v>
      </c>
      <c r="H5142">
        <v>0</v>
      </c>
      <c r="I5142" s="2" t="s">
        <v>288</v>
      </c>
      <c r="J5142" s="2" t="s">
        <v>11367</v>
      </c>
      <c r="K5142">
        <v>20</v>
      </c>
      <c r="L5142">
        <v>20</v>
      </c>
      <c r="M5142">
        <v>20</v>
      </c>
    </row>
    <row r="5143" spans="1:13" x14ac:dyDescent="0.25">
      <c r="A5143" t="s">
        <v>11369</v>
      </c>
      <c r="B5143" t="s">
        <v>11370</v>
      </c>
      <c r="C5143" t="s">
        <v>20</v>
      </c>
      <c r="D5143" t="s">
        <v>894</v>
      </c>
      <c r="F5143">
        <v>1</v>
      </c>
      <c r="G5143" t="s">
        <v>16</v>
      </c>
      <c r="H5143">
        <v>0</v>
      </c>
      <c r="I5143" s="2" t="s">
        <v>3689</v>
      </c>
      <c r="J5143" s="2" t="s">
        <v>11371</v>
      </c>
      <c r="K5143">
        <v>20</v>
      </c>
      <c r="L5143">
        <v>20</v>
      </c>
      <c r="M5143">
        <v>20</v>
      </c>
    </row>
    <row r="5144" spans="1:13" x14ac:dyDescent="0.25">
      <c r="A5144" t="s">
        <v>11372</v>
      </c>
      <c r="B5144" t="s">
        <v>11373</v>
      </c>
      <c r="C5144" t="s">
        <v>20</v>
      </c>
      <c r="D5144" t="s">
        <v>894</v>
      </c>
      <c r="F5144">
        <v>1</v>
      </c>
      <c r="G5144" t="s">
        <v>16</v>
      </c>
      <c r="H5144">
        <v>0</v>
      </c>
      <c r="I5144" s="2" t="s">
        <v>3756</v>
      </c>
      <c r="J5144" s="2" t="s">
        <v>11374</v>
      </c>
      <c r="K5144">
        <v>20</v>
      </c>
      <c r="L5144">
        <v>20</v>
      </c>
      <c r="M5144">
        <v>20</v>
      </c>
    </row>
    <row r="5145" spans="1:13" x14ac:dyDescent="0.25">
      <c r="A5145" t="s">
        <v>11375</v>
      </c>
      <c r="B5145" t="s">
        <v>11376</v>
      </c>
      <c r="C5145" t="s">
        <v>1432</v>
      </c>
      <c r="F5145">
        <v>2</v>
      </c>
      <c r="G5145" t="s">
        <v>16</v>
      </c>
      <c r="H5145">
        <v>0</v>
      </c>
      <c r="K5145">
        <v>20</v>
      </c>
      <c r="L5145">
        <v>20</v>
      </c>
      <c r="M5145">
        <v>20</v>
      </c>
    </row>
    <row r="5146" spans="1:13" x14ac:dyDescent="0.25">
      <c r="A5146" t="s">
        <v>11377</v>
      </c>
      <c r="B5146" t="s">
        <v>11379</v>
      </c>
      <c r="C5146" t="s">
        <v>1432</v>
      </c>
      <c r="F5146">
        <v>3</v>
      </c>
      <c r="G5146" t="s">
        <v>16</v>
      </c>
      <c r="H5146">
        <v>0</v>
      </c>
      <c r="I5146" s="2" t="s">
        <v>1444</v>
      </c>
      <c r="J5146" s="2" t="s">
        <v>11378</v>
      </c>
      <c r="K5146">
        <v>20</v>
      </c>
      <c r="L5146">
        <v>20</v>
      </c>
      <c r="M5146">
        <v>20</v>
      </c>
    </row>
    <row r="5147" spans="1:13" x14ac:dyDescent="0.25">
      <c r="A5147" t="s">
        <v>11380</v>
      </c>
      <c r="B5147" t="s">
        <v>11381</v>
      </c>
      <c r="C5147" t="s">
        <v>1432</v>
      </c>
      <c r="G5147" t="s">
        <v>16</v>
      </c>
      <c r="H5147">
        <v>0</v>
      </c>
      <c r="K5147">
        <v>20</v>
      </c>
      <c r="L5147">
        <v>20</v>
      </c>
      <c r="M5147">
        <v>20</v>
      </c>
    </row>
    <row r="5148" spans="1:13" x14ac:dyDescent="0.25">
      <c r="A5148" t="s">
        <v>11382</v>
      </c>
      <c r="B5148" t="s">
        <v>11383</v>
      </c>
      <c r="C5148" t="s">
        <v>20</v>
      </c>
      <c r="D5148" t="s">
        <v>21</v>
      </c>
      <c r="G5148" t="s">
        <v>16</v>
      </c>
      <c r="H5148">
        <v>0</v>
      </c>
      <c r="I5148" s="2" t="s">
        <v>11384</v>
      </c>
      <c r="J5148" s="2" t="s">
        <v>11385</v>
      </c>
      <c r="K5148">
        <v>20</v>
      </c>
      <c r="L5148">
        <v>20</v>
      </c>
      <c r="M5148">
        <v>20</v>
      </c>
    </row>
    <row r="5149" spans="1:13" x14ac:dyDescent="0.25">
      <c r="A5149">
        <v>55566598</v>
      </c>
      <c r="B5149" t="s">
        <v>11386</v>
      </c>
      <c r="C5149" t="s">
        <v>20</v>
      </c>
      <c r="G5149" t="s">
        <v>16</v>
      </c>
      <c r="H5149">
        <v>0</v>
      </c>
      <c r="I5149" s="2" t="s">
        <v>1444</v>
      </c>
      <c r="J5149" s="2">
        <v>55566598</v>
      </c>
      <c r="K5149">
        <v>20</v>
      </c>
      <c r="L5149">
        <v>20</v>
      </c>
      <c r="M5149">
        <v>20</v>
      </c>
    </row>
    <row r="5150" spans="1:13" x14ac:dyDescent="0.25">
      <c r="A5150" t="s">
        <v>11387</v>
      </c>
      <c r="B5150" t="s">
        <v>11388</v>
      </c>
      <c r="C5150" t="s">
        <v>151</v>
      </c>
      <c r="D5150" t="s">
        <v>11302</v>
      </c>
      <c r="G5150" t="s">
        <v>16</v>
      </c>
      <c r="H5150">
        <v>0</v>
      </c>
      <c r="I5150" s="2" t="s">
        <v>953</v>
      </c>
      <c r="J5150" s="2">
        <v>77592</v>
      </c>
      <c r="K5150">
        <v>20</v>
      </c>
      <c r="L5150">
        <v>20</v>
      </c>
      <c r="M5150">
        <v>20</v>
      </c>
    </row>
    <row r="5151" spans="1:13" x14ac:dyDescent="0.25">
      <c r="A5151" t="s">
        <v>11389</v>
      </c>
      <c r="B5151" t="s">
        <v>11390</v>
      </c>
      <c r="C5151" t="s">
        <v>151</v>
      </c>
      <c r="D5151" t="s">
        <v>11302</v>
      </c>
      <c r="G5151" t="s">
        <v>16</v>
      </c>
      <c r="H5151">
        <v>0</v>
      </c>
      <c r="I5151" s="2" t="s">
        <v>953</v>
      </c>
      <c r="J5151" s="2">
        <v>77342</v>
      </c>
      <c r="K5151">
        <v>20</v>
      </c>
      <c r="L5151">
        <v>20</v>
      </c>
      <c r="M5151">
        <v>20</v>
      </c>
    </row>
    <row r="5152" spans="1:13" x14ac:dyDescent="0.25">
      <c r="A5152" t="s">
        <v>11391</v>
      </c>
      <c r="B5152" t="s">
        <v>11392</v>
      </c>
      <c r="C5152" t="s">
        <v>20</v>
      </c>
      <c r="D5152" t="s">
        <v>26</v>
      </c>
      <c r="F5152">
        <v>0</v>
      </c>
      <c r="G5152" t="s">
        <v>16</v>
      </c>
      <c r="H5152">
        <v>0</v>
      </c>
      <c r="K5152">
        <v>20</v>
      </c>
      <c r="L5152">
        <v>20</v>
      </c>
      <c r="M5152">
        <v>20</v>
      </c>
    </row>
    <row r="5153" spans="1:13" x14ac:dyDescent="0.25">
      <c r="A5153" t="s">
        <v>11393</v>
      </c>
      <c r="B5153" t="s">
        <v>11394</v>
      </c>
      <c r="C5153" t="s">
        <v>20</v>
      </c>
      <c r="D5153" t="s">
        <v>161</v>
      </c>
      <c r="F5153">
        <v>1</v>
      </c>
      <c r="G5153" t="s">
        <v>16</v>
      </c>
      <c r="H5153">
        <v>0</v>
      </c>
      <c r="I5153" s="2" t="s">
        <v>437</v>
      </c>
      <c r="J5153" s="2">
        <v>560000110</v>
      </c>
      <c r="K5153">
        <v>20</v>
      </c>
      <c r="L5153">
        <v>20</v>
      </c>
      <c r="M5153">
        <v>20</v>
      </c>
    </row>
    <row r="5154" spans="1:13" x14ac:dyDescent="0.25">
      <c r="A5154" t="s">
        <v>11395</v>
      </c>
      <c r="B5154" t="s">
        <v>11396</v>
      </c>
      <c r="C5154" t="s">
        <v>20</v>
      </c>
      <c r="F5154">
        <v>1</v>
      </c>
      <c r="G5154" t="s">
        <v>16</v>
      </c>
      <c r="H5154">
        <v>0</v>
      </c>
      <c r="I5154" s="2" t="s">
        <v>297</v>
      </c>
      <c r="J5154" s="2">
        <v>560000111</v>
      </c>
      <c r="K5154">
        <v>20</v>
      </c>
      <c r="L5154">
        <v>20</v>
      </c>
      <c r="M5154">
        <v>20</v>
      </c>
    </row>
    <row r="5155" spans="1:13" x14ac:dyDescent="0.25">
      <c r="A5155" t="s">
        <v>11397</v>
      </c>
      <c r="B5155" t="s">
        <v>11398</v>
      </c>
      <c r="C5155" t="s">
        <v>357</v>
      </c>
      <c r="D5155" t="s">
        <v>241</v>
      </c>
      <c r="F5155">
        <v>2</v>
      </c>
      <c r="G5155" t="s">
        <v>16</v>
      </c>
      <c r="H5155">
        <v>0</v>
      </c>
      <c r="I5155" s="2" t="s">
        <v>1444</v>
      </c>
      <c r="J5155" s="2">
        <v>55567067</v>
      </c>
      <c r="K5155">
        <v>20</v>
      </c>
      <c r="L5155">
        <v>20</v>
      </c>
      <c r="M5155">
        <v>20</v>
      </c>
    </row>
    <row r="5156" spans="1:13" x14ac:dyDescent="0.25">
      <c r="A5156" t="s">
        <v>11399</v>
      </c>
      <c r="B5156" t="s">
        <v>11400</v>
      </c>
      <c r="C5156" t="s">
        <v>241</v>
      </c>
      <c r="D5156" t="s">
        <v>262</v>
      </c>
      <c r="F5156">
        <v>1</v>
      </c>
      <c r="G5156" t="s">
        <v>16</v>
      </c>
      <c r="H5156">
        <v>0</v>
      </c>
      <c r="K5156">
        <v>20</v>
      </c>
      <c r="L5156">
        <v>20</v>
      </c>
      <c r="M5156">
        <v>20</v>
      </c>
    </row>
    <row r="5157" spans="1:13" x14ac:dyDescent="0.25">
      <c r="A5157" t="s">
        <v>11401</v>
      </c>
      <c r="B5157" t="s">
        <v>11402</v>
      </c>
      <c r="C5157" t="s">
        <v>241</v>
      </c>
      <c r="D5157" t="s">
        <v>244</v>
      </c>
      <c r="G5157" t="s">
        <v>16</v>
      </c>
      <c r="H5157">
        <v>0</v>
      </c>
      <c r="K5157">
        <v>20</v>
      </c>
      <c r="L5157">
        <v>20</v>
      </c>
      <c r="M5157">
        <v>20</v>
      </c>
    </row>
    <row r="5158" spans="1:13" x14ac:dyDescent="0.25">
      <c r="A5158" t="s">
        <v>11403</v>
      </c>
      <c r="B5158" t="s">
        <v>11404</v>
      </c>
      <c r="C5158" t="s">
        <v>241</v>
      </c>
      <c r="D5158" t="s">
        <v>242</v>
      </c>
      <c r="G5158" t="s">
        <v>16</v>
      </c>
      <c r="H5158">
        <v>0</v>
      </c>
      <c r="K5158">
        <v>20</v>
      </c>
      <c r="L5158">
        <v>20</v>
      </c>
      <c r="M5158">
        <v>20</v>
      </c>
    </row>
    <row r="5159" spans="1:13" x14ac:dyDescent="0.25">
      <c r="A5159">
        <v>55568171</v>
      </c>
      <c r="B5159" t="s">
        <v>11405</v>
      </c>
      <c r="C5159" t="s">
        <v>1432</v>
      </c>
      <c r="D5159" t="s">
        <v>6673</v>
      </c>
      <c r="F5159">
        <v>2</v>
      </c>
      <c r="G5159" t="s">
        <v>16</v>
      </c>
      <c r="H5159">
        <v>0</v>
      </c>
      <c r="I5159" s="2" t="s">
        <v>497</v>
      </c>
      <c r="J5159" s="2">
        <v>55568171</v>
      </c>
      <c r="K5159">
        <v>20</v>
      </c>
      <c r="L5159">
        <v>20</v>
      </c>
      <c r="M5159">
        <v>20</v>
      </c>
    </row>
    <row r="5160" spans="1:13" x14ac:dyDescent="0.25">
      <c r="A5160">
        <v>55568386</v>
      </c>
      <c r="B5160" t="s">
        <v>11406</v>
      </c>
      <c r="C5160" t="s">
        <v>20</v>
      </c>
      <c r="G5160" t="s">
        <v>16</v>
      </c>
      <c r="H5160">
        <v>0</v>
      </c>
      <c r="I5160" s="2" t="s">
        <v>1444</v>
      </c>
      <c r="J5160" s="2">
        <v>55568386</v>
      </c>
      <c r="K5160">
        <v>20</v>
      </c>
      <c r="L5160">
        <v>20</v>
      </c>
      <c r="M5160">
        <v>20</v>
      </c>
    </row>
    <row r="5161" spans="1:13" x14ac:dyDescent="0.25">
      <c r="A5161" t="s">
        <v>11407</v>
      </c>
      <c r="B5161" t="s">
        <v>11408</v>
      </c>
      <c r="C5161" t="s">
        <v>357</v>
      </c>
      <c r="D5161" t="s">
        <v>241</v>
      </c>
      <c r="F5161">
        <v>1</v>
      </c>
      <c r="G5161" t="s">
        <v>16</v>
      </c>
      <c r="H5161">
        <v>0</v>
      </c>
      <c r="I5161" s="2" t="s">
        <v>3574</v>
      </c>
      <c r="J5161" s="2" t="s">
        <v>11409</v>
      </c>
      <c r="K5161">
        <v>20</v>
      </c>
      <c r="L5161">
        <v>20</v>
      </c>
      <c r="M5161">
        <v>20</v>
      </c>
    </row>
    <row r="5162" spans="1:13" x14ac:dyDescent="0.25">
      <c r="A5162" t="s">
        <v>11410</v>
      </c>
      <c r="B5162" t="s">
        <v>11408</v>
      </c>
      <c r="C5162" t="s">
        <v>357</v>
      </c>
      <c r="D5162" t="s">
        <v>241</v>
      </c>
      <c r="F5162">
        <v>2</v>
      </c>
      <c r="G5162" t="s">
        <v>16</v>
      </c>
      <c r="H5162">
        <v>0</v>
      </c>
      <c r="I5162" s="2" t="s">
        <v>266</v>
      </c>
      <c r="J5162" s="2">
        <v>34905</v>
      </c>
      <c r="K5162">
        <v>20</v>
      </c>
      <c r="L5162">
        <v>20</v>
      </c>
      <c r="M5162">
        <v>20</v>
      </c>
    </row>
    <row r="5163" spans="1:13" x14ac:dyDescent="0.25">
      <c r="A5163">
        <v>55569767</v>
      </c>
      <c r="B5163" t="s">
        <v>11411</v>
      </c>
      <c r="C5163" t="s">
        <v>20</v>
      </c>
      <c r="G5163" t="s">
        <v>16</v>
      </c>
      <c r="H5163">
        <v>0</v>
      </c>
      <c r="I5163" s="2" t="s">
        <v>1444</v>
      </c>
      <c r="J5163" s="2">
        <v>55569767</v>
      </c>
      <c r="K5163">
        <v>20</v>
      </c>
      <c r="L5163">
        <v>20</v>
      </c>
      <c r="M5163">
        <v>20</v>
      </c>
    </row>
    <row r="5164" spans="1:13" x14ac:dyDescent="0.25">
      <c r="A5164" t="s">
        <v>11412</v>
      </c>
      <c r="B5164" t="s">
        <v>11413</v>
      </c>
      <c r="C5164" t="s">
        <v>20</v>
      </c>
      <c r="D5164" t="s">
        <v>26</v>
      </c>
      <c r="G5164" t="s">
        <v>16</v>
      </c>
      <c r="H5164">
        <v>0</v>
      </c>
      <c r="I5164" s="2" t="s">
        <v>80</v>
      </c>
      <c r="J5164" s="2" t="s">
        <v>11414</v>
      </c>
      <c r="K5164">
        <v>20</v>
      </c>
      <c r="L5164">
        <v>20</v>
      </c>
      <c r="M5164">
        <v>20</v>
      </c>
    </row>
    <row r="5165" spans="1:13" x14ac:dyDescent="0.25">
      <c r="A5165">
        <v>55569992</v>
      </c>
      <c r="B5165" t="s">
        <v>11415</v>
      </c>
      <c r="C5165" t="s">
        <v>151</v>
      </c>
      <c r="G5165" t="s">
        <v>16</v>
      </c>
      <c r="H5165">
        <v>0</v>
      </c>
      <c r="I5165" s="2" t="s">
        <v>1444</v>
      </c>
      <c r="J5165" s="2">
        <v>55569992</v>
      </c>
      <c r="K5165">
        <v>20</v>
      </c>
      <c r="L5165">
        <v>20</v>
      </c>
      <c r="M5165">
        <v>20</v>
      </c>
    </row>
    <row r="5166" spans="1:13" x14ac:dyDescent="0.25">
      <c r="A5166" t="s">
        <v>11416</v>
      </c>
      <c r="B5166" t="s">
        <v>11417</v>
      </c>
      <c r="C5166" t="s">
        <v>926</v>
      </c>
      <c r="G5166" t="s">
        <v>16</v>
      </c>
      <c r="H5166">
        <v>0</v>
      </c>
      <c r="I5166" s="2" t="s">
        <v>11418</v>
      </c>
      <c r="J5166" s="2" t="s">
        <v>11419</v>
      </c>
      <c r="K5166">
        <v>20</v>
      </c>
      <c r="L5166">
        <v>20</v>
      </c>
      <c r="M5166">
        <v>20</v>
      </c>
    </row>
    <row r="5167" spans="1:13" x14ac:dyDescent="0.25">
      <c r="A5167" t="s">
        <v>11420</v>
      </c>
      <c r="B5167" t="s">
        <v>11417</v>
      </c>
      <c r="C5167" t="s">
        <v>926</v>
      </c>
      <c r="F5167">
        <v>4</v>
      </c>
      <c r="G5167" t="s">
        <v>16</v>
      </c>
      <c r="H5167">
        <v>0</v>
      </c>
      <c r="I5167" s="2" t="s">
        <v>389</v>
      </c>
      <c r="J5167" s="2">
        <v>1682249280</v>
      </c>
      <c r="K5167">
        <v>20</v>
      </c>
      <c r="L5167">
        <v>20</v>
      </c>
      <c r="M5167">
        <v>20</v>
      </c>
    </row>
    <row r="5168" spans="1:13" x14ac:dyDescent="0.25">
      <c r="A5168" t="s">
        <v>11421</v>
      </c>
      <c r="B5168" t="s">
        <v>11422</v>
      </c>
      <c r="C5168" t="s">
        <v>151</v>
      </c>
      <c r="D5168" t="s">
        <v>11302</v>
      </c>
      <c r="F5168">
        <v>0</v>
      </c>
      <c r="G5168" t="s">
        <v>16</v>
      </c>
      <c r="H5168">
        <v>0</v>
      </c>
      <c r="I5168" s="2" t="s">
        <v>639</v>
      </c>
      <c r="J5168" s="2" t="s">
        <v>11423</v>
      </c>
      <c r="K5168">
        <v>20</v>
      </c>
      <c r="L5168">
        <v>20</v>
      </c>
      <c r="M5168">
        <v>20</v>
      </c>
    </row>
    <row r="5169" spans="1:13" x14ac:dyDescent="0.25">
      <c r="A5169">
        <v>55570140</v>
      </c>
      <c r="B5169" t="s">
        <v>11424</v>
      </c>
      <c r="C5169" t="s">
        <v>20</v>
      </c>
      <c r="D5169" t="s">
        <v>26</v>
      </c>
      <c r="G5169" t="s">
        <v>16</v>
      </c>
      <c r="H5169">
        <v>0</v>
      </c>
      <c r="I5169" s="2" t="s">
        <v>497</v>
      </c>
      <c r="J5169" s="2">
        <v>55570140</v>
      </c>
      <c r="K5169">
        <v>20</v>
      </c>
      <c r="L5169">
        <v>20</v>
      </c>
      <c r="M5169">
        <v>20</v>
      </c>
    </row>
    <row r="5170" spans="1:13" x14ac:dyDescent="0.25">
      <c r="A5170" t="s">
        <v>11425</v>
      </c>
      <c r="B5170" t="s">
        <v>11424</v>
      </c>
      <c r="C5170" t="s">
        <v>20</v>
      </c>
      <c r="D5170" t="s">
        <v>26</v>
      </c>
      <c r="G5170" t="s">
        <v>16</v>
      </c>
      <c r="H5170">
        <v>0</v>
      </c>
      <c r="I5170" s="2" t="s">
        <v>99</v>
      </c>
      <c r="J5170" s="3">
        <v>532810</v>
      </c>
      <c r="K5170">
        <v>20</v>
      </c>
      <c r="L5170">
        <v>20</v>
      </c>
      <c r="M5170">
        <v>20</v>
      </c>
    </row>
    <row r="5171" spans="1:13" x14ac:dyDescent="0.25">
      <c r="A5171" t="s">
        <v>11426</v>
      </c>
      <c r="B5171" t="s">
        <v>11427</v>
      </c>
      <c r="C5171" t="s">
        <v>1432</v>
      </c>
      <c r="F5171">
        <v>0</v>
      </c>
      <c r="G5171" t="s">
        <v>16</v>
      </c>
      <c r="H5171">
        <v>0</v>
      </c>
      <c r="I5171" s="2" t="s">
        <v>2043</v>
      </c>
      <c r="J5171" s="2">
        <v>55570194</v>
      </c>
      <c r="K5171">
        <v>20</v>
      </c>
      <c r="L5171">
        <v>20</v>
      </c>
      <c r="M5171">
        <v>20</v>
      </c>
    </row>
    <row r="5172" spans="1:13" x14ac:dyDescent="0.25">
      <c r="A5172" t="s">
        <v>11428</v>
      </c>
      <c r="B5172" t="s">
        <v>11429</v>
      </c>
      <c r="C5172" t="s">
        <v>20</v>
      </c>
      <c r="D5172" t="s">
        <v>597</v>
      </c>
      <c r="G5172" t="s">
        <v>16</v>
      </c>
      <c r="H5172">
        <v>0</v>
      </c>
      <c r="K5172">
        <v>20</v>
      </c>
      <c r="L5172">
        <v>20</v>
      </c>
      <c r="M5172">
        <v>20</v>
      </c>
    </row>
    <row r="5173" spans="1:13" x14ac:dyDescent="0.25">
      <c r="A5173" t="s">
        <v>11430</v>
      </c>
      <c r="B5173" t="s">
        <v>11431</v>
      </c>
      <c r="C5173" t="s">
        <v>20</v>
      </c>
      <c r="D5173" t="s">
        <v>26</v>
      </c>
      <c r="G5173" t="s">
        <v>16</v>
      </c>
      <c r="H5173">
        <v>0</v>
      </c>
      <c r="I5173" s="2" t="s">
        <v>99</v>
      </c>
      <c r="J5173" s="3">
        <v>533630</v>
      </c>
      <c r="K5173">
        <v>20</v>
      </c>
      <c r="L5173">
        <v>20</v>
      </c>
      <c r="M5173">
        <v>20</v>
      </c>
    </row>
    <row r="5174" spans="1:13" x14ac:dyDescent="0.25">
      <c r="A5174" t="s">
        <v>11432</v>
      </c>
      <c r="B5174" t="s">
        <v>11433</v>
      </c>
      <c r="C5174" t="s">
        <v>20</v>
      </c>
      <c r="D5174" t="s">
        <v>26</v>
      </c>
      <c r="G5174" t="s">
        <v>16</v>
      </c>
      <c r="H5174">
        <v>0</v>
      </c>
      <c r="I5174" s="2" t="s">
        <v>11434</v>
      </c>
      <c r="J5174" s="2">
        <v>2122</v>
      </c>
      <c r="K5174">
        <v>20</v>
      </c>
      <c r="L5174">
        <v>20</v>
      </c>
      <c r="M5174">
        <v>20</v>
      </c>
    </row>
    <row r="5175" spans="1:13" x14ac:dyDescent="0.25">
      <c r="A5175" t="s">
        <v>11435</v>
      </c>
      <c r="B5175" t="s">
        <v>11433</v>
      </c>
      <c r="C5175" t="s">
        <v>20</v>
      </c>
      <c r="D5175" t="s">
        <v>26</v>
      </c>
      <c r="G5175" t="s">
        <v>16</v>
      </c>
      <c r="H5175">
        <v>0</v>
      </c>
      <c r="I5175" s="2" t="s">
        <v>142</v>
      </c>
      <c r="J5175" s="2" t="s">
        <v>11436</v>
      </c>
      <c r="K5175">
        <v>20</v>
      </c>
      <c r="L5175">
        <v>20</v>
      </c>
      <c r="M5175">
        <v>20</v>
      </c>
    </row>
    <row r="5176" spans="1:13" x14ac:dyDescent="0.25">
      <c r="A5176" t="s">
        <v>11437</v>
      </c>
      <c r="B5176" t="s">
        <v>11438</v>
      </c>
      <c r="C5176" t="s">
        <v>20</v>
      </c>
      <c r="D5176" t="s">
        <v>26</v>
      </c>
      <c r="G5176" t="s">
        <v>16</v>
      </c>
      <c r="H5176">
        <v>0</v>
      </c>
      <c r="I5176" s="2" t="s">
        <v>3528</v>
      </c>
      <c r="J5176" s="2">
        <v>2121</v>
      </c>
      <c r="K5176">
        <v>20</v>
      </c>
      <c r="L5176">
        <v>20</v>
      </c>
      <c r="M5176">
        <v>20</v>
      </c>
    </row>
    <row r="5177" spans="1:13" x14ac:dyDescent="0.25">
      <c r="A5177" t="s">
        <v>11439</v>
      </c>
      <c r="B5177" t="s">
        <v>11440</v>
      </c>
      <c r="C5177" t="s">
        <v>20</v>
      </c>
      <c r="D5177" t="s">
        <v>26</v>
      </c>
      <c r="G5177" t="s">
        <v>16</v>
      </c>
      <c r="H5177">
        <v>0</v>
      </c>
      <c r="I5177" s="2" t="s">
        <v>99</v>
      </c>
      <c r="J5177" s="3">
        <v>533100</v>
      </c>
      <c r="K5177">
        <v>20</v>
      </c>
      <c r="L5177">
        <v>20</v>
      </c>
      <c r="M5177">
        <v>20</v>
      </c>
    </row>
    <row r="5178" spans="1:13" x14ac:dyDescent="0.25">
      <c r="A5178" t="s">
        <v>11441</v>
      </c>
      <c r="B5178" t="s">
        <v>11442</v>
      </c>
      <c r="C5178" t="s">
        <v>20</v>
      </c>
      <c r="D5178" t="s">
        <v>26</v>
      </c>
      <c r="G5178" t="s">
        <v>16</v>
      </c>
      <c r="H5178">
        <v>0</v>
      </c>
      <c r="I5178" s="2" t="s">
        <v>3528</v>
      </c>
      <c r="J5178" s="2">
        <v>2120</v>
      </c>
      <c r="K5178">
        <v>20</v>
      </c>
      <c r="L5178">
        <v>20</v>
      </c>
      <c r="M5178">
        <v>20</v>
      </c>
    </row>
    <row r="5179" spans="1:13" x14ac:dyDescent="0.25">
      <c r="A5179">
        <v>55570726</v>
      </c>
      <c r="B5179" t="s">
        <v>11443</v>
      </c>
      <c r="C5179" t="s">
        <v>20</v>
      </c>
      <c r="D5179" t="s">
        <v>26</v>
      </c>
      <c r="F5179">
        <v>8</v>
      </c>
      <c r="G5179" t="s">
        <v>16</v>
      </c>
      <c r="H5179">
        <v>0</v>
      </c>
      <c r="I5179" s="2" t="s">
        <v>1444</v>
      </c>
      <c r="J5179" s="2">
        <v>55570726</v>
      </c>
      <c r="K5179">
        <v>20</v>
      </c>
      <c r="L5179">
        <v>20</v>
      </c>
      <c r="M5179">
        <v>20</v>
      </c>
    </row>
    <row r="5180" spans="1:13" x14ac:dyDescent="0.25">
      <c r="A5180">
        <v>55571047</v>
      </c>
      <c r="B5180" t="s">
        <v>11444</v>
      </c>
      <c r="C5180" t="s">
        <v>20</v>
      </c>
      <c r="F5180">
        <v>1</v>
      </c>
      <c r="G5180" t="s">
        <v>16</v>
      </c>
      <c r="H5180">
        <v>0</v>
      </c>
      <c r="I5180" s="2" t="s">
        <v>1444</v>
      </c>
      <c r="J5180" s="2">
        <v>55571047</v>
      </c>
      <c r="K5180">
        <v>20</v>
      </c>
      <c r="L5180">
        <v>20</v>
      </c>
      <c r="M5180">
        <v>20</v>
      </c>
    </row>
    <row r="5181" spans="1:13" x14ac:dyDescent="0.25">
      <c r="A5181" t="s">
        <v>11445</v>
      </c>
      <c r="B5181" t="s">
        <v>11446</v>
      </c>
      <c r="C5181" t="s">
        <v>20</v>
      </c>
      <c r="F5181">
        <v>1</v>
      </c>
      <c r="G5181" t="s">
        <v>16</v>
      </c>
      <c r="H5181">
        <v>0</v>
      </c>
      <c r="I5181" s="2" t="s">
        <v>73</v>
      </c>
      <c r="J5181" s="2">
        <v>80001696</v>
      </c>
      <c r="K5181">
        <v>20</v>
      </c>
      <c r="L5181">
        <v>20</v>
      </c>
      <c r="M5181">
        <v>20</v>
      </c>
    </row>
    <row r="5182" spans="1:13" x14ac:dyDescent="0.25">
      <c r="A5182">
        <v>55571587</v>
      </c>
      <c r="B5182" t="s">
        <v>11447</v>
      </c>
      <c r="C5182" t="s">
        <v>20</v>
      </c>
      <c r="D5182" t="s">
        <v>26</v>
      </c>
      <c r="G5182" t="s">
        <v>16</v>
      </c>
      <c r="H5182">
        <v>0</v>
      </c>
      <c r="I5182" s="2" t="s">
        <v>1444</v>
      </c>
      <c r="J5182" s="2">
        <v>55571587</v>
      </c>
      <c r="K5182">
        <v>20</v>
      </c>
      <c r="L5182">
        <v>20</v>
      </c>
      <c r="M5182">
        <v>20</v>
      </c>
    </row>
    <row r="5183" spans="1:13" x14ac:dyDescent="0.25">
      <c r="A5183" t="s">
        <v>11448</v>
      </c>
      <c r="B5183" t="s">
        <v>11447</v>
      </c>
      <c r="C5183" t="s">
        <v>20</v>
      </c>
      <c r="D5183" t="s">
        <v>26</v>
      </c>
      <c r="F5183">
        <v>1</v>
      </c>
      <c r="G5183" t="s">
        <v>16</v>
      </c>
      <c r="H5183">
        <v>0</v>
      </c>
      <c r="I5183" s="2" t="s">
        <v>99</v>
      </c>
      <c r="J5183" s="3">
        <v>811670</v>
      </c>
      <c r="K5183">
        <v>20</v>
      </c>
      <c r="L5183">
        <v>20</v>
      </c>
      <c r="M5183">
        <v>20</v>
      </c>
    </row>
    <row r="5184" spans="1:13" x14ac:dyDescent="0.25">
      <c r="A5184" t="s">
        <v>11449</v>
      </c>
      <c r="B5184" t="s">
        <v>11450</v>
      </c>
      <c r="C5184" t="s">
        <v>20</v>
      </c>
      <c r="D5184" t="s">
        <v>26</v>
      </c>
      <c r="F5184">
        <v>-1</v>
      </c>
      <c r="G5184" t="s">
        <v>16</v>
      </c>
      <c r="H5184">
        <v>0</v>
      </c>
      <c r="I5184" s="2" t="s">
        <v>3421</v>
      </c>
      <c r="J5184" s="2" t="s">
        <v>11451</v>
      </c>
      <c r="K5184">
        <v>20</v>
      </c>
      <c r="L5184">
        <v>20</v>
      </c>
      <c r="M5184">
        <v>20</v>
      </c>
    </row>
    <row r="5185" spans="1:13" x14ac:dyDescent="0.25">
      <c r="A5185" t="s">
        <v>11452</v>
      </c>
      <c r="B5185" t="s">
        <v>11453</v>
      </c>
      <c r="C5185" t="s">
        <v>20</v>
      </c>
      <c r="D5185" t="s">
        <v>26</v>
      </c>
      <c r="G5185" t="s">
        <v>16</v>
      </c>
      <c r="H5185">
        <v>0</v>
      </c>
      <c r="I5185" s="2" t="s">
        <v>80</v>
      </c>
      <c r="J5185" s="2" t="s">
        <v>11454</v>
      </c>
      <c r="K5185">
        <v>20</v>
      </c>
      <c r="L5185">
        <v>20</v>
      </c>
      <c r="M5185">
        <v>20</v>
      </c>
    </row>
    <row r="5186" spans="1:13" x14ac:dyDescent="0.25">
      <c r="A5186">
        <v>55571672</v>
      </c>
      <c r="B5186" t="s">
        <v>11455</v>
      </c>
      <c r="C5186" t="s">
        <v>20</v>
      </c>
      <c r="D5186" t="s">
        <v>385</v>
      </c>
      <c r="F5186">
        <v>0</v>
      </c>
      <c r="G5186" t="s">
        <v>16</v>
      </c>
      <c r="H5186">
        <v>0</v>
      </c>
      <c r="I5186" s="2" t="s">
        <v>497</v>
      </c>
      <c r="J5186" s="2">
        <v>55571672</v>
      </c>
      <c r="K5186">
        <v>20</v>
      </c>
      <c r="L5186">
        <v>20</v>
      </c>
      <c r="M5186">
        <v>20</v>
      </c>
    </row>
    <row r="5187" spans="1:13" x14ac:dyDescent="0.25">
      <c r="A5187" t="s">
        <v>11456</v>
      </c>
      <c r="B5187" t="s">
        <v>11457</v>
      </c>
      <c r="C5187" t="s">
        <v>20</v>
      </c>
      <c r="G5187" t="s">
        <v>16</v>
      </c>
      <c r="H5187">
        <v>0</v>
      </c>
      <c r="I5187" s="2" t="s">
        <v>288</v>
      </c>
      <c r="J5187" s="2">
        <v>140103116</v>
      </c>
      <c r="K5187">
        <v>20</v>
      </c>
      <c r="L5187">
        <v>20</v>
      </c>
      <c r="M5187">
        <v>20</v>
      </c>
    </row>
    <row r="5188" spans="1:13" x14ac:dyDescent="0.25">
      <c r="A5188" t="s">
        <v>11458</v>
      </c>
      <c r="B5188" t="s">
        <v>11459</v>
      </c>
      <c r="C5188" t="s">
        <v>151</v>
      </c>
      <c r="D5188" t="s">
        <v>6316</v>
      </c>
      <c r="G5188" t="s">
        <v>16</v>
      </c>
      <c r="H5188">
        <v>0</v>
      </c>
      <c r="I5188" s="2" t="s">
        <v>639</v>
      </c>
      <c r="J5188" s="2" t="s">
        <v>11460</v>
      </c>
      <c r="K5188">
        <v>20</v>
      </c>
      <c r="L5188">
        <v>20</v>
      </c>
      <c r="M5188">
        <v>20</v>
      </c>
    </row>
    <row r="5189" spans="1:13" x14ac:dyDescent="0.25">
      <c r="A5189" t="s">
        <v>11461</v>
      </c>
      <c r="B5189" t="s">
        <v>11462</v>
      </c>
      <c r="C5189" t="s">
        <v>241</v>
      </c>
      <c r="D5189" t="s">
        <v>1436</v>
      </c>
      <c r="F5189">
        <v>1</v>
      </c>
      <c r="G5189" t="s">
        <v>16</v>
      </c>
      <c r="H5189">
        <v>0</v>
      </c>
      <c r="I5189" s="2" t="s">
        <v>64</v>
      </c>
      <c r="J5189" s="2">
        <v>10034880</v>
      </c>
      <c r="K5189">
        <v>20</v>
      </c>
      <c r="L5189">
        <v>20</v>
      </c>
      <c r="M5189">
        <v>20</v>
      </c>
    </row>
    <row r="5190" spans="1:13" x14ac:dyDescent="0.25">
      <c r="A5190" t="s">
        <v>11463</v>
      </c>
      <c r="B5190" t="s">
        <v>11465</v>
      </c>
      <c r="C5190" t="s">
        <v>241</v>
      </c>
      <c r="D5190" t="s">
        <v>1436</v>
      </c>
      <c r="F5190">
        <v>2</v>
      </c>
      <c r="G5190" t="s">
        <v>16</v>
      </c>
      <c r="H5190">
        <v>0</v>
      </c>
      <c r="I5190" s="2" t="s">
        <v>2389</v>
      </c>
      <c r="J5190" s="2" t="s">
        <v>11464</v>
      </c>
      <c r="K5190">
        <v>20</v>
      </c>
      <c r="L5190">
        <v>20</v>
      </c>
      <c r="M5190">
        <v>20</v>
      </c>
    </row>
    <row r="5191" spans="1:13" x14ac:dyDescent="0.25">
      <c r="A5191" t="s">
        <v>11466</v>
      </c>
      <c r="B5191" t="s">
        <v>11465</v>
      </c>
      <c r="C5191" t="s">
        <v>241</v>
      </c>
      <c r="D5191" t="s">
        <v>1436</v>
      </c>
      <c r="F5191">
        <v>1</v>
      </c>
      <c r="G5191" t="s">
        <v>16</v>
      </c>
      <c r="H5191">
        <v>0</v>
      </c>
      <c r="I5191" s="2" t="s">
        <v>737</v>
      </c>
      <c r="J5191" s="2" t="s">
        <v>11467</v>
      </c>
      <c r="K5191">
        <v>20</v>
      </c>
      <c r="L5191">
        <v>20</v>
      </c>
      <c r="M5191">
        <v>20</v>
      </c>
    </row>
    <row r="5192" spans="1:13" x14ac:dyDescent="0.25">
      <c r="A5192">
        <v>55573788</v>
      </c>
      <c r="B5192" t="s">
        <v>11468</v>
      </c>
      <c r="C5192" t="s">
        <v>20</v>
      </c>
      <c r="D5192" t="s">
        <v>385</v>
      </c>
      <c r="F5192">
        <v>1</v>
      </c>
      <c r="G5192" t="s">
        <v>16</v>
      </c>
      <c r="H5192">
        <v>0</v>
      </c>
      <c r="I5192" s="2" t="s">
        <v>497</v>
      </c>
      <c r="J5192" s="2">
        <v>55573788</v>
      </c>
      <c r="K5192">
        <v>20</v>
      </c>
      <c r="L5192">
        <v>20</v>
      </c>
      <c r="M5192">
        <v>20</v>
      </c>
    </row>
    <row r="5193" spans="1:13" x14ac:dyDescent="0.25">
      <c r="A5193">
        <v>55573876</v>
      </c>
      <c r="B5193" t="s">
        <v>11469</v>
      </c>
      <c r="C5193" t="s">
        <v>20</v>
      </c>
      <c r="D5193" t="s">
        <v>385</v>
      </c>
      <c r="F5193">
        <v>1</v>
      </c>
      <c r="G5193" t="s">
        <v>16</v>
      </c>
      <c r="H5193">
        <v>0</v>
      </c>
      <c r="I5193" s="2" t="s">
        <v>497</v>
      </c>
      <c r="J5193" s="2">
        <v>55573876</v>
      </c>
      <c r="K5193">
        <v>20</v>
      </c>
      <c r="L5193">
        <v>20</v>
      </c>
      <c r="M5193">
        <v>20</v>
      </c>
    </row>
    <row r="5194" spans="1:13" x14ac:dyDescent="0.25">
      <c r="A5194" t="s">
        <v>11470</v>
      </c>
      <c r="B5194" t="s">
        <v>11471</v>
      </c>
      <c r="C5194" t="s">
        <v>20</v>
      </c>
      <c r="D5194" t="s">
        <v>385</v>
      </c>
      <c r="F5194">
        <v>1</v>
      </c>
      <c r="G5194" t="s">
        <v>16</v>
      </c>
      <c r="H5194">
        <v>0</v>
      </c>
      <c r="I5194" s="2" t="s">
        <v>437</v>
      </c>
      <c r="J5194" s="2">
        <v>558008310</v>
      </c>
      <c r="K5194">
        <v>20</v>
      </c>
      <c r="L5194">
        <v>20</v>
      </c>
      <c r="M5194">
        <v>20</v>
      </c>
    </row>
    <row r="5195" spans="1:13" x14ac:dyDescent="0.25">
      <c r="A5195">
        <v>55573877</v>
      </c>
      <c r="B5195" t="s">
        <v>11472</v>
      </c>
      <c r="C5195" t="s">
        <v>20</v>
      </c>
      <c r="D5195" t="s">
        <v>385</v>
      </c>
      <c r="F5195">
        <v>1</v>
      </c>
      <c r="G5195" t="s">
        <v>16</v>
      </c>
      <c r="H5195">
        <v>0</v>
      </c>
      <c r="I5195" s="2" t="s">
        <v>497</v>
      </c>
      <c r="J5195" s="2">
        <v>55573877</v>
      </c>
      <c r="K5195">
        <v>20</v>
      </c>
      <c r="L5195">
        <v>20</v>
      </c>
      <c r="M5195">
        <v>20</v>
      </c>
    </row>
    <row r="5196" spans="1:13" x14ac:dyDescent="0.25">
      <c r="A5196" t="s">
        <v>11473</v>
      </c>
      <c r="B5196" t="s">
        <v>11474</v>
      </c>
      <c r="C5196" t="s">
        <v>20</v>
      </c>
      <c r="D5196" t="s">
        <v>26</v>
      </c>
      <c r="G5196" t="s">
        <v>16</v>
      </c>
      <c r="H5196">
        <v>0</v>
      </c>
      <c r="K5196">
        <v>20</v>
      </c>
      <c r="L5196">
        <v>20</v>
      </c>
      <c r="M5196">
        <v>20</v>
      </c>
    </row>
    <row r="5197" spans="1:13" x14ac:dyDescent="0.25">
      <c r="A5197">
        <v>55574129</v>
      </c>
      <c r="B5197" t="s">
        <v>11475</v>
      </c>
      <c r="C5197" t="s">
        <v>20</v>
      </c>
      <c r="G5197" t="s">
        <v>16</v>
      </c>
      <c r="H5197">
        <v>0</v>
      </c>
      <c r="I5197" s="2" t="s">
        <v>497</v>
      </c>
      <c r="J5197" s="2">
        <v>55574129</v>
      </c>
      <c r="K5197">
        <v>20</v>
      </c>
      <c r="L5197">
        <v>20</v>
      </c>
      <c r="M5197">
        <v>20</v>
      </c>
    </row>
    <row r="5198" spans="1:13" x14ac:dyDescent="0.25">
      <c r="A5198" t="s">
        <v>11476</v>
      </c>
      <c r="B5198" t="s">
        <v>11475</v>
      </c>
      <c r="C5198" t="s">
        <v>20</v>
      </c>
      <c r="F5198">
        <v>3</v>
      </c>
      <c r="G5198" t="s">
        <v>16</v>
      </c>
      <c r="H5198">
        <v>0</v>
      </c>
      <c r="K5198">
        <v>20</v>
      </c>
      <c r="L5198">
        <v>20</v>
      </c>
      <c r="M5198">
        <v>20</v>
      </c>
    </row>
    <row r="5199" spans="1:13" x14ac:dyDescent="0.25">
      <c r="A5199">
        <v>55574522</v>
      </c>
      <c r="B5199" t="s">
        <v>11477</v>
      </c>
      <c r="C5199" t="s">
        <v>20</v>
      </c>
      <c r="D5199" t="s">
        <v>26</v>
      </c>
      <c r="F5199">
        <v>1</v>
      </c>
      <c r="G5199" t="s">
        <v>16</v>
      </c>
      <c r="H5199">
        <v>0</v>
      </c>
      <c r="I5199" s="2" t="s">
        <v>497</v>
      </c>
      <c r="J5199" s="2">
        <v>55574522</v>
      </c>
      <c r="K5199">
        <v>20</v>
      </c>
      <c r="L5199">
        <v>20</v>
      </c>
      <c r="M5199">
        <v>20</v>
      </c>
    </row>
    <row r="5200" spans="1:13" x14ac:dyDescent="0.25">
      <c r="A5200" t="s">
        <v>11478</v>
      </c>
      <c r="B5200" t="s">
        <v>11479</v>
      </c>
      <c r="C5200" t="s">
        <v>20</v>
      </c>
      <c r="F5200">
        <v>2</v>
      </c>
      <c r="G5200" t="s">
        <v>16</v>
      </c>
      <c r="H5200">
        <v>0</v>
      </c>
      <c r="I5200" s="2" t="s">
        <v>73</v>
      </c>
      <c r="J5200" s="2">
        <v>49416344</v>
      </c>
      <c r="K5200">
        <v>20</v>
      </c>
      <c r="L5200">
        <v>20</v>
      </c>
      <c r="M5200">
        <v>20</v>
      </c>
    </row>
    <row r="5201" spans="1:13" x14ac:dyDescent="0.25">
      <c r="A5201" t="s">
        <v>11480</v>
      </c>
      <c r="B5201" t="s">
        <v>11481</v>
      </c>
      <c r="C5201" t="s">
        <v>151</v>
      </c>
      <c r="D5201" t="s">
        <v>6316</v>
      </c>
      <c r="G5201" t="s">
        <v>16</v>
      </c>
      <c r="H5201">
        <v>0</v>
      </c>
      <c r="I5201" s="2" t="s">
        <v>639</v>
      </c>
      <c r="J5201" s="2" t="s">
        <v>11482</v>
      </c>
      <c r="K5201">
        <v>20</v>
      </c>
      <c r="L5201">
        <v>20</v>
      </c>
      <c r="M5201">
        <v>20</v>
      </c>
    </row>
    <row r="5202" spans="1:13" x14ac:dyDescent="0.25">
      <c r="A5202">
        <v>55575435</v>
      </c>
      <c r="B5202" t="s">
        <v>11483</v>
      </c>
      <c r="C5202" t="s">
        <v>241</v>
      </c>
      <c r="D5202" t="s">
        <v>242</v>
      </c>
      <c r="F5202">
        <v>1</v>
      </c>
      <c r="G5202" t="s">
        <v>16</v>
      </c>
      <c r="H5202">
        <v>0</v>
      </c>
      <c r="I5202" s="2" t="s">
        <v>497</v>
      </c>
      <c r="J5202" s="2">
        <v>55575435</v>
      </c>
      <c r="K5202">
        <v>20</v>
      </c>
      <c r="L5202">
        <v>20</v>
      </c>
      <c r="M5202">
        <v>20</v>
      </c>
    </row>
    <row r="5203" spans="1:13" x14ac:dyDescent="0.25">
      <c r="A5203">
        <v>55575505</v>
      </c>
      <c r="B5203" t="s">
        <v>11484</v>
      </c>
      <c r="C5203" t="s">
        <v>20</v>
      </c>
      <c r="D5203" t="s">
        <v>26</v>
      </c>
      <c r="G5203" t="s">
        <v>16</v>
      </c>
      <c r="H5203">
        <v>0</v>
      </c>
      <c r="I5203" s="2" t="s">
        <v>1444</v>
      </c>
      <c r="J5203" s="2">
        <v>55575505</v>
      </c>
      <c r="K5203">
        <v>20</v>
      </c>
      <c r="L5203">
        <v>20</v>
      </c>
      <c r="M5203">
        <v>20</v>
      </c>
    </row>
    <row r="5204" spans="1:13" x14ac:dyDescent="0.25">
      <c r="A5204" t="s">
        <v>11485</v>
      </c>
      <c r="B5204" t="s">
        <v>11486</v>
      </c>
      <c r="C5204" t="s">
        <v>20</v>
      </c>
      <c r="D5204" t="s">
        <v>26</v>
      </c>
      <c r="G5204" t="s">
        <v>16</v>
      </c>
      <c r="H5204">
        <v>0</v>
      </c>
      <c r="I5204" s="2" t="s">
        <v>99</v>
      </c>
      <c r="J5204" s="3">
        <v>850980</v>
      </c>
      <c r="K5204">
        <v>20</v>
      </c>
      <c r="L5204">
        <v>20</v>
      </c>
      <c r="M5204">
        <v>20</v>
      </c>
    </row>
    <row r="5205" spans="1:13" x14ac:dyDescent="0.25">
      <c r="A5205" t="s">
        <v>11487</v>
      </c>
      <c r="B5205" t="s">
        <v>11484</v>
      </c>
      <c r="C5205" t="s">
        <v>20</v>
      </c>
      <c r="D5205" t="s">
        <v>26</v>
      </c>
      <c r="G5205" t="s">
        <v>16</v>
      </c>
      <c r="H5205">
        <v>0</v>
      </c>
      <c r="K5205">
        <v>20</v>
      </c>
      <c r="L5205">
        <v>20</v>
      </c>
      <c r="M5205">
        <v>20</v>
      </c>
    </row>
    <row r="5206" spans="1:13" x14ac:dyDescent="0.25">
      <c r="A5206">
        <v>55575624</v>
      </c>
      <c r="B5206" t="s">
        <v>11488</v>
      </c>
      <c r="C5206" t="s">
        <v>20</v>
      </c>
      <c r="G5206" t="s">
        <v>16</v>
      </c>
      <c r="H5206">
        <v>0</v>
      </c>
      <c r="I5206" s="2" t="s">
        <v>497</v>
      </c>
      <c r="J5206" s="2">
        <v>55575624</v>
      </c>
      <c r="K5206">
        <v>20</v>
      </c>
      <c r="L5206">
        <v>20</v>
      </c>
      <c r="M5206">
        <v>20</v>
      </c>
    </row>
    <row r="5207" spans="1:13" x14ac:dyDescent="0.25">
      <c r="A5207" t="s">
        <v>11489</v>
      </c>
      <c r="B5207" t="s">
        <v>11490</v>
      </c>
      <c r="C5207" t="s">
        <v>20</v>
      </c>
      <c r="D5207" t="s">
        <v>26</v>
      </c>
      <c r="G5207" t="s">
        <v>16</v>
      </c>
      <c r="H5207">
        <v>0</v>
      </c>
      <c r="K5207">
        <v>20</v>
      </c>
      <c r="L5207">
        <v>20</v>
      </c>
      <c r="M5207">
        <v>20</v>
      </c>
    </row>
    <row r="5208" spans="1:13" x14ac:dyDescent="0.25">
      <c r="A5208">
        <v>55576356</v>
      </c>
      <c r="B5208" t="s">
        <v>11491</v>
      </c>
      <c r="C5208" t="s">
        <v>151</v>
      </c>
      <c r="D5208" t="s">
        <v>6316</v>
      </c>
      <c r="F5208">
        <v>1</v>
      </c>
      <c r="G5208" t="s">
        <v>16</v>
      </c>
      <c r="H5208">
        <v>0</v>
      </c>
      <c r="I5208" s="2" t="s">
        <v>1444</v>
      </c>
      <c r="J5208" s="2">
        <v>55576356</v>
      </c>
      <c r="K5208">
        <v>20</v>
      </c>
      <c r="L5208">
        <v>20</v>
      </c>
      <c r="M5208">
        <v>20</v>
      </c>
    </row>
    <row r="5209" spans="1:13" x14ac:dyDescent="0.25">
      <c r="A5209" t="s">
        <v>11492</v>
      </c>
      <c r="B5209" t="s">
        <v>11493</v>
      </c>
      <c r="C5209" t="s">
        <v>20</v>
      </c>
      <c r="D5209" t="s">
        <v>26</v>
      </c>
      <c r="G5209" t="s">
        <v>16</v>
      </c>
      <c r="H5209">
        <v>0</v>
      </c>
      <c r="K5209">
        <v>20</v>
      </c>
      <c r="L5209">
        <v>20</v>
      </c>
      <c r="M5209">
        <v>20</v>
      </c>
    </row>
    <row r="5210" spans="1:13" x14ac:dyDescent="0.25">
      <c r="A5210" t="s">
        <v>11494</v>
      </c>
      <c r="B5210" t="s">
        <v>11495</v>
      </c>
      <c r="C5210" t="s">
        <v>20</v>
      </c>
      <c r="D5210" t="s">
        <v>26</v>
      </c>
      <c r="G5210" t="s">
        <v>16</v>
      </c>
      <c r="H5210">
        <v>0</v>
      </c>
      <c r="K5210">
        <v>20</v>
      </c>
      <c r="L5210">
        <v>20</v>
      </c>
      <c r="M5210">
        <v>20</v>
      </c>
    </row>
    <row r="5211" spans="1:13" x14ac:dyDescent="0.25">
      <c r="A5211" t="s">
        <v>11496</v>
      </c>
      <c r="B5211" t="s">
        <v>11497</v>
      </c>
      <c r="C5211" t="s">
        <v>20</v>
      </c>
      <c r="F5211">
        <v>1</v>
      </c>
      <c r="G5211" t="s">
        <v>16</v>
      </c>
      <c r="H5211">
        <v>0</v>
      </c>
      <c r="I5211" s="2" t="s">
        <v>500</v>
      </c>
      <c r="J5211" s="2" t="s">
        <v>11498</v>
      </c>
      <c r="K5211">
        <v>20</v>
      </c>
      <c r="L5211">
        <v>20</v>
      </c>
      <c r="M5211">
        <v>20</v>
      </c>
    </row>
    <row r="5212" spans="1:13" x14ac:dyDescent="0.25">
      <c r="A5212" t="s">
        <v>11499</v>
      </c>
      <c r="B5212" t="s">
        <v>11501</v>
      </c>
      <c r="C5212" t="s">
        <v>20</v>
      </c>
      <c r="D5212" t="s">
        <v>26</v>
      </c>
      <c r="G5212" t="s">
        <v>16</v>
      </c>
      <c r="H5212">
        <v>0</v>
      </c>
      <c r="I5212" s="2" t="s">
        <v>142</v>
      </c>
      <c r="J5212" s="2" t="s">
        <v>11500</v>
      </c>
      <c r="K5212">
        <v>20</v>
      </c>
      <c r="L5212">
        <v>20</v>
      </c>
      <c r="M5212">
        <v>20</v>
      </c>
    </row>
    <row r="5213" spans="1:13" x14ac:dyDescent="0.25">
      <c r="A5213" t="s">
        <v>11502</v>
      </c>
      <c r="B5213" t="s">
        <v>11503</v>
      </c>
      <c r="C5213" t="s">
        <v>20</v>
      </c>
      <c r="D5213" t="s">
        <v>26</v>
      </c>
      <c r="F5213">
        <v>2</v>
      </c>
      <c r="G5213" t="s">
        <v>16</v>
      </c>
      <c r="H5213">
        <v>0</v>
      </c>
      <c r="I5213" s="2" t="s">
        <v>99</v>
      </c>
      <c r="J5213" s="3">
        <v>534340</v>
      </c>
      <c r="K5213">
        <v>20</v>
      </c>
      <c r="L5213">
        <v>20</v>
      </c>
      <c r="M5213">
        <v>20</v>
      </c>
    </row>
    <row r="5214" spans="1:13" x14ac:dyDescent="0.25">
      <c r="A5214" t="s">
        <v>11504</v>
      </c>
      <c r="B5214" t="s">
        <v>11505</v>
      </c>
      <c r="C5214" t="s">
        <v>20</v>
      </c>
      <c r="D5214" t="s">
        <v>26</v>
      </c>
      <c r="G5214" t="s">
        <v>16</v>
      </c>
      <c r="H5214">
        <v>0</v>
      </c>
      <c r="K5214">
        <v>20</v>
      </c>
      <c r="L5214">
        <v>20</v>
      </c>
      <c r="M5214">
        <v>20</v>
      </c>
    </row>
    <row r="5215" spans="1:13" x14ac:dyDescent="0.25">
      <c r="A5215" t="s">
        <v>11506</v>
      </c>
      <c r="B5215" t="s">
        <v>11507</v>
      </c>
      <c r="C5215" t="s">
        <v>20</v>
      </c>
      <c r="D5215" t="s">
        <v>26</v>
      </c>
      <c r="G5215" t="s">
        <v>16</v>
      </c>
      <c r="H5215">
        <v>0</v>
      </c>
      <c r="I5215" s="2" t="s">
        <v>500</v>
      </c>
      <c r="J5215" s="2" t="s">
        <v>11508</v>
      </c>
      <c r="K5215">
        <v>20</v>
      </c>
      <c r="L5215">
        <v>20</v>
      </c>
      <c r="M5215">
        <v>20</v>
      </c>
    </row>
    <row r="5216" spans="1:13" x14ac:dyDescent="0.25">
      <c r="A5216">
        <v>55581175</v>
      </c>
      <c r="B5216" t="s">
        <v>11509</v>
      </c>
      <c r="C5216" t="s">
        <v>20</v>
      </c>
      <c r="G5216" t="s">
        <v>16</v>
      </c>
      <c r="H5216">
        <v>0</v>
      </c>
      <c r="I5216" s="2" t="s">
        <v>497</v>
      </c>
      <c r="J5216" s="2">
        <v>55581175</v>
      </c>
      <c r="K5216">
        <v>20</v>
      </c>
      <c r="L5216">
        <v>20</v>
      </c>
      <c r="M5216">
        <v>20</v>
      </c>
    </row>
    <row r="5217" spans="1:13" x14ac:dyDescent="0.25">
      <c r="A5217" t="s">
        <v>11510</v>
      </c>
      <c r="B5217" t="s">
        <v>11511</v>
      </c>
      <c r="C5217" t="s">
        <v>20</v>
      </c>
      <c r="D5217" t="s">
        <v>26</v>
      </c>
      <c r="G5217" t="s">
        <v>16</v>
      </c>
      <c r="H5217">
        <v>0</v>
      </c>
      <c r="I5217" s="2" t="s">
        <v>97</v>
      </c>
      <c r="J5217" s="3">
        <v>558150</v>
      </c>
      <c r="K5217">
        <v>20</v>
      </c>
      <c r="L5217">
        <v>20</v>
      </c>
      <c r="M5217">
        <v>20</v>
      </c>
    </row>
    <row r="5218" spans="1:13" x14ac:dyDescent="0.25">
      <c r="A5218" t="s">
        <v>11512</v>
      </c>
      <c r="B5218" t="s">
        <v>11513</v>
      </c>
      <c r="C5218" t="s">
        <v>241</v>
      </c>
      <c r="D5218" t="s">
        <v>2216</v>
      </c>
      <c r="F5218">
        <v>3</v>
      </c>
      <c r="G5218" t="s">
        <v>16</v>
      </c>
      <c r="H5218">
        <v>0</v>
      </c>
      <c r="K5218">
        <v>20</v>
      </c>
      <c r="L5218">
        <v>20</v>
      </c>
      <c r="M5218">
        <v>20</v>
      </c>
    </row>
    <row r="5219" spans="1:13" x14ac:dyDescent="0.25">
      <c r="A5219" t="s">
        <v>11514</v>
      </c>
      <c r="B5219" t="s">
        <v>11515</v>
      </c>
      <c r="C5219" t="s">
        <v>241</v>
      </c>
      <c r="D5219" t="s">
        <v>244</v>
      </c>
      <c r="F5219">
        <v>2</v>
      </c>
      <c r="G5219" t="s">
        <v>16</v>
      </c>
      <c r="H5219">
        <v>0</v>
      </c>
      <c r="I5219" s="2" t="s">
        <v>1444</v>
      </c>
      <c r="J5219" s="2">
        <v>55587854</v>
      </c>
      <c r="K5219">
        <v>20</v>
      </c>
      <c r="L5219">
        <v>20</v>
      </c>
      <c r="M5219">
        <v>20</v>
      </c>
    </row>
    <row r="5220" spans="1:13" x14ac:dyDescent="0.25">
      <c r="A5220" t="s">
        <v>11516</v>
      </c>
      <c r="B5220" t="s">
        <v>11517</v>
      </c>
      <c r="C5220" t="s">
        <v>20</v>
      </c>
      <c r="F5220">
        <v>1</v>
      </c>
      <c r="G5220" t="s">
        <v>16</v>
      </c>
      <c r="H5220">
        <v>0</v>
      </c>
      <c r="K5220">
        <v>20</v>
      </c>
      <c r="L5220">
        <v>20</v>
      </c>
      <c r="M5220">
        <v>20</v>
      </c>
    </row>
    <row r="5221" spans="1:13" x14ac:dyDescent="0.25">
      <c r="A5221" t="s">
        <v>11518</v>
      </c>
      <c r="B5221" t="s">
        <v>11519</v>
      </c>
      <c r="C5221" t="s">
        <v>20</v>
      </c>
      <c r="F5221">
        <v>0</v>
      </c>
      <c r="G5221" t="s">
        <v>16</v>
      </c>
      <c r="H5221">
        <v>0</v>
      </c>
      <c r="I5221" s="2" t="s">
        <v>35</v>
      </c>
      <c r="J5221" s="2" t="s">
        <v>11520</v>
      </c>
      <c r="K5221">
        <v>20</v>
      </c>
      <c r="L5221">
        <v>20</v>
      </c>
      <c r="M5221">
        <v>20</v>
      </c>
    </row>
    <row r="5222" spans="1:13" x14ac:dyDescent="0.25">
      <c r="A5222" t="s">
        <v>11521</v>
      </c>
      <c r="B5222" t="s">
        <v>11522</v>
      </c>
      <c r="C5222" t="s">
        <v>20</v>
      </c>
      <c r="D5222" t="s">
        <v>26</v>
      </c>
      <c r="F5222">
        <v>1</v>
      </c>
      <c r="G5222" t="s">
        <v>16</v>
      </c>
      <c r="H5222">
        <v>0</v>
      </c>
      <c r="I5222" s="2" t="s">
        <v>2542</v>
      </c>
      <c r="J5222" s="2">
        <v>55589549</v>
      </c>
      <c r="K5222">
        <v>20</v>
      </c>
      <c r="L5222">
        <v>20</v>
      </c>
      <c r="M5222">
        <v>20</v>
      </c>
    </row>
    <row r="5223" spans="1:13" x14ac:dyDescent="0.25">
      <c r="A5223" t="s">
        <v>11523</v>
      </c>
      <c r="B5223" t="s">
        <v>11524</v>
      </c>
      <c r="C5223" t="s">
        <v>20</v>
      </c>
      <c r="D5223" t="s">
        <v>899</v>
      </c>
      <c r="G5223" t="s">
        <v>16</v>
      </c>
      <c r="H5223">
        <v>0</v>
      </c>
      <c r="I5223" s="2" t="s">
        <v>383</v>
      </c>
      <c r="J5223" s="2">
        <v>1987946086</v>
      </c>
      <c r="K5223">
        <v>20</v>
      </c>
      <c r="L5223">
        <v>20</v>
      </c>
      <c r="M5223">
        <v>20</v>
      </c>
    </row>
    <row r="5224" spans="1:13" x14ac:dyDescent="0.25">
      <c r="A5224" t="s">
        <v>11525</v>
      </c>
      <c r="B5224" t="s">
        <v>11526</v>
      </c>
      <c r="C5224" t="s">
        <v>20</v>
      </c>
      <c r="D5224" t="s">
        <v>26</v>
      </c>
      <c r="G5224" t="s">
        <v>16</v>
      </c>
      <c r="H5224">
        <v>0</v>
      </c>
      <c r="I5224" s="2" t="s">
        <v>80</v>
      </c>
      <c r="J5224" s="2" t="s">
        <v>11527</v>
      </c>
      <c r="K5224">
        <v>20</v>
      </c>
      <c r="L5224">
        <v>20</v>
      </c>
      <c r="M5224">
        <v>20</v>
      </c>
    </row>
    <row r="5225" spans="1:13" x14ac:dyDescent="0.25">
      <c r="A5225" t="s">
        <v>11528</v>
      </c>
      <c r="B5225" t="s">
        <v>11530</v>
      </c>
      <c r="C5225" t="s">
        <v>357</v>
      </c>
      <c r="D5225" t="s">
        <v>241</v>
      </c>
      <c r="G5225" t="s">
        <v>16</v>
      </c>
      <c r="H5225">
        <v>0</v>
      </c>
      <c r="I5225" s="2" t="s">
        <v>2987</v>
      </c>
      <c r="J5225" s="2" t="s">
        <v>11529</v>
      </c>
      <c r="K5225">
        <v>20</v>
      </c>
      <c r="L5225">
        <v>20</v>
      </c>
      <c r="M5225">
        <v>20</v>
      </c>
    </row>
    <row r="5226" spans="1:13" x14ac:dyDescent="0.25">
      <c r="A5226" t="s">
        <v>11531</v>
      </c>
      <c r="B5226" t="s">
        <v>11532</v>
      </c>
      <c r="C5226" t="s">
        <v>151</v>
      </c>
      <c r="D5226" t="s">
        <v>11302</v>
      </c>
      <c r="F5226">
        <v>0</v>
      </c>
      <c r="G5226" t="s">
        <v>16</v>
      </c>
      <c r="H5226">
        <v>0</v>
      </c>
      <c r="I5226" s="2" t="s">
        <v>639</v>
      </c>
      <c r="J5226" s="2" t="s">
        <v>11533</v>
      </c>
      <c r="K5226">
        <v>20</v>
      </c>
      <c r="L5226">
        <v>20</v>
      </c>
      <c r="M5226">
        <v>20</v>
      </c>
    </row>
    <row r="5227" spans="1:13" x14ac:dyDescent="0.25">
      <c r="A5227" t="s">
        <v>11534</v>
      </c>
      <c r="B5227" t="s">
        <v>11535</v>
      </c>
      <c r="C5227" t="s">
        <v>241</v>
      </c>
      <c r="D5227" t="s">
        <v>244</v>
      </c>
      <c r="F5227">
        <v>1</v>
      </c>
      <c r="G5227" t="s">
        <v>16</v>
      </c>
      <c r="H5227">
        <v>0</v>
      </c>
      <c r="I5227" s="2" t="s">
        <v>497</v>
      </c>
      <c r="J5227" s="2">
        <v>55592600</v>
      </c>
      <c r="K5227">
        <v>20</v>
      </c>
      <c r="L5227">
        <v>20</v>
      </c>
      <c r="M5227">
        <v>20</v>
      </c>
    </row>
    <row r="5228" spans="1:13" x14ac:dyDescent="0.25">
      <c r="A5228">
        <v>55595279</v>
      </c>
      <c r="B5228" t="s">
        <v>11536</v>
      </c>
      <c r="C5228" t="s">
        <v>20</v>
      </c>
      <c r="G5228" t="s">
        <v>16</v>
      </c>
      <c r="H5228">
        <v>0</v>
      </c>
      <c r="I5228" s="2" t="s">
        <v>1444</v>
      </c>
      <c r="J5228" s="2">
        <v>55595279</v>
      </c>
      <c r="K5228">
        <v>20</v>
      </c>
      <c r="L5228">
        <v>20</v>
      </c>
      <c r="M5228">
        <v>20</v>
      </c>
    </row>
    <row r="5229" spans="1:13" x14ac:dyDescent="0.25">
      <c r="A5229">
        <v>55595532</v>
      </c>
      <c r="B5229" t="s">
        <v>11537</v>
      </c>
      <c r="C5229" t="s">
        <v>20</v>
      </c>
      <c r="D5229" t="s">
        <v>597</v>
      </c>
      <c r="G5229" t="s">
        <v>16</v>
      </c>
      <c r="H5229">
        <v>0</v>
      </c>
      <c r="I5229" s="2" t="s">
        <v>497</v>
      </c>
      <c r="J5229" s="2" t="s">
        <v>11538</v>
      </c>
      <c r="K5229">
        <v>20</v>
      </c>
      <c r="L5229">
        <v>20</v>
      </c>
      <c r="M5229">
        <v>20</v>
      </c>
    </row>
    <row r="5230" spans="1:13" x14ac:dyDescent="0.25">
      <c r="A5230" t="s">
        <v>11539</v>
      </c>
      <c r="B5230" t="s">
        <v>11537</v>
      </c>
      <c r="C5230" t="s">
        <v>20</v>
      </c>
      <c r="D5230" t="s">
        <v>597</v>
      </c>
      <c r="F5230">
        <v>1</v>
      </c>
      <c r="G5230" t="s">
        <v>16</v>
      </c>
      <c r="H5230">
        <v>0</v>
      </c>
      <c r="I5230" s="2" t="s">
        <v>3286</v>
      </c>
      <c r="J5230" s="2" t="s">
        <v>11540</v>
      </c>
      <c r="K5230">
        <v>20</v>
      </c>
      <c r="L5230">
        <v>20</v>
      </c>
      <c r="M5230">
        <v>20</v>
      </c>
    </row>
    <row r="5231" spans="1:13" x14ac:dyDescent="0.25">
      <c r="A5231" t="s">
        <v>11541</v>
      </c>
      <c r="B5231" t="s">
        <v>11542</v>
      </c>
      <c r="C5231" t="s">
        <v>20</v>
      </c>
      <c r="D5231" t="s">
        <v>26</v>
      </c>
      <c r="G5231" t="s">
        <v>16</v>
      </c>
      <c r="H5231">
        <v>0</v>
      </c>
      <c r="I5231" s="2" t="s">
        <v>99</v>
      </c>
      <c r="J5231" s="3">
        <v>515300</v>
      </c>
      <c r="K5231">
        <v>20</v>
      </c>
      <c r="L5231">
        <v>20</v>
      </c>
      <c r="M5231">
        <v>20</v>
      </c>
    </row>
    <row r="5232" spans="1:13" x14ac:dyDescent="0.25">
      <c r="A5232" t="s">
        <v>11543</v>
      </c>
      <c r="B5232" t="s">
        <v>11544</v>
      </c>
      <c r="C5232" t="s">
        <v>20</v>
      </c>
      <c r="D5232" t="s">
        <v>26</v>
      </c>
      <c r="G5232" t="s">
        <v>16</v>
      </c>
      <c r="H5232">
        <v>0</v>
      </c>
      <c r="I5232" s="2" t="s">
        <v>99</v>
      </c>
      <c r="J5232" s="3">
        <v>562000</v>
      </c>
      <c r="K5232">
        <v>20</v>
      </c>
      <c r="L5232">
        <v>20</v>
      </c>
      <c r="M5232">
        <v>20</v>
      </c>
    </row>
    <row r="5233" spans="1:13" x14ac:dyDescent="0.25">
      <c r="A5233">
        <v>55596894</v>
      </c>
      <c r="B5233" t="s">
        <v>11545</v>
      </c>
      <c r="C5233" t="s">
        <v>20</v>
      </c>
      <c r="F5233">
        <v>1</v>
      </c>
      <c r="G5233" t="s">
        <v>16</v>
      </c>
      <c r="H5233">
        <v>0</v>
      </c>
      <c r="I5233" s="2" t="s">
        <v>497</v>
      </c>
      <c r="J5233" s="2">
        <v>55596894</v>
      </c>
      <c r="K5233">
        <v>20</v>
      </c>
      <c r="L5233">
        <v>20</v>
      </c>
      <c r="M5233">
        <v>20</v>
      </c>
    </row>
    <row r="5234" spans="1:13" x14ac:dyDescent="0.25">
      <c r="A5234" t="s">
        <v>11546</v>
      </c>
      <c r="B5234" t="s">
        <v>11548</v>
      </c>
      <c r="C5234" t="s">
        <v>20</v>
      </c>
      <c r="D5234" t="s">
        <v>26</v>
      </c>
      <c r="G5234" t="s">
        <v>16</v>
      </c>
      <c r="H5234">
        <v>0</v>
      </c>
      <c r="I5234" s="2" t="s">
        <v>142</v>
      </c>
      <c r="J5234" s="2" t="s">
        <v>11547</v>
      </c>
      <c r="K5234">
        <v>20</v>
      </c>
      <c r="L5234">
        <v>20</v>
      </c>
      <c r="M5234">
        <v>20</v>
      </c>
    </row>
    <row r="5235" spans="1:13" x14ac:dyDescent="0.25">
      <c r="A5235" t="s">
        <v>11549</v>
      </c>
      <c r="B5235" t="s">
        <v>11548</v>
      </c>
      <c r="C5235" t="s">
        <v>20</v>
      </c>
      <c r="D5235" t="s">
        <v>26</v>
      </c>
      <c r="F5235">
        <v>1</v>
      </c>
      <c r="G5235" t="s">
        <v>16</v>
      </c>
      <c r="H5235">
        <v>0</v>
      </c>
      <c r="I5235" s="2" t="s">
        <v>99</v>
      </c>
      <c r="J5235" s="3">
        <v>533600</v>
      </c>
      <c r="K5235">
        <v>20</v>
      </c>
      <c r="L5235">
        <v>20</v>
      </c>
      <c r="M5235">
        <v>20</v>
      </c>
    </row>
    <row r="5236" spans="1:13" x14ac:dyDescent="0.25">
      <c r="A5236" t="s">
        <v>11550</v>
      </c>
      <c r="B5236" t="s">
        <v>11548</v>
      </c>
      <c r="C5236" t="s">
        <v>20</v>
      </c>
      <c r="D5236" t="s">
        <v>26</v>
      </c>
      <c r="G5236" t="s">
        <v>16</v>
      </c>
      <c r="H5236">
        <v>0</v>
      </c>
      <c r="I5236" s="2" t="s">
        <v>3528</v>
      </c>
      <c r="J5236" s="2">
        <v>2115</v>
      </c>
      <c r="K5236">
        <v>20</v>
      </c>
      <c r="L5236">
        <v>20</v>
      </c>
      <c r="M5236">
        <v>20</v>
      </c>
    </row>
    <row r="5237" spans="1:13" x14ac:dyDescent="0.25">
      <c r="A5237" t="s">
        <v>11551</v>
      </c>
      <c r="B5237" t="s">
        <v>11548</v>
      </c>
      <c r="C5237" t="s">
        <v>20</v>
      </c>
      <c r="D5237" t="s">
        <v>26</v>
      </c>
      <c r="G5237" t="s">
        <v>16</v>
      </c>
      <c r="H5237">
        <v>0</v>
      </c>
      <c r="K5237">
        <v>20</v>
      </c>
      <c r="L5237">
        <v>20</v>
      </c>
      <c r="M5237">
        <v>20</v>
      </c>
    </row>
    <row r="5238" spans="1:13" x14ac:dyDescent="0.25">
      <c r="A5238" t="s">
        <v>11552</v>
      </c>
      <c r="B5238" t="s">
        <v>11553</v>
      </c>
      <c r="C5238" t="s">
        <v>20</v>
      </c>
      <c r="F5238">
        <v>0</v>
      </c>
      <c r="G5238" t="s">
        <v>22</v>
      </c>
      <c r="H5238">
        <v>0</v>
      </c>
      <c r="I5238" s="2" t="s">
        <v>83</v>
      </c>
      <c r="J5238" s="2" t="s">
        <v>11554</v>
      </c>
      <c r="K5238">
        <v>20</v>
      </c>
      <c r="L5238">
        <v>20</v>
      </c>
      <c r="M5238">
        <v>20</v>
      </c>
    </row>
    <row r="5239" spans="1:13" x14ac:dyDescent="0.25">
      <c r="A5239">
        <v>55598682</v>
      </c>
      <c r="B5239" t="s">
        <v>11555</v>
      </c>
      <c r="C5239" t="s">
        <v>357</v>
      </c>
      <c r="D5239" t="s">
        <v>358</v>
      </c>
      <c r="F5239">
        <v>1</v>
      </c>
      <c r="G5239" t="s">
        <v>16</v>
      </c>
      <c r="H5239">
        <v>0</v>
      </c>
      <c r="I5239" s="2" t="s">
        <v>497</v>
      </c>
      <c r="J5239" s="2">
        <v>55598682</v>
      </c>
      <c r="K5239">
        <v>20</v>
      </c>
      <c r="L5239">
        <v>20</v>
      </c>
      <c r="M5239">
        <v>20</v>
      </c>
    </row>
    <row r="5240" spans="1:13" x14ac:dyDescent="0.25">
      <c r="A5240" t="s">
        <v>11556</v>
      </c>
      <c r="B5240" t="s">
        <v>11557</v>
      </c>
      <c r="C5240" t="s">
        <v>362</v>
      </c>
      <c r="F5240">
        <v>1</v>
      </c>
      <c r="G5240" t="s">
        <v>16</v>
      </c>
      <c r="H5240">
        <v>0</v>
      </c>
      <c r="I5240" s="2" t="s">
        <v>500</v>
      </c>
      <c r="J5240" s="2" t="s">
        <v>11558</v>
      </c>
      <c r="K5240">
        <v>20</v>
      </c>
      <c r="L5240">
        <v>20</v>
      </c>
      <c r="M5240">
        <v>20</v>
      </c>
    </row>
    <row r="5241" spans="1:13" x14ac:dyDescent="0.25">
      <c r="A5241" t="s">
        <v>11559</v>
      </c>
      <c r="B5241" t="s">
        <v>11557</v>
      </c>
      <c r="C5241" t="s">
        <v>362</v>
      </c>
      <c r="G5241" t="s">
        <v>16</v>
      </c>
      <c r="H5241">
        <v>0</v>
      </c>
      <c r="K5241">
        <v>20</v>
      </c>
      <c r="L5241">
        <v>20</v>
      </c>
      <c r="M5241">
        <v>20</v>
      </c>
    </row>
    <row r="5242" spans="1:13" x14ac:dyDescent="0.25">
      <c r="A5242" t="s">
        <v>11560</v>
      </c>
      <c r="B5242" t="s">
        <v>11561</v>
      </c>
      <c r="C5242" t="s">
        <v>362</v>
      </c>
      <c r="G5242" t="s">
        <v>16</v>
      </c>
      <c r="H5242">
        <v>0</v>
      </c>
      <c r="K5242">
        <v>20</v>
      </c>
      <c r="L5242">
        <v>20</v>
      </c>
      <c r="M5242">
        <v>20</v>
      </c>
    </row>
    <row r="5243" spans="1:13" x14ac:dyDescent="0.25">
      <c r="A5243" t="s">
        <v>11562</v>
      </c>
      <c r="B5243" t="s">
        <v>11563</v>
      </c>
      <c r="C5243" t="s">
        <v>1426</v>
      </c>
      <c r="F5243">
        <v>10</v>
      </c>
      <c r="G5243" t="s">
        <v>16</v>
      </c>
      <c r="H5243">
        <v>0</v>
      </c>
      <c r="I5243" s="2" t="s">
        <v>737</v>
      </c>
      <c r="J5243" s="2" t="s">
        <v>11564</v>
      </c>
      <c r="K5243">
        <v>20</v>
      </c>
      <c r="L5243">
        <v>20</v>
      </c>
      <c r="M5243">
        <v>20</v>
      </c>
    </row>
    <row r="5244" spans="1:13" x14ac:dyDescent="0.25">
      <c r="A5244" t="s">
        <v>11565</v>
      </c>
      <c r="B5244" t="s">
        <v>11566</v>
      </c>
      <c r="C5244" t="s">
        <v>362</v>
      </c>
      <c r="D5244" t="s">
        <v>10325</v>
      </c>
      <c r="G5244" t="s">
        <v>16</v>
      </c>
      <c r="H5244">
        <v>0</v>
      </c>
      <c r="I5244" s="2" t="s">
        <v>288</v>
      </c>
      <c r="J5244" s="2">
        <v>420160116</v>
      </c>
      <c r="K5244">
        <v>20</v>
      </c>
      <c r="L5244">
        <v>20</v>
      </c>
      <c r="M5244">
        <v>20</v>
      </c>
    </row>
    <row r="5245" spans="1:13" x14ac:dyDescent="0.25">
      <c r="A5245" t="s">
        <v>11567</v>
      </c>
      <c r="B5245" t="s">
        <v>11568</v>
      </c>
      <c r="C5245" t="s">
        <v>362</v>
      </c>
      <c r="D5245" t="s">
        <v>10325</v>
      </c>
      <c r="G5245" t="s">
        <v>16</v>
      </c>
      <c r="H5245">
        <v>0</v>
      </c>
      <c r="I5245" s="2" t="s">
        <v>288</v>
      </c>
      <c r="J5245" s="2" t="s">
        <v>11569</v>
      </c>
      <c r="K5245">
        <v>20</v>
      </c>
      <c r="L5245">
        <v>20</v>
      </c>
      <c r="M5245">
        <v>20</v>
      </c>
    </row>
    <row r="5246" spans="1:13" x14ac:dyDescent="0.25">
      <c r="A5246" t="s">
        <v>11570</v>
      </c>
      <c r="B5246" t="s">
        <v>11571</v>
      </c>
      <c r="C5246" t="s">
        <v>2493</v>
      </c>
      <c r="G5246" t="s">
        <v>16</v>
      </c>
      <c r="H5246">
        <v>0</v>
      </c>
      <c r="I5246" s="2" t="s">
        <v>737</v>
      </c>
      <c r="J5246" s="2" t="s">
        <v>11572</v>
      </c>
      <c r="K5246">
        <v>20</v>
      </c>
      <c r="L5246">
        <v>20</v>
      </c>
      <c r="M5246">
        <v>20</v>
      </c>
    </row>
    <row r="5247" spans="1:13" x14ac:dyDescent="0.25">
      <c r="A5247" t="s">
        <v>11573</v>
      </c>
      <c r="B5247" t="s">
        <v>11574</v>
      </c>
      <c r="C5247" t="s">
        <v>540</v>
      </c>
      <c r="F5247">
        <v>1</v>
      </c>
      <c r="G5247" t="s">
        <v>16</v>
      </c>
      <c r="H5247">
        <v>0</v>
      </c>
      <c r="I5247" s="2" t="s">
        <v>2896</v>
      </c>
      <c r="J5247" s="2">
        <v>171198</v>
      </c>
      <c r="K5247">
        <v>20</v>
      </c>
      <c r="L5247">
        <v>20</v>
      </c>
      <c r="M5247">
        <v>20</v>
      </c>
    </row>
    <row r="5248" spans="1:13" x14ac:dyDescent="0.25">
      <c r="A5248" t="s">
        <v>11575</v>
      </c>
      <c r="B5248" t="s">
        <v>11576</v>
      </c>
      <c r="C5248" t="s">
        <v>362</v>
      </c>
      <c r="D5248" t="s">
        <v>2545</v>
      </c>
      <c r="F5248">
        <v>1</v>
      </c>
      <c r="G5248" t="s">
        <v>16</v>
      </c>
      <c r="H5248">
        <v>0</v>
      </c>
      <c r="I5248" s="2" t="s">
        <v>11577</v>
      </c>
      <c r="J5248" s="2">
        <v>1927</v>
      </c>
      <c r="K5248">
        <v>20</v>
      </c>
      <c r="L5248">
        <v>20</v>
      </c>
      <c r="M5248">
        <v>20</v>
      </c>
    </row>
    <row r="5249" spans="1:13" x14ac:dyDescent="0.25">
      <c r="A5249" t="s">
        <v>11578</v>
      </c>
      <c r="B5249" t="s">
        <v>11579</v>
      </c>
      <c r="C5249" t="s">
        <v>362</v>
      </c>
      <c r="D5249" t="s">
        <v>2545</v>
      </c>
      <c r="F5249">
        <v>1</v>
      </c>
      <c r="G5249" t="s">
        <v>16</v>
      </c>
      <c r="H5249">
        <v>0</v>
      </c>
      <c r="I5249" s="2" t="s">
        <v>500</v>
      </c>
      <c r="J5249" s="2" t="s">
        <v>11580</v>
      </c>
      <c r="K5249">
        <v>20</v>
      </c>
      <c r="L5249">
        <v>20</v>
      </c>
      <c r="M5249">
        <v>20</v>
      </c>
    </row>
    <row r="5250" spans="1:13" x14ac:dyDescent="0.25">
      <c r="A5250" t="s">
        <v>11581</v>
      </c>
      <c r="B5250" t="s">
        <v>11582</v>
      </c>
      <c r="C5250" t="s">
        <v>362</v>
      </c>
      <c r="D5250" t="s">
        <v>2545</v>
      </c>
      <c r="F5250">
        <v>1</v>
      </c>
      <c r="G5250" t="s">
        <v>16</v>
      </c>
      <c r="H5250">
        <v>0</v>
      </c>
      <c r="I5250" s="2" t="s">
        <v>500</v>
      </c>
      <c r="J5250" s="2" t="s">
        <v>11583</v>
      </c>
      <c r="K5250">
        <v>20</v>
      </c>
      <c r="L5250">
        <v>20</v>
      </c>
      <c r="M5250">
        <v>20</v>
      </c>
    </row>
    <row r="5251" spans="1:13" x14ac:dyDescent="0.25">
      <c r="A5251" t="s">
        <v>11584</v>
      </c>
      <c r="B5251" t="s">
        <v>11585</v>
      </c>
      <c r="C5251" t="s">
        <v>362</v>
      </c>
      <c r="D5251" t="s">
        <v>2545</v>
      </c>
      <c r="F5251">
        <v>1</v>
      </c>
      <c r="G5251" t="s">
        <v>16</v>
      </c>
      <c r="H5251">
        <v>0</v>
      </c>
      <c r="I5251" s="2" t="s">
        <v>2786</v>
      </c>
      <c r="J5251" s="2">
        <v>1880</v>
      </c>
      <c r="K5251">
        <v>20</v>
      </c>
      <c r="L5251">
        <v>20</v>
      </c>
      <c r="M5251">
        <v>20</v>
      </c>
    </row>
    <row r="5252" spans="1:13" x14ac:dyDescent="0.25">
      <c r="A5252" t="s">
        <v>11586</v>
      </c>
      <c r="B5252" t="s">
        <v>11587</v>
      </c>
      <c r="C5252" t="s">
        <v>362</v>
      </c>
      <c r="D5252" t="s">
        <v>2545</v>
      </c>
      <c r="G5252" t="s">
        <v>16</v>
      </c>
      <c r="H5252">
        <v>0</v>
      </c>
      <c r="I5252" s="2" t="s">
        <v>4193</v>
      </c>
      <c r="J5252" s="2" t="s">
        <v>11588</v>
      </c>
      <c r="K5252">
        <v>20</v>
      </c>
      <c r="L5252">
        <v>20</v>
      </c>
      <c r="M5252">
        <v>20</v>
      </c>
    </row>
    <row r="5253" spans="1:13" x14ac:dyDescent="0.25">
      <c r="A5253" t="s">
        <v>11589</v>
      </c>
      <c r="B5253" t="s">
        <v>11587</v>
      </c>
      <c r="C5253" t="s">
        <v>362</v>
      </c>
      <c r="D5253" t="s">
        <v>2545</v>
      </c>
      <c r="F5253">
        <v>1</v>
      </c>
      <c r="G5253" t="s">
        <v>16</v>
      </c>
      <c r="H5253">
        <v>0</v>
      </c>
      <c r="I5253" s="2" t="s">
        <v>6120</v>
      </c>
      <c r="J5253" s="2" t="s">
        <v>11590</v>
      </c>
      <c r="K5253">
        <v>20</v>
      </c>
      <c r="L5253">
        <v>20</v>
      </c>
      <c r="M5253">
        <v>20</v>
      </c>
    </row>
    <row r="5254" spans="1:13" x14ac:dyDescent="0.25">
      <c r="A5254" t="s">
        <v>11591</v>
      </c>
      <c r="B5254" t="s">
        <v>11592</v>
      </c>
      <c r="C5254" t="s">
        <v>362</v>
      </c>
      <c r="D5254" t="s">
        <v>2545</v>
      </c>
      <c r="F5254">
        <v>1</v>
      </c>
      <c r="G5254" t="s">
        <v>16</v>
      </c>
      <c r="H5254">
        <v>0</v>
      </c>
      <c r="I5254" s="2" t="s">
        <v>500</v>
      </c>
      <c r="J5254" s="2" t="s">
        <v>11593</v>
      </c>
      <c r="K5254">
        <v>20</v>
      </c>
      <c r="L5254">
        <v>20</v>
      </c>
      <c r="M5254">
        <v>20</v>
      </c>
    </row>
    <row r="5255" spans="1:13" x14ac:dyDescent="0.25">
      <c r="A5255" t="s">
        <v>11594</v>
      </c>
      <c r="B5255" t="s">
        <v>11595</v>
      </c>
      <c r="C5255" t="s">
        <v>362</v>
      </c>
      <c r="D5255" t="s">
        <v>2545</v>
      </c>
      <c r="G5255" t="s">
        <v>16</v>
      </c>
      <c r="H5255">
        <v>0</v>
      </c>
      <c r="I5255" s="2" t="s">
        <v>941</v>
      </c>
      <c r="J5255" s="2" t="s">
        <v>11596</v>
      </c>
      <c r="K5255">
        <v>20</v>
      </c>
      <c r="L5255">
        <v>20</v>
      </c>
      <c r="M5255">
        <v>20</v>
      </c>
    </row>
    <row r="5256" spans="1:13" x14ac:dyDescent="0.25">
      <c r="A5256" t="s">
        <v>11597</v>
      </c>
      <c r="B5256" t="s">
        <v>11598</v>
      </c>
      <c r="C5256" t="s">
        <v>362</v>
      </c>
      <c r="D5256" t="s">
        <v>2545</v>
      </c>
      <c r="F5256">
        <v>1</v>
      </c>
      <c r="G5256" t="s">
        <v>16</v>
      </c>
      <c r="H5256">
        <v>0</v>
      </c>
      <c r="I5256" s="2" t="s">
        <v>2786</v>
      </c>
      <c r="J5256" s="2">
        <v>1032</v>
      </c>
      <c r="K5256">
        <v>20</v>
      </c>
      <c r="L5256">
        <v>20</v>
      </c>
      <c r="M5256">
        <v>20</v>
      </c>
    </row>
    <row r="5257" spans="1:13" x14ac:dyDescent="0.25">
      <c r="A5257" t="s">
        <v>11599</v>
      </c>
      <c r="B5257" t="s">
        <v>11601</v>
      </c>
      <c r="C5257" t="s">
        <v>362</v>
      </c>
      <c r="F5257">
        <v>7</v>
      </c>
      <c r="G5257" t="s">
        <v>16</v>
      </c>
      <c r="H5257">
        <v>0</v>
      </c>
      <c r="I5257" s="2" t="s">
        <v>765</v>
      </c>
      <c r="J5257" s="2" t="s">
        <v>11600</v>
      </c>
      <c r="K5257">
        <v>20</v>
      </c>
      <c r="L5257">
        <v>20</v>
      </c>
      <c r="M5257">
        <v>20</v>
      </c>
    </row>
    <row r="5258" spans="1:13" x14ac:dyDescent="0.25">
      <c r="A5258" t="s">
        <v>11602</v>
      </c>
      <c r="B5258" t="s">
        <v>11601</v>
      </c>
      <c r="C5258" t="s">
        <v>362</v>
      </c>
      <c r="G5258" t="s">
        <v>16</v>
      </c>
      <c r="H5258">
        <v>0</v>
      </c>
      <c r="I5258" s="2" t="s">
        <v>504</v>
      </c>
      <c r="J5258" s="2">
        <v>559261</v>
      </c>
      <c r="K5258">
        <v>20</v>
      </c>
      <c r="L5258">
        <v>20</v>
      </c>
      <c r="M5258">
        <v>20</v>
      </c>
    </row>
    <row r="5259" spans="1:13" x14ac:dyDescent="0.25">
      <c r="A5259" t="s">
        <v>11603</v>
      </c>
      <c r="B5259" t="s">
        <v>11604</v>
      </c>
      <c r="C5259" t="s">
        <v>496</v>
      </c>
      <c r="D5259" t="s">
        <v>2360</v>
      </c>
      <c r="F5259">
        <v>2</v>
      </c>
      <c r="G5259" t="s">
        <v>16</v>
      </c>
      <c r="H5259">
        <v>0</v>
      </c>
      <c r="I5259" s="2" t="s">
        <v>5085</v>
      </c>
      <c r="J5259" s="2" t="s">
        <v>11605</v>
      </c>
      <c r="K5259">
        <v>20</v>
      </c>
      <c r="L5259">
        <v>20</v>
      </c>
      <c r="M5259">
        <v>20</v>
      </c>
    </row>
    <row r="5260" spans="1:13" x14ac:dyDescent="0.25">
      <c r="A5260" t="s">
        <v>11606</v>
      </c>
      <c r="B5260" t="s">
        <v>11157</v>
      </c>
      <c r="C5260" t="s">
        <v>496</v>
      </c>
      <c r="G5260" t="s">
        <v>16</v>
      </c>
      <c r="H5260">
        <v>0</v>
      </c>
      <c r="I5260" s="2" t="s">
        <v>2533</v>
      </c>
      <c r="J5260" s="2" t="s">
        <v>11607</v>
      </c>
      <c r="K5260">
        <v>20</v>
      </c>
      <c r="L5260">
        <v>20</v>
      </c>
      <c r="M5260">
        <v>20</v>
      </c>
    </row>
    <row r="5261" spans="1:13" x14ac:dyDescent="0.25">
      <c r="A5261" t="s">
        <v>11608</v>
      </c>
      <c r="B5261" t="s">
        <v>11609</v>
      </c>
      <c r="C5261" t="s">
        <v>20</v>
      </c>
      <c r="G5261" t="s">
        <v>16</v>
      </c>
      <c r="H5261">
        <v>0</v>
      </c>
      <c r="I5261" s="2" t="s">
        <v>11610</v>
      </c>
      <c r="J5261" s="2" t="s">
        <v>11611</v>
      </c>
      <c r="K5261">
        <v>20</v>
      </c>
      <c r="L5261">
        <v>20</v>
      </c>
      <c r="M5261">
        <v>20</v>
      </c>
    </row>
    <row r="5262" spans="1:13" x14ac:dyDescent="0.25">
      <c r="A5262" t="s">
        <v>11612</v>
      </c>
      <c r="B5262" t="s">
        <v>11613</v>
      </c>
      <c r="C5262" t="s">
        <v>20</v>
      </c>
      <c r="F5262">
        <v>0</v>
      </c>
      <c r="G5262" t="s">
        <v>16</v>
      </c>
      <c r="H5262">
        <v>0</v>
      </c>
      <c r="I5262" s="2" t="s">
        <v>11614</v>
      </c>
      <c r="J5262" s="2" t="s">
        <v>11615</v>
      </c>
      <c r="K5262">
        <v>20</v>
      </c>
      <c r="L5262">
        <v>20</v>
      </c>
      <c r="M5262">
        <v>20</v>
      </c>
    </row>
    <row r="5263" spans="1:13" x14ac:dyDescent="0.25">
      <c r="A5263" t="s">
        <v>11616</v>
      </c>
      <c r="B5263" t="s">
        <v>11617</v>
      </c>
      <c r="C5263" t="s">
        <v>20</v>
      </c>
      <c r="G5263" t="s">
        <v>16</v>
      </c>
      <c r="H5263">
        <v>0</v>
      </c>
      <c r="I5263" s="2" t="s">
        <v>11618</v>
      </c>
      <c r="J5263" s="2" t="s">
        <v>11619</v>
      </c>
      <c r="K5263">
        <v>20</v>
      </c>
      <c r="L5263">
        <v>20</v>
      </c>
      <c r="M5263">
        <v>20</v>
      </c>
    </row>
    <row r="5264" spans="1:13" x14ac:dyDescent="0.25">
      <c r="A5264">
        <v>5607146</v>
      </c>
      <c r="B5264" t="s">
        <v>11620</v>
      </c>
      <c r="C5264" t="s">
        <v>20</v>
      </c>
      <c r="G5264" t="s">
        <v>16</v>
      </c>
      <c r="H5264">
        <v>0</v>
      </c>
      <c r="I5264" s="2" t="s">
        <v>497</v>
      </c>
      <c r="J5264" s="2">
        <v>55351461</v>
      </c>
      <c r="K5264">
        <v>20</v>
      </c>
      <c r="L5264">
        <v>20</v>
      </c>
      <c r="M5264">
        <v>20</v>
      </c>
    </row>
    <row r="5265" spans="1:13" x14ac:dyDescent="0.25">
      <c r="A5265" t="s">
        <v>11621</v>
      </c>
      <c r="B5265" t="s">
        <v>11622</v>
      </c>
      <c r="C5265" t="s">
        <v>20</v>
      </c>
      <c r="F5265">
        <v>1</v>
      </c>
      <c r="G5265" t="s">
        <v>16</v>
      </c>
      <c r="H5265">
        <v>0</v>
      </c>
      <c r="I5265" s="2" t="s">
        <v>1175</v>
      </c>
      <c r="J5265" s="2" t="s">
        <v>11623</v>
      </c>
      <c r="K5265">
        <v>20</v>
      </c>
      <c r="L5265">
        <v>20</v>
      </c>
      <c r="M5265">
        <v>20</v>
      </c>
    </row>
    <row r="5266" spans="1:13" x14ac:dyDescent="0.25">
      <c r="A5266" t="s">
        <v>11624</v>
      </c>
      <c r="B5266" t="s">
        <v>11625</v>
      </c>
      <c r="C5266" t="s">
        <v>20</v>
      </c>
      <c r="G5266" t="s">
        <v>16</v>
      </c>
      <c r="H5266">
        <v>0</v>
      </c>
      <c r="I5266" s="2" t="s">
        <v>238</v>
      </c>
      <c r="J5266" s="2">
        <v>46495</v>
      </c>
      <c r="K5266">
        <v>20</v>
      </c>
      <c r="L5266">
        <v>20</v>
      </c>
      <c r="M5266">
        <v>20</v>
      </c>
    </row>
    <row r="5267" spans="1:13" x14ac:dyDescent="0.25">
      <c r="A5267" t="s">
        <v>11626</v>
      </c>
      <c r="B5267" t="s">
        <v>11627</v>
      </c>
      <c r="C5267" t="s">
        <v>20</v>
      </c>
      <c r="G5267" t="s">
        <v>16</v>
      </c>
      <c r="H5267">
        <v>0</v>
      </c>
      <c r="I5267" s="2" t="s">
        <v>11614</v>
      </c>
      <c r="J5267" s="2" t="s">
        <v>11628</v>
      </c>
      <c r="K5267">
        <v>20</v>
      </c>
      <c r="L5267">
        <v>20</v>
      </c>
      <c r="M5267">
        <v>20</v>
      </c>
    </row>
    <row r="5268" spans="1:13" x14ac:dyDescent="0.25">
      <c r="A5268" t="s">
        <v>11629</v>
      </c>
      <c r="B5268" t="s">
        <v>11627</v>
      </c>
      <c r="C5268" t="s">
        <v>20</v>
      </c>
      <c r="G5268" t="s">
        <v>16</v>
      </c>
      <c r="H5268">
        <v>0</v>
      </c>
      <c r="I5268" s="2" t="s">
        <v>11610</v>
      </c>
      <c r="J5268" s="2" t="s">
        <v>11630</v>
      </c>
      <c r="K5268">
        <v>20</v>
      </c>
      <c r="L5268">
        <v>20</v>
      </c>
      <c r="M5268">
        <v>20</v>
      </c>
    </row>
    <row r="5269" spans="1:13" x14ac:dyDescent="0.25">
      <c r="A5269" t="s">
        <v>11631</v>
      </c>
      <c r="B5269" t="s">
        <v>11632</v>
      </c>
      <c r="C5269" t="s">
        <v>20</v>
      </c>
      <c r="D5269" t="s">
        <v>161</v>
      </c>
      <c r="F5269">
        <v>0</v>
      </c>
      <c r="G5269" t="s">
        <v>16</v>
      </c>
      <c r="H5269">
        <v>0</v>
      </c>
      <c r="I5269" s="2" t="s">
        <v>4884</v>
      </c>
      <c r="J5269" s="2" t="s">
        <v>11633</v>
      </c>
      <c r="K5269">
        <v>20</v>
      </c>
      <c r="L5269">
        <v>20</v>
      </c>
      <c r="M5269">
        <v>20</v>
      </c>
    </row>
    <row r="5270" spans="1:13" x14ac:dyDescent="0.25">
      <c r="A5270" t="s">
        <v>11634</v>
      </c>
      <c r="B5270" t="s">
        <v>11636</v>
      </c>
      <c r="C5270" t="s">
        <v>20</v>
      </c>
      <c r="F5270">
        <v>2</v>
      </c>
      <c r="G5270" t="s">
        <v>16</v>
      </c>
      <c r="H5270">
        <v>0</v>
      </c>
      <c r="I5270" s="2" t="s">
        <v>288</v>
      </c>
      <c r="J5270" s="2" t="s">
        <v>11635</v>
      </c>
      <c r="K5270">
        <v>20</v>
      </c>
      <c r="L5270">
        <v>20</v>
      </c>
      <c r="M5270">
        <v>20</v>
      </c>
    </row>
    <row r="5271" spans="1:13" x14ac:dyDescent="0.25">
      <c r="A5271" t="s">
        <v>11637</v>
      </c>
      <c r="B5271" t="s">
        <v>11636</v>
      </c>
      <c r="C5271" t="s">
        <v>20</v>
      </c>
      <c r="F5271">
        <v>5</v>
      </c>
      <c r="G5271" t="s">
        <v>16</v>
      </c>
      <c r="H5271">
        <v>0</v>
      </c>
      <c r="I5271" s="2" t="s">
        <v>238</v>
      </c>
      <c r="J5271" s="2">
        <v>49614</v>
      </c>
      <c r="K5271">
        <v>20</v>
      </c>
      <c r="L5271">
        <v>20</v>
      </c>
      <c r="M5271">
        <v>20</v>
      </c>
    </row>
    <row r="5272" spans="1:13" x14ac:dyDescent="0.25">
      <c r="A5272" t="s">
        <v>11638</v>
      </c>
      <c r="B5272" t="s">
        <v>11639</v>
      </c>
      <c r="C5272" t="s">
        <v>20</v>
      </c>
      <c r="F5272">
        <v>1</v>
      </c>
      <c r="G5272" t="s">
        <v>16</v>
      </c>
      <c r="H5272">
        <v>0</v>
      </c>
      <c r="I5272" s="2" t="s">
        <v>11640</v>
      </c>
      <c r="J5272" s="2" t="s">
        <v>11641</v>
      </c>
      <c r="K5272">
        <v>20</v>
      </c>
      <c r="L5272">
        <v>20</v>
      </c>
      <c r="M5272">
        <v>20</v>
      </c>
    </row>
    <row r="5273" spans="1:13" x14ac:dyDescent="0.25">
      <c r="A5273" t="s">
        <v>11642</v>
      </c>
      <c r="B5273" t="s">
        <v>11636</v>
      </c>
      <c r="C5273" t="s">
        <v>20</v>
      </c>
      <c r="F5273">
        <v>0</v>
      </c>
      <c r="G5273" t="s">
        <v>16</v>
      </c>
      <c r="H5273">
        <v>0</v>
      </c>
      <c r="I5273" s="2" t="s">
        <v>486</v>
      </c>
      <c r="J5273" s="2">
        <v>40949614</v>
      </c>
      <c r="K5273">
        <v>20</v>
      </c>
      <c r="L5273">
        <v>20</v>
      </c>
      <c r="M5273">
        <v>20</v>
      </c>
    </row>
    <row r="5274" spans="1:13" x14ac:dyDescent="0.25">
      <c r="A5274" t="s">
        <v>11643</v>
      </c>
      <c r="B5274" t="s">
        <v>11636</v>
      </c>
      <c r="C5274" t="s">
        <v>20</v>
      </c>
      <c r="F5274">
        <v>1</v>
      </c>
      <c r="G5274" t="s">
        <v>16</v>
      </c>
      <c r="H5274">
        <v>0</v>
      </c>
      <c r="I5274" s="2" t="s">
        <v>165</v>
      </c>
      <c r="J5274" s="2">
        <v>209008</v>
      </c>
      <c r="K5274">
        <v>20</v>
      </c>
      <c r="L5274">
        <v>20</v>
      </c>
      <c r="M5274">
        <v>20</v>
      </c>
    </row>
    <row r="5275" spans="1:13" x14ac:dyDescent="0.25">
      <c r="A5275" t="s">
        <v>11644</v>
      </c>
      <c r="B5275" t="s">
        <v>11645</v>
      </c>
      <c r="C5275" t="s">
        <v>20</v>
      </c>
      <c r="D5275" t="s">
        <v>26</v>
      </c>
      <c r="G5275" t="s">
        <v>16</v>
      </c>
      <c r="H5275">
        <v>0</v>
      </c>
      <c r="I5275" s="2" t="s">
        <v>189</v>
      </c>
      <c r="J5275" s="2">
        <v>42447305</v>
      </c>
      <c r="K5275">
        <v>20</v>
      </c>
      <c r="L5275">
        <v>20</v>
      </c>
      <c r="M5275">
        <v>20</v>
      </c>
    </row>
    <row r="5276" spans="1:13" x14ac:dyDescent="0.25">
      <c r="A5276" t="s">
        <v>11646</v>
      </c>
      <c r="B5276" t="s">
        <v>11645</v>
      </c>
      <c r="C5276" t="s">
        <v>20</v>
      </c>
      <c r="D5276" t="s">
        <v>26</v>
      </c>
      <c r="F5276">
        <v>1</v>
      </c>
      <c r="G5276" t="s">
        <v>16</v>
      </c>
      <c r="H5276">
        <v>0</v>
      </c>
      <c r="I5276" s="2" t="s">
        <v>80</v>
      </c>
      <c r="J5276" s="2" t="s">
        <v>11647</v>
      </c>
      <c r="K5276">
        <v>20</v>
      </c>
      <c r="L5276">
        <v>20</v>
      </c>
      <c r="M5276">
        <v>20</v>
      </c>
    </row>
    <row r="5277" spans="1:13" x14ac:dyDescent="0.25">
      <c r="A5277" t="s">
        <v>11648</v>
      </c>
      <c r="B5277" t="s">
        <v>11649</v>
      </c>
      <c r="C5277" t="s">
        <v>20</v>
      </c>
      <c r="D5277" t="s">
        <v>26</v>
      </c>
      <c r="G5277" t="s">
        <v>16</v>
      </c>
      <c r="H5277">
        <v>0</v>
      </c>
      <c r="I5277" s="2" t="s">
        <v>99</v>
      </c>
      <c r="J5277" s="3">
        <v>646071</v>
      </c>
      <c r="K5277">
        <v>20</v>
      </c>
      <c r="L5277">
        <v>20</v>
      </c>
      <c r="M5277">
        <v>20</v>
      </c>
    </row>
    <row r="5278" spans="1:13" x14ac:dyDescent="0.25">
      <c r="A5278" t="s">
        <v>11650</v>
      </c>
      <c r="B5278" t="s">
        <v>11649</v>
      </c>
      <c r="C5278" t="s">
        <v>20</v>
      </c>
      <c r="D5278" t="s">
        <v>26</v>
      </c>
      <c r="G5278" t="s">
        <v>16</v>
      </c>
      <c r="H5278">
        <v>0</v>
      </c>
      <c r="I5278" s="2" t="s">
        <v>80</v>
      </c>
      <c r="J5278" s="2" t="s">
        <v>11651</v>
      </c>
      <c r="K5278">
        <v>20</v>
      </c>
      <c r="L5278">
        <v>20</v>
      </c>
      <c r="M5278">
        <v>20</v>
      </c>
    </row>
    <row r="5279" spans="1:13" x14ac:dyDescent="0.25">
      <c r="A5279" t="s">
        <v>11652</v>
      </c>
      <c r="B5279" t="s">
        <v>11653</v>
      </c>
      <c r="C5279" t="s">
        <v>20</v>
      </c>
      <c r="D5279" t="s">
        <v>26</v>
      </c>
      <c r="F5279">
        <v>1</v>
      </c>
      <c r="G5279" t="s">
        <v>16</v>
      </c>
      <c r="H5279">
        <v>0</v>
      </c>
      <c r="I5279" s="2" t="s">
        <v>6400</v>
      </c>
      <c r="J5279" s="3">
        <v>825345</v>
      </c>
      <c r="K5279">
        <v>20</v>
      </c>
      <c r="L5279">
        <v>20</v>
      </c>
      <c r="M5279">
        <v>20</v>
      </c>
    </row>
    <row r="5280" spans="1:13" x14ac:dyDescent="0.25">
      <c r="A5280" t="s">
        <v>11654</v>
      </c>
      <c r="B5280" t="s">
        <v>11655</v>
      </c>
      <c r="C5280" t="s">
        <v>20</v>
      </c>
      <c r="D5280" t="s">
        <v>26</v>
      </c>
      <c r="G5280" t="s">
        <v>16</v>
      </c>
      <c r="H5280">
        <v>0</v>
      </c>
      <c r="I5280" s="2" t="s">
        <v>27</v>
      </c>
      <c r="J5280" s="2">
        <v>42447205</v>
      </c>
      <c r="K5280">
        <v>20</v>
      </c>
      <c r="L5280">
        <v>20</v>
      </c>
      <c r="M5280">
        <v>20</v>
      </c>
    </row>
    <row r="5281" spans="1:13" x14ac:dyDescent="0.25">
      <c r="A5281" t="s">
        <v>11656</v>
      </c>
      <c r="B5281" t="s">
        <v>11653</v>
      </c>
      <c r="C5281" t="s">
        <v>20</v>
      </c>
      <c r="D5281" t="s">
        <v>26</v>
      </c>
      <c r="F5281">
        <v>2</v>
      </c>
      <c r="G5281" t="s">
        <v>16</v>
      </c>
      <c r="H5281">
        <v>0</v>
      </c>
      <c r="I5281" s="2" t="s">
        <v>83</v>
      </c>
      <c r="J5281" s="2" t="s">
        <v>11657</v>
      </c>
      <c r="K5281">
        <v>20</v>
      </c>
      <c r="L5281">
        <v>20</v>
      </c>
      <c r="M5281">
        <v>20</v>
      </c>
    </row>
    <row r="5282" spans="1:13" x14ac:dyDescent="0.25">
      <c r="A5282" t="s">
        <v>11658</v>
      </c>
      <c r="B5282" t="s">
        <v>11659</v>
      </c>
      <c r="C5282" t="s">
        <v>20</v>
      </c>
      <c r="D5282" t="s">
        <v>26</v>
      </c>
      <c r="G5282" t="s">
        <v>16</v>
      </c>
      <c r="H5282">
        <v>0</v>
      </c>
      <c r="I5282" s="2" t="s">
        <v>99</v>
      </c>
      <c r="J5282" s="3">
        <v>864310</v>
      </c>
      <c r="K5282">
        <v>20</v>
      </c>
      <c r="L5282">
        <v>20</v>
      </c>
      <c r="M5282">
        <v>20</v>
      </c>
    </row>
    <row r="5283" spans="1:13" x14ac:dyDescent="0.25">
      <c r="A5283" t="s">
        <v>11660</v>
      </c>
      <c r="B5283" t="s">
        <v>11661</v>
      </c>
      <c r="C5283" t="s">
        <v>20</v>
      </c>
      <c r="D5283" t="s">
        <v>26</v>
      </c>
      <c r="G5283" t="s">
        <v>16</v>
      </c>
      <c r="H5283">
        <v>0</v>
      </c>
      <c r="I5283" s="2" t="s">
        <v>99</v>
      </c>
      <c r="J5283" s="3">
        <v>214990</v>
      </c>
      <c r="K5283">
        <v>20</v>
      </c>
      <c r="L5283">
        <v>20</v>
      </c>
      <c r="M5283">
        <v>20</v>
      </c>
    </row>
    <row r="5284" spans="1:13" x14ac:dyDescent="0.25">
      <c r="A5284" t="s">
        <v>11662</v>
      </c>
      <c r="B5284" t="s">
        <v>11663</v>
      </c>
      <c r="C5284" t="s">
        <v>20</v>
      </c>
      <c r="D5284" t="s">
        <v>26</v>
      </c>
      <c r="F5284">
        <v>1</v>
      </c>
      <c r="G5284" t="s">
        <v>16</v>
      </c>
      <c r="H5284">
        <v>0</v>
      </c>
      <c r="I5284" s="2" t="s">
        <v>99</v>
      </c>
      <c r="J5284" s="3">
        <v>467593</v>
      </c>
      <c r="K5284">
        <v>20</v>
      </c>
      <c r="L5284">
        <v>20</v>
      </c>
      <c r="M5284">
        <v>20</v>
      </c>
    </row>
    <row r="5285" spans="1:13" x14ac:dyDescent="0.25">
      <c r="A5285" t="s">
        <v>11664</v>
      </c>
      <c r="B5285" t="s">
        <v>11663</v>
      </c>
      <c r="C5285" t="s">
        <v>20</v>
      </c>
      <c r="D5285" t="s">
        <v>26</v>
      </c>
      <c r="F5285">
        <v>1</v>
      </c>
      <c r="G5285" t="s">
        <v>16</v>
      </c>
      <c r="H5285">
        <v>0</v>
      </c>
      <c r="I5285" s="2" t="s">
        <v>80</v>
      </c>
      <c r="J5285" s="2" t="s">
        <v>11665</v>
      </c>
      <c r="K5285">
        <v>20</v>
      </c>
      <c r="L5285">
        <v>20</v>
      </c>
      <c r="M5285">
        <v>20</v>
      </c>
    </row>
    <row r="5286" spans="1:13" x14ac:dyDescent="0.25">
      <c r="A5286">
        <v>5607467</v>
      </c>
      <c r="B5286" t="s">
        <v>11666</v>
      </c>
      <c r="C5286" t="s">
        <v>20</v>
      </c>
      <c r="D5286" t="s">
        <v>26</v>
      </c>
      <c r="G5286" t="s">
        <v>16</v>
      </c>
      <c r="H5286">
        <v>0</v>
      </c>
      <c r="I5286" s="2" t="s">
        <v>1444</v>
      </c>
      <c r="J5286" s="2">
        <v>24403788</v>
      </c>
      <c r="K5286">
        <v>20</v>
      </c>
      <c r="L5286">
        <v>20</v>
      </c>
      <c r="M5286">
        <v>20</v>
      </c>
    </row>
    <row r="5287" spans="1:13" x14ac:dyDescent="0.25">
      <c r="A5287" t="s">
        <v>11667</v>
      </c>
      <c r="B5287" t="s">
        <v>11666</v>
      </c>
      <c r="C5287" t="s">
        <v>20</v>
      </c>
      <c r="D5287" t="s">
        <v>26</v>
      </c>
      <c r="G5287" t="s">
        <v>16</v>
      </c>
      <c r="H5287">
        <v>0</v>
      </c>
      <c r="I5287" s="2" t="s">
        <v>142</v>
      </c>
      <c r="J5287" s="2" t="s">
        <v>11668</v>
      </c>
      <c r="K5287">
        <v>20</v>
      </c>
      <c r="L5287">
        <v>20</v>
      </c>
      <c r="M5287">
        <v>20</v>
      </c>
    </row>
    <row r="5288" spans="1:13" x14ac:dyDescent="0.25">
      <c r="A5288" t="s">
        <v>11669</v>
      </c>
      <c r="B5288" t="s">
        <v>11666</v>
      </c>
      <c r="C5288" t="s">
        <v>20</v>
      </c>
      <c r="D5288" t="s">
        <v>26</v>
      </c>
      <c r="F5288">
        <v>3</v>
      </c>
      <c r="G5288" t="s">
        <v>16</v>
      </c>
      <c r="H5288">
        <v>0</v>
      </c>
      <c r="I5288" s="2" t="s">
        <v>3286</v>
      </c>
      <c r="J5288" s="2" t="s">
        <v>11670</v>
      </c>
      <c r="K5288">
        <v>20</v>
      </c>
      <c r="L5288">
        <v>20</v>
      </c>
      <c r="M5288">
        <v>20</v>
      </c>
    </row>
    <row r="5289" spans="1:13" x14ac:dyDescent="0.25">
      <c r="A5289" t="s">
        <v>11671</v>
      </c>
      <c r="B5289" t="s">
        <v>11666</v>
      </c>
      <c r="C5289" t="s">
        <v>20</v>
      </c>
      <c r="D5289" t="s">
        <v>26</v>
      </c>
      <c r="F5289">
        <v>1</v>
      </c>
      <c r="G5289" t="s">
        <v>16</v>
      </c>
      <c r="H5289">
        <v>0</v>
      </c>
      <c r="I5289" s="2" t="s">
        <v>92</v>
      </c>
      <c r="J5289" s="2" t="str">
        <f>"026252P"</f>
        <v>026252P</v>
      </c>
      <c r="K5289">
        <v>20</v>
      </c>
      <c r="L5289">
        <v>20</v>
      </c>
      <c r="M5289">
        <v>20</v>
      </c>
    </row>
    <row r="5290" spans="1:13" x14ac:dyDescent="0.25">
      <c r="A5290" t="s">
        <v>11672</v>
      </c>
      <c r="B5290" t="s">
        <v>11666</v>
      </c>
      <c r="C5290" t="s">
        <v>20</v>
      </c>
      <c r="D5290" t="s">
        <v>26</v>
      </c>
      <c r="F5290">
        <v>1</v>
      </c>
      <c r="G5290" t="s">
        <v>16</v>
      </c>
      <c r="H5290">
        <v>0</v>
      </c>
      <c r="I5290" s="2" t="s">
        <v>99</v>
      </c>
      <c r="J5290" s="3">
        <v>104110</v>
      </c>
      <c r="K5290">
        <v>20</v>
      </c>
      <c r="L5290">
        <v>20</v>
      </c>
      <c r="M5290">
        <v>20</v>
      </c>
    </row>
    <row r="5291" spans="1:13" x14ac:dyDescent="0.25">
      <c r="A5291" t="s">
        <v>11673</v>
      </c>
      <c r="B5291" t="s">
        <v>11666</v>
      </c>
      <c r="C5291" t="s">
        <v>20</v>
      </c>
      <c r="D5291" t="s">
        <v>26</v>
      </c>
      <c r="F5291">
        <v>1</v>
      </c>
      <c r="G5291" t="s">
        <v>16</v>
      </c>
      <c r="H5291">
        <v>0</v>
      </c>
      <c r="I5291" s="2" t="s">
        <v>80</v>
      </c>
      <c r="J5291" s="2" t="s">
        <v>11674</v>
      </c>
      <c r="K5291">
        <v>20</v>
      </c>
      <c r="L5291">
        <v>20</v>
      </c>
      <c r="M5291">
        <v>20</v>
      </c>
    </row>
    <row r="5292" spans="1:13" x14ac:dyDescent="0.25">
      <c r="A5292" t="s">
        <v>11675</v>
      </c>
      <c r="B5292" t="s">
        <v>11676</v>
      </c>
      <c r="C5292" t="s">
        <v>20</v>
      </c>
      <c r="D5292" t="s">
        <v>26</v>
      </c>
      <c r="F5292">
        <v>1</v>
      </c>
      <c r="G5292" t="s">
        <v>16</v>
      </c>
      <c r="H5292">
        <v>0</v>
      </c>
      <c r="I5292" s="2" t="s">
        <v>83</v>
      </c>
      <c r="J5292" s="2" t="s">
        <v>11677</v>
      </c>
      <c r="K5292">
        <v>20</v>
      </c>
      <c r="L5292">
        <v>20</v>
      </c>
      <c r="M5292">
        <v>20</v>
      </c>
    </row>
    <row r="5293" spans="1:13" x14ac:dyDescent="0.25">
      <c r="A5293" t="s">
        <v>11678</v>
      </c>
      <c r="B5293" t="s">
        <v>11680</v>
      </c>
      <c r="C5293" t="s">
        <v>20</v>
      </c>
      <c r="D5293" t="s">
        <v>26</v>
      </c>
      <c r="G5293" t="s">
        <v>16</v>
      </c>
      <c r="H5293">
        <v>0</v>
      </c>
      <c r="I5293" s="2" t="s">
        <v>142</v>
      </c>
      <c r="J5293" s="2" t="s">
        <v>11679</v>
      </c>
      <c r="K5293">
        <v>20</v>
      </c>
      <c r="L5293">
        <v>20</v>
      </c>
      <c r="M5293">
        <v>20</v>
      </c>
    </row>
    <row r="5294" spans="1:13" x14ac:dyDescent="0.25">
      <c r="A5294" t="s">
        <v>11681</v>
      </c>
      <c r="B5294" t="s">
        <v>11682</v>
      </c>
      <c r="C5294" t="s">
        <v>20</v>
      </c>
      <c r="D5294" t="s">
        <v>26</v>
      </c>
      <c r="G5294" t="s">
        <v>16</v>
      </c>
      <c r="H5294">
        <v>0</v>
      </c>
      <c r="I5294" s="2" t="s">
        <v>97</v>
      </c>
      <c r="J5294" s="3">
        <v>577550</v>
      </c>
      <c r="K5294">
        <v>20</v>
      </c>
      <c r="L5294">
        <v>20</v>
      </c>
      <c r="M5294">
        <v>20</v>
      </c>
    </row>
    <row r="5295" spans="1:13" x14ac:dyDescent="0.25">
      <c r="A5295" t="s">
        <v>11683</v>
      </c>
      <c r="B5295" t="s">
        <v>11684</v>
      </c>
      <c r="C5295" t="s">
        <v>20</v>
      </c>
      <c r="D5295" t="s">
        <v>26</v>
      </c>
      <c r="F5295">
        <v>4</v>
      </c>
      <c r="G5295" t="s">
        <v>16</v>
      </c>
      <c r="H5295">
        <v>0</v>
      </c>
      <c r="I5295" s="2" t="s">
        <v>97</v>
      </c>
      <c r="J5295" s="3">
        <v>335350</v>
      </c>
      <c r="K5295">
        <v>20</v>
      </c>
      <c r="L5295">
        <v>20</v>
      </c>
      <c r="M5295">
        <v>20</v>
      </c>
    </row>
    <row r="5296" spans="1:13" x14ac:dyDescent="0.25">
      <c r="A5296">
        <v>5607593</v>
      </c>
      <c r="B5296" t="s">
        <v>11685</v>
      </c>
      <c r="C5296" t="s">
        <v>20</v>
      </c>
      <c r="D5296" t="s">
        <v>26</v>
      </c>
      <c r="G5296" t="s">
        <v>16</v>
      </c>
      <c r="H5296">
        <v>0</v>
      </c>
      <c r="I5296" s="2" t="s">
        <v>497</v>
      </c>
      <c r="J5296" s="2">
        <v>5607593</v>
      </c>
      <c r="K5296">
        <v>20</v>
      </c>
      <c r="L5296">
        <v>20</v>
      </c>
      <c r="M5296">
        <v>20</v>
      </c>
    </row>
    <row r="5297" spans="1:13" x14ac:dyDescent="0.25">
      <c r="A5297" t="s">
        <v>11686</v>
      </c>
      <c r="B5297" t="s">
        <v>11685</v>
      </c>
      <c r="C5297" t="s">
        <v>20</v>
      </c>
      <c r="D5297" t="s">
        <v>26</v>
      </c>
      <c r="F5297">
        <v>1</v>
      </c>
      <c r="G5297" t="s">
        <v>16</v>
      </c>
      <c r="H5297">
        <v>0</v>
      </c>
      <c r="I5297" s="2" t="s">
        <v>99</v>
      </c>
      <c r="J5297" s="3">
        <v>388200</v>
      </c>
      <c r="K5297">
        <v>20</v>
      </c>
      <c r="L5297">
        <v>20</v>
      </c>
      <c r="M5297">
        <v>20</v>
      </c>
    </row>
    <row r="5298" spans="1:13" x14ac:dyDescent="0.25">
      <c r="A5298" t="s">
        <v>11687</v>
      </c>
      <c r="B5298" t="s">
        <v>11685</v>
      </c>
      <c r="C5298" t="s">
        <v>20</v>
      </c>
      <c r="D5298" t="s">
        <v>26</v>
      </c>
      <c r="F5298">
        <v>1</v>
      </c>
      <c r="G5298" t="s">
        <v>16</v>
      </c>
      <c r="H5298">
        <v>0</v>
      </c>
      <c r="I5298" s="2" t="s">
        <v>83</v>
      </c>
      <c r="J5298" s="2" t="s">
        <v>11688</v>
      </c>
      <c r="K5298">
        <v>20</v>
      </c>
      <c r="L5298">
        <v>20</v>
      </c>
      <c r="M5298">
        <v>20</v>
      </c>
    </row>
    <row r="5299" spans="1:13" x14ac:dyDescent="0.25">
      <c r="A5299" t="s">
        <v>11689</v>
      </c>
      <c r="B5299" t="s">
        <v>11690</v>
      </c>
      <c r="C5299" t="s">
        <v>20</v>
      </c>
      <c r="D5299" t="s">
        <v>26</v>
      </c>
      <c r="F5299">
        <v>1</v>
      </c>
      <c r="G5299" t="s">
        <v>16</v>
      </c>
      <c r="H5299">
        <v>0</v>
      </c>
      <c r="I5299" s="2" t="s">
        <v>99</v>
      </c>
      <c r="J5299" s="3">
        <v>344680</v>
      </c>
      <c r="K5299">
        <v>20</v>
      </c>
      <c r="L5299">
        <v>20</v>
      </c>
      <c r="M5299">
        <v>20</v>
      </c>
    </row>
    <row r="5300" spans="1:13" x14ac:dyDescent="0.25">
      <c r="A5300">
        <v>5607641</v>
      </c>
      <c r="B5300" t="s">
        <v>11691</v>
      </c>
      <c r="C5300" t="s">
        <v>20</v>
      </c>
      <c r="D5300" t="s">
        <v>26</v>
      </c>
      <c r="G5300" t="s">
        <v>16</v>
      </c>
      <c r="H5300">
        <v>0</v>
      </c>
      <c r="I5300" s="2" t="s">
        <v>1444</v>
      </c>
      <c r="J5300" s="2">
        <v>1623570980</v>
      </c>
      <c r="K5300">
        <v>20</v>
      </c>
      <c r="L5300">
        <v>20</v>
      </c>
      <c r="M5300">
        <v>20</v>
      </c>
    </row>
    <row r="5301" spans="1:13" x14ac:dyDescent="0.25">
      <c r="A5301" t="s">
        <v>11692</v>
      </c>
      <c r="B5301" t="s">
        <v>11691</v>
      </c>
      <c r="C5301" t="s">
        <v>20</v>
      </c>
      <c r="D5301" t="s">
        <v>26</v>
      </c>
      <c r="F5301">
        <v>5</v>
      </c>
      <c r="G5301" t="s">
        <v>16</v>
      </c>
      <c r="H5301">
        <v>0</v>
      </c>
      <c r="I5301" s="2" t="s">
        <v>99</v>
      </c>
      <c r="J5301" s="2" t="str">
        <f>"076.408"</f>
        <v>076.408</v>
      </c>
      <c r="K5301">
        <v>20</v>
      </c>
      <c r="L5301">
        <v>20</v>
      </c>
      <c r="M5301">
        <v>20</v>
      </c>
    </row>
    <row r="5302" spans="1:13" x14ac:dyDescent="0.25">
      <c r="A5302" t="s">
        <v>11693</v>
      </c>
      <c r="B5302" t="s">
        <v>11694</v>
      </c>
      <c r="C5302" t="s">
        <v>540</v>
      </c>
      <c r="F5302">
        <v>4</v>
      </c>
      <c r="G5302" t="s">
        <v>16</v>
      </c>
      <c r="H5302">
        <v>0</v>
      </c>
      <c r="I5302" s="2" t="s">
        <v>737</v>
      </c>
      <c r="J5302" s="2" t="s">
        <v>11695</v>
      </c>
      <c r="K5302">
        <v>20</v>
      </c>
      <c r="L5302">
        <v>20</v>
      </c>
      <c r="M5302">
        <v>20</v>
      </c>
    </row>
    <row r="5303" spans="1:13" x14ac:dyDescent="0.25">
      <c r="A5303" t="s">
        <v>11696</v>
      </c>
      <c r="B5303" t="s">
        <v>11697</v>
      </c>
      <c r="C5303" t="s">
        <v>20</v>
      </c>
      <c r="D5303" t="s">
        <v>26</v>
      </c>
      <c r="G5303" t="s">
        <v>16</v>
      </c>
      <c r="H5303">
        <v>0</v>
      </c>
      <c r="I5303" s="2" t="s">
        <v>3421</v>
      </c>
      <c r="J5303" s="2" t="s">
        <v>11698</v>
      </c>
      <c r="K5303">
        <v>20</v>
      </c>
      <c r="L5303">
        <v>20</v>
      </c>
      <c r="M5303">
        <v>20</v>
      </c>
    </row>
    <row r="5304" spans="1:13" x14ac:dyDescent="0.25">
      <c r="A5304" t="s">
        <v>11699</v>
      </c>
      <c r="B5304" t="s">
        <v>11697</v>
      </c>
      <c r="C5304" t="s">
        <v>20</v>
      </c>
      <c r="D5304" t="s">
        <v>26</v>
      </c>
      <c r="F5304">
        <v>2</v>
      </c>
      <c r="G5304" t="s">
        <v>16</v>
      </c>
      <c r="H5304">
        <v>0</v>
      </c>
      <c r="I5304" s="2" t="s">
        <v>99</v>
      </c>
      <c r="J5304" s="3">
        <v>808134</v>
      </c>
      <c r="K5304">
        <v>20</v>
      </c>
      <c r="L5304">
        <v>20</v>
      </c>
      <c r="M5304">
        <v>20</v>
      </c>
    </row>
    <row r="5305" spans="1:13" x14ac:dyDescent="0.25">
      <c r="A5305" t="s">
        <v>11700</v>
      </c>
      <c r="B5305" t="s">
        <v>11697</v>
      </c>
      <c r="C5305" t="s">
        <v>20</v>
      </c>
      <c r="D5305" t="s">
        <v>26</v>
      </c>
      <c r="G5305" t="s">
        <v>16</v>
      </c>
      <c r="H5305">
        <v>0</v>
      </c>
      <c r="I5305" s="2" t="s">
        <v>80</v>
      </c>
      <c r="J5305" s="2" t="s">
        <v>11701</v>
      </c>
      <c r="K5305">
        <v>20</v>
      </c>
      <c r="L5305">
        <v>20</v>
      </c>
      <c r="M5305">
        <v>20</v>
      </c>
    </row>
    <row r="5306" spans="1:13" x14ac:dyDescent="0.25">
      <c r="A5306" t="s">
        <v>11702</v>
      </c>
      <c r="B5306" t="s">
        <v>11703</v>
      </c>
      <c r="C5306" t="s">
        <v>20</v>
      </c>
      <c r="D5306" t="s">
        <v>26</v>
      </c>
      <c r="F5306">
        <v>2</v>
      </c>
      <c r="G5306" t="s">
        <v>16</v>
      </c>
      <c r="H5306">
        <v>0</v>
      </c>
      <c r="I5306" s="2" t="s">
        <v>120</v>
      </c>
      <c r="J5306" s="2">
        <v>210</v>
      </c>
      <c r="K5306">
        <v>20</v>
      </c>
      <c r="L5306">
        <v>20</v>
      </c>
      <c r="M5306">
        <v>20</v>
      </c>
    </row>
    <row r="5307" spans="1:13" x14ac:dyDescent="0.25">
      <c r="A5307" t="s">
        <v>11704</v>
      </c>
      <c r="B5307" t="s">
        <v>11703</v>
      </c>
      <c r="C5307" t="s">
        <v>20</v>
      </c>
      <c r="D5307" t="s">
        <v>26</v>
      </c>
      <c r="F5307">
        <v>0</v>
      </c>
      <c r="G5307" t="s">
        <v>16</v>
      </c>
      <c r="H5307">
        <v>0</v>
      </c>
      <c r="K5307">
        <v>20</v>
      </c>
      <c r="L5307">
        <v>20</v>
      </c>
      <c r="M5307">
        <v>20</v>
      </c>
    </row>
    <row r="5308" spans="1:13" x14ac:dyDescent="0.25">
      <c r="A5308" t="s">
        <v>11705</v>
      </c>
      <c r="B5308" t="s">
        <v>11706</v>
      </c>
      <c r="C5308" t="s">
        <v>20</v>
      </c>
      <c r="D5308" t="s">
        <v>26</v>
      </c>
      <c r="F5308">
        <v>1</v>
      </c>
      <c r="G5308" t="s">
        <v>16</v>
      </c>
      <c r="H5308">
        <v>0</v>
      </c>
      <c r="I5308" s="2" t="s">
        <v>80</v>
      </c>
      <c r="J5308" s="2" t="s">
        <v>11707</v>
      </c>
      <c r="K5308">
        <v>20</v>
      </c>
      <c r="L5308">
        <v>20</v>
      </c>
      <c r="M5308">
        <v>20</v>
      </c>
    </row>
    <row r="5309" spans="1:13" x14ac:dyDescent="0.25">
      <c r="A5309" t="s">
        <v>11708</v>
      </c>
      <c r="B5309" t="s">
        <v>11709</v>
      </c>
      <c r="C5309" t="s">
        <v>20</v>
      </c>
      <c r="D5309" t="s">
        <v>26</v>
      </c>
      <c r="F5309">
        <v>1</v>
      </c>
      <c r="G5309" t="s">
        <v>16</v>
      </c>
      <c r="H5309">
        <v>0</v>
      </c>
      <c r="I5309" s="2" t="s">
        <v>172</v>
      </c>
      <c r="J5309" s="2">
        <v>42448205</v>
      </c>
      <c r="K5309">
        <v>20</v>
      </c>
      <c r="L5309">
        <v>20</v>
      </c>
      <c r="M5309">
        <v>20</v>
      </c>
    </row>
    <row r="5310" spans="1:13" x14ac:dyDescent="0.25">
      <c r="A5310" t="s">
        <v>11710</v>
      </c>
      <c r="B5310" t="s">
        <v>11711</v>
      </c>
      <c r="C5310" t="s">
        <v>20</v>
      </c>
      <c r="D5310" t="s">
        <v>26</v>
      </c>
      <c r="G5310" t="s">
        <v>16</v>
      </c>
      <c r="H5310">
        <v>0</v>
      </c>
      <c r="I5310" s="2" t="s">
        <v>80</v>
      </c>
      <c r="J5310" s="2" t="s">
        <v>11712</v>
      </c>
      <c r="K5310">
        <v>20</v>
      </c>
      <c r="L5310">
        <v>20</v>
      </c>
      <c r="M5310">
        <v>20</v>
      </c>
    </row>
    <row r="5311" spans="1:13" x14ac:dyDescent="0.25">
      <c r="A5311" t="s">
        <v>11713</v>
      </c>
      <c r="B5311" t="s">
        <v>11714</v>
      </c>
      <c r="C5311" t="s">
        <v>20</v>
      </c>
      <c r="D5311" t="s">
        <v>26</v>
      </c>
      <c r="F5311">
        <v>1</v>
      </c>
      <c r="G5311" t="s">
        <v>16</v>
      </c>
      <c r="H5311">
        <v>0</v>
      </c>
      <c r="I5311" s="2" t="s">
        <v>97</v>
      </c>
      <c r="J5311" s="3">
        <v>239384</v>
      </c>
      <c r="K5311">
        <v>20</v>
      </c>
      <c r="L5311">
        <v>20</v>
      </c>
      <c r="M5311">
        <v>20</v>
      </c>
    </row>
    <row r="5312" spans="1:13" x14ac:dyDescent="0.25">
      <c r="A5312" t="s">
        <v>11715</v>
      </c>
      <c r="B5312" t="s">
        <v>11714</v>
      </c>
      <c r="C5312" t="s">
        <v>20</v>
      </c>
      <c r="D5312" t="s">
        <v>26</v>
      </c>
      <c r="G5312" t="s">
        <v>16</v>
      </c>
      <c r="H5312">
        <v>0</v>
      </c>
      <c r="I5312" s="2" t="s">
        <v>83</v>
      </c>
      <c r="J5312" s="2" t="s">
        <v>11716</v>
      </c>
      <c r="K5312">
        <v>20</v>
      </c>
      <c r="L5312">
        <v>20</v>
      </c>
      <c r="M5312">
        <v>20</v>
      </c>
    </row>
    <row r="5313" spans="1:13" x14ac:dyDescent="0.25">
      <c r="A5313" t="s">
        <v>11717</v>
      </c>
      <c r="B5313" t="s">
        <v>11718</v>
      </c>
      <c r="C5313" t="s">
        <v>20</v>
      </c>
      <c r="D5313" t="s">
        <v>26</v>
      </c>
      <c r="G5313" t="s">
        <v>16</v>
      </c>
      <c r="H5313">
        <v>0</v>
      </c>
      <c r="I5313" s="2" t="s">
        <v>99</v>
      </c>
      <c r="J5313" s="3">
        <v>239394</v>
      </c>
      <c r="K5313">
        <v>20</v>
      </c>
      <c r="L5313">
        <v>20</v>
      </c>
      <c r="M5313">
        <v>20</v>
      </c>
    </row>
    <row r="5314" spans="1:13" x14ac:dyDescent="0.25">
      <c r="A5314" t="s">
        <v>11719</v>
      </c>
      <c r="B5314" t="s">
        <v>11718</v>
      </c>
      <c r="C5314" t="s">
        <v>20</v>
      </c>
      <c r="D5314" t="s">
        <v>26</v>
      </c>
      <c r="G5314" t="s">
        <v>16</v>
      </c>
      <c r="H5314">
        <v>0</v>
      </c>
      <c r="I5314" s="2" t="s">
        <v>80</v>
      </c>
      <c r="J5314" s="2" t="s">
        <v>11720</v>
      </c>
      <c r="K5314">
        <v>20</v>
      </c>
      <c r="L5314">
        <v>20</v>
      </c>
      <c r="M5314">
        <v>20</v>
      </c>
    </row>
    <row r="5315" spans="1:13" x14ac:dyDescent="0.25">
      <c r="A5315" t="s">
        <v>11721</v>
      </c>
      <c r="B5315" t="s">
        <v>11722</v>
      </c>
      <c r="C5315" t="s">
        <v>20</v>
      </c>
      <c r="D5315" t="s">
        <v>26</v>
      </c>
      <c r="G5315" t="s">
        <v>16</v>
      </c>
      <c r="H5315">
        <v>0</v>
      </c>
      <c r="I5315" s="2" t="s">
        <v>83</v>
      </c>
      <c r="J5315" s="2" t="s">
        <v>11723</v>
      </c>
      <c r="K5315">
        <v>20</v>
      </c>
      <c r="L5315">
        <v>20</v>
      </c>
      <c r="M5315">
        <v>20</v>
      </c>
    </row>
    <row r="5316" spans="1:13" x14ac:dyDescent="0.25">
      <c r="A5316" t="s">
        <v>11724</v>
      </c>
      <c r="B5316" t="s">
        <v>11725</v>
      </c>
      <c r="C5316" t="s">
        <v>20</v>
      </c>
      <c r="D5316" t="s">
        <v>26</v>
      </c>
      <c r="F5316">
        <v>1</v>
      </c>
      <c r="G5316" t="s">
        <v>16</v>
      </c>
      <c r="H5316">
        <v>0</v>
      </c>
      <c r="I5316" s="2" t="s">
        <v>99</v>
      </c>
      <c r="J5316" s="3">
        <v>809760</v>
      </c>
      <c r="K5316">
        <v>20</v>
      </c>
      <c r="L5316">
        <v>20</v>
      </c>
      <c r="M5316">
        <v>20</v>
      </c>
    </row>
    <row r="5317" spans="1:13" x14ac:dyDescent="0.25">
      <c r="A5317" t="s">
        <v>11726</v>
      </c>
      <c r="B5317" t="s">
        <v>11727</v>
      </c>
      <c r="C5317" t="s">
        <v>20</v>
      </c>
      <c r="D5317" t="s">
        <v>26</v>
      </c>
      <c r="F5317">
        <v>1</v>
      </c>
      <c r="G5317" t="s">
        <v>16</v>
      </c>
      <c r="H5317">
        <v>0</v>
      </c>
      <c r="I5317" s="2" t="s">
        <v>80</v>
      </c>
      <c r="J5317" s="2" t="s">
        <v>11728</v>
      </c>
      <c r="K5317">
        <v>20</v>
      </c>
      <c r="L5317">
        <v>20</v>
      </c>
      <c r="M5317">
        <v>20</v>
      </c>
    </row>
    <row r="5318" spans="1:13" x14ac:dyDescent="0.25">
      <c r="A5318" t="s">
        <v>11729</v>
      </c>
      <c r="B5318" t="s">
        <v>11730</v>
      </c>
      <c r="C5318" t="s">
        <v>20</v>
      </c>
      <c r="D5318" t="s">
        <v>26</v>
      </c>
      <c r="F5318">
        <v>1</v>
      </c>
      <c r="G5318" t="s">
        <v>16</v>
      </c>
      <c r="H5318">
        <v>0</v>
      </c>
      <c r="I5318" s="2" t="s">
        <v>97</v>
      </c>
      <c r="J5318" s="2" t="str">
        <f>"076.358"</f>
        <v>076.358</v>
      </c>
      <c r="K5318">
        <v>20</v>
      </c>
      <c r="L5318">
        <v>20</v>
      </c>
      <c r="M5318">
        <v>20</v>
      </c>
    </row>
    <row r="5319" spans="1:13" x14ac:dyDescent="0.25">
      <c r="A5319" t="s">
        <v>11731</v>
      </c>
      <c r="B5319" t="s">
        <v>11732</v>
      </c>
      <c r="C5319" t="s">
        <v>20</v>
      </c>
      <c r="D5319" t="s">
        <v>26</v>
      </c>
      <c r="F5319">
        <v>3</v>
      </c>
      <c r="G5319" t="s">
        <v>16</v>
      </c>
      <c r="H5319">
        <v>0</v>
      </c>
      <c r="I5319" s="2" t="s">
        <v>80</v>
      </c>
      <c r="J5319" s="2" t="s">
        <v>11733</v>
      </c>
      <c r="K5319">
        <v>20</v>
      </c>
      <c r="L5319">
        <v>20</v>
      </c>
      <c r="M5319">
        <v>20</v>
      </c>
    </row>
    <row r="5320" spans="1:13" x14ac:dyDescent="0.25">
      <c r="A5320">
        <v>5607895</v>
      </c>
      <c r="B5320" t="s">
        <v>11734</v>
      </c>
      <c r="C5320" t="s">
        <v>20</v>
      </c>
      <c r="D5320" t="s">
        <v>26</v>
      </c>
      <c r="F5320">
        <v>1</v>
      </c>
      <c r="G5320" t="s">
        <v>16</v>
      </c>
      <c r="H5320">
        <v>0</v>
      </c>
      <c r="I5320" s="2" t="s">
        <v>497</v>
      </c>
      <c r="J5320" s="2">
        <v>93186222</v>
      </c>
      <c r="K5320">
        <v>20</v>
      </c>
      <c r="L5320">
        <v>20</v>
      </c>
      <c r="M5320">
        <v>20</v>
      </c>
    </row>
    <row r="5321" spans="1:13" x14ac:dyDescent="0.25">
      <c r="A5321" t="s">
        <v>11735</v>
      </c>
      <c r="B5321" t="s">
        <v>11734</v>
      </c>
      <c r="C5321" t="s">
        <v>20</v>
      </c>
      <c r="D5321" t="s">
        <v>26</v>
      </c>
      <c r="F5321">
        <v>1</v>
      </c>
      <c r="G5321" t="s">
        <v>16</v>
      </c>
      <c r="H5321">
        <v>0</v>
      </c>
      <c r="I5321" s="2" t="s">
        <v>99</v>
      </c>
      <c r="J5321" s="2" t="str">
        <f>"076.892"</f>
        <v>076.892</v>
      </c>
      <c r="K5321">
        <v>20</v>
      </c>
      <c r="L5321">
        <v>20</v>
      </c>
      <c r="M5321">
        <v>20</v>
      </c>
    </row>
    <row r="5322" spans="1:13" x14ac:dyDescent="0.25">
      <c r="A5322" t="s">
        <v>11736</v>
      </c>
      <c r="B5322" t="s">
        <v>11734</v>
      </c>
      <c r="C5322" t="s">
        <v>20</v>
      </c>
      <c r="D5322" t="s">
        <v>26</v>
      </c>
      <c r="F5322">
        <v>1</v>
      </c>
      <c r="G5322" t="s">
        <v>16</v>
      </c>
      <c r="H5322">
        <v>0</v>
      </c>
      <c r="I5322" s="2" t="s">
        <v>80</v>
      </c>
      <c r="J5322" s="2" t="s">
        <v>11737</v>
      </c>
      <c r="K5322">
        <v>20</v>
      </c>
      <c r="L5322">
        <v>20</v>
      </c>
      <c r="M5322">
        <v>20</v>
      </c>
    </row>
    <row r="5323" spans="1:13" x14ac:dyDescent="0.25">
      <c r="A5323" t="s">
        <v>11738</v>
      </c>
      <c r="B5323" t="s">
        <v>11739</v>
      </c>
      <c r="C5323" t="s">
        <v>20</v>
      </c>
      <c r="F5323">
        <v>1</v>
      </c>
      <c r="G5323" t="s">
        <v>22</v>
      </c>
      <c r="H5323">
        <v>0</v>
      </c>
      <c r="I5323" s="2" t="s">
        <v>3286</v>
      </c>
      <c r="J5323" s="2" t="s">
        <v>11740</v>
      </c>
      <c r="K5323">
        <v>20</v>
      </c>
      <c r="L5323">
        <v>20</v>
      </c>
      <c r="M5323">
        <v>20</v>
      </c>
    </row>
    <row r="5324" spans="1:13" x14ac:dyDescent="0.25">
      <c r="A5324" t="s">
        <v>11741</v>
      </c>
      <c r="B5324" t="s">
        <v>11739</v>
      </c>
      <c r="C5324" t="s">
        <v>20</v>
      </c>
      <c r="G5324" t="s">
        <v>16</v>
      </c>
      <c r="H5324">
        <v>0</v>
      </c>
      <c r="I5324" s="2" t="s">
        <v>99</v>
      </c>
      <c r="J5324" s="3">
        <v>125930</v>
      </c>
      <c r="K5324">
        <v>20</v>
      </c>
      <c r="L5324">
        <v>20</v>
      </c>
      <c r="M5324">
        <v>20</v>
      </c>
    </row>
    <row r="5325" spans="1:13" x14ac:dyDescent="0.25">
      <c r="A5325" t="s">
        <v>11742</v>
      </c>
      <c r="B5325" t="s">
        <v>11739</v>
      </c>
      <c r="C5325" t="s">
        <v>20</v>
      </c>
      <c r="G5325" t="s">
        <v>16</v>
      </c>
      <c r="H5325">
        <v>0</v>
      </c>
      <c r="I5325" s="2" t="s">
        <v>238</v>
      </c>
      <c r="J5325" s="2">
        <v>21404</v>
      </c>
      <c r="K5325">
        <v>20</v>
      </c>
      <c r="L5325">
        <v>20</v>
      </c>
      <c r="M5325">
        <v>20</v>
      </c>
    </row>
    <row r="5326" spans="1:13" x14ac:dyDescent="0.25">
      <c r="A5326" t="s">
        <v>11743</v>
      </c>
      <c r="B5326" t="s">
        <v>11744</v>
      </c>
      <c r="C5326" t="s">
        <v>20</v>
      </c>
      <c r="F5326">
        <v>2</v>
      </c>
      <c r="G5326" t="s">
        <v>16</v>
      </c>
      <c r="H5326">
        <v>0</v>
      </c>
      <c r="I5326" s="2" t="s">
        <v>97</v>
      </c>
      <c r="J5326" s="3">
        <v>374240</v>
      </c>
      <c r="K5326">
        <v>20</v>
      </c>
      <c r="L5326">
        <v>20</v>
      </c>
      <c r="M5326">
        <v>20</v>
      </c>
    </row>
    <row r="5327" spans="1:13" x14ac:dyDescent="0.25">
      <c r="A5327" t="s">
        <v>11745</v>
      </c>
      <c r="B5327" t="s">
        <v>11744</v>
      </c>
      <c r="C5327" t="s">
        <v>20</v>
      </c>
      <c r="G5327" t="s">
        <v>16</v>
      </c>
      <c r="H5327">
        <v>0</v>
      </c>
      <c r="I5327" s="2" t="s">
        <v>248</v>
      </c>
      <c r="J5327" s="2">
        <v>34696</v>
      </c>
      <c r="K5327">
        <v>20</v>
      </c>
      <c r="L5327">
        <v>20</v>
      </c>
      <c r="M5327">
        <v>20</v>
      </c>
    </row>
    <row r="5328" spans="1:13" x14ac:dyDescent="0.25">
      <c r="A5328" t="s">
        <v>11746</v>
      </c>
      <c r="B5328" t="s">
        <v>11747</v>
      </c>
      <c r="C5328" t="s">
        <v>20</v>
      </c>
      <c r="F5328">
        <v>1</v>
      </c>
      <c r="G5328" t="s">
        <v>22</v>
      </c>
      <c r="H5328">
        <v>0</v>
      </c>
      <c r="I5328" s="2" t="s">
        <v>11748</v>
      </c>
      <c r="J5328" s="2" t="s">
        <v>11749</v>
      </c>
      <c r="K5328">
        <v>20</v>
      </c>
      <c r="L5328">
        <v>20</v>
      </c>
      <c r="M5328">
        <v>20</v>
      </c>
    </row>
    <row r="5329" spans="1:13" x14ac:dyDescent="0.25">
      <c r="A5329" t="s">
        <v>11750</v>
      </c>
      <c r="B5329" t="s">
        <v>11744</v>
      </c>
      <c r="C5329" t="s">
        <v>20</v>
      </c>
      <c r="F5329">
        <v>1</v>
      </c>
      <c r="G5329" t="s">
        <v>16</v>
      </c>
      <c r="H5329">
        <v>0</v>
      </c>
      <c r="I5329" s="2" t="s">
        <v>83</v>
      </c>
      <c r="J5329" s="2" t="s">
        <v>11751</v>
      </c>
      <c r="K5329">
        <v>20</v>
      </c>
      <c r="L5329">
        <v>20</v>
      </c>
      <c r="M5329">
        <v>20</v>
      </c>
    </row>
    <row r="5330" spans="1:13" x14ac:dyDescent="0.25">
      <c r="A5330">
        <v>5607980</v>
      </c>
      <c r="B5330" t="s">
        <v>11752</v>
      </c>
      <c r="C5330" t="s">
        <v>20</v>
      </c>
      <c r="D5330" t="s">
        <v>26</v>
      </c>
      <c r="F5330">
        <v>13</v>
      </c>
      <c r="G5330" t="s">
        <v>16</v>
      </c>
      <c r="H5330">
        <v>0</v>
      </c>
      <c r="I5330" s="2" t="s">
        <v>497</v>
      </c>
      <c r="J5330" s="2">
        <v>55354237</v>
      </c>
      <c r="K5330">
        <v>20</v>
      </c>
      <c r="L5330">
        <v>20</v>
      </c>
      <c r="M5330">
        <v>20</v>
      </c>
    </row>
    <row r="5331" spans="1:13" x14ac:dyDescent="0.25">
      <c r="A5331" t="s">
        <v>11753</v>
      </c>
      <c r="B5331" t="s">
        <v>11754</v>
      </c>
      <c r="C5331" t="s">
        <v>20</v>
      </c>
      <c r="D5331" t="s">
        <v>26</v>
      </c>
      <c r="G5331" t="s">
        <v>16</v>
      </c>
      <c r="H5331">
        <v>0</v>
      </c>
      <c r="I5331" s="2" t="s">
        <v>142</v>
      </c>
      <c r="J5331" s="2" t="s">
        <v>11755</v>
      </c>
      <c r="K5331">
        <v>20</v>
      </c>
      <c r="L5331">
        <v>20</v>
      </c>
      <c r="M5331">
        <v>20</v>
      </c>
    </row>
    <row r="5332" spans="1:13" x14ac:dyDescent="0.25">
      <c r="A5332" t="s">
        <v>11756</v>
      </c>
      <c r="B5332" t="s">
        <v>11752</v>
      </c>
      <c r="C5332" t="s">
        <v>20</v>
      </c>
      <c r="D5332" t="s">
        <v>26</v>
      </c>
      <c r="F5332">
        <v>0</v>
      </c>
      <c r="G5332" t="s">
        <v>16</v>
      </c>
      <c r="H5332">
        <v>0</v>
      </c>
      <c r="I5332" s="2" t="s">
        <v>73</v>
      </c>
      <c r="J5332" s="2">
        <v>83440420</v>
      </c>
      <c r="K5332">
        <v>20</v>
      </c>
      <c r="L5332">
        <v>20</v>
      </c>
      <c r="M5332">
        <v>20</v>
      </c>
    </row>
    <row r="5333" spans="1:13" x14ac:dyDescent="0.25">
      <c r="A5333" t="s">
        <v>11757</v>
      </c>
      <c r="B5333" t="s">
        <v>11752</v>
      </c>
      <c r="C5333" t="s">
        <v>20</v>
      </c>
      <c r="D5333" t="s">
        <v>26</v>
      </c>
      <c r="F5333">
        <v>2</v>
      </c>
      <c r="G5333" t="s">
        <v>16</v>
      </c>
      <c r="H5333">
        <v>0</v>
      </c>
      <c r="I5333" s="2" t="s">
        <v>99</v>
      </c>
      <c r="J5333" s="3">
        <v>354030</v>
      </c>
      <c r="K5333">
        <v>20</v>
      </c>
      <c r="L5333">
        <v>20</v>
      </c>
      <c r="M5333">
        <v>20</v>
      </c>
    </row>
    <row r="5334" spans="1:13" x14ac:dyDescent="0.25">
      <c r="A5334" t="s">
        <v>11758</v>
      </c>
      <c r="B5334" t="s">
        <v>11752</v>
      </c>
      <c r="C5334" t="s">
        <v>20</v>
      </c>
      <c r="D5334" t="s">
        <v>26</v>
      </c>
      <c r="F5334">
        <v>0</v>
      </c>
      <c r="G5334" t="s">
        <v>16</v>
      </c>
      <c r="H5334">
        <v>0</v>
      </c>
      <c r="I5334" s="2" t="s">
        <v>104</v>
      </c>
      <c r="J5334" s="2" t="s">
        <v>11759</v>
      </c>
      <c r="K5334">
        <v>20</v>
      </c>
      <c r="L5334">
        <v>20</v>
      </c>
      <c r="M5334">
        <v>20</v>
      </c>
    </row>
    <row r="5335" spans="1:13" x14ac:dyDescent="0.25">
      <c r="A5335" t="s">
        <v>11760</v>
      </c>
      <c r="B5335" t="s">
        <v>11752</v>
      </c>
      <c r="C5335" t="s">
        <v>20</v>
      </c>
      <c r="D5335" t="s">
        <v>26</v>
      </c>
      <c r="G5335" t="s">
        <v>16</v>
      </c>
      <c r="H5335">
        <v>0</v>
      </c>
      <c r="I5335" s="2" t="s">
        <v>11762</v>
      </c>
      <c r="J5335" s="2" t="s">
        <v>11761</v>
      </c>
      <c r="K5335">
        <v>20</v>
      </c>
      <c r="L5335">
        <v>20</v>
      </c>
      <c r="M5335">
        <v>20</v>
      </c>
    </row>
    <row r="5336" spans="1:13" x14ac:dyDescent="0.25">
      <c r="A5336" t="s">
        <v>11763</v>
      </c>
      <c r="B5336" t="s">
        <v>11752</v>
      </c>
      <c r="C5336" t="s">
        <v>20</v>
      </c>
      <c r="D5336" t="s">
        <v>26</v>
      </c>
      <c r="G5336" t="s">
        <v>16</v>
      </c>
      <c r="H5336">
        <v>0</v>
      </c>
      <c r="I5336" s="2" t="s">
        <v>80</v>
      </c>
      <c r="J5336" s="2" t="s">
        <v>11764</v>
      </c>
      <c r="K5336">
        <v>20</v>
      </c>
      <c r="L5336">
        <v>20</v>
      </c>
      <c r="M5336">
        <v>20</v>
      </c>
    </row>
    <row r="5337" spans="1:13" x14ac:dyDescent="0.25">
      <c r="A5337" t="s">
        <v>11765</v>
      </c>
      <c r="B5337" t="s">
        <v>11766</v>
      </c>
      <c r="C5337" t="s">
        <v>362</v>
      </c>
      <c r="G5337" t="s">
        <v>16</v>
      </c>
      <c r="H5337">
        <v>0</v>
      </c>
      <c r="I5337" s="2" t="b">
        <v>1</v>
      </c>
      <c r="J5337" s="2" t="s">
        <v>11767</v>
      </c>
      <c r="K5337">
        <v>20</v>
      </c>
      <c r="L5337">
        <v>20</v>
      </c>
      <c r="M5337">
        <v>20</v>
      </c>
    </row>
    <row r="5338" spans="1:13" x14ac:dyDescent="0.25">
      <c r="A5338" t="s">
        <v>11768</v>
      </c>
      <c r="B5338" t="s">
        <v>11769</v>
      </c>
      <c r="C5338" t="s">
        <v>20</v>
      </c>
      <c r="F5338">
        <v>1</v>
      </c>
      <c r="G5338" t="s">
        <v>16</v>
      </c>
      <c r="H5338">
        <v>0</v>
      </c>
      <c r="I5338" s="2" t="s">
        <v>73</v>
      </c>
      <c r="J5338" s="2">
        <v>80001113</v>
      </c>
      <c r="K5338">
        <v>20</v>
      </c>
      <c r="L5338">
        <v>20</v>
      </c>
      <c r="M5338">
        <v>20</v>
      </c>
    </row>
    <row r="5339" spans="1:13" x14ac:dyDescent="0.25">
      <c r="A5339" t="s">
        <v>11770</v>
      </c>
      <c r="B5339" t="s">
        <v>11771</v>
      </c>
      <c r="C5339" t="s">
        <v>20</v>
      </c>
      <c r="D5339" t="s">
        <v>26</v>
      </c>
      <c r="G5339" t="s">
        <v>16</v>
      </c>
      <c r="H5339">
        <v>0</v>
      </c>
      <c r="I5339" s="2" t="s">
        <v>209</v>
      </c>
      <c r="J5339" s="2" t="str">
        <f>"047910-FP"</f>
        <v>047910-FP</v>
      </c>
      <c r="K5339">
        <v>20</v>
      </c>
      <c r="L5339">
        <v>20</v>
      </c>
      <c r="M5339">
        <v>20</v>
      </c>
    </row>
    <row r="5340" spans="1:13" x14ac:dyDescent="0.25">
      <c r="A5340" t="s">
        <v>11772</v>
      </c>
      <c r="B5340" t="s">
        <v>11773</v>
      </c>
      <c r="C5340" t="s">
        <v>362</v>
      </c>
      <c r="D5340" t="s">
        <v>10325</v>
      </c>
      <c r="F5340">
        <v>2</v>
      </c>
      <c r="G5340" t="s">
        <v>16</v>
      </c>
      <c r="H5340">
        <v>0</v>
      </c>
      <c r="I5340" s="2" t="s">
        <v>4193</v>
      </c>
      <c r="J5340" s="2" t="s">
        <v>11774</v>
      </c>
      <c r="K5340">
        <v>20</v>
      </c>
      <c r="L5340">
        <v>20</v>
      </c>
      <c r="M5340">
        <v>20</v>
      </c>
    </row>
    <row r="5341" spans="1:13" x14ac:dyDescent="0.25">
      <c r="A5341" t="s">
        <v>11775</v>
      </c>
      <c r="B5341" t="s">
        <v>11776</v>
      </c>
      <c r="C5341" t="s">
        <v>362</v>
      </c>
      <c r="D5341" t="s">
        <v>10325</v>
      </c>
      <c r="F5341">
        <v>2</v>
      </c>
      <c r="G5341" t="s">
        <v>16</v>
      </c>
      <c r="H5341">
        <v>0</v>
      </c>
      <c r="I5341" s="2" t="s">
        <v>4193</v>
      </c>
      <c r="J5341" s="2" t="s">
        <v>11777</v>
      </c>
      <c r="K5341">
        <v>20</v>
      </c>
      <c r="L5341">
        <v>20</v>
      </c>
      <c r="M5341">
        <v>20</v>
      </c>
    </row>
    <row r="5342" spans="1:13" x14ac:dyDescent="0.25">
      <c r="A5342" t="s">
        <v>11778</v>
      </c>
      <c r="B5342" t="s">
        <v>11779</v>
      </c>
      <c r="C5342" t="s">
        <v>362</v>
      </c>
      <c r="D5342" t="s">
        <v>10325</v>
      </c>
      <c r="G5342" t="s">
        <v>16</v>
      </c>
      <c r="H5342">
        <v>0</v>
      </c>
      <c r="I5342" s="2" t="s">
        <v>288</v>
      </c>
      <c r="J5342" s="2" t="s">
        <v>11780</v>
      </c>
      <c r="K5342">
        <v>20</v>
      </c>
      <c r="L5342">
        <v>20</v>
      </c>
      <c r="M5342">
        <v>20</v>
      </c>
    </row>
    <row r="5343" spans="1:13" x14ac:dyDescent="0.25">
      <c r="A5343" t="s">
        <v>11781</v>
      </c>
      <c r="B5343" t="s">
        <v>11782</v>
      </c>
      <c r="C5343" t="s">
        <v>362</v>
      </c>
      <c r="D5343" t="s">
        <v>10325</v>
      </c>
      <c r="F5343">
        <v>2</v>
      </c>
      <c r="G5343" t="s">
        <v>16</v>
      </c>
      <c r="H5343">
        <v>0</v>
      </c>
      <c r="I5343" s="2" t="s">
        <v>11783</v>
      </c>
      <c r="K5343">
        <v>20</v>
      </c>
      <c r="L5343">
        <v>20</v>
      </c>
      <c r="M5343">
        <v>20</v>
      </c>
    </row>
    <row r="5344" spans="1:13" x14ac:dyDescent="0.25">
      <c r="A5344" t="s">
        <v>11784</v>
      </c>
      <c r="B5344" t="s">
        <v>11785</v>
      </c>
      <c r="C5344" t="s">
        <v>362</v>
      </c>
      <c r="D5344" t="s">
        <v>10325</v>
      </c>
      <c r="F5344">
        <v>0</v>
      </c>
      <c r="G5344" t="s">
        <v>16</v>
      </c>
      <c r="H5344">
        <v>0</v>
      </c>
      <c r="I5344" s="2" t="s">
        <v>11783</v>
      </c>
      <c r="J5344" s="2">
        <v>6265</v>
      </c>
      <c r="K5344">
        <v>20</v>
      </c>
      <c r="L5344">
        <v>20</v>
      </c>
      <c r="M5344">
        <v>20</v>
      </c>
    </row>
    <row r="5345" spans="1:13" x14ac:dyDescent="0.25">
      <c r="A5345" t="s">
        <v>11786</v>
      </c>
      <c r="B5345" t="s">
        <v>11787</v>
      </c>
      <c r="C5345" t="s">
        <v>362</v>
      </c>
      <c r="D5345" t="s">
        <v>10325</v>
      </c>
      <c r="F5345">
        <v>2</v>
      </c>
      <c r="G5345" t="s">
        <v>16</v>
      </c>
      <c r="H5345">
        <v>0</v>
      </c>
      <c r="I5345" s="2" t="s">
        <v>4193</v>
      </c>
      <c r="J5345" s="2" t="s">
        <v>11788</v>
      </c>
      <c r="K5345">
        <v>20</v>
      </c>
      <c r="L5345">
        <v>20</v>
      </c>
      <c r="M5345">
        <v>20</v>
      </c>
    </row>
    <row r="5346" spans="1:13" x14ac:dyDescent="0.25">
      <c r="A5346" t="s">
        <v>11789</v>
      </c>
      <c r="B5346" t="s">
        <v>11790</v>
      </c>
      <c r="C5346" t="s">
        <v>20</v>
      </c>
      <c r="D5346" t="s">
        <v>161</v>
      </c>
      <c r="F5346">
        <v>0</v>
      </c>
      <c r="G5346" t="s">
        <v>16</v>
      </c>
      <c r="H5346">
        <v>0</v>
      </c>
      <c r="I5346" s="2" t="s">
        <v>370</v>
      </c>
      <c r="J5346" s="2">
        <v>10403</v>
      </c>
      <c r="K5346">
        <v>20</v>
      </c>
      <c r="L5346">
        <v>20</v>
      </c>
      <c r="M5346">
        <v>20</v>
      </c>
    </row>
    <row r="5347" spans="1:13" x14ac:dyDescent="0.25">
      <c r="A5347" t="s">
        <v>11791</v>
      </c>
      <c r="B5347" t="s">
        <v>11792</v>
      </c>
      <c r="C5347" t="s">
        <v>20</v>
      </c>
      <c r="D5347" t="s">
        <v>161</v>
      </c>
      <c r="F5347">
        <v>0</v>
      </c>
      <c r="G5347" t="s">
        <v>16</v>
      </c>
      <c r="H5347">
        <v>0</v>
      </c>
      <c r="I5347" s="2" t="s">
        <v>162</v>
      </c>
      <c r="J5347" s="2">
        <v>57005</v>
      </c>
      <c r="K5347">
        <v>20</v>
      </c>
      <c r="L5347">
        <v>20</v>
      </c>
      <c r="M5347">
        <v>20</v>
      </c>
    </row>
    <row r="5348" spans="1:13" x14ac:dyDescent="0.25">
      <c r="A5348" t="s">
        <v>11793</v>
      </c>
      <c r="B5348" t="s">
        <v>11794</v>
      </c>
      <c r="C5348" t="s">
        <v>20</v>
      </c>
      <c r="D5348" t="s">
        <v>161</v>
      </c>
      <c r="F5348">
        <v>2</v>
      </c>
      <c r="G5348" t="s">
        <v>16</v>
      </c>
      <c r="H5348">
        <v>0</v>
      </c>
      <c r="I5348" s="2" t="s">
        <v>759</v>
      </c>
      <c r="J5348" s="2" t="s">
        <v>11795</v>
      </c>
      <c r="K5348">
        <v>20</v>
      </c>
      <c r="L5348">
        <v>20</v>
      </c>
      <c r="M5348">
        <v>20</v>
      </c>
    </row>
    <row r="5349" spans="1:13" x14ac:dyDescent="0.25">
      <c r="A5349" t="s">
        <v>11796</v>
      </c>
      <c r="B5349" t="s">
        <v>11406</v>
      </c>
      <c r="C5349" t="s">
        <v>20</v>
      </c>
      <c r="G5349" t="s">
        <v>16</v>
      </c>
      <c r="H5349">
        <v>0</v>
      </c>
      <c r="I5349" s="2" t="s">
        <v>142</v>
      </c>
      <c r="J5349" s="2" t="s">
        <v>11797</v>
      </c>
      <c r="K5349">
        <v>20</v>
      </c>
      <c r="L5349">
        <v>20</v>
      </c>
      <c r="M5349">
        <v>20</v>
      </c>
    </row>
    <row r="5350" spans="1:13" x14ac:dyDescent="0.25">
      <c r="A5350" t="s">
        <v>11798</v>
      </c>
      <c r="B5350" t="s">
        <v>11406</v>
      </c>
      <c r="C5350" t="s">
        <v>20</v>
      </c>
      <c r="D5350" t="s">
        <v>161</v>
      </c>
      <c r="G5350" t="s">
        <v>16</v>
      </c>
      <c r="H5350">
        <v>0</v>
      </c>
      <c r="I5350" s="2" t="s">
        <v>297</v>
      </c>
      <c r="J5350" s="2">
        <v>427101330</v>
      </c>
      <c r="K5350">
        <v>20</v>
      </c>
      <c r="L5350">
        <v>20</v>
      </c>
      <c r="M5350">
        <v>20</v>
      </c>
    </row>
    <row r="5351" spans="1:13" x14ac:dyDescent="0.25">
      <c r="A5351" t="s">
        <v>11799</v>
      </c>
      <c r="B5351" t="s">
        <v>11800</v>
      </c>
      <c r="C5351" t="s">
        <v>20</v>
      </c>
      <c r="F5351">
        <v>1</v>
      </c>
      <c r="G5351" t="s">
        <v>16</v>
      </c>
      <c r="H5351">
        <v>0</v>
      </c>
      <c r="I5351" s="2" t="s">
        <v>11801</v>
      </c>
      <c r="J5351" s="2" t="str">
        <f>"03301"</f>
        <v>03301</v>
      </c>
      <c r="K5351">
        <v>20</v>
      </c>
      <c r="L5351">
        <v>20</v>
      </c>
      <c r="M5351">
        <v>20</v>
      </c>
    </row>
    <row r="5352" spans="1:13" x14ac:dyDescent="0.25">
      <c r="A5352" t="s">
        <v>11802</v>
      </c>
      <c r="B5352" t="s">
        <v>11803</v>
      </c>
      <c r="C5352" t="s">
        <v>20</v>
      </c>
      <c r="D5352" t="s">
        <v>300</v>
      </c>
      <c r="G5352" t="s">
        <v>16</v>
      </c>
      <c r="H5352">
        <v>0</v>
      </c>
      <c r="I5352" s="2" t="s">
        <v>685</v>
      </c>
      <c r="J5352" s="2">
        <v>1987949194</v>
      </c>
      <c r="K5352">
        <v>20</v>
      </c>
      <c r="L5352">
        <v>20</v>
      </c>
      <c r="M5352">
        <v>20</v>
      </c>
    </row>
    <row r="5353" spans="1:13" x14ac:dyDescent="0.25">
      <c r="A5353" t="s">
        <v>11804</v>
      </c>
      <c r="B5353" t="s">
        <v>11805</v>
      </c>
      <c r="C5353" t="s">
        <v>20</v>
      </c>
      <c r="D5353" t="s">
        <v>300</v>
      </c>
      <c r="F5353">
        <v>1</v>
      </c>
      <c r="G5353" t="s">
        <v>16</v>
      </c>
      <c r="H5353">
        <v>0</v>
      </c>
      <c r="I5353" s="2" t="s">
        <v>411</v>
      </c>
      <c r="J5353" s="2" t="s">
        <v>11806</v>
      </c>
      <c r="K5353">
        <v>20</v>
      </c>
      <c r="L5353">
        <v>20</v>
      </c>
      <c r="M5353">
        <v>20</v>
      </c>
    </row>
    <row r="5354" spans="1:13" x14ac:dyDescent="0.25">
      <c r="A5354" t="s">
        <v>11807</v>
      </c>
      <c r="B5354" t="s">
        <v>11808</v>
      </c>
      <c r="C5354" t="s">
        <v>20</v>
      </c>
      <c r="D5354" t="s">
        <v>300</v>
      </c>
      <c r="G5354" t="s">
        <v>16</v>
      </c>
      <c r="H5354">
        <v>0</v>
      </c>
      <c r="I5354" s="2" t="s">
        <v>3830</v>
      </c>
      <c r="J5354" s="2" t="s">
        <v>11809</v>
      </c>
      <c r="K5354">
        <v>20</v>
      </c>
      <c r="L5354">
        <v>20</v>
      </c>
      <c r="M5354">
        <v>20</v>
      </c>
    </row>
    <row r="5355" spans="1:13" x14ac:dyDescent="0.25">
      <c r="A5355" t="s">
        <v>11810</v>
      </c>
      <c r="B5355" t="s">
        <v>11811</v>
      </c>
      <c r="C5355" t="s">
        <v>20</v>
      </c>
      <c r="D5355" t="s">
        <v>300</v>
      </c>
      <c r="G5355" t="s">
        <v>16</v>
      </c>
      <c r="H5355">
        <v>0</v>
      </c>
      <c r="I5355" s="2" t="s">
        <v>383</v>
      </c>
      <c r="J5355" s="2">
        <v>1987949457</v>
      </c>
      <c r="K5355">
        <v>20</v>
      </c>
      <c r="L5355">
        <v>20</v>
      </c>
      <c r="M5355">
        <v>20</v>
      </c>
    </row>
    <row r="5356" spans="1:13" x14ac:dyDescent="0.25">
      <c r="A5356" t="s">
        <v>11812</v>
      </c>
      <c r="B5356" t="s">
        <v>11813</v>
      </c>
      <c r="C5356" t="s">
        <v>20</v>
      </c>
      <c r="D5356" t="s">
        <v>300</v>
      </c>
      <c r="G5356" t="s">
        <v>16</v>
      </c>
      <c r="H5356">
        <v>0</v>
      </c>
      <c r="I5356" s="2" t="s">
        <v>4250</v>
      </c>
      <c r="J5356" s="2" t="s">
        <v>11814</v>
      </c>
      <c r="K5356">
        <v>20</v>
      </c>
      <c r="L5356">
        <v>20</v>
      </c>
      <c r="M5356">
        <v>20</v>
      </c>
    </row>
    <row r="5357" spans="1:13" x14ac:dyDescent="0.25">
      <c r="A5357" t="s">
        <v>11815</v>
      </c>
      <c r="B5357" t="s">
        <v>11816</v>
      </c>
      <c r="C5357" t="s">
        <v>20</v>
      </c>
      <c r="D5357" t="s">
        <v>300</v>
      </c>
      <c r="F5357">
        <v>1</v>
      </c>
      <c r="G5357" t="s">
        <v>16</v>
      </c>
      <c r="H5357">
        <v>0</v>
      </c>
      <c r="I5357" s="2" t="s">
        <v>411</v>
      </c>
      <c r="J5357" s="2">
        <v>94833</v>
      </c>
      <c r="K5357">
        <v>20</v>
      </c>
      <c r="L5357">
        <v>20</v>
      </c>
      <c r="M5357">
        <v>20</v>
      </c>
    </row>
    <row r="5358" spans="1:13" x14ac:dyDescent="0.25">
      <c r="A5358">
        <v>5636631</v>
      </c>
      <c r="B5358" t="s">
        <v>11817</v>
      </c>
      <c r="C5358" t="s">
        <v>20</v>
      </c>
      <c r="D5358" t="s">
        <v>161</v>
      </c>
      <c r="F5358">
        <v>1</v>
      </c>
      <c r="G5358" t="s">
        <v>16</v>
      </c>
      <c r="H5358">
        <v>0</v>
      </c>
      <c r="I5358" s="2" t="s">
        <v>497</v>
      </c>
      <c r="J5358" s="2">
        <v>55567048</v>
      </c>
      <c r="K5358">
        <v>20</v>
      </c>
      <c r="L5358">
        <v>20</v>
      </c>
      <c r="M5358">
        <v>20</v>
      </c>
    </row>
    <row r="5359" spans="1:13" x14ac:dyDescent="0.25">
      <c r="A5359" t="s">
        <v>11818</v>
      </c>
      <c r="B5359" t="s">
        <v>11817</v>
      </c>
      <c r="C5359" t="s">
        <v>20</v>
      </c>
      <c r="G5359" t="s">
        <v>16</v>
      </c>
      <c r="H5359">
        <v>0</v>
      </c>
      <c r="I5359" s="2" t="s">
        <v>142</v>
      </c>
      <c r="J5359" s="2">
        <v>55567048</v>
      </c>
      <c r="K5359">
        <v>20</v>
      </c>
      <c r="L5359">
        <v>20</v>
      </c>
      <c r="M5359">
        <v>20</v>
      </c>
    </row>
    <row r="5360" spans="1:13" x14ac:dyDescent="0.25">
      <c r="A5360" t="s">
        <v>11819</v>
      </c>
      <c r="B5360" t="s">
        <v>11817</v>
      </c>
      <c r="C5360" t="s">
        <v>20</v>
      </c>
      <c r="D5360" t="s">
        <v>161</v>
      </c>
      <c r="F5360">
        <v>0</v>
      </c>
      <c r="G5360" t="s">
        <v>16</v>
      </c>
      <c r="H5360">
        <v>0</v>
      </c>
      <c r="I5360" s="2" t="s">
        <v>297</v>
      </c>
      <c r="J5360" s="2">
        <v>427100530</v>
      </c>
      <c r="K5360">
        <v>20</v>
      </c>
      <c r="L5360">
        <v>20</v>
      </c>
      <c r="M5360">
        <v>20</v>
      </c>
    </row>
    <row r="5361" spans="1:13" x14ac:dyDescent="0.25">
      <c r="A5361">
        <v>5636632</v>
      </c>
      <c r="B5361" t="s">
        <v>11820</v>
      </c>
      <c r="C5361" t="s">
        <v>20</v>
      </c>
      <c r="D5361" t="s">
        <v>161</v>
      </c>
      <c r="F5361">
        <v>1</v>
      </c>
      <c r="G5361" t="s">
        <v>16</v>
      </c>
      <c r="H5361">
        <v>0</v>
      </c>
      <c r="I5361" s="2" t="s">
        <v>1444</v>
      </c>
      <c r="J5361" s="2">
        <v>55567049</v>
      </c>
      <c r="K5361">
        <v>20</v>
      </c>
      <c r="L5361">
        <v>20</v>
      </c>
      <c r="M5361">
        <v>20</v>
      </c>
    </row>
    <row r="5362" spans="1:13" x14ac:dyDescent="0.25">
      <c r="A5362" t="s">
        <v>11821</v>
      </c>
      <c r="B5362" t="s">
        <v>11820</v>
      </c>
      <c r="C5362" t="s">
        <v>20</v>
      </c>
      <c r="D5362" t="s">
        <v>161</v>
      </c>
      <c r="F5362">
        <v>0</v>
      </c>
      <c r="G5362" t="s">
        <v>16</v>
      </c>
      <c r="H5362">
        <v>0</v>
      </c>
      <c r="I5362" s="2" t="s">
        <v>437</v>
      </c>
      <c r="J5362" s="2">
        <v>427100430</v>
      </c>
      <c r="K5362">
        <v>20</v>
      </c>
      <c r="L5362">
        <v>20</v>
      </c>
      <c r="M5362">
        <v>20</v>
      </c>
    </row>
    <row r="5363" spans="1:13" x14ac:dyDescent="0.25">
      <c r="A5363" t="s">
        <v>11822</v>
      </c>
      <c r="B5363" t="s">
        <v>11823</v>
      </c>
      <c r="C5363" t="s">
        <v>20</v>
      </c>
      <c r="D5363" t="s">
        <v>300</v>
      </c>
      <c r="F5363">
        <v>1</v>
      </c>
      <c r="G5363" t="s">
        <v>16</v>
      </c>
      <c r="H5363">
        <v>0</v>
      </c>
      <c r="I5363" s="2" t="s">
        <v>11801</v>
      </c>
      <c r="J5363" s="2" t="str">
        <f>"03302"</f>
        <v>03302</v>
      </c>
      <c r="K5363">
        <v>20</v>
      </c>
      <c r="L5363">
        <v>20</v>
      </c>
      <c r="M5363">
        <v>20</v>
      </c>
    </row>
    <row r="5364" spans="1:13" x14ac:dyDescent="0.25">
      <c r="A5364" t="s">
        <v>11824</v>
      </c>
      <c r="B5364" t="s">
        <v>11823</v>
      </c>
      <c r="C5364" t="s">
        <v>20</v>
      </c>
      <c r="D5364" t="s">
        <v>300</v>
      </c>
      <c r="F5364">
        <v>2</v>
      </c>
      <c r="G5364" t="s">
        <v>16</v>
      </c>
      <c r="H5364">
        <v>0</v>
      </c>
      <c r="I5364" s="2" t="s">
        <v>3724</v>
      </c>
      <c r="J5364" s="2" t="s">
        <v>11825</v>
      </c>
      <c r="K5364">
        <v>20</v>
      </c>
      <c r="L5364">
        <v>20</v>
      </c>
      <c r="M5364">
        <v>20</v>
      </c>
    </row>
    <row r="5365" spans="1:13" x14ac:dyDescent="0.25">
      <c r="A5365" t="s">
        <v>11826</v>
      </c>
      <c r="B5365" t="s">
        <v>11827</v>
      </c>
      <c r="C5365" t="s">
        <v>20</v>
      </c>
      <c r="F5365">
        <v>1</v>
      </c>
      <c r="G5365" t="s">
        <v>16</v>
      </c>
      <c r="H5365">
        <v>0</v>
      </c>
      <c r="I5365" s="2" t="s">
        <v>408</v>
      </c>
      <c r="J5365" s="2" t="s">
        <v>11828</v>
      </c>
      <c r="K5365">
        <v>20</v>
      </c>
      <c r="L5365">
        <v>20</v>
      </c>
      <c r="M5365">
        <v>20</v>
      </c>
    </row>
    <row r="5366" spans="1:13" x14ac:dyDescent="0.25">
      <c r="A5366" t="s">
        <v>11829</v>
      </c>
      <c r="B5366" t="s">
        <v>11830</v>
      </c>
      <c r="C5366" t="s">
        <v>20</v>
      </c>
      <c r="F5366">
        <v>1</v>
      </c>
      <c r="G5366" t="s">
        <v>16</v>
      </c>
      <c r="H5366">
        <v>0</v>
      </c>
      <c r="I5366" s="2" t="s">
        <v>3286</v>
      </c>
      <c r="J5366" s="2" t="s">
        <v>11831</v>
      </c>
      <c r="K5366">
        <v>20</v>
      </c>
      <c r="L5366">
        <v>20</v>
      </c>
      <c r="M5366">
        <v>20</v>
      </c>
    </row>
    <row r="5367" spans="1:13" x14ac:dyDescent="0.25">
      <c r="A5367">
        <v>5636936</v>
      </c>
      <c r="B5367" t="s">
        <v>11832</v>
      </c>
      <c r="C5367" t="s">
        <v>20</v>
      </c>
      <c r="D5367" t="s">
        <v>21</v>
      </c>
      <c r="F5367">
        <v>17</v>
      </c>
      <c r="G5367" t="s">
        <v>16</v>
      </c>
      <c r="H5367">
        <v>0</v>
      </c>
      <c r="I5367" s="2" t="s">
        <v>1444</v>
      </c>
      <c r="J5367" s="2">
        <v>55183898</v>
      </c>
      <c r="K5367">
        <v>20</v>
      </c>
      <c r="L5367">
        <v>20</v>
      </c>
      <c r="M5367">
        <v>20</v>
      </c>
    </row>
    <row r="5368" spans="1:13" x14ac:dyDescent="0.25">
      <c r="A5368" t="s">
        <v>11833</v>
      </c>
      <c r="B5368" t="s">
        <v>11834</v>
      </c>
      <c r="C5368" t="s">
        <v>241</v>
      </c>
      <c r="D5368" t="s">
        <v>244</v>
      </c>
      <c r="F5368">
        <v>5</v>
      </c>
      <c r="G5368" t="s">
        <v>16</v>
      </c>
      <c r="H5368">
        <v>0</v>
      </c>
      <c r="I5368" s="2" t="s">
        <v>245</v>
      </c>
      <c r="J5368" s="2" t="s">
        <v>11835</v>
      </c>
      <c r="K5368">
        <v>20</v>
      </c>
      <c r="L5368">
        <v>20</v>
      </c>
      <c r="M5368">
        <v>20</v>
      </c>
    </row>
    <row r="5369" spans="1:13" x14ac:dyDescent="0.25">
      <c r="A5369" t="s">
        <v>11836</v>
      </c>
      <c r="B5369" t="s">
        <v>11837</v>
      </c>
      <c r="C5369" t="s">
        <v>20</v>
      </c>
      <c r="D5369" t="s">
        <v>26</v>
      </c>
      <c r="F5369">
        <v>6</v>
      </c>
      <c r="G5369" t="s">
        <v>16</v>
      </c>
      <c r="H5369">
        <v>0</v>
      </c>
      <c r="I5369" s="2" t="s">
        <v>73</v>
      </c>
      <c r="J5369" s="2">
        <v>82011244</v>
      </c>
      <c r="K5369">
        <v>20</v>
      </c>
      <c r="L5369">
        <v>20</v>
      </c>
      <c r="M5369">
        <v>20</v>
      </c>
    </row>
    <row r="5370" spans="1:13" x14ac:dyDescent="0.25">
      <c r="A5370" t="s">
        <v>11838</v>
      </c>
      <c r="B5370" t="s">
        <v>11837</v>
      </c>
      <c r="C5370" t="s">
        <v>20</v>
      </c>
      <c r="D5370" t="s">
        <v>26</v>
      </c>
      <c r="F5370">
        <v>12</v>
      </c>
      <c r="G5370" t="s">
        <v>16</v>
      </c>
      <c r="H5370">
        <v>0</v>
      </c>
      <c r="I5370" s="2" t="s">
        <v>99</v>
      </c>
      <c r="J5370" s="3">
        <v>702269</v>
      </c>
      <c r="K5370">
        <v>20</v>
      </c>
      <c r="L5370">
        <v>20</v>
      </c>
      <c r="M5370">
        <v>20</v>
      </c>
    </row>
    <row r="5371" spans="1:13" x14ac:dyDescent="0.25">
      <c r="A5371" t="s">
        <v>11839</v>
      </c>
      <c r="B5371" t="s">
        <v>11837</v>
      </c>
      <c r="C5371" t="s">
        <v>20</v>
      </c>
      <c r="D5371" t="s">
        <v>26</v>
      </c>
      <c r="G5371" t="s">
        <v>16</v>
      </c>
      <c r="H5371">
        <v>0</v>
      </c>
      <c r="I5371" s="2" t="s">
        <v>57</v>
      </c>
      <c r="J5371" s="2" t="str">
        <f>"040815-V"</f>
        <v>040815-V</v>
      </c>
      <c r="K5371">
        <v>20</v>
      </c>
      <c r="L5371">
        <v>20</v>
      </c>
      <c r="M5371">
        <v>20</v>
      </c>
    </row>
    <row r="5372" spans="1:13" x14ac:dyDescent="0.25">
      <c r="A5372" t="s">
        <v>11840</v>
      </c>
      <c r="B5372" t="s">
        <v>11837</v>
      </c>
      <c r="C5372" t="s">
        <v>20</v>
      </c>
      <c r="D5372" t="s">
        <v>26</v>
      </c>
      <c r="F5372">
        <v>7</v>
      </c>
      <c r="G5372" t="s">
        <v>16</v>
      </c>
      <c r="H5372">
        <v>0</v>
      </c>
      <c r="I5372" s="2" t="s">
        <v>80</v>
      </c>
      <c r="J5372" s="2" t="s">
        <v>11841</v>
      </c>
      <c r="K5372">
        <v>20</v>
      </c>
      <c r="L5372">
        <v>20</v>
      </c>
      <c r="M5372">
        <v>20</v>
      </c>
    </row>
    <row r="5373" spans="1:13" x14ac:dyDescent="0.25">
      <c r="A5373">
        <v>5636974</v>
      </c>
      <c r="B5373" t="s">
        <v>11842</v>
      </c>
      <c r="C5373" t="s">
        <v>20</v>
      </c>
      <c r="F5373">
        <v>2</v>
      </c>
      <c r="G5373" t="s">
        <v>16</v>
      </c>
      <c r="H5373">
        <v>0</v>
      </c>
      <c r="I5373" s="2" t="s">
        <v>497</v>
      </c>
      <c r="J5373" s="2">
        <v>55557288</v>
      </c>
      <c r="K5373">
        <v>20</v>
      </c>
      <c r="L5373">
        <v>20</v>
      </c>
      <c r="M5373">
        <v>20</v>
      </c>
    </row>
    <row r="5374" spans="1:13" x14ac:dyDescent="0.25">
      <c r="A5374" t="s">
        <v>11843</v>
      </c>
      <c r="B5374" t="s">
        <v>11842</v>
      </c>
      <c r="C5374" t="s">
        <v>20</v>
      </c>
      <c r="D5374" t="s">
        <v>161</v>
      </c>
      <c r="F5374">
        <v>2</v>
      </c>
      <c r="G5374" t="s">
        <v>16</v>
      </c>
      <c r="H5374">
        <v>0</v>
      </c>
      <c r="I5374" s="2" t="s">
        <v>500</v>
      </c>
      <c r="J5374" s="2" t="s">
        <v>11844</v>
      </c>
      <c r="K5374">
        <v>20</v>
      </c>
      <c r="L5374">
        <v>20</v>
      </c>
      <c r="M5374">
        <v>20</v>
      </c>
    </row>
    <row r="5375" spans="1:13" x14ac:dyDescent="0.25">
      <c r="A5375" t="s">
        <v>11845</v>
      </c>
      <c r="B5375" t="s">
        <v>11842</v>
      </c>
      <c r="C5375" t="s">
        <v>20</v>
      </c>
      <c r="G5375" t="s">
        <v>16</v>
      </c>
      <c r="H5375">
        <v>0</v>
      </c>
      <c r="K5375">
        <v>20</v>
      </c>
      <c r="L5375">
        <v>20</v>
      </c>
      <c r="M5375">
        <v>20</v>
      </c>
    </row>
    <row r="5376" spans="1:13" x14ac:dyDescent="0.25">
      <c r="A5376" t="s">
        <v>11846</v>
      </c>
      <c r="B5376" t="s">
        <v>11847</v>
      </c>
      <c r="C5376" t="s">
        <v>20</v>
      </c>
      <c r="F5376">
        <v>0</v>
      </c>
      <c r="G5376" t="s">
        <v>16</v>
      </c>
      <c r="H5376">
        <v>0</v>
      </c>
      <c r="I5376" s="2" t="s">
        <v>591</v>
      </c>
      <c r="J5376" s="2">
        <v>221204</v>
      </c>
      <c r="K5376">
        <v>20</v>
      </c>
      <c r="L5376">
        <v>20</v>
      </c>
      <c r="M5376">
        <v>20</v>
      </c>
    </row>
    <row r="5377" spans="1:13" x14ac:dyDescent="0.25">
      <c r="A5377" t="s">
        <v>11848</v>
      </c>
      <c r="B5377" t="s">
        <v>11849</v>
      </c>
      <c r="C5377" t="s">
        <v>20</v>
      </c>
      <c r="F5377">
        <v>3</v>
      </c>
      <c r="G5377" t="s">
        <v>16</v>
      </c>
      <c r="H5377">
        <v>0</v>
      </c>
      <c r="I5377" s="2" t="s">
        <v>64</v>
      </c>
      <c r="J5377" s="2">
        <v>21030225</v>
      </c>
      <c r="K5377">
        <v>20</v>
      </c>
      <c r="L5377">
        <v>20</v>
      </c>
      <c r="M5377">
        <v>20</v>
      </c>
    </row>
    <row r="5378" spans="1:13" x14ac:dyDescent="0.25">
      <c r="A5378" t="s">
        <v>11850</v>
      </c>
      <c r="B5378" t="s">
        <v>11849</v>
      </c>
      <c r="C5378" t="s">
        <v>20</v>
      </c>
      <c r="F5378">
        <v>1</v>
      </c>
      <c r="G5378" t="s">
        <v>16</v>
      </c>
      <c r="H5378">
        <v>0</v>
      </c>
      <c r="I5378" s="2" t="s">
        <v>1175</v>
      </c>
      <c r="J5378" s="2" t="s">
        <v>11851</v>
      </c>
      <c r="K5378">
        <v>20</v>
      </c>
      <c r="L5378">
        <v>20</v>
      </c>
      <c r="M5378">
        <v>20</v>
      </c>
    </row>
    <row r="5379" spans="1:13" x14ac:dyDescent="0.25">
      <c r="A5379" t="s">
        <v>11852</v>
      </c>
      <c r="B5379" t="s">
        <v>11853</v>
      </c>
      <c r="C5379" t="s">
        <v>20</v>
      </c>
      <c r="F5379">
        <v>1</v>
      </c>
      <c r="G5379" t="s">
        <v>16</v>
      </c>
      <c r="H5379">
        <v>0</v>
      </c>
      <c r="I5379" s="2" t="s">
        <v>64</v>
      </c>
      <c r="J5379" s="2">
        <v>21030231</v>
      </c>
      <c r="K5379">
        <v>20</v>
      </c>
      <c r="L5379">
        <v>20</v>
      </c>
      <c r="M5379">
        <v>20</v>
      </c>
    </row>
    <row r="5380" spans="1:13" x14ac:dyDescent="0.25">
      <c r="A5380" t="s">
        <v>11854</v>
      </c>
      <c r="B5380" t="s">
        <v>11856</v>
      </c>
      <c r="C5380" t="s">
        <v>20</v>
      </c>
      <c r="F5380">
        <v>1</v>
      </c>
      <c r="G5380" t="s">
        <v>16</v>
      </c>
      <c r="H5380">
        <v>0</v>
      </c>
      <c r="I5380" s="2" t="s">
        <v>2098</v>
      </c>
      <c r="J5380" s="2" t="s">
        <v>11855</v>
      </c>
      <c r="K5380">
        <v>20</v>
      </c>
      <c r="L5380">
        <v>20</v>
      </c>
      <c r="M5380">
        <v>20</v>
      </c>
    </row>
    <row r="5381" spans="1:13" x14ac:dyDescent="0.25">
      <c r="A5381" t="s">
        <v>11857</v>
      </c>
      <c r="B5381" t="s">
        <v>11856</v>
      </c>
      <c r="C5381" t="s">
        <v>20</v>
      </c>
      <c r="F5381">
        <v>2</v>
      </c>
      <c r="G5381" t="s">
        <v>16</v>
      </c>
      <c r="H5381">
        <v>0</v>
      </c>
      <c r="I5381" s="2" t="s">
        <v>64</v>
      </c>
      <c r="J5381" s="2">
        <v>21030241</v>
      </c>
      <c r="K5381">
        <v>20</v>
      </c>
      <c r="L5381">
        <v>20</v>
      </c>
      <c r="M5381">
        <v>20</v>
      </c>
    </row>
    <row r="5382" spans="1:13" x14ac:dyDescent="0.25">
      <c r="A5382" t="s">
        <v>11858</v>
      </c>
      <c r="B5382" t="s">
        <v>11856</v>
      </c>
      <c r="C5382" t="s">
        <v>20</v>
      </c>
      <c r="G5382" t="s">
        <v>16</v>
      </c>
      <c r="H5382">
        <v>0</v>
      </c>
      <c r="K5382">
        <v>20</v>
      </c>
      <c r="L5382">
        <v>20</v>
      </c>
      <c r="M5382">
        <v>20</v>
      </c>
    </row>
    <row r="5383" spans="1:13" x14ac:dyDescent="0.25">
      <c r="A5383" t="s">
        <v>11859</v>
      </c>
      <c r="B5383" t="s">
        <v>11860</v>
      </c>
      <c r="C5383" t="s">
        <v>20</v>
      </c>
      <c r="F5383">
        <v>1</v>
      </c>
      <c r="G5383" t="s">
        <v>16</v>
      </c>
      <c r="H5383">
        <v>0</v>
      </c>
      <c r="I5383" s="2" t="s">
        <v>5155</v>
      </c>
      <c r="J5383" s="2" t="s">
        <v>11861</v>
      </c>
      <c r="K5383">
        <v>20</v>
      </c>
      <c r="L5383">
        <v>20</v>
      </c>
      <c r="M5383">
        <v>20</v>
      </c>
    </row>
    <row r="5384" spans="1:13" x14ac:dyDescent="0.25">
      <c r="A5384" t="s">
        <v>11862</v>
      </c>
      <c r="B5384" t="s">
        <v>11860</v>
      </c>
      <c r="C5384" t="s">
        <v>20</v>
      </c>
      <c r="G5384" t="s">
        <v>16</v>
      </c>
      <c r="H5384">
        <v>0</v>
      </c>
      <c r="K5384">
        <v>20</v>
      </c>
      <c r="L5384">
        <v>20</v>
      </c>
      <c r="M5384">
        <v>20</v>
      </c>
    </row>
    <row r="5385" spans="1:13" x14ac:dyDescent="0.25">
      <c r="A5385" t="s">
        <v>11863</v>
      </c>
      <c r="B5385" t="s">
        <v>11864</v>
      </c>
      <c r="C5385" t="s">
        <v>20</v>
      </c>
      <c r="D5385" t="s">
        <v>478</v>
      </c>
      <c r="F5385">
        <v>0</v>
      </c>
      <c r="G5385" t="s">
        <v>16</v>
      </c>
      <c r="H5385">
        <v>0</v>
      </c>
      <c r="I5385" s="2" t="s">
        <v>142</v>
      </c>
      <c r="J5385" s="2" t="s">
        <v>11865</v>
      </c>
      <c r="K5385">
        <v>20</v>
      </c>
      <c r="L5385">
        <v>20</v>
      </c>
      <c r="M5385">
        <v>20</v>
      </c>
    </row>
    <row r="5386" spans="1:13" x14ac:dyDescent="0.25">
      <c r="A5386" t="s">
        <v>11866</v>
      </c>
      <c r="B5386" t="s">
        <v>11868</v>
      </c>
      <c r="C5386" t="s">
        <v>20</v>
      </c>
      <c r="F5386">
        <v>2</v>
      </c>
      <c r="G5386" t="s">
        <v>16</v>
      </c>
      <c r="H5386">
        <v>0</v>
      </c>
      <c r="I5386" s="2" t="s">
        <v>765</v>
      </c>
      <c r="J5386" s="2" t="s">
        <v>11867</v>
      </c>
      <c r="K5386">
        <v>20</v>
      </c>
      <c r="L5386">
        <v>20</v>
      </c>
      <c r="M5386">
        <v>20</v>
      </c>
    </row>
    <row r="5387" spans="1:13" x14ac:dyDescent="0.25">
      <c r="A5387" t="s">
        <v>11869</v>
      </c>
      <c r="B5387" t="s">
        <v>11868</v>
      </c>
      <c r="C5387" t="s">
        <v>20</v>
      </c>
      <c r="F5387">
        <v>1</v>
      </c>
      <c r="G5387" t="s">
        <v>16</v>
      </c>
      <c r="H5387">
        <v>0</v>
      </c>
      <c r="I5387" s="2" t="s">
        <v>64</v>
      </c>
      <c r="J5387" s="2">
        <v>21031889</v>
      </c>
      <c r="K5387">
        <v>20</v>
      </c>
      <c r="L5387">
        <v>20</v>
      </c>
      <c r="M5387">
        <v>20</v>
      </c>
    </row>
    <row r="5388" spans="1:13" x14ac:dyDescent="0.25">
      <c r="A5388" t="s">
        <v>11870</v>
      </c>
      <c r="B5388" t="s">
        <v>11868</v>
      </c>
      <c r="C5388" t="s">
        <v>20</v>
      </c>
      <c r="F5388">
        <v>1</v>
      </c>
      <c r="G5388" t="s">
        <v>16</v>
      </c>
      <c r="H5388">
        <v>0</v>
      </c>
      <c r="I5388" s="2" t="s">
        <v>500</v>
      </c>
      <c r="J5388" s="2" t="s">
        <v>11871</v>
      </c>
      <c r="K5388">
        <v>20</v>
      </c>
      <c r="L5388">
        <v>20</v>
      </c>
      <c r="M5388">
        <v>20</v>
      </c>
    </row>
    <row r="5389" spans="1:13" x14ac:dyDescent="0.25">
      <c r="A5389">
        <v>5638127</v>
      </c>
      <c r="B5389" t="s">
        <v>11872</v>
      </c>
      <c r="C5389" t="s">
        <v>20</v>
      </c>
      <c r="D5389" t="s">
        <v>478</v>
      </c>
      <c r="F5389">
        <v>0</v>
      </c>
      <c r="G5389" t="s">
        <v>16</v>
      </c>
      <c r="H5389">
        <v>0</v>
      </c>
      <c r="I5389" s="2" t="s">
        <v>497</v>
      </c>
      <c r="J5389" s="2">
        <v>25195117</v>
      </c>
      <c r="K5389">
        <v>20</v>
      </c>
      <c r="L5389">
        <v>20</v>
      </c>
      <c r="M5389">
        <v>20</v>
      </c>
    </row>
    <row r="5390" spans="1:13" x14ac:dyDescent="0.25">
      <c r="A5390" t="s">
        <v>11873</v>
      </c>
      <c r="B5390" t="s">
        <v>11874</v>
      </c>
      <c r="C5390" t="s">
        <v>20</v>
      </c>
      <c r="D5390" t="s">
        <v>478</v>
      </c>
      <c r="F5390">
        <v>0</v>
      </c>
      <c r="G5390" t="s">
        <v>16</v>
      </c>
      <c r="H5390">
        <v>0</v>
      </c>
      <c r="I5390" s="2" t="s">
        <v>759</v>
      </c>
      <c r="J5390" s="2" t="s">
        <v>11875</v>
      </c>
      <c r="K5390">
        <v>20</v>
      </c>
      <c r="L5390">
        <v>20</v>
      </c>
      <c r="M5390">
        <v>20</v>
      </c>
    </row>
    <row r="5391" spans="1:13" x14ac:dyDescent="0.25">
      <c r="A5391" t="s">
        <v>11876</v>
      </c>
      <c r="B5391" t="s">
        <v>11874</v>
      </c>
      <c r="C5391" t="s">
        <v>20</v>
      </c>
      <c r="D5391" t="s">
        <v>478</v>
      </c>
      <c r="F5391">
        <v>0</v>
      </c>
      <c r="G5391" t="s">
        <v>16</v>
      </c>
      <c r="H5391">
        <v>0</v>
      </c>
      <c r="I5391" s="2" t="s">
        <v>11877</v>
      </c>
      <c r="J5391" s="2">
        <v>10315</v>
      </c>
      <c r="K5391">
        <v>20</v>
      </c>
      <c r="L5391">
        <v>20</v>
      </c>
      <c r="M5391">
        <v>20</v>
      </c>
    </row>
    <row r="5392" spans="1:13" x14ac:dyDescent="0.25">
      <c r="A5392">
        <v>5638611</v>
      </c>
      <c r="B5392" t="s">
        <v>11878</v>
      </c>
      <c r="C5392" t="s">
        <v>20</v>
      </c>
      <c r="D5392" t="s">
        <v>26</v>
      </c>
      <c r="G5392" t="s">
        <v>16</v>
      </c>
      <c r="H5392">
        <v>0</v>
      </c>
      <c r="I5392" s="2" t="s">
        <v>497</v>
      </c>
      <c r="J5392" s="2">
        <v>24405911</v>
      </c>
      <c r="K5392">
        <v>20</v>
      </c>
      <c r="L5392">
        <v>20</v>
      </c>
      <c r="M5392">
        <v>20</v>
      </c>
    </row>
    <row r="5393" spans="1:13" x14ac:dyDescent="0.25">
      <c r="A5393" t="s">
        <v>11879</v>
      </c>
      <c r="B5393" t="s">
        <v>11878</v>
      </c>
      <c r="C5393" t="s">
        <v>20</v>
      </c>
      <c r="D5393" t="s">
        <v>26</v>
      </c>
      <c r="G5393" t="s">
        <v>16</v>
      </c>
      <c r="H5393">
        <v>0</v>
      </c>
      <c r="I5393" s="2" t="s">
        <v>142</v>
      </c>
      <c r="J5393" s="2">
        <v>5638611</v>
      </c>
      <c r="K5393">
        <v>20</v>
      </c>
      <c r="L5393">
        <v>20</v>
      </c>
      <c r="M5393">
        <v>20</v>
      </c>
    </row>
    <row r="5394" spans="1:13" x14ac:dyDescent="0.25">
      <c r="A5394" t="s">
        <v>11880</v>
      </c>
      <c r="B5394" t="s">
        <v>11878</v>
      </c>
      <c r="C5394" t="s">
        <v>20</v>
      </c>
      <c r="D5394" t="s">
        <v>26</v>
      </c>
      <c r="F5394">
        <v>1</v>
      </c>
      <c r="G5394" t="s">
        <v>16</v>
      </c>
      <c r="H5394">
        <v>0</v>
      </c>
      <c r="I5394" s="2" t="s">
        <v>99</v>
      </c>
      <c r="J5394" s="3">
        <v>809451</v>
      </c>
      <c r="K5394">
        <v>20</v>
      </c>
      <c r="L5394">
        <v>20</v>
      </c>
      <c r="M5394">
        <v>20</v>
      </c>
    </row>
    <row r="5395" spans="1:13" x14ac:dyDescent="0.25">
      <c r="A5395" t="s">
        <v>11881</v>
      </c>
      <c r="B5395" t="s">
        <v>11878</v>
      </c>
      <c r="C5395" t="s">
        <v>20</v>
      </c>
      <c r="D5395" t="s">
        <v>26</v>
      </c>
      <c r="F5395">
        <v>2</v>
      </c>
      <c r="G5395" t="s">
        <v>16</v>
      </c>
      <c r="H5395">
        <v>0</v>
      </c>
      <c r="I5395" s="2" t="s">
        <v>500</v>
      </c>
      <c r="J5395" s="2" t="s">
        <v>11882</v>
      </c>
      <c r="K5395">
        <v>20</v>
      </c>
      <c r="L5395">
        <v>20</v>
      </c>
      <c r="M5395">
        <v>20</v>
      </c>
    </row>
    <row r="5396" spans="1:13" x14ac:dyDescent="0.25">
      <c r="A5396" t="s">
        <v>11883</v>
      </c>
      <c r="B5396" t="s">
        <v>11878</v>
      </c>
      <c r="C5396" t="s">
        <v>20</v>
      </c>
      <c r="D5396" t="s">
        <v>26</v>
      </c>
      <c r="F5396">
        <v>1</v>
      </c>
      <c r="G5396" t="s">
        <v>16</v>
      </c>
      <c r="H5396">
        <v>0</v>
      </c>
      <c r="I5396" s="2" t="s">
        <v>5822</v>
      </c>
      <c r="J5396" s="2" t="s">
        <v>11884</v>
      </c>
      <c r="K5396">
        <v>20</v>
      </c>
      <c r="L5396">
        <v>20</v>
      </c>
      <c r="M5396">
        <v>20</v>
      </c>
    </row>
    <row r="5397" spans="1:13" x14ac:dyDescent="0.25">
      <c r="A5397" t="s">
        <v>11885</v>
      </c>
      <c r="B5397" t="s">
        <v>11878</v>
      </c>
      <c r="C5397" t="s">
        <v>20</v>
      </c>
      <c r="D5397" t="s">
        <v>26</v>
      </c>
      <c r="F5397">
        <v>1</v>
      </c>
      <c r="G5397" t="s">
        <v>16</v>
      </c>
      <c r="H5397">
        <v>0</v>
      </c>
      <c r="I5397" s="2" t="s">
        <v>80</v>
      </c>
      <c r="J5397" s="2" t="s">
        <v>11886</v>
      </c>
      <c r="K5397">
        <v>20</v>
      </c>
      <c r="L5397">
        <v>20</v>
      </c>
      <c r="M5397">
        <v>20</v>
      </c>
    </row>
    <row r="5398" spans="1:13" x14ac:dyDescent="0.25">
      <c r="A5398" t="s">
        <v>11887</v>
      </c>
      <c r="B5398" t="s">
        <v>5467</v>
      </c>
      <c r="C5398" t="s">
        <v>362</v>
      </c>
      <c r="D5398" t="s">
        <v>4091</v>
      </c>
      <c r="F5398">
        <v>1</v>
      </c>
      <c r="G5398" t="s">
        <v>16</v>
      </c>
      <c r="H5398">
        <v>0</v>
      </c>
      <c r="I5398" s="2" t="s">
        <v>383</v>
      </c>
      <c r="J5398" s="2" t="str">
        <f>"0986487702"</f>
        <v>0986487702</v>
      </c>
      <c r="K5398">
        <v>20</v>
      </c>
      <c r="L5398">
        <v>20</v>
      </c>
      <c r="M5398">
        <v>20</v>
      </c>
    </row>
    <row r="5399" spans="1:13" x14ac:dyDescent="0.25">
      <c r="A5399" t="s">
        <v>11888</v>
      </c>
      <c r="B5399" t="s">
        <v>11889</v>
      </c>
      <c r="C5399" t="s">
        <v>20</v>
      </c>
      <c r="D5399" t="s">
        <v>133</v>
      </c>
      <c r="G5399" t="s">
        <v>22</v>
      </c>
      <c r="H5399">
        <v>0</v>
      </c>
      <c r="I5399" s="2" t="s">
        <v>139</v>
      </c>
      <c r="J5399" s="2" t="s">
        <v>11890</v>
      </c>
      <c r="K5399">
        <v>20</v>
      </c>
      <c r="L5399">
        <v>20</v>
      </c>
      <c r="M5399">
        <v>20</v>
      </c>
    </row>
    <row r="5400" spans="1:13" x14ac:dyDescent="0.25">
      <c r="A5400" t="s">
        <v>11891</v>
      </c>
      <c r="B5400" t="s">
        <v>11892</v>
      </c>
      <c r="C5400" t="s">
        <v>20</v>
      </c>
      <c r="G5400" t="s">
        <v>16</v>
      </c>
      <c r="H5400">
        <v>0</v>
      </c>
      <c r="I5400" s="2" t="s">
        <v>3421</v>
      </c>
      <c r="J5400" s="2" t="s">
        <v>11893</v>
      </c>
      <c r="K5400">
        <v>20</v>
      </c>
      <c r="L5400">
        <v>20</v>
      </c>
      <c r="M5400">
        <v>20</v>
      </c>
    </row>
    <row r="5401" spans="1:13" x14ac:dyDescent="0.25">
      <c r="A5401" t="s">
        <v>11894</v>
      </c>
      <c r="B5401" t="s">
        <v>11895</v>
      </c>
      <c r="C5401" t="s">
        <v>20</v>
      </c>
      <c r="D5401" t="s">
        <v>133</v>
      </c>
      <c r="F5401">
        <v>48</v>
      </c>
      <c r="G5401" t="s">
        <v>16</v>
      </c>
      <c r="H5401">
        <v>0</v>
      </c>
      <c r="I5401" s="2" t="s">
        <v>437</v>
      </c>
      <c r="J5401" s="2">
        <v>422006410</v>
      </c>
      <c r="K5401">
        <v>20</v>
      </c>
      <c r="L5401">
        <v>20</v>
      </c>
      <c r="M5401">
        <v>20</v>
      </c>
    </row>
    <row r="5402" spans="1:13" x14ac:dyDescent="0.25">
      <c r="A5402" t="s">
        <v>11896</v>
      </c>
      <c r="B5402" t="s">
        <v>11892</v>
      </c>
      <c r="C5402" t="s">
        <v>20</v>
      </c>
      <c r="D5402" t="s">
        <v>133</v>
      </c>
      <c r="G5402" t="s">
        <v>16</v>
      </c>
      <c r="H5402">
        <v>0</v>
      </c>
      <c r="I5402" s="2" t="s">
        <v>11897</v>
      </c>
      <c r="J5402" s="2" t="s">
        <v>11898</v>
      </c>
      <c r="K5402">
        <v>20</v>
      </c>
      <c r="L5402">
        <v>20</v>
      </c>
      <c r="M5402">
        <v>20</v>
      </c>
    </row>
    <row r="5403" spans="1:13" x14ac:dyDescent="0.25">
      <c r="A5403" t="s">
        <v>11899</v>
      </c>
      <c r="B5403" t="s">
        <v>11900</v>
      </c>
      <c r="C5403" t="s">
        <v>362</v>
      </c>
      <c r="F5403">
        <v>2</v>
      </c>
      <c r="G5403" t="s">
        <v>16</v>
      </c>
      <c r="H5403">
        <v>0</v>
      </c>
      <c r="I5403" s="2" t="s">
        <v>165</v>
      </c>
      <c r="J5403" s="2">
        <v>206111</v>
      </c>
      <c r="K5403">
        <v>20</v>
      </c>
      <c r="L5403">
        <v>20</v>
      </c>
      <c r="M5403">
        <v>20</v>
      </c>
    </row>
    <row r="5404" spans="1:13" x14ac:dyDescent="0.25">
      <c r="A5404" t="s">
        <v>11901</v>
      </c>
      <c r="B5404" t="s">
        <v>11902</v>
      </c>
      <c r="C5404" t="s">
        <v>362</v>
      </c>
      <c r="G5404" t="s">
        <v>16</v>
      </c>
      <c r="H5404">
        <v>0</v>
      </c>
      <c r="I5404" s="2" t="s">
        <v>288</v>
      </c>
      <c r="J5404" s="2" t="s">
        <v>11903</v>
      </c>
      <c r="K5404">
        <v>20</v>
      </c>
      <c r="L5404">
        <v>20</v>
      </c>
      <c r="M5404">
        <v>20</v>
      </c>
    </row>
    <row r="5405" spans="1:13" x14ac:dyDescent="0.25">
      <c r="A5405" t="s">
        <v>11904</v>
      </c>
      <c r="B5405" t="s">
        <v>11902</v>
      </c>
      <c r="C5405" t="s">
        <v>362</v>
      </c>
      <c r="F5405">
        <v>1</v>
      </c>
      <c r="G5405" t="s">
        <v>16</v>
      </c>
      <c r="H5405">
        <v>0</v>
      </c>
      <c r="I5405" s="2" t="s">
        <v>737</v>
      </c>
      <c r="J5405" s="2" t="s">
        <v>11905</v>
      </c>
      <c r="K5405">
        <v>20</v>
      </c>
      <c r="L5405">
        <v>20</v>
      </c>
      <c r="M5405">
        <v>20</v>
      </c>
    </row>
    <row r="5406" spans="1:13" x14ac:dyDescent="0.25">
      <c r="A5406" t="s">
        <v>11906</v>
      </c>
      <c r="B5406" t="s">
        <v>11907</v>
      </c>
      <c r="C5406" t="s">
        <v>20</v>
      </c>
      <c r="D5406" t="s">
        <v>478</v>
      </c>
      <c r="G5406" t="s">
        <v>16</v>
      </c>
      <c r="H5406">
        <v>0</v>
      </c>
      <c r="I5406" s="2" t="s">
        <v>639</v>
      </c>
      <c r="J5406" s="2" t="s">
        <v>11908</v>
      </c>
      <c r="K5406">
        <v>20</v>
      </c>
      <c r="L5406">
        <v>20</v>
      </c>
      <c r="M5406">
        <v>20</v>
      </c>
    </row>
    <row r="5407" spans="1:13" x14ac:dyDescent="0.25">
      <c r="A5407" t="s">
        <v>11909</v>
      </c>
      <c r="B5407" t="s">
        <v>11910</v>
      </c>
      <c r="C5407" t="s">
        <v>20</v>
      </c>
      <c r="D5407" t="s">
        <v>478</v>
      </c>
      <c r="G5407" t="s">
        <v>16</v>
      </c>
      <c r="H5407">
        <v>0</v>
      </c>
      <c r="I5407" s="2" t="s">
        <v>4895</v>
      </c>
      <c r="J5407" s="2" t="str">
        <f>"0021"</f>
        <v>0021</v>
      </c>
      <c r="K5407">
        <v>20</v>
      </c>
      <c r="L5407">
        <v>20</v>
      </c>
      <c r="M5407">
        <v>20</v>
      </c>
    </row>
    <row r="5408" spans="1:13" x14ac:dyDescent="0.25">
      <c r="A5408">
        <v>5650319</v>
      </c>
      <c r="B5408" t="s">
        <v>11911</v>
      </c>
      <c r="C5408" t="s">
        <v>14</v>
      </c>
      <c r="D5408" t="s">
        <v>293</v>
      </c>
      <c r="G5408" t="s">
        <v>16</v>
      </c>
      <c r="H5408">
        <v>0</v>
      </c>
      <c r="I5408" s="2" t="s">
        <v>497</v>
      </c>
      <c r="J5408" s="2">
        <v>9117321</v>
      </c>
      <c r="K5408">
        <v>20</v>
      </c>
      <c r="L5408">
        <v>20</v>
      </c>
      <c r="M5408">
        <v>20</v>
      </c>
    </row>
    <row r="5409" spans="1:13" x14ac:dyDescent="0.25">
      <c r="A5409" t="s">
        <v>11912</v>
      </c>
      <c r="B5409" t="s">
        <v>11911</v>
      </c>
      <c r="C5409" t="s">
        <v>14</v>
      </c>
      <c r="D5409" t="s">
        <v>293</v>
      </c>
      <c r="F5409">
        <v>3</v>
      </c>
      <c r="G5409" t="s">
        <v>16</v>
      </c>
      <c r="H5409">
        <v>0</v>
      </c>
      <c r="I5409" s="2" t="s">
        <v>290</v>
      </c>
      <c r="K5409">
        <v>20</v>
      </c>
      <c r="L5409">
        <v>20</v>
      </c>
      <c r="M5409">
        <v>20</v>
      </c>
    </row>
    <row r="5410" spans="1:13" x14ac:dyDescent="0.25">
      <c r="A5410" t="s">
        <v>11913</v>
      </c>
      <c r="B5410" t="s">
        <v>11911</v>
      </c>
      <c r="C5410" t="s">
        <v>14</v>
      </c>
      <c r="D5410" t="s">
        <v>293</v>
      </c>
      <c r="F5410">
        <v>1</v>
      </c>
      <c r="G5410" t="s">
        <v>16</v>
      </c>
      <c r="H5410">
        <v>0</v>
      </c>
      <c r="I5410" s="2" t="s">
        <v>17</v>
      </c>
      <c r="J5410" s="2" t="s">
        <v>11914</v>
      </c>
      <c r="K5410">
        <v>20</v>
      </c>
      <c r="L5410">
        <v>20</v>
      </c>
      <c r="M5410">
        <v>20</v>
      </c>
    </row>
    <row r="5411" spans="1:13" x14ac:dyDescent="0.25">
      <c r="A5411" t="s">
        <v>11915</v>
      </c>
      <c r="B5411" t="s">
        <v>11911</v>
      </c>
      <c r="C5411" t="s">
        <v>14</v>
      </c>
      <c r="D5411" t="s">
        <v>293</v>
      </c>
      <c r="G5411" t="s">
        <v>16</v>
      </c>
      <c r="H5411">
        <v>0</v>
      </c>
      <c r="I5411" s="2" t="s">
        <v>7200</v>
      </c>
      <c r="J5411" s="2">
        <v>2500300</v>
      </c>
      <c r="K5411">
        <v>20</v>
      </c>
      <c r="L5411">
        <v>20</v>
      </c>
      <c r="M5411">
        <v>20</v>
      </c>
    </row>
    <row r="5412" spans="1:13" x14ac:dyDescent="0.25">
      <c r="A5412" t="s">
        <v>11916</v>
      </c>
      <c r="B5412" t="s">
        <v>11917</v>
      </c>
      <c r="C5412" t="s">
        <v>14</v>
      </c>
      <c r="D5412" t="s">
        <v>293</v>
      </c>
      <c r="F5412">
        <v>2</v>
      </c>
      <c r="G5412" t="s">
        <v>16</v>
      </c>
      <c r="H5412">
        <v>0</v>
      </c>
      <c r="I5412" s="2" t="s">
        <v>192</v>
      </c>
      <c r="J5412" s="2" t="s">
        <v>11918</v>
      </c>
      <c r="K5412">
        <v>20</v>
      </c>
      <c r="L5412">
        <v>20</v>
      </c>
      <c r="M5412">
        <v>20</v>
      </c>
    </row>
    <row r="5413" spans="1:13" x14ac:dyDescent="0.25">
      <c r="A5413">
        <v>5650342</v>
      </c>
      <c r="B5413" t="s">
        <v>11919</v>
      </c>
      <c r="C5413" t="s">
        <v>14</v>
      </c>
      <c r="D5413" t="s">
        <v>293</v>
      </c>
      <c r="F5413">
        <v>6</v>
      </c>
      <c r="G5413" t="s">
        <v>16</v>
      </c>
      <c r="H5413">
        <v>0</v>
      </c>
      <c r="I5413" s="2" t="s">
        <v>1433</v>
      </c>
      <c r="J5413" s="2" t="s">
        <v>11920</v>
      </c>
      <c r="K5413">
        <v>20</v>
      </c>
      <c r="L5413">
        <v>20</v>
      </c>
      <c r="M5413">
        <v>20</v>
      </c>
    </row>
    <row r="5414" spans="1:13" x14ac:dyDescent="0.25">
      <c r="A5414" t="s">
        <v>11921</v>
      </c>
      <c r="B5414" t="s">
        <v>11919</v>
      </c>
      <c r="C5414" t="s">
        <v>14</v>
      </c>
      <c r="D5414" t="s">
        <v>293</v>
      </c>
      <c r="F5414">
        <v>17</v>
      </c>
      <c r="G5414" t="s">
        <v>16</v>
      </c>
      <c r="H5414">
        <v>0</v>
      </c>
      <c r="I5414" s="2" t="s">
        <v>685</v>
      </c>
      <c r="J5414" s="2">
        <v>1457429256</v>
      </c>
      <c r="K5414">
        <v>20</v>
      </c>
      <c r="L5414">
        <v>20</v>
      </c>
      <c r="M5414">
        <v>20</v>
      </c>
    </row>
    <row r="5415" spans="1:13" x14ac:dyDescent="0.25">
      <c r="A5415" t="s">
        <v>11922</v>
      </c>
      <c r="B5415" t="s">
        <v>11919</v>
      </c>
      <c r="C5415" t="s">
        <v>14</v>
      </c>
      <c r="D5415" t="s">
        <v>293</v>
      </c>
      <c r="G5415" t="s">
        <v>16</v>
      </c>
      <c r="H5415">
        <v>0</v>
      </c>
      <c r="I5415" s="2" t="s">
        <v>389</v>
      </c>
      <c r="J5415" s="2">
        <v>1682275980</v>
      </c>
      <c r="K5415">
        <v>20</v>
      </c>
      <c r="L5415">
        <v>20</v>
      </c>
      <c r="M5415">
        <v>20</v>
      </c>
    </row>
    <row r="5416" spans="1:13" x14ac:dyDescent="0.25">
      <c r="A5416" t="s">
        <v>11923</v>
      </c>
      <c r="B5416" t="s">
        <v>11919</v>
      </c>
      <c r="C5416" t="s">
        <v>14</v>
      </c>
      <c r="D5416" t="s">
        <v>293</v>
      </c>
      <c r="G5416" t="s">
        <v>16</v>
      </c>
      <c r="H5416">
        <v>0</v>
      </c>
      <c r="I5416" s="2" t="s">
        <v>4778</v>
      </c>
      <c r="J5416" s="2" t="s">
        <v>11924</v>
      </c>
      <c r="K5416">
        <v>20</v>
      </c>
      <c r="L5416">
        <v>20</v>
      </c>
      <c r="M5416">
        <v>20</v>
      </c>
    </row>
    <row r="5417" spans="1:13" x14ac:dyDescent="0.25">
      <c r="A5417" t="s">
        <v>11925</v>
      </c>
      <c r="B5417" t="s">
        <v>11926</v>
      </c>
      <c r="C5417" t="s">
        <v>14</v>
      </c>
      <c r="D5417" t="s">
        <v>293</v>
      </c>
      <c r="F5417">
        <v>5</v>
      </c>
      <c r="G5417" t="s">
        <v>16</v>
      </c>
      <c r="H5417">
        <v>0</v>
      </c>
      <c r="I5417" s="2" t="s">
        <v>662</v>
      </c>
      <c r="J5417" s="2" t="s">
        <v>11927</v>
      </c>
      <c r="K5417">
        <v>20</v>
      </c>
      <c r="L5417">
        <v>20</v>
      </c>
      <c r="M5417">
        <v>20</v>
      </c>
    </row>
    <row r="5418" spans="1:13" x14ac:dyDescent="0.25">
      <c r="A5418" t="s">
        <v>11928</v>
      </c>
      <c r="B5418" t="s">
        <v>11919</v>
      </c>
      <c r="C5418" t="s">
        <v>14</v>
      </c>
      <c r="D5418" t="s">
        <v>293</v>
      </c>
      <c r="F5418">
        <v>1</v>
      </c>
      <c r="G5418" t="s">
        <v>16</v>
      </c>
      <c r="H5418">
        <v>0</v>
      </c>
      <c r="I5418" s="2" t="s">
        <v>669</v>
      </c>
      <c r="J5418" s="2" t="s">
        <v>11929</v>
      </c>
      <c r="K5418">
        <v>20</v>
      </c>
      <c r="L5418">
        <v>20</v>
      </c>
      <c r="M5418">
        <v>20</v>
      </c>
    </row>
    <row r="5419" spans="1:13" x14ac:dyDescent="0.25">
      <c r="A5419" t="s">
        <v>11930</v>
      </c>
      <c r="B5419" t="s">
        <v>11919</v>
      </c>
      <c r="C5419" t="s">
        <v>14</v>
      </c>
      <c r="D5419" t="s">
        <v>293</v>
      </c>
      <c r="G5419" t="s">
        <v>16</v>
      </c>
      <c r="H5419">
        <v>0</v>
      </c>
      <c r="I5419" s="2" t="s">
        <v>4748</v>
      </c>
      <c r="J5419" s="2" t="s">
        <v>11931</v>
      </c>
      <c r="K5419">
        <v>20</v>
      </c>
      <c r="L5419">
        <v>20</v>
      </c>
      <c r="M5419">
        <v>20</v>
      </c>
    </row>
    <row r="5420" spans="1:13" x14ac:dyDescent="0.25">
      <c r="A5420" t="s">
        <v>11932</v>
      </c>
      <c r="B5420" t="s">
        <v>11926</v>
      </c>
      <c r="C5420" t="s">
        <v>14</v>
      </c>
      <c r="D5420" t="s">
        <v>293</v>
      </c>
      <c r="F5420">
        <v>4</v>
      </c>
      <c r="G5420" t="s">
        <v>16</v>
      </c>
      <c r="H5420">
        <v>0</v>
      </c>
      <c r="I5420" s="2" t="s">
        <v>854</v>
      </c>
      <c r="J5420" s="2">
        <v>586516</v>
      </c>
      <c r="K5420">
        <v>20</v>
      </c>
      <c r="L5420">
        <v>20</v>
      </c>
      <c r="M5420">
        <v>20</v>
      </c>
    </row>
    <row r="5421" spans="1:13" x14ac:dyDescent="0.25">
      <c r="A5421" t="s">
        <v>11933</v>
      </c>
      <c r="B5421" t="s">
        <v>11934</v>
      </c>
      <c r="C5421" t="s">
        <v>14</v>
      </c>
      <c r="D5421" t="s">
        <v>293</v>
      </c>
      <c r="F5421">
        <v>2</v>
      </c>
      <c r="G5421" t="s">
        <v>16</v>
      </c>
      <c r="H5421">
        <v>0</v>
      </c>
      <c r="I5421" s="2" t="s">
        <v>290</v>
      </c>
      <c r="J5421" s="2" t="s">
        <v>11935</v>
      </c>
      <c r="K5421">
        <v>20</v>
      </c>
      <c r="L5421">
        <v>20</v>
      </c>
      <c r="M5421">
        <v>20</v>
      </c>
    </row>
    <row r="5422" spans="1:13" x14ac:dyDescent="0.25">
      <c r="A5422" t="s">
        <v>11936</v>
      </c>
      <c r="B5422" t="s">
        <v>11934</v>
      </c>
      <c r="C5422" t="s">
        <v>14</v>
      </c>
      <c r="D5422" t="s">
        <v>293</v>
      </c>
      <c r="G5422" t="s">
        <v>16</v>
      </c>
      <c r="H5422">
        <v>0</v>
      </c>
      <c r="I5422" s="2" t="s">
        <v>7200</v>
      </c>
      <c r="J5422" s="2">
        <v>2504900</v>
      </c>
      <c r="K5422">
        <v>20</v>
      </c>
      <c r="L5422">
        <v>20</v>
      </c>
      <c r="M5422">
        <v>20</v>
      </c>
    </row>
    <row r="5423" spans="1:13" x14ac:dyDescent="0.25">
      <c r="A5423" t="s">
        <v>11937</v>
      </c>
      <c r="B5423" t="s">
        <v>11938</v>
      </c>
      <c r="C5423" t="s">
        <v>20</v>
      </c>
      <c r="D5423" t="s">
        <v>597</v>
      </c>
      <c r="F5423">
        <v>2</v>
      </c>
      <c r="G5423" t="s">
        <v>16</v>
      </c>
      <c r="H5423">
        <v>0</v>
      </c>
      <c r="I5423" s="2" t="s">
        <v>288</v>
      </c>
      <c r="J5423" s="2">
        <v>180101116</v>
      </c>
      <c r="K5423">
        <v>20</v>
      </c>
      <c r="L5423">
        <v>20</v>
      </c>
      <c r="M5423">
        <v>20</v>
      </c>
    </row>
    <row r="5424" spans="1:13" x14ac:dyDescent="0.25">
      <c r="A5424" t="s">
        <v>11939</v>
      </c>
      <c r="B5424" t="s">
        <v>11938</v>
      </c>
      <c r="C5424" t="s">
        <v>20</v>
      </c>
      <c r="D5424" t="s">
        <v>597</v>
      </c>
      <c r="F5424">
        <v>0</v>
      </c>
      <c r="G5424" t="s">
        <v>16</v>
      </c>
      <c r="H5424">
        <v>0</v>
      </c>
      <c r="I5424" s="2" t="s">
        <v>3286</v>
      </c>
      <c r="J5424" s="2" t="s">
        <v>11940</v>
      </c>
      <c r="K5424">
        <v>20</v>
      </c>
      <c r="L5424">
        <v>20</v>
      </c>
      <c r="M5424">
        <v>20</v>
      </c>
    </row>
    <row r="5425" spans="1:13" x14ac:dyDescent="0.25">
      <c r="A5425" t="s">
        <v>11941</v>
      </c>
      <c r="B5425" t="s">
        <v>11938</v>
      </c>
      <c r="C5425" t="s">
        <v>20</v>
      </c>
      <c r="D5425" t="s">
        <v>597</v>
      </c>
      <c r="G5425" t="s">
        <v>16</v>
      </c>
      <c r="H5425">
        <v>0</v>
      </c>
      <c r="I5425" s="2" t="s">
        <v>162</v>
      </c>
      <c r="J5425" s="2">
        <v>63126</v>
      </c>
      <c r="K5425">
        <v>20</v>
      </c>
      <c r="L5425">
        <v>20</v>
      </c>
      <c r="M5425">
        <v>20</v>
      </c>
    </row>
    <row r="5426" spans="1:13" x14ac:dyDescent="0.25">
      <c r="A5426" t="s">
        <v>11942</v>
      </c>
      <c r="B5426" t="s">
        <v>11944</v>
      </c>
      <c r="C5426" t="s">
        <v>20</v>
      </c>
      <c r="D5426" t="s">
        <v>597</v>
      </c>
      <c r="F5426">
        <v>1</v>
      </c>
      <c r="G5426" t="s">
        <v>16</v>
      </c>
      <c r="H5426">
        <v>0</v>
      </c>
      <c r="I5426" s="2" t="s">
        <v>288</v>
      </c>
      <c r="J5426" s="2" t="s">
        <v>11943</v>
      </c>
      <c r="K5426">
        <v>20</v>
      </c>
      <c r="L5426">
        <v>20</v>
      </c>
      <c r="M5426">
        <v>20</v>
      </c>
    </row>
    <row r="5427" spans="1:13" x14ac:dyDescent="0.25">
      <c r="A5427" t="s">
        <v>11945</v>
      </c>
      <c r="B5427" t="s">
        <v>11946</v>
      </c>
      <c r="C5427" t="s">
        <v>20</v>
      </c>
      <c r="D5427" t="s">
        <v>597</v>
      </c>
      <c r="G5427" t="s">
        <v>16</v>
      </c>
      <c r="H5427">
        <v>0</v>
      </c>
      <c r="I5427" s="2" t="s">
        <v>598</v>
      </c>
      <c r="J5427" s="2">
        <v>344645</v>
      </c>
      <c r="K5427">
        <v>20</v>
      </c>
      <c r="L5427">
        <v>20</v>
      </c>
      <c r="M5427">
        <v>20</v>
      </c>
    </row>
    <row r="5428" spans="1:13" x14ac:dyDescent="0.25">
      <c r="A5428" t="s">
        <v>11947</v>
      </c>
      <c r="B5428" t="s">
        <v>11948</v>
      </c>
      <c r="C5428" t="s">
        <v>20</v>
      </c>
      <c r="D5428" t="s">
        <v>597</v>
      </c>
      <c r="F5428">
        <v>2</v>
      </c>
      <c r="G5428" t="s">
        <v>16</v>
      </c>
      <c r="H5428">
        <v>0</v>
      </c>
      <c r="I5428" s="2" t="s">
        <v>1671</v>
      </c>
      <c r="J5428" s="2">
        <v>344650</v>
      </c>
      <c r="K5428">
        <v>20</v>
      </c>
      <c r="L5428">
        <v>20</v>
      </c>
      <c r="M5428">
        <v>20</v>
      </c>
    </row>
    <row r="5429" spans="1:13" x14ac:dyDescent="0.25">
      <c r="A5429" t="s">
        <v>11949</v>
      </c>
      <c r="B5429" t="s">
        <v>11950</v>
      </c>
      <c r="C5429" t="s">
        <v>14</v>
      </c>
      <c r="D5429" t="s">
        <v>293</v>
      </c>
      <c r="F5429">
        <v>2</v>
      </c>
      <c r="G5429" t="s">
        <v>16</v>
      </c>
      <c r="H5429">
        <v>0</v>
      </c>
      <c r="I5429" s="2" t="s">
        <v>383</v>
      </c>
      <c r="J5429" s="2" t="str">
        <f>"09864B7009"</f>
        <v>09864B7009</v>
      </c>
      <c r="K5429">
        <v>20</v>
      </c>
      <c r="L5429">
        <v>20</v>
      </c>
      <c r="M5429">
        <v>20</v>
      </c>
    </row>
    <row r="5430" spans="1:13" x14ac:dyDescent="0.25">
      <c r="A5430" t="s">
        <v>11951</v>
      </c>
      <c r="B5430" t="s">
        <v>11950</v>
      </c>
      <c r="C5430" t="s">
        <v>14</v>
      </c>
      <c r="D5430" t="s">
        <v>293</v>
      </c>
      <c r="F5430">
        <v>0</v>
      </c>
      <c r="G5430" t="s">
        <v>16</v>
      </c>
      <c r="H5430">
        <v>0</v>
      </c>
      <c r="I5430" s="2" t="s">
        <v>389</v>
      </c>
      <c r="J5430" s="2">
        <v>1682275480</v>
      </c>
      <c r="K5430">
        <v>20</v>
      </c>
      <c r="L5430">
        <v>20</v>
      </c>
      <c r="M5430">
        <v>20</v>
      </c>
    </row>
    <row r="5431" spans="1:13" x14ac:dyDescent="0.25">
      <c r="A5431" t="s">
        <v>11952</v>
      </c>
      <c r="B5431" t="s">
        <v>11950</v>
      </c>
      <c r="C5431" t="s">
        <v>14</v>
      </c>
      <c r="D5431" t="s">
        <v>293</v>
      </c>
      <c r="F5431">
        <v>8</v>
      </c>
      <c r="G5431" t="s">
        <v>16</v>
      </c>
      <c r="H5431">
        <v>0</v>
      </c>
      <c r="I5431" s="2" t="s">
        <v>662</v>
      </c>
      <c r="J5431" s="2" t="s">
        <v>11953</v>
      </c>
      <c r="K5431">
        <v>20</v>
      </c>
      <c r="L5431">
        <v>20</v>
      </c>
      <c r="M5431">
        <v>20</v>
      </c>
    </row>
    <row r="5432" spans="1:13" x14ac:dyDescent="0.25">
      <c r="A5432" t="s">
        <v>11954</v>
      </c>
      <c r="B5432" t="s">
        <v>11950</v>
      </c>
      <c r="C5432" t="s">
        <v>14</v>
      </c>
      <c r="D5432" t="s">
        <v>293</v>
      </c>
      <c r="F5432">
        <v>1</v>
      </c>
      <c r="G5432" t="s">
        <v>16</v>
      </c>
      <c r="H5432">
        <v>0</v>
      </c>
      <c r="I5432" s="2" t="s">
        <v>669</v>
      </c>
      <c r="J5432" s="2" t="s">
        <v>11955</v>
      </c>
      <c r="K5432">
        <v>20</v>
      </c>
      <c r="L5432">
        <v>20</v>
      </c>
      <c r="M5432">
        <v>20</v>
      </c>
    </row>
    <row r="5433" spans="1:13" x14ac:dyDescent="0.25">
      <c r="A5433" t="s">
        <v>11956</v>
      </c>
      <c r="B5433" t="s">
        <v>11950</v>
      </c>
      <c r="C5433" t="s">
        <v>14</v>
      </c>
      <c r="D5433" t="s">
        <v>293</v>
      </c>
      <c r="F5433">
        <v>47</v>
      </c>
      <c r="G5433" t="s">
        <v>16</v>
      </c>
      <c r="H5433">
        <v>0</v>
      </c>
      <c r="I5433" s="2" t="s">
        <v>7233</v>
      </c>
      <c r="J5433" s="2" t="s">
        <v>11957</v>
      </c>
      <c r="K5433">
        <v>20</v>
      </c>
      <c r="L5433">
        <v>20</v>
      </c>
      <c r="M5433">
        <v>20</v>
      </c>
    </row>
    <row r="5434" spans="1:13" x14ac:dyDescent="0.25">
      <c r="A5434" t="s">
        <v>11958</v>
      </c>
      <c r="B5434" t="s">
        <v>11959</v>
      </c>
      <c r="C5434" t="s">
        <v>20</v>
      </c>
      <c r="F5434">
        <v>4</v>
      </c>
      <c r="G5434" t="s">
        <v>16</v>
      </c>
      <c r="H5434">
        <v>0</v>
      </c>
      <c r="I5434" s="2" t="s">
        <v>765</v>
      </c>
      <c r="J5434" s="2" t="s">
        <v>11960</v>
      </c>
      <c r="K5434">
        <v>20</v>
      </c>
      <c r="L5434">
        <v>20</v>
      </c>
      <c r="M5434">
        <v>20</v>
      </c>
    </row>
    <row r="5435" spans="1:13" x14ac:dyDescent="0.25">
      <c r="A5435" t="s">
        <v>11961</v>
      </c>
      <c r="B5435" t="s">
        <v>11959</v>
      </c>
      <c r="C5435" t="s">
        <v>20</v>
      </c>
      <c r="D5435" t="s">
        <v>597</v>
      </c>
      <c r="G5435" t="s">
        <v>16</v>
      </c>
      <c r="H5435">
        <v>0</v>
      </c>
      <c r="I5435" s="2" t="s">
        <v>3421</v>
      </c>
      <c r="J5435" s="2" t="s">
        <v>11962</v>
      </c>
      <c r="K5435">
        <v>20</v>
      </c>
      <c r="L5435">
        <v>20</v>
      </c>
      <c r="M5435">
        <v>20</v>
      </c>
    </row>
    <row r="5436" spans="1:13" x14ac:dyDescent="0.25">
      <c r="A5436" t="s">
        <v>11963</v>
      </c>
      <c r="B5436" t="s">
        <v>11959</v>
      </c>
      <c r="C5436" t="s">
        <v>20</v>
      </c>
      <c r="D5436" t="s">
        <v>597</v>
      </c>
      <c r="F5436">
        <v>1</v>
      </c>
      <c r="G5436" t="s">
        <v>16</v>
      </c>
      <c r="H5436">
        <v>0</v>
      </c>
      <c r="I5436" s="2" t="s">
        <v>598</v>
      </c>
      <c r="J5436" s="2">
        <v>353420</v>
      </c>
      <c r="K5436">
        <v>20</v>
      </c>
      <c r="L5436">
        <v>20</v>
      </c>
      <c r="M5436">
        <v>20</v>
      </c>
    </row>
    <row r="5437" spans="1:13" x14ac:dyDescent="0.25">
      <c r="A5437" t="s">
        <v>11964</v>
      </c>
      <c r="B5437" t="s">
        <v>11959</v>
      </c>
      <c r="C5437" t="s">
        <v>20</v>
      </c>
      <c r="D5437" t="s">
        <v>597</v>
      </c>
      <c r="G5437" t="s">
        <v>16</v>
      </c>
      <c r="H5437">
        <v>0</v>
      </c>
      <c r="K5437">
        <v>20</v>
      </c>
      <c r="L5437">
        <v>20</v>
      </c>
      <c r="M5437">
        <v>20</v>
      </c>
    </row>
    <row r="5438" spans="1:13" x14ac:dyDescent="0.25">
      <c r="A5438" t="s">
        <v>11965</v>
      </c>
      <c r="B5438" t="s">
        <v>11966</v>
      </c>
      <c r="C5438" t="s">
        <v>20</v>
      </c>
      <c r="F5438">
        <v>2</v>
      </c>
      <c r="G5438" t="s">
        <v>16</v>
      </c>
      <c r="H5438">
        <v>0</v>
      </c>
      <c r="I5438" s="2" t="s">
        <v>504</v>
      </c>
      <c r="J5438" s="2" t="s">
        <v>11967</v>
      </c>
      <c r="K5438">
        <v>20</v>
      </c>
      <c r="L5438">
        <v>20</v>
      </c>
      <c r="M5438">
        <v>20</v>
      </c>
    </row>
    <row r="5439" spans="1:13" x14ac:dyDescent="0.25">
      <c r="A5439" t="s">
        <v>11968</v>
      </c>
      <c r="B5439" t="s">
        <v>11970</v>
      </c>
      <c r="C5439" t="s">
        <v>20</v>
      </c>
      <c r="D5439" t="s">
        <v>597</v>
      </c>
      <c r="F5439">
        <v>1</v>
      </c>
      <c r="G5439" t="s">
        <v>16</v>
      </c>
      <c r="H5439">
        <v>0</v>
      </c>
      <c r="I5439" s="2" t="s">
        <v>765</v>
      </c>
      <c r="J5439" s="2" t="s">
        <v>11969</v>
      </c>
      <c r="K5439">
        <v>20</v>
      </c>
      <c r="L5439">
        <v>20</v>
      </c>
      <c r="M5439">
        <v>20</v>
      </c>
    </row>
    <row r="5440" spans="1:13" x14ac:dyDescent="0.25">
      <c r="A5440" t="s">
        <v>11971</v>
      </c>
      <c r="B5440" t="s">
        <v>11970</v>
      </c>
      <c r="C5440" t="s">
        <v>20</v>
      </c>
      <c r="F5440">
        <v>1</v>
      </c>
      <c r="G5440" t="s">
        <v>16</v>
      </c>
      <c r="H5440">
        <v>0</v>
      </c>
      <c r="I5440" s="2" t="s">
        <v>290</v>
      </c>
      <c r="J5440" s="2" t="s">
        <v>11972</v>
      </c>
      <c r="K5440">
        <v>20</v>
      </c>
      <c r="L5440">
        <v>20</v>
      </c>
      <c r="M5440">
        <v>20</v>
      </c>
    </row>
    <row r="5441" spans="1:13" x14ac:dyDescent="0.25">
      <c r="A5441">
        <v>5650367</v>
      </c>
      <c r="B5441" t="s">
        <v>11973</v>
      </c>
      <c r="C5441" t="s">
        <v>14</v>
      </c>
      <c r="D5441" t="s">
        <v>293</v>
      </c>
      <c r="G5441" t="s">
        <v>16</v>
      </c>
      <c r="H5441">
        <v>0</v>
      </c>
      <c r="I5441" s="2" t="s">
        <v>497</v>
      </c>
      <c r="J5441" s="2">
        <v>93186856</v>
      </c>
      <c r="K5441">
        <v>20</v>
      </c>
      <c r="L5441">
        <v>20</v>
      </c>
      <c r="M5441">
        <v>20</v>
      </c>
    </row>
    <row r="5442" spans="1:13" x14ac:dyDescent="0.25">
      <c r="A5442" t="s">
        <v>11974</v>
      </c>
      <c r="B5442" t="s">
        <v>11973</v>
      </c>
      <c r="C5442" t="s">
        <v>14</v>
      </c>
      <c r="D5442" t="s">
        <v>293</v>
      </c>
      <c r="F5442">
        <v>10</v>
      </c>
      <c r="G5442" t="s">
        <v>16</v>
      </c>
      <c r="H5442">
        <v>0</v>
      </c>
      <c r="I5442" s="2" t="s">
        <v>685</v>
      </c>
      <c r="J5442" s="2" t="str">
        <f>"09864B7005"</f>
        <v>09864B7005</v>
      </c>
      <c r="K5442">
        <v>20</v>
      </c>
      <c r="L5442">
        <v>20</v>
      </c>
      <c r="M5442">
        <v>20</v>
      </c>
    </row>
    <row r="5443" spans="1:13" x14ac:dyDescent="0.25">
      <c r="A5443" t="s">
        <v>11975</v>
      </c>
      <c r="B5443" t="s">
        <v>11973</v>
      </c>
      <c r="C5443" t="s">
        <v>14</v>
      </c>
      <c r="D5443" t="s">
        <v>293</v>
      </c>
      <c r="F5443">
        <v>5</v>
      </c>
      <c r="G5443" t="s">
        <v>16</v>
      </c>
      <c r="H5443">
        <v>0</v>
      </c>
      <c r="I5443" s="2" t="s">
        <v>662</v>
      </c>
      <c r="J5443" s="2" t="s">
        <v>11976</v>
      </c>
      <c r="K5443">
        <v>20</v>
      </c>
      <c r="L5443">
        <v>20</v>
      </c>
      <c r="M5443">
        <v>20</v>
      </c>
    </row>
    <row r="5444" spans="1:13" x14ac:dyDescent="0.25">
      <c r="A5444" t="s">
        <v>11977</v>
      </c>
      <c r="B5444" t="s">
        <v>11973</v>
      </c>
      <c r="C5444" t="s">
        <v>14</v>
      </c>
      <c r="D5444" t="s">
        <v>293</v>
      </c>
      <c r="G5444" t="s">
        <v>16</v>
      </c>
      <c r="H5444">
        <v>0</v>
      </c>
      <c r="I5444" s="2" t="s">
        <v>4748</v>
      </c>
      <c r="J5444" s="2" t="s">
        <v>11978</v>
      </c>
      <c r="K5444">
        <v>20</v>
      </c>
      <c r="L5444">
        <v>20</v>
      </c>
      <c r="M5444">
        <v>20</v>
      </c>
    </row>
    <row r="5445" spans="1:13" x14ac:dyDescent="0.25">
      <c r="A5445" t="s">
        <v>11979</v>
      </c>
      <c r="B5445" t="s">
        <v>11973</v>
      </c>
      <c r="C5445" t="s">
        <v>14</v>
      </c>
      <c r="D5445" t="s">
        <v>293</v>
      </c>
      <c r="G5445" t="s">
        <v>16</v>
      </c>
      <c r="H5445">
        <v>0</v>
      </c>
      <c r="I5445" s="2" t="s">
        <v>11980</v>
      </c>
      <c r="J5445" s="2">
        <v>2503100</v>
      </c>
      <c r="K5445">
        <v>20</v>
      </c>
      <c r="L5445">
        <v>20</v>
      </c>
      <c r="M5445">
        <v>20</v>
      </c>
    </row>
    <row r="5446" spans="1:13" x14ac:dyDescent="0.25">
      <c r="A5446" t="s">
        <v>11981</v>
      </c>
      <c r="B5446" t="s">
        <v>11982</v>
      </c>
      <c r="C5446" t="s">
        <v>20</v>
      </c>
      <c r="D5446" t="s">
        <v>26</v>
      </c>
      <c r="F5446">
        <v>4</v>
      </c>
      <c r="G5446" t="s">
        <v>16</v>
      </c>
      <c r="H5446">
        <v>0</v>
      </c>
      <c r="I5446" s="2" t="s">
        <v>99</v>
      </c>
      <c r="J5446" s="3">
        <v>690540</v>
      </c>
      <c r="K5446">
        <v>20</v>
      </c>
      <c r="L5446">
        <v>20</v>
      </c>
      <c r="M5446">
        <v>20</v>
      </c>
    </row>
    <row r="5447" spans="1:13" x14ac:dyDescent="0.25">
      <c r="A5447">
        <v>5650384</v>
      </c>
      <c r="B5447" t="s">
        <v>11983</v>
      </c>
      <c r="C5447" t="s">
        <v>241</v>
      </c>
      <c r="D5447" t="s">
        <v>2216</v>
      </c>
      <c r="F5447">
        <v>1</v>
      </c>
      <c r="G5447" t="s">
        <v>16</v>
      </c>
      <c r="H5447">
        <v>0</v>
      </c>
      <c r="I5447" s="2" t="s">
        <v>497</v>
      </c>
      <c r="J5447" s="2" t="s">
        <v>11984</v>
      </c>
      <c r="K5447">
        <v>20</v>
      </c>
      <c r="L5447">
        <v>20</v>
      </c>
      <c r="M5447">
        <v>20</v>
      </c>
    </row>
    <row r="5448" spans="1:13" x14ac:dyDescent="0.25">
      <c r="A5448" t="s">
        <v>11985</v>
      </c>
      <c r="B5448" t="s">
        <v>11986</v>
      </c>
      <c r="C5448" t="s">
        <v>20</v>
      </c>
      <c r="D5448" t="s">
        <v>764</v>
      </c>
      <c r="G5448" t="s">
        <v>16</v>
      </c>
      <c r="H5448">
        <v>0</v>
      </c>
      <c r="I5448" s="2" t="s">
        <v>4895</v>
      </c>
      <c r="J5448" s="2" t="str">
        <f>"0003"</f>
        <v>0003</v>
      </c>
      <c r="K5448">
        <v>20</v>
      </c>
      <c r="L5448">
        <v>20</v>
      </c>
      <c r="M5448">
        <v>20</v>
      </c>
    </row>
    <row r="5449" spans="1:13" x14ac:dyDescent="0.25">
      <c r="A5449" t="s">
        <v>11987</v>
      </c>
      <c r="B5449" t="s">
        <v>11988</v>
      </c>
      <c r="C5449" t="s">
        <v>241</v>
      </c>
      <c r="G5449" t="s">
        <v>16</v>
      </c>
      <c r="H5449">
        <v>0</v>
      </c>
      <c r="I5449" s="2" t="s">
        <v>737</v>
      </c>
      <c r="J5449" s="2" t="s">
        <v>11989</v>
      </c>
      <c r="K5449">
        <v>20</v>
      </c>
      <c r="L5449">
        <v>20</v>
      </c>
      <c r="M5449">
        <v>20</v>
      </c>
    </row>
    <row r="5450" spans="1:13" x14ac:dyDescent="0.25">
      <c r="A5450">
        <v>5650830</v>
      </c>
      <c r="B5450" t="s">
        <v>11990</v>
      </c>
      <c r="C5450" t="s">
        <v>14</v>
      </c>
      <c r="D5450" t="s">
        <v>293</v>
      </c>
      <c r="F5450">
        <v>1</v>
      </c>
      <c r="G5450" t="s">
        <v>16</v>
      </c>
      <c r="H5450">
        <v>0</v>
      </c>
      <c r="I5450" s="2" t="s">
        <v>497</v>
      </c>
      <c r="J5450" s="2">
        <v>97223704</v>
      </c>
      <c r="K5450">
        <v>20</v>
      </c>
      <c r="L5450">
        <v>20</v>
      </c>
      <c r="M5450">
        <v>20</v>
      </c>
    </row>
    <row r="5451" spans="1:13" x14ac:dyDescent="0.25">
      <c r="A5451">
        <v>5650831</v>
      </c>
      <c r="B5451" t="s">
        <v>11991</v>
      </c>
      <c r="C5451" t="s">
        <v>20</v>
      </c>
      <c r="D5451" t="s">
        <v>764</v>
      </c>
      <c r="F5451">
        <v>5</v>
      </c>
      <c r="G5451" t="s">
        <v>16</v>
      </c>
      <c r="H5451">
        <v>0</v>
      </c>
      <c r="I5451" s="2" t="s">
        <v>497</v>
      </c>
      <c r="J5451" s="2">
        <v>90412508</v>
      </c>
      <c r="K5451">
        <v>20</v>
      </c>
      <c r="L5451">
        <v>20</v>
      </c>
      <c r="M5451">
        <v>20</v>
      </c>
    </row>
    <row r="5452" spans="1:13" x14ac:dyDescent="0.25">
      <c r="A5452" t="s">
        <v>11992</v>
      </c>
      <c r="B5452" t="s">
        <v>11991</v>
      </c>
      <c r="C5452" t="s">
        <v>20</v>
      </c>
      <c r="D5452" t="s">
        <v>764</v>
      </c>
      <c r="G5452" t="s">
        <v>16</v>
      </c>
      <c r="H5452">
        <v>0</v>
      </c>
      <c r="I5452" s="2" t="s">
        <v>11994</v>
      </c>
      <c r="J5452" s="2" t="s">
        <v>11993</v>
      </c>
      <c r="K5452">
        <v>20</v>
      </c>
      <c r="L5452">
        <v>20</v>
      </c>
      <c r="M5452">
        <v>20</v>
      </c>
    </row>
    <row r="5453" spans="1:13" x14ac:dyDescent="0.25">
      <c r="A5453" t="s">
        <v>11995</v>
      </c>
      <c r="B5453" t="s">
        <v>11991</v>
      </c>
      <c r="C5453" t="s">
        <v>20</v>
      </c>
      <c r="D5453" t="s">
        <v>764</v>
      </c>
      <c r="G5453" t="s">
        <v>16</v>
      </c>
      <c r="H5453">
        <v>0</v>
      </c>
      <c r="I5453" s="2" t="s">
        <v>238</v>
      </c>
      <c r="J5453" s="2">
        <v>17799</v>
      </c>
      <c r="K5453">
        <v>20</v>
      </c>
      <c r="L5453">
        <v>20</v>
      </c>
      <c r="M5453">
        <v>20</v>
      </c>
    </row>
    <row r="5454" spans="1:13" x14ac:dyDescent="0.25">
      <c r="A5454" t="s">
        <v>11996</v>
      </c>
      <c r="B5454" t="s">
        <v>11991</v>
      </c>
      <c r="C5454" t="s">
        <v>20</v>
      </c>
      <c r="D5454" t="s">
        <v>764</v>
      </c>
      <c r="G5454" t="s">
        <v>16</v>
      </c>
      <c r="H5454">
        <v>0</v>
      </c>
      <c r="I5454" s="2" t="s">
        <v>993</v>
      </c>
      <c r="J5454" s="2">
        <v>205210</v>
      </c>
      <c r="K5454">
        <v>20</v>
      </c>
      <c r="L5454">
        <v>20</v>
      </c>
      <c r="M5454">
        <v>20</v>
      </c>
    </row>
    <row r="5455" spans="1:13" x14ac:dyDescent="0.25">
      <c r="A5455" t="s">
        <v>11997</v>
      </c>
      <c r="B5455" t="s">
        <v>11991</v>
      </c>
      <c r="C5455" t="s">
        <v>20</v>
      </c>
      <c r="G5455" t="s">
        <v>16</v>
      </c>
      <c r="H5455">
        <v>0</v>
      </c>
      <c r="K5455">
        <v>20</v>
      </c>
      <c r="L5455">
        <v>20</v>
      </c>
      <c r="M5455">
        <v>20</v>
      </c>
    </row>
    <row r="5456" spans="1:13" x14ac:dyDescent="0.25">
      <c r="A5456" t="s">
        <v>11998</v>
      </c>
      <c r="B5456" t="s">
        <v>11999</v>
      </c>
      <c r="C5456" t="s">
        <v>20</v>
      </c>
      <c r="D5456" t="s">
        <v>597</v>
      </c>
      <c r="G5456" t="s">
        <v>16</v>
      </c>
      <c r="H5456">
        <v>0</v>
      </c>
      <c r="I5456" s="2" t="s">
        <v>288</v>
      </c>
      <c r="J5456" s="2">
        <v>180110116</v>
      </c>
      <c r="K5456">
        <v>20</v>
      </c>
      <c r="L5456">
        <v>20</v>
      </c>
      <c r="M5456">
        <v>20</v>
      </c>
    </row>
    <row r="5457" spans="1:13" x14ac:dyDescent="0.25">
      <c r="A5457" t="s">
        <v>12000</v>
      </c>
      <c r="B5457" t="s">
        <v>12001</v>
      </c>
      <c r="C5457" t="s">
        <v>20</v>
      </c>
      <c r="D5457" t="s">
        <v>597</v>
      </c>
      <c r="F5457">
        <v>1</v>
      </c>
      <c r="G5457" t="s">
        <v>16</v>
      </c>
      <c r="H5457">
        <v>0</v>
      </c>
      <c r="I5457" s="2" t="s">
        <v>238</v>
      </c>
      <c r="J5457" s="2">
        <v>101406</v>
      </c>
      <c r="K5457">
        <v>20</v>
      </c>
      <c r="L5457">
        <v>20</v>
      </c>
      <c r="M5457">
        <v>20</v>
      </c>
    </row>
    <row r="5458" spans="1:13" x14ac:dyDescent="0.25">
      <c r="A5458" t="s">
        <v>12002</v>
      </c>
      <c r="B5458" t="s">
        <v>11999</v>
      </c>
      <c r="C5458" t="s">
        <v>20</v>
      </c>
      <c r="D5458" t="s">
        <v>597</v>
      </c>
      <c r="G5458" t="s">
        <v>16</v>
      </c>
      <c r="H5458">
        <v>0</v>
      </c>
      <c r="I5458" s="2" t="s">
        <v>598</v>
      </c>
      <c r="J5458" s="2">
        <v>344655</v>
      </c>
      <c r="K5458">
        <v>20</v>
      </c>
      <c r="L5458">
        <v>20</v>
      </c>
      <c r="M5458">
        <v>20</v>
      </c>
    </row>
    <row r="5459" spans="1:13" x14ac:dyDescent="0.25">
      <c r="A5459" t="s">
        <v>12003</v>
      </c>
      <c r="B5459" t="s">
        <v>12005</v>
      </c>
      <c r="C5459" t="s">
        <v>20</v>
      </c>
      <c r="D5459" t="s">
        <v>26</v>
      </c>
      <c r="F5459">
        <v>2</v>
      </c>
      <c r="G5459" t="s">
        <v>16</v>
      </c>
      <c r="H5459">
        <v>0</v>
      </c>
      <c r="I5459" s="2" t="s">
        <v>142</v>
      </c>
      <c r="J5459" s="2" t="s">
        <v>12004</v>
      </c>
      <c r="K5459">
        <v>20</v>
      </c>
      <c r="L5459">
        <v>20</v>
      </c>
      <c r="M5459">
        <v>20</v>
      </c>
    </row>
    <row r="5460" spans="1:13" x14ac:dyDescent="0.25">
      <c r="A5460" t="s">
        <v>12006</v>
      </c>
      <c r="B5460" t="s">
        <v>12007</v>
      </c>
      <c r="C5460" t="s">
        <v>20</v>
      </c>
      <c r="D5460" t="s">
        <v>26</v>
      </c>
      <c r="F5460">
        <v>1</v>
      </c>
      <c r="G5460" t="s">
        <v>16</v>
      </c>
      <c r="H5460">
        <v>0</v>
      </c>
      <c r="I5460" s="2" t="s">
        <v>142</v>
      </c>
      <c r="J5460" s="2">
        <v>5650872</v>
      </c>
      <c r="K5460">
        <v>20</v>
      </c>
      <c r="L5460">
        <v>20</v>
      </c>
      <c r="M5460">
        <v>20</v>
      </c>
    </row>
    <row r="5461" spans="1:13" x14ac:dyDescent="0.25">
      <c r="A5461" t="s">
        <v>12008</v>
      </c>
      <c r="B5461" t="s">
        <v>12010</v>
      </c>
      <c r="C5461" t="s">
        <v>20</v>
      </c>
      <c r="D5461" t="s">
        <v>597</v>
      </c>
      <c r="F5461">
        <v>1</v>
      </c>
      <c r="G5461" t="s">
        <v>16</v>
      </c>
      <c r="H5461">
        <v>0</v>
      </c>
      <c r="I5461" s="2" t="s">
        <v>288</v>
      </c>
      <c r="J5461" s="2" t="s">
        <v>12009</v>
      </c>
      <c r="K5461">
        <v>20</v>
      </c>
      <c r="L5461">
        <v>20</v>
      </c>
      <c r="M5461">
        <v>20</v>
      </c>
    </row>
    <row r="5462" spans="1:13" x14ac:dyDescent="0.25">
      <c r="A5462" t="s">
        <v>12011</v>
      </c>
      <c r="B5462" t="s">
        <v>12013</v>
      </c>
      <c r="C5462" t="s">
        <v>20</v>
      </c>
      <c r="D5462" t="s">
        <v>26</v>
      </c>
      <c r="F5462">
        <v>1</v>
      </c>
      <c r="G5462" t="s">
        <v>16</v>
      </c>
      <c r="H5462">
        <v>0</v>
      </c>
      <c r="I5462" s="2" t="s">
        <v>1802</v>
      </c>
      <c r="J5462" s="2" t="s">
        <v>12012</v>
      </c>
      <c r="K5462">
        <v>20</v>
      </c>
      <c r="L5462">
        <v>20</v>
      </c>
      <c r="M5462">
        <v>20</v>
      </c>
    </row>
    <row r="5463" spans="1:13" x14ac:dyDescent="0.25">
      <c r="A5463" t="s">
        <v>12014</v>
      </c>
      <c r="B5463" t="s">
        <v>12016</v>
      </c>
      <c r="C5463" t="s">
        <v>20</v>
      </c>
      <c r="D5463" t="s">
        <v>26</v>
      </c>
      <c r="F5463">
        <v>2</v>
      </c>
      <c r="G5463" t="s">
        <v>16</v>
      </c>
      <c r="H5463">
        <v>0</v>
      </c>
      <c r="I5463" s="2" t="s">
        <v>142</v>
      </c>
      <c r="J5463" s="2" t="s">
        <v>12015</v>
      </c>
      <c r="K5463">
        <v>20</v>
      </c>
      <c r="L5463">
        <v>20</v>
      </c>
      <c r="M5463">
        <v>20</v>
      </c>
    </row>
    <row r="5464" spans="1:13" x14ac:dyDescent="0.25">
      <c r="A5464" t="s">
        <v>12017</v>
      </c>
      <c r="B5464" t="s">
        <v>12016</v>
      </c>
      <c r="C5464" t="s">
        <v>20</v>
      </c>
      <c r="D5464" t="s">
        <v>26</v>
      </c>
      <c r="F5464">
        <v>8</v>
      </c>
      <c r="G5464" t="s">
        <v>16</v>
      </c>
      <c r="H5464">
        <v>0</v>
      </c>
      <c r="I5464" s="2" t="s">
        <v>765</v>
      </c>
      <c r="J5464" s="2" t="s">
        <v>12018</v>
      </c>
      <c r="K5464">
        <v>20</v>
      </c>
      <c r="L5464">
        <v>20</v>
      </c>
      <c r="M5464">
        <v>20</v>
      </c>
    </row>
    <row r="5465" spans="1:13" x14ac:dyDescent="0.25">
      <c r="A5465" t="s">
        <v>12019</v>
      </c>
      <c r="B5465" t="s">
        <v>12016</v>
      </c>
      <c r="C5465" t="s">
        <v>20</v>
      </c>
      <c r="D5465" t="s">
        <v>26</v>
      </c>
      <c r="F5465">
        <v>4</v>
      </c>
      <c r="G5465" t="s">
        <v>16</v>
      </c>
      <c r="H5465">
        <v>0</v>
      </c>
      <c r="I5465" s="2" t="s">
        <v>3421</v>
      </c>
      <c r="J5465" s="2" t="s">
        <v>12020</v>
      </c>
      <c r="K5465">
        <v>20</v>
      </c>
      <c r="L5465">
        <v>20</v>
      </c>
      <c r="M5465">
        <v>20</v>
      </c>
    </row>
    <row r="5466" spans="1:13" x14ac:dyDescent="0.25">
      <c r="A5466" t="s">
        <v>12021</v>
      </c>
      <c r="B5466" t="s">
        <v>12016</v>
      </c>
      <c r="C5466" t="s">
        <v>20</v>
      </c>
      <c r="D5466" t="s">
        <v>26</v>
      </c>
      <c r="F5466">
        <v>1</v>
      </c>
      <c r="G5466" t="s">
        <v>16</v>
      </c>
      <c r="H5466">
        <v>0</v>
      </c>
      <c r="I5466" s="2" t="s">
        <v>97</v>
      </c>
      <c r="J5466" s="3">
        <v>599160</v>
      </c>
      <c r="K5466">
        <v>20</v>
      </c>
      <c r="L5466">
        <v>20</v>
      </c>
      <c r="M5466">
        <v>20</v>
      </c>
    </row>
    <row r="5467" spans="1:13" x14ac:dyDescent="0.25">
      <c r="A5467" t="s">
        <v>12022</v>
      </c>
      <c r="B5467" t="s">
        <v>12016</v>
      </c>
      <c r="C5467" t="s">
        <v>20</v>
      </c>
      <c r="D5467" t="s">
        <v>26</v>
      </c>
      <c r="F5467">
        <v>2</v>
      </c>
      <c r="G5467" t="s">
        <v>16</v>
      </c>
      <c r="H5467">
        <v>0</v>
      </c>
      <c r="I5467" s="2" t="s">
        <v>1802</v>
      </c>
      <c r="J5467" s="2" t="s">
        <v>12023</v>
      </c>
      <c r="K5467">
        <v>20</v>
      </c>
      <c r="L5467">
        <v>20</v>
      </c>
      <c r="M5467">
        <v>20</v>
      </c>
    </row>
    <row r="5468" spans="1:13" x14ac:dyDescent="0.25">
      <c r="A5468" t="s">
        <v>12024</v>
      </c>
      <c r="B5468" t="s">
        <v>12016</v>
      </c>
      <c r="C5468" t="s">
        <v>20</v>
      </c>
      <c r="D5468" t="s">
        <v>26</v>
      </c>
      <c r="F5468">
        <v>3</v>
      </c>
      <c r="G5468" t="s">
        <v>16</v>
      </c>
      <c r="H5468">
        <v>0</v>
      </c>
      <c r="I5468" s="2" t="s">
        <v>737</v>
      </c>
      <c r="J5468" s="2" t="s">
        <v>12025</v>
      </c>
      <c r="K5468">
        <v>20</v>
      </c>
      <c r="L5468">
        <v>20</v>
      </c>
      <c r="M5468">
        <v>20</v>
      </c>
    </row>
    <row r="5469" spans="1:13" x14ac:dyDescent="0.25">
      <c r="A5469">
        <v>5650965</v>
      </c>
      <c r="B5469" t="s">
        <v>12026</v>
      </c>
      <c r="C5469" t="s">
        <v>357</v>
      </c>
      <c r="D5469" t="s">
        <v>241</v>
      </c>
      <c r="F5469">
        <v>1</v>
      </c>
      <c r="G5469" t="s">
        <v>16</v>
      </c>
      <c r="H5469">
        <v>0</v>
      </c>
      <c r="I5469" s="2" t="s">
        <v>1444</v>
      </c>
      <c r="J5469" s="2">
        <v>55353327</v>
      </c>
      <c r="K5469">
        <v>20</v>
      </c>
      <c r="L5469">
        <v>20</v>
      </c>
      <c r="M5469">
        <v>20</v>
      </c>
    </row>
    <row r="5470" spans="1:13" x14ac:dyDescent="0.25">
      <c r="A5470" t="s">
        <v>12027</v>
      </c>
      <c r="B5470" t="s">
        <v>12029</v>
      </c>
      <c r="C5470" t="s">
        <v>14</v>
      </c>
      <c r="F5470">
        <v>1</v>
      </c>
      <c r="G5470" t="s">
        <v>16</v>
      </c>
      <c r="H5470">
        <v>0</v>
      </c>
      <c r="I5470" s="2" t="s">
        <v>1802</v>
      </c>
      <c r="J5470" s="2" t="s">
        <v>12028</v>
      </c>
      <c r="K5470">
        <v>20</v>
      </c>
      <c r="L5470">
        <v>20</v>
      </c>
      <c r="M5470">
        <v>20</v>
      </c>
    </row>
    <row r="5471" spans="1:13" x14ac:dyDescent="0.25">
      <c r="A5471" t="s">
        <v>12030</v>
      </c>
      <c r="B5471" t="s">
        <v>12031</v>
      </c>
      <c r="C5471" t="s">
        <v>357</v>
      </c>
      <c r="D5471" t="s">
        <v>241</v>
      </c>
      <c r="F5471">
        <v>1</v>
      </c>
      <c r="G5471" t="s">
        <v>16</v>
      </c>
      <c r="H5471">
        <v>0</v>
      </c>
      <c r="I5471" s="2" t="s">
        <v>737</v>
      </c>
      <c r="J5471" s="2" t="s">
        <v>12032</v>
      </c>
      <c r="K5471">
        <v>20</v>
      </c>
      <c r="L5471">
        <v>20</v>
      </c>
      <c r="M5471">
        <v>20</v>
      </c>
    </row>
    <row r="5472" spans="1:13" x14ac:dyDescent="0.25">
      <c r="A5472" t="s">
        <v>12033</v>
      </c>
      <c r="B5472" t="s">
        <v>12034</v>
      </c>
      <c r="C5472" t="s">
        <v>241</v>
      </c>
      <c r="F5472">
        <v>1</v>
      </c>
      <c r="G5472" t="s">
        <v>16</v>
      </c>
      <c r="H5472">
        <v>0</v>
      </c>
      <c r="I5472" s="2" t="s">
        <v>737</v>
      </c>
      <c r="J5472" s="2" t="s">
        <v>12035</v>
      </c>
      <c r="K5472">
        <v>20</v>
      </c>
      <c r="L5472">
        <v>20</v>
      </c>
      <c r="M5472">
        <v>20</v>
      </c>
    </row>
    <row r="5473" spans="1:13" x14ac:dyDescent="0.25">
      <c r="A5473" t="s">
        <v>12036</v>
      </c>
      <c r="B5473" t="s">
        <v>12037</v>
      </c>
      <c r="C5473" t="s">
        <v>241</v>
      </c>
      <c r="D5473" t="s">
        <v>244</v>
      </c>
      <c r="G5473" t="s">
        <v>16</v>
      </c>
      <c r="H5473">
        <v>0</v>
      </c>
      <c r="I5473" s="2" t="s">
        <v>245</v>
      </c>
      <c r="J5473" s="2" t="s">
        <v>12038</v>
      </c>
      <c r="K5473">
        <v>20</v>
      </c>
      <c r="L5473">
        <v>20</v>
      </c>
      <c r="M5473">
        <v>20</v>
      </c>
    </row>
    <row r="5474" spans="1:13" x14ac:dyDescent="0.25">
      <c r="A5474" t="s">
        <v>12039</v>
      </c>
      <c r="B5474" t="s">
        <v>12041</v>
      </c>
      <c r="C5474" t="s">
        <v>241</v>
      </c>
      <c r="D5474" t="s">
        <v>244</v>
      </c>
      <c r="F5474">
        <v>5</v>
      </c>
      <c r="G5474" t="s">
        <v>16</v>
      </c>
      <c r="H5474">
        <v>0</v>
      </c>
      <c r="I5474" s="2" t="s">
        <v>288</v>
      </c>
      <c r="J5474" s="2" t="s">
        <v>12040</v>
      </c>
      <c r="K5474">
        <v>20</v>
      </c>
      <c r="L5474">
        <v>20</v>
      </c>
      <c r="M5474">
        <v>20</v>
      </c>
    </row>
    <row r="5475" spans="1:13" x14ac:dyDescent="0.25">
      <c r="A5475" t="s">
        <v>12042</v>
      </c>
      <c r="B5475" t="s">
        <v>12043</v>
      </c>
      <c r="C5475" t="s">
        <v>241</v>
      </c>
      <c r="D5475" t="s">
        <v>244</v>
      </c>
      <c r="F5475">
        <v>3</v>
      </c>
      <c r="G5475" t="s">
        <v>16</v>
      </c>
      <c r="H5475">
        <v>0</v>
      </c>
      <c r="I5475" s="2" t="s">
        <v>245</v>
      </c>
      <c r="J5475" s="2" t="s">
        <v>12044</v>
      </c>
      <c r="K5475">
        <v>20</v>
      </c>
      <c r="L5475">
        <v>20</v>
      </c>
      <c r="M5475">
        <v>20</v>
      </c>
    </row>
    <row r="5476" spans="1:13" x14ac:dyDescent="0.25">
      <c r="A5476" t="s">
        <v>12045</v>
      </c>
      <c r="B5476" t="s">
        <v>12046</v>
      </c>
      <c r="C5476" t="s">
        <v>241</v>
      </c>
      <c r="D5476" t="s">
        <v>244</v>
      </c>
      <c r="F5476">
        <v>3</v>
      </c>
      <c r="G5476" t="s">
        <v>16</v>
      </c>
      <c r="H5476">
        <v>0</v>
      </c>
      <c r="I5476" s="2" t="s">
        <v>737</v>
      </c>
      <c r="J5476" s="2" t="s">
        <v>12047</v>
      </c>
      <c r="K5476">
        <v>20</v>
      </c>
      <c r="L5476">
        <v>20</v>
      </c>
      <c r="M5476">
        <v>20</v>
      </c>
    </row>
    <row r="5477" spans="1:13" x14ac:dyDescent="0.25">
      <c r="A5477" t="s">
        <v>12048</v>
      </c>
      <c r="B5477" t="s">
        <v>12049</v>
      </c>
      <c r="C5477" t="s">
        <v>241</v>
      </c>
      <c r="F5477">
        <v>1</v>
      </c>
      <c r="G5477" t="s">
        <v>16</v>
      </c>
      <c r="H5477">
        <v>0</v>
      </c>
      <c r="I5477" s="2" t="s">
        <v>245</v>
      </c>
      <c r="J5477" s="2" t="s">
        <v>12050</v>
      </c>
      <c r="K5477">
        <v>20</v>
      </c>
      <c r="L5477">
        <v>20</v>
      </c>
      <c r="M5477">
        <v>20</v>
      </c>
    </row>
    <row r="5478" spans="1:13" x14ac:dyDescent="0.25">
      <c r="A5478" t="s">
        <v>12051</v>
      </c>
      <c r="B5478" t="s">
        <v>12049</v>
      </c>
      <c r="C5478" t="s">
        <v>357</v>
      </c>
      <c r="D5478" t="s">
        <v>241</v>
      </c>
      <c r="F5478">
        <v>3</v>
      </c>
      <c r="G5478" t="s">
        <v>16</v>
      </c>
      <c r="H5478">
        <v>0</v>
      </c>
      <c r="I5478" s="2" t="s">
        <v>737</v>
      </c>
      <c r="J5478" s="2" t="s">
        <v>12052</v>
      </c>
      <c r="K5478">
        <v>20</v>
      </c>
      <c r="L5478">
        <v>20</v>
      </c>
      <c r="M5478">
        <v>20</v>
      </c>
    </row>
    <row r="5479" spans="1:13" x14ac:dyDescent="0.25">
      <c r="A5479" t="s">
        <v>12053</v>
      </c>
      <c r="B5479" t="s">
        <v>12054</v>
      </c>
      <c r="C5479" t="s">
        <v>241</v>
      </c>
      <c r="D5479" t="s">
        <v>244</v>
      </c>
      <c r="G5479" t="s">
        <v>16</v>
      </c>
      <c r="H5479">
        <v>0</v>
      </c>
      <c r="I5479" s="2" t="s">
        <v>243</v>
      </c>
      <c r="J5479" s="2">
        <v>21228</v>
      </c>
      <c r="K5479">
        <v>20</v>
      </c>
      <c r="L5479">
        <v>20</v>
      </c>
      <c r="M5479">
        <v>20</v>
      </c>
    </row>
    <row r="5480" spans="1:13" x14ac:dyDescent="0.25">
      <c r="A5480" t="s">
        <v>12055</v>
      </c>
      <c r="B5480" t="s">
        <v>12056</v>
      </c>
      <c r="C5480" t="s">
        <v>1432</v>
      </c>
      <c r="F5480">
        <v>3</v>
      </c>
      <c r="G5480" t="s">
        <v>16</v>
      </c>
      <c r="H5480">
        <v>0</v>
      </c>
      <c r="I5480" s="2" t="s">
        <v>1444</v>
      </c>
      <c r="J5480" s="2">
        <v>90522684</v>
      </c>
      <c r="K5480">
        <v>20</v>
      </c>
      <c r="L5480">
        <v>20</v>
      </c>
      <c r="M5480">
        <v>20</v>
      </c>
    </row>
    <row r="5481" spans="1:13" x14ac:dyDescent="0.25">
      <c r="A5481" t="s">
        <v>12057</v>
      </c>
      <c r="B5481" t="s">
        <v>12058</v>
      </c>
      <c r="C5481" t="s">
        <v>1432</v>
      </c>
      <c r="F5481">
        <v>4</v>
      </c>
      <c r="G5481" t="s">
        <v>16</v>
      </c>
      <c r="H5481">
        <v>0</v>
      </c>
      <c r="I5481" s="2" t="s">
        <v>5904</v>
      </c>
      <c r="J5481" s="2" t="s">
        <v>12059</v>
      </c>
      <c r="K5481">
        <v>20</v>
      </c>
      <c r="L5481">
        <v>20</v>
      </c>
      <c r="M5481">
        <v>20</v>
      </c>
    </row>
    <row r="5482" spans="1:13" x14ac:dyDescent="0.25">
      <c r="A5482" t="s">
        <v>12060</v>
      </c>
      <c r="B5482" t="s">
        <v>12058</v>
      </c>
      <c r="C5482" t="s">
        <v>1432</v>
      </c>
      <c r="F5482">
        <v>1</v>
      </c>
      <c r="G5482" t="s">
        <v>16</v>
      </c>
      <c r="H5482">
        <v>0</v>
      </c>
      <c r="K5482">
        <v>20</v>
      </c>
      <c r="L5482">
        <v>20</v>
      </c>
      <c r="M5482">
        <v>20</v>
      </c>
    </row>
    <row r="5483" spans="1:13" x14ac:dyDescent="0.25">
      <c r="A5483" t="s">
        <v>12061</v>
      </c>
      <c r="B5483" t="s">
        <v>12062</v>
      </c>
      <c r="C5483" t="s">
        <v>1432</v>
      </c>
      <c r="D5483" t="s">
        <v>6280</v>
      </c>
      <c r="F5483">
        <v>1</v>
      </c>
      <c r="G5483" t="s">
        <v>16</v>
      </c>
      <c r="H5483">
        <v>0</v>
      </c>
      <c r="I5483" s="2" t="s">
        <v>5904</v>
      </c>
      <c r="J5483" s="2">
        <v>2109015</v>
      </c>
      <c r="K5483">
        <v>20</v>
      </c>
      <c r="L5483">
        <v>20</v>
      </c>
      <c r="M5483">
        <v>20</v>
      </c>
    </row>
    <row r="5484" spans="1:13" x14ac:dyDescent="0.25">
      <c r="A5484" t="s">
        <v>12063</v>
      </c>
      <c r="B5484" t="s">
        <v>12062</v>
      </c>
      <c r="C5484" t="s">
        <v>1432</v>
      </c>
      <c r="D5484" t="s">
        <v>5993</v>
      </c>
      <c r="F5484">
        <v>1</v>
      </c>
      <c r="G5484" t="s">
        <v>16</v>
      </c>
      <c r="H5484">
        <v>0</v>
      </c>
      <c r="I5484" s="2" t="s">
        <v>5677</v>
      </c>
      <c r="J5484" s="2">
        <v>511027510</v>
      </c>
      <c r="K5484">
        <v>20</v>
      </c>
      <c r="L5484">
        <v>20</v>
      </c>
      <c r="M5484">
        <v>20</v>
      </c>
    </row>
    <row r="5485" spans="1:13" x14ac:dyDescent="0.25">
      <c r="A5485" t="s">
        <v>12064</v>
      </c>
      <c r="B5485" t="s">
        <v>12062</v>
      </c>
      <c r="C5485" t="s">
        <v>1432</v>
      </c>
      <c r="D5485" t="s">
        <v>6280</v>
      </c>
      <c r="G5485" t="s">
        <v>16</v>
      </c>
      <c r="H5485">
        <v>0</v>
      </c>
      <c r="I5485" s="2" t="s">
        <v>491</v>
      </c>
      <c r="J5485" s="2">
        <v>359004800110</v>
      </c>
      <c r="K5485">
        <v>20</v>
      </c>
      <c r="L5485">
        <v>20</v>
      </c>
      <c r="M5485">
        <v>20</v>
      </c>
    </row>
    <row r="5486" spans="1:13" x14ac:dyDescent="0.25">
      <c r="A5486" t="s">
        <v>12065</v>
      </c>
      <c r="B5486" t="s">
        <v>12062</v>
      </c>
      <c r="C5486" t="s">
        <v>1432</v>
      </c>
      <c r="D5486" t="s">
        <v>6280</v>
      </c>
      <c r="G5486" t="s">
        <v>16</v>
      </c>
      <c r="H5486">
        <v>0</v>
      </c>
      <c r="I5486" s="2" t="s">
        <v>5057</v>
      </c>
      <c r="J5486" s="2" t="s">
        <v>12066</v>
      </c>
      <c r="K5486">
        <v>20</v>
      </c>
      <c r="L5486">
        <v>20</v>
      </c>
      <c r="M5486">
        <v>20</v>
      </c>
    </row>
    <row r="5487" spans="1:13" x14ac:dyDescent="0.25">
      <c r="A5487" t="s">
        <v>12067</v>
      </c>
      <c r="B5487" t="s">
        <v>12062</v>
      </c>
      <c r="C5487" t="s">
        <v>1432</v>
      </c>
      <c r="D5487" t="s">
        <v>6280</v>
      </c>
      <c r="F5487">
        <v>4</v>
      </c>
      <c r="G5487" t="s">
        <v>16</v>
      </c>
      <c r="H5487">
        <v>0</v>
      </c>
      <c r="I5487" s="2" t="s">
        <v>854</v>
      </c>
      <c r="J5487" s="2">
        <v>874308</v>
      </c>
      <c r="K5487">
        <v>20</v>
      </c>
      <c r="L5487">
        <v>20</v>
      </c>
      <c r="M5487">
        <v>20</v>
      </c>
    </row>
    <row r="5488" spans="1:13" x14ac:dyDescent="0.25">
      <c r="A5488">
        <v>5679333</v>
      </c>
      <c r="B5488" t="s">
        <v>12068</v>
      </c>
      <c r="C5488" t="s">
        <v>1432</v>
      </c>
      <c r="D5488" t="s">
        <v>5993</v>
      </c>
      <c r="F5488">
        <v>0</v>
      </c>
      <c r="G5488" t="s">
        <v>16</v>
      </c>
      <c r="H5488">
        <v>0</v>
      </c>
      <c r="I5488" s="2" t="s">
        <v>497</v>
      </c>
      <c r="J5488" s="2">
        <v>24422061</v>
      </c>
      <c r="K5488">
        <v>20</v>
      </c>
      <c r="L5488">
        <v>20</v>
      </c>
      <c r="M5488">
        <v>20</v>
      </c>
    </row>
    <row r="5489" spans="1:13" x14ac:dyDescent="0.25">
      <c r="A5489" t="s">
        <v>12069</v>
      </c>
      <c r="B5489" t="s">
        <v>12068</v>
      </c>
      <c r="C5489" t="s">
        <v>1432</v>
      </c>
      <c r="D5489" t="s">
        <v>5993</v>
      </c>
      <c r="F5489">
        <v>27</v>
      </c>
      <c r="G5489" t="s">
        <v>16</v>
      </c>
      <c r="H5489">
        <v>0</v>
      </c>
      <c r="I5489" s="2" t="s">
        <v>5904</v>
      </c>
      <c r="J5489" s="2" t="s">
        <v>12070</v>
      </c>
      <c r="K5489">
        <v>20</v>
      </c>
      <c r="L5489">
        <v>20</v>
      </c>
      <c r="M5489">
        <v>20</v>
      </c>
    </row>
    <row r="5490" spans="1:13" x14ac:dyDescent="0.25">
      <c r="A5490" t="s">
        <v>12071</v>
      </c>
      <c r="B5490" t="s">
        <v>12068</v>
      </c>
      <c r="C5490" t="s">
        <v>1432</v>
      </c>
      <c r="F5490">
        <v>1</v>
      </c>
      <c r="G5490" t="s">
        <v>16</v>
      </c>
      <c r="H5490">
        <v>0</v>
      </c>
      <c r="I5490" s="2" t="s">
        <v>7399</v>
      </c>
      <c r="J5490" s="2">
        <v>3182654213</v>
      </c>
      <c r="K5490">
        <v>20</v>
      </c>
      <c r="L5490">
        <v>20</v>
      </c>
      <c r="M5490">
        <v>20</v>
      </c>
    </row>
    <row r="5491" spans="1:13" x14ac:dyDescent="0.25">
      <c r="A5491" t="s">
        <v>12072</v>
      </c>
      <c r="B5491" t="s">
        <v>12068</v>
      </c>
      <c r="C5491" t="s">
        <v>1432</v>
      </c>
      <c r="D5491" t="s">
        <v>5993</v>
      </c>
      <c r="G5491" t="s">
        <v>16</v>
      </c>
      <c r="H5491">
        <v>0</v>
      </c>
      <c r="I5491" s="2" t="s">
        <v>842</v>
      </c>
      <c r="J5491" s="2">
        <v>810285</v>
      </c>
      <c r="K5491">
        <v>20</v>
      </c>
      <c r="L5491">
        <v>20</v>
      </c>
      <c r="M5491">
        <v>20</v>
      </c>
    </row>
    <row r="5492" spans="1:13" x14ac:dyDescent="0.25">
      <c r="A5492" t="s">
        <v>12073</v>
      </c>
      <c r="B5492" t="s">
        <v>12074</v>
      </c>
      <c r="C5492" t="s">
        <v>1432</v>
      </c>
      <c r="D5492" t="s">
        <v>5993</v>
      </c>
      <c r="F5492">
        <v>2</v>
      </c>
      <c r="G5492" t="s">
        <v>16</v>
      </c>
      <c r="H5492">
        <v>0</v>
      </c>
      <c r="I5492" s="2" t="s">
        <v>5904</v>
      </c>
      <c r="J5492" s="2" t="s">
        <v>12075</v>
      </c>
      <c r="K5492">
        <v>20</v>
      </c>
      <c r="L5492">
        <v>20</v>
      </c>
      <c r="M5492">
        <v>20</v>
      </c>
    </row>
    <row r="5493" spans="1:13" x14ac:dyDescent="0.25">
      <c r="A5493" t="s">
        <v>12076</v>
      </c>
      <c r="B5493" t="s">
        <v>12074</v>
      </c>
      <c r="C5493" t="s">
        <v>1432</v>
      </c>
      <c r="D5493" t="s">
        <v>5993</v>
      </c>
      <c r="G5493" t="s">
        <v>16</v>
      </c>
      <c r="H5493">
        <v>0</v>
      </c>
      <c r="I5493" s="2" t="s">
        <v>491</v>
      </c>
      <c r="J5493" s="2">
        <v>359003700400</v>
      </c>
      <c r="K5493">
        <v>20</v>
      </c>
      <c r="L5493">
        <v>20</v>
      </c>
      <c r="M5493">
        <v>20</v>
      </c>
    </row>
    <row r="5494" spans="1:13" x14ac:dyDescent="0.25">
      <c r="A5494" t="s">
        <v>12077</v>
      </c>
      <c r="B5494" t="s">
        <v>12074</v>
      </c>
      <c r="C5494" t="s">
        <v>1432</v>
      </c>
      <c r="D5494" t="s">
        <v>5993</v>
      </c>
      <c r="F5494">
        <v>2</v>
      </c>
      <c r="G5494" t="s">
        <v>16</v>
      </c>
      <c r="H5494">
        <v>0</v>
      </c>
      <c r="I5494" s="2" t="s">
        <v>1433</v>
      </c>
      <c r="J5494" s="2">
        <v>588545</v>
      </c>
      <c r="K5494">
        <v>20</v>
      </c>
      <c r="L5494">
        <v>20</v>
      </c>
      <c r="M5494">
        <v>20</v>
      </c>
    </row>
    <row r="5495" spans="1:13" x14ac:dyDescent="0.25">
      <c r="A5495" t="s">
        <v>12078</v>
      </c>
      <c r="B5495" t="s">
        <v>12074</v>
      </c>
      <c r="C5495" t="s">
        <v>1432</v>
      </c>
      <c r="D5495" t="s">
        <v>5993</v>
      </c>
      <c r="G5495" t="s">
        <v>16</v>
      </c>
      <c r="H5495">
        <v>0</v>
      </c>
      <c r="I5495" s="2" t="s">
        <v>5688</v>
      </c>
      <c r="J5495" s="2">
        <v>3182654195</v>
      </c>
      <c r="K5495">
        <v>20</v>
      </c>
      <c r="L5495">
        <v>20</v>
      </c>
      <c r="M5495">
        <v>20</v>
      </c>
    </row>
    <row r="5496" spans="1:13" x14ac:dyDescent="0.25">
      <c r="A5496" t="s">
        <v>12079</v>
      </c>
      <c r="B5496" t="s">
        <v>12080</v>
      </c>
      <c r="C5496" t="s">
        <v>1432</v>
      </c>
      <c r="D5496" t="s">
        <v>5993</v>
      </c>
      <c r="F5496">
        <v>9</v>
      </c>
      <c r="G5496" t="s">
        <v>16</v>
      </c>
      <c r="H5496">
        <v>0</v>
      </c>
      <c r="I5496" s="2" t="s">
        <v>5904</v>
      </c>
      <c r="J5496" s="2" t="s">
        <v>12081</v>
      </c>
      <c r="K5496">
        <v>20</v>
      </c>
      <c r="L5496">
        <v>20</v>
      </c>
      <c r="M5496">
        <v>20</v>
      </c>
    </row>
    <row r="5497" spans="1:13" x14ac:dyDescent="0.25">
      <c r="A5497" t="s">
        <v>12082</v>
      </c>
      <c r="B5497" t="s">
        <v>12080</v>
      </c>
      <c r="C5497" t="s">
        <v>1432</v>
      </c>
      <c r="D5497" t="s">
        <v>5993</v>
      </c>
      <c r="F5497">
        <v>0</v>
      </c>
      <c r="G5497" t="s">
        <v>16</v>
      </c>
      <c r="H5497">
        <v>0</v>
      </c>
      <c r="I5497" s="2" t="s">
        <v>5688</v>
      </c>
      <c r="J5497" s="2">
        <v>3182654215</v>
      </c>
      <c r="K5497">
        <v>20</v>
      </c>
      <c r="L5497">
        <v>20</v>
      </c>
      <c r="M5497">
        <v>20</v>
      </c>
    </row>
    <row r="5498" spans="1:13" x14ac:dyDescent="0.25">
      <c r="A5498">
        <v>5679536</v>
      </c>
      <c r="B5498" t="s">
        <v>12083</v>
      </c>
      <c r="C5498" t="s">
        <v>1432</v>
      </c>
      <c r="F5498">
        <v>7</v>
      </c>
      <c r="G5498" t="s">
        <v>16</v>
      </c>
      <c r="H5498">
        <v>0</v>
      </c>
      <c r="I5498" s="2" t="s">
        <v>497</v>
      </c>
      <c r="J5498" s="2">
        <v>13105589</v>
      </c>
      <c r="K5498">
        <v>20</v>
      </c>
      <c r="L5498">
        <v>20</v>
      </c>
      <c r="M5498">
        <v>20</v>
      </c>
    </row>
    <row r="5499" spans="1:13" x14ac:dyDescent="0.25">
      <c r="A5499" t="s">
        <v>12084</v>
      </c>
      <c r="B5499" t="s">
        <v>12083</v>
      </c>
      <c r="C5499" t="s">
        <v>1432</v>
      </c>
      <c r="F5499">
        <v>2</v>
      </c>
      <c r="G5499" t="s">
        <v>16</v>
      </c>
      <c r="H5499">
        <v>0</v>
      </c>
      <c r="I5499" s="2" t="s">
        <v>508</v>
      </c>
      <c r="J5499" s="2">
        <v>13105589</v>
      </c>
      <c r="K5499">
        <v>20</v>
      </c>
      <c r="L5499">
        <v>20</v>
      </c>
      <c r="M5499">
        <v>20</v>
      </c>
    </row>
    <row r="5500" spans="1:13" x14ac:dyDescent="0.25">
      <c r="A5500">
        <v>5679540</v>
      </c>
      <c r="B5500" t="s">
        <v>12085</v>
      </c>
      <c r="C5500" t="s">
        <v>1432</v>
      </c>
      <c r="F5500">
        <v>1</v>
      </c>
      <c r="G5500" t="s">
        <v>16</v>
      </c>
      <c r="H5500">
        <v>0</v>
      </c>
      <c r="I5500" s="2" t="s">
        <v>497</v>
      </c>
      <c r="J5500" s="2">
        <v>55352049</v>
      </c>
      <c r="K5500">
        <v>20</v>
      </c>
      <c r="L5500">
        <v>20</v>
      </c>
      <c r="M5500">
        <v>20</v>
      </c>
    </row>
    <row r="5501" spans="1:13" x14ac:dyDescent="0.25">
      <c r="A5501" t="s">
        <v>12086</v>
      </c>
      <c r="B5501" t="s">
        <v>12087</v>
      </c>
      <c r="C5501" t="s">
        <v>1432</v>
      </c>
      <c r="F5501">
        <v>3</v>
      </c>
      <c r="G5501" t="s">
        <v>16</v>
      </c>
      <c r="H5501">
        <v>0</v>
      </c>
      <c r="K5501">
        <v>20</v>
      </c>
      <c r="L5501">
        <v>20</v>
      </c>
      <c r="M5501">
        <v>20</v>
      </c>
    </row>
    <row r="5502" spans="1:13" x14ac:dyDescent="0.25">
      <c r="A5502" t="s">
        <v>12088</v>
      </c>
      <c r="B5502" t="s">
        <v>12089</v>
      </c>
      <c r="C5502" t="s">
        <v>362</v>
      </c>
      <c r="D5502" t="s">
        <v>363</v>
      </c>
      <c r="G5502" t="s">
        <v>16</v>
      </c>
      <c r="H5502">
        <v>0</v>
      </c>
      <c r="I5502" s="2" t="s">
        <v>685</v>
      </c>
      <c r="J5502" s="2" t="str">
        <f>"0986477018"</f>
        <v>0986477018</v>
      </c>
      <c r="K5502">
        <v>20</v>
      </c>
      <c r="L5502">
        <v>20</v>
      </c>
      <c r="M5502">
        <v>20</v>
      </c>
    </row>
    <row r="5503" spans="1:13" x14ac:dyDescent="0.25">
      <c r="A5503" t="s">
        <v>12090</v>
      </c>
      <c r="B5503" t="s">
        <v>12089</v>
      </c>
      <c r="C5503" t="s">
        <v>362</v>
      </c>
      <c r="F5503">
        <v>1</v>
      </c>
      <c r="G5503" t="s">
        <v>22</v>
      </c>
      <c r="H5503">
        <v>0</v>
      </c>
      <c r="I5503" s="2" t="s">
        <v>4193</v>
      </c>
      <c r="J5503" s="2" t="s">
        <v>12091</v>
      </c>
      <c r="K5503">
        <v>20</v>
      </c>
      <c r="L5503">
        <v>20</v>
      </c>
      <c r="M5503">
        <v>20</v>
      </c>
    </row>
    <row r="5504" spans="1:13" x14ac:dyDescent="0.25">
      <c r="A5504" t="s">
        <v>12092</v>
      </c>
      <c r="B5504" t="s">
        <v>12093</v>
      </c>
      <c r="C5504" t="s">
        <v>362</v>
      </c>
      <c r="F5504">
        <v>2</v>
      </c>
      <c r="G5504" t="s">
        <v>16</v>
      </c>
      <c r="H5504">
        <v>0</v>
      </c>
      <c r="I5504" s="2" t="s">
        <v>5057</v>
      </c>
      <c r="J5504" s="2" t="s">
        <v>12094</v>
      </c>
      <c r="K5504">
        <v>20</v>
      </c>
      <c r="L5504">
        <v>20</v>
      </c>
      <c r="M5504">
        <v>20</v>
      </c>
    </row>
    <row r="5505" spans="1:13" x14ac:dyDescent="0.25">
      <c r="A5505" t="s">
        <v>12095</v>
      </c>
      <c r="B5505" t="s">
        <v>12096</v>
      </c>
      <c r="C5505" t="s">
        <v>20</v>
      </c>
      <c r="D5505" t="s">
        <v>2477</v>
      </c>
      <c r="F5505">
        <v>2</v>
      </c>
      <c r="G5505" t="s">
        <v>16</v>
      </c>
      <c r="H5505">
        <v>0</v>
      </c>
      <c r="I5505" s="2" t="b">
        <v>1</v>
      </c>
      <c r="J5505" s="2" t="s">
        <v>12097</v>
      </c>
      <c r="K5505">
        <v>20</v>
      </c>
      <c r="L5505">
        <v>20</v>
      </c>
      <c r="M5505">
        <v>20</v>
      </c>
    </row>
    <row r="5506" spans="1:13" x14ac:dyDescent="0.25">
      <c r="A5506" t="s">
        <v>12098</v>
      </c>
      <c r="B5506" t="s">
        <v>12099</v>
      </c>
      <c r="C5506" t="s">
        <v>20</v>
      </c>
      <c r="D5506" t="s">
        <v>2477</v>
      </c>
      <c r="F5506">
        <v>1</v>
      </c>
      <c r="G5506" t="s">
        <v>16</v>
      </c>
      <c r="H5506">
        <v>0</v>
      </c>
      <c r="I5506" s="2" t="b">
        <v>1</v>
      </c>
      <c r="J5506" s="2" t="s">
        <v>12100</v>
      </c>
      <c r="K5506">
        <v>20</v>
      </c>
      <c r="L5506">
        <v>20</v>
      </c>
      <c r="M5506">
        <v>20</v>
      </c>
    </row>
    <row r="5507" spans="1:13" x14ac:dyDescent="0.25">
      <c r="A5507" t="s">
        <v>12101</v>
      </c>
      <c r="B5507" t="s">
        <v>12103</v>
      </c>
      <c r="C5507" t="s">
        <v>20</v>
      </c>
      <c r="D5507" t="s">
        <v>2477</v>
      </c>
      <c r="F5507">
        <v>3</v>
      </c>
      <c r="G5507" t="s">
        <v>16</v>
      </c>
      <c r="H5507">
        <v>0</v>
      </c>
      <c r="I5507" s="2" t="s">
        <v>288</v>
      </c>
      <c r="J5507" s="2" t="s">
        <v>12102</v>
      </c>
      <c r="K5507">
        <v>20</v>
      </c>
      <c r="L5507">
        <v>20</v>
      </c>
      <c r="M5507">
        <v>20</v>
      </c>
    </row>
    <row r="5508" spans="1:13" x14ac:dyDescent="0.25">
      <c r="A5508" t="s">
        <v>12104</v>
      </c>
      <c r="B5508" t="s">
        <v>12103</v>
      </c>
      <c r="C5508" t="s">
        <v>20</v>
      </c>
      <c r="D5508" t="s">
        <v>2477</v>
      </c>
      <c r="F5508">
        <v>5</v>
      </c>
      <c r="G5508" t="s">
        <v>16</v>
      </c>
      <c r="H5508">
        <v>0</v>
      </c>
      <c r="I5508" s="2" t="b">
        <v>1</v>
      </c>
      <c r="J5508" s="2" t="s">
        <v>12105</v>
      </c>
      <c r="K5508">
        <v>20</v>
      </c>
      <c r="L5508">
        <v>20</v>
      </c>
      <c r="M5508">
        <v>20</v>
      </c>
    </row>
    <row r="5509" spans="1:13" x14ac:dyDescent="0.25">
      <c r="A5509" t="s">
        <v>12106</v>
      </c>
      <c r="B5509" t="s">
        <v>12103</v>
      </c>
      <c r="C5509" t="s">
        <v>20</v>
      </c>
      <c r="D5509" t="s">
        <v>2477</v>
      </c>
      <c r="G5509" t="s">
        <v>16</v>
      </c>
      <c r="H5509">
        <v>0</v>
      </c>
      <c r="I5509" s="2" t="s">
        <v>737</v>
      </c>
      <c r="J5509" s="2" t="s">
        <v>12107</v>
      </c>
      <c r="K5509">
        <v>20</v>
      </c>
      <c r="L5509">
        <v>20</v>
      </c>
      <c r="M5509">
        <v>20</v>
      </c>
    </row>
    <row r="5510" spans="1:13" x14ac:dyDescent="0.25">
      <c r="A5510" t="s">
        <v>12108</v>
      </c>
      <c r="B5510" t="s">
        <v>12109</v>
      </c>
      <c r="C5510" t="s">
        <v>20</v>
      </c>
      <c r="D5510" t="s">
        <v>2477</v>
      </c>
      <c r="G5510" t="s">
        <v>16</v>
      </c>
      <c r="H5510">
        <v>0</v>
      </c>
      <c r="I5510" s="2" t="s">
        <v>288</v>
      </c>
      <c r="J5510" s="2">
        <v>240084116</v>
      </c>
      <c r="K5510">
        <v>20</v>
      </c>
      <c r="L5510">
        <v>20</v>
      </c>
      <c r="M5510">
        <v>20</v>
      </c>
    </row>
    <row r="5511" spans="1:13" x14ac:dyDescent="0.25">
      <c r="A5511" t="s">
        <v>12110</v>
      </c>
      <c r="B5511" t="s">
        <v>12109</v>
      </c>
      <c r="C5511" t="s">
        <v>20</v>
      </c>
      <c r="D5511" t="s">
        <v>2477</v>
      </c>
      <c r="F5511">
        <v>1</v>
      </c>
      <c r="G5511" t="s">
        <v>16</v>
      </c>
      <c r="H5511">
        <v>0</v>
      </c>
      <c r="I5511" s="2" t="s">
        <v>238</v>
      </c>
      <c r="J5511" s="2">
        <v>15635</v>
      </c>
      <c r="K5511">
        <v>20</v>
      </c>
      <c r="L5511">
        <v>20</v>
      </c>
      <c r="M5511">
        <v>20</v>
      </c>
    </row>
    <row r="5512" spans="1:13" x14ac:dyDescent="0.25">
      <c r="A5512" t="s">
        <v>12111</v>
      </c>
      <c r="B5512" t="s">
        <v>12109</v>
      </c>
      <c r="C5512" t="s">
        <v>20</v>
      </c>
      <c r="D5512" t="s">
        <v>2477</v>
      </c>
      <c r="F5512">
        <v>1</v>
      </c>
      <c r="G5512" t="s">
        <v>16</v>
      </c>
      <c r="H5512">
        <v>0</v>
      </c>
      <c r="I5512" s="2" t="s">
        <v>737</v>
      </c>
      <c r="J5512" s="2" t="s">
        <v>12112</v>
      </c>
      <c r="K5512">
        <v>20</v>
      </c>
      <c r="L5512">
        <v>20</v>
      </c>
      <c r="M5512">
        <v>20</v>
      </c>
    </row>
    <row r="5513" spans="1:13" x14ac:dyDescent="0.25">
      <c r="A5513" t="s">
        <v>12113</v>
      </c>
      <c r="B5513" t="s">
        <v>12115</v>
      </c>
      <c r="C5513" t="s">
        <v>20</v>
      </c>
      <c r="D5513" t="s">
        <v>2477</v>
      </c>
      <c r="F5513">
        <v>2</v>
      </c>
      <c r="G5513" t="s">
        <v>16</v>
      </c>
      <c r="H5513">
        <v>0</v>
      </c>
      <c r="I5513" s="2" t="s">
        <v>765</v>
      </c>
      <c r="J5513" s="2" t="s">
        <v>12114</v>
      </c>
      <c r="K5513">
        <v>20</v>
      </c>
      <c r="L5513">
        <v>20</v>
      </c>
      <c r="M5513">
        <v>20</v>
      </c>
    </row>
    <row r="5514" spans="1:13" x14ac:dyDescent="0.25">
      <c r="A5514" t="s">
        <v>12116</v>
      </c>
      <c r="B5514" t="s">
        <v>12115</v>
      </c>
      <c r="C5514" t="s">
        <v>20</v>
      </c>
      <c r="D5514" t="s">
        <v>2477</v>
      </c>
      <c r="F5514">
        <v>5</v>
      </c>
      <c r="G5514" t="s">
        <v>16</v>
      </c>
      <c r="H5514">
        <v>0</v>
      </c>
      <c r="I5514" s="2" t="s">
        <v>12117</v>
      </c>
      <c r="J5514" s="2" t="s">
        <v>12118</v>
      </c>
      <c r="K5514">
        <v>20</v>
      </c>
      <c r="L5514">
        <v>20</v>
      </c>
      <c r="M5514">
        <v>20</v>
      </c>
    </row>
    <row r="5515" spans="1:13" x14ac:dyDescent="0.25">
      <c r="A5515" t="s">
        <v>12119</v>
      </c>
      <c r="B5515" t="s">
        <v>12115</v>
      </c>
      <c r="C5515" t="s">
        <v>20</v>
      </c>
      <c r="D5515" t="s">
        <v>2477</v>
      </c>
      <c r="G5515" t="s">
        <v>16</v>
      </c>
      <c r="H5515">
        <v>0</v>
      </c>
      <c r="I5515" s="2" t="s">
        <v>248</v>
      </c>
      <c r="J5515" s="2">
        <v>15721</v>
      </c>
      <c r="K5515">
        <v>20</v>
      </c>
      <c r="L5515">
        <v>20</v>
      </c>
      <c r="M5515">
        <v>20</v>
      </c>
    </row>
    <row r="5516" spans="1:13" x14ac:dyDescent="0.25">
      <c r="A5516" t="s">
        <v>12120</v>
      </c>
      <c r="B5516" t="s">
        <v>12115</v>
      </c>
      <c r="C5516" t="s">
        <v>20</v>
      </c>
      <c r="D5516" t="s">
        <v>2477</v>
      </c>
      <c r="G5516" t="s">
        <v>16</v>
      </c>
      <c r="H5516">
        <v>0</v>
      </c>
      <c r="I5516" s="2" t="s">
        <v>8507</v>
      </c>
      <c r="J5516" s="2" t="s">
        <v>12121</v>
      </c>
      <c r="K5516">
        <v>20</v>
      </c>
      <c r="L5516">
        <v>20</v>
      </c>
      <c r="M5516">
        <v>20</v>
      </c>
    </row>
    <row r="5517" spans="1:13" x14ac:dyDescent="0.25">
      <c r="A5517" t="s">
        <v>12122</v>
      </c>
      <c r="B5517" t="s">
        <v>12115</v>
      </c>
      <c r="C5517" t="s">
        <v>20</v>
      </c>
      <c r="D5517" t="s">
        <v>2477</v>
      </c>
      <c r="G5517" t="s">
        <v>16</v>
      </c>
      <c r="H5517">
        <v>0</v>
      </c>
      <c r="I5517" s="2" t="s">
        <v>737</v>
      </c>
      <c r="J5517" s="2" t="s">
        <v>12123</v>
      </c>
      <c r="K5517">
        <v>20</v>
      </c>
      <c r="L5517">
        <v>20</v>
      </c>
      <c r="M5517">
        <v>20</v>
      </c>
    </row>
    <row r="5518" spans="1:13" x14ac:dyDescent="0.25">
      <c r="A5518" t="s">
        <v>12124</v>
      </c>
      <c r="B5518" t="s">
        <v>12125</v>
      </c>
      <c r="C5518" t="s">
        <v>20</v>
      </c>
      <c r="D5518" t="s">
        <v>2477</v>
      </c>
      <c r="F5518">
        <v>1</v>
      </c>
      <c r="G5518" t="s">
        <v>16</v>
      </c>
      <c r="H5518">
        <v>0</v>
      </c>
      <c r="I5518" s="2" t="s">
        <v>64</v>
      </c>
      <c r="J5518" s="2">
        <v>10010253</v>
      </c>
      <c r="K5518">
        <v>20</v>
      </c>
      <c r="L5518">
        <v>20</v>
      </c>
      <c r="M5518">
        <v>20</v>
      </c>
    </row>
    <row r="5519" spans="1:13" x14ac:dyDescent="0.25">
      <c r="A5519" t="s">
        <v>12126</v>
      </c>
      <c r="B5519" t="s">
        <v>12128</v>
      </c>
      <c r="C5519" t="s">
        <v>20</v>
      </c>
      <c r="D5519" t="s">
        <v>2477</v>
      </c>
      <c r="F5519">
        <v>3</v>
      </c>
      <c r="G5519" t="s">
        <v>16</v>
      </c>
      <c r="H5519">
        <v>0</v>
      </c>
      <c r="I5519" s="2" t="s">
        <v>288</v>
      </c>
      <c r="J5519" s="2" t="s">
        <v>12127</v>
      </c>
      <c r="K5519">
        <v>20</v>
      </c>
      <c r="L5519">
        <v>20</v>
      </c>
      <c r="M5519">
        <v>20</v>
      </c>
    </row>
    <row r="5520" spans="1:13" x14ac:dyDescent="0.25">
      <c r="A5520" t="s">
        <v>12129</v>
      </c>
      <c r="B5520" t="s">
        <v>12128</v>
      </c>
      <c r="C5520" t="s">
        <v>20</v>
      </c>
      <c r="D5520" t="s">
        <v>2477</v>
      </c>
      <c r="F5520">
        <v>2</v>
      </c>
      <c r="G5520" t="s">
        <v>16</v>
      </c>
      <c r="H5520">
        <v>0</v>
      </c>
      <c r="I5520" s="2" t="b">
        <v>1</v>
      </c>
      <c r="J5520" s="2" t="s">
        <v>12130</v>
      </c>
      <c r="K5520">
        <v>20</v>
      </c>
      <c r="L5520">
        <v>20</v>
      </c>
      <c r="M5520">
        <v>20</v>
      </c>
    </row>
    <row r="5521" spans="1:13" x14ac:dyDescent="0.25">
      <c r="A5521" t="s">
        <v>12131</v>
      </c>
      <c r="B5521" t="s">
        <v>12132</v>
      </c>
      <c r="C5521" t="s">
        <v>20</v>
      </c>
      <c r="D5521" t="s">
        <v>2477</v>
      </c>
      <c r="G5521" t="s">
        <v>16</v>
      </c>
      <c r="H5521">
        <v>0</v>
      </c>
      <c r="I5521" s="2" t="s">
        <v>737</v>
      </c>
      <c r="J5521" s="2" t="s">
        <v>12133</v>
      </c>
      <c r="K5521">
        <v>20</v>
      </c>
      <c r="L5521">
        <v>20</v>
      </c>
      <c r="M5521">
        <v>20</v>
      </c>
    </row>
    <row r="5522" spans="1:13" x14ac:dyDescent="0.25">
      <c r="A5522" t="s">
        <v>12134</v>
      </c>
      <c r="B5522" t="s">
        <v>12136</v>
      </c>
      <c r="C5522" t="s">
        <v>20</v>
      </c>
      <c r="D5522" t="s">
        <v>2477</v>
      </c>
      <c r="F5522">
        <v>1</v>
      </c>
      <c r="G5522" t="s">
        <v>16</v>
      </c>
      <c r="H5522">
        <v>0</v>
      </c>
      <c r="I5522" s="2" t="s">
        <v>765</v>
      </c>
      <c r="J5522" s="2" t="s">
        <v>12135</v>
      </c>
      <c r="K5522">
        <v>20</v>
      </c>
      <c r="L5522">
        <v>20</v>
      </c>
      <c r="M5522">
        <v>20</v>
      </c>
    </row>
    <row r="5523" spans="1:13" x14ac:dyDescent="0.25">
      <c r="A5523" t="s">
        <v>12137</v>
      </c>
      <c r="B5523" t="s">
        <v>12138</v>
      </c>
      <c r="C5523" t="s">
        <v>20</v>
      </c>
      <c r="D5523" t="s">
        <v>2477</v>
      </c>
      <c r="F5523">
        <v>1</v>
      </c>
      <c r="G5523" t="s">
        <v>16</v>
      </c>
      <c r="H5523">
        <v>0</v>
      </c>
      <c r="I5523" s="2" t="b">
        <v>1</v>
      </c>
      <c r="J5523" s="2" t="s">
        <v>12139</v>
      </c>
      <c r="K5523">
        <v>20</v>
      </c>
      <c r="L5523">
        <v>20</v>
      </c>
      <c r="M5523">
        <v>20</v>
      </c>
    </row>
    <row r="5524" spans="1:13" x14ac:dyDescent="0.25">
      <c r="A5524" t="s">
        <v>12140</v>
      </c>
      <c r="B5524" t="s">
        <v>12141</v>
      </c>
      <c r="C5524" t="s">
        <v>20</v>
      </c>
      <c r="D5524" t="s">
        <v>2477</v>
      </c>
      <c r="G5524" t="s">
        <v>16</v>
      </c>
      <c r="H5524">
        <v>0</v>
      </c>
      <c r="I5524" s="2" t="s">
        <v>737</v>
      </c>
      <c r="J5524" s="2" t="s">
        <v>12142</v>
      </c>
      <c r="K5524">
        <v>20</v>
      </c>
      <c r="L5524">
        <v>20</v>
      </c>
      <c r="M5524">
        <v>20</v>
      </c>
    </row>
    <row r="5525" spans="1:13" x14ac:dyDescent="0.25">
      <c r="A5525" t="s">
        <v>12143</v>
      </c>
      <c r="B5525" t="s">
        <v>12144</v>
      </c>
      <c r="C5525" t="s">
        <v>20</v>
      </c>
      <c r="D5525" t="s">
        <v>2477</v>
      </c>
      <c r="F5525">
        <v>2</v>
      </c>
      <c r="G5525" t="s">
        <v>16</v>
      </c>
      <c r="H5525">
        <v>0</v>
      </c>
      <c r="I5525" s="2" t="b">
        <v>1</v>
      </c>
      <c r="J5525" s="2" t="s">
        <v>12145</v>
      </c>
      <c r="K5525">
        <v>20</v>
      </c>
      <c r="L5525">
        <v>20</v>
      </c>
      <c r="M5525">
        <v>20</v>
      </c>
    </row>
    <row r="5526" spans="1:13" x14ac:dyDescent="0.25">
      <c r="A5526" t="s">
        <v>12146</v>
      </c>
      <c r="B5526" t="s">
        <v>12148</v>
      </c>
      <c r="C5526" t="s">
        <v>20</v>
      </c>
      <c r="D5526" t="s">
        <v>2477</v>
      </c>
      <c r="G5526" t="s">
        <v>16</v>
      </c>
      <c r="H5526">
        <v>0</v>
      </c>
      <c r="I5526" s="2" t="s">
        <v>288</v>
      </c>
      <c r="J5526" s="2" t="s">
        <v>12147</v>
      </c>
      <c r="K5526">
        <v>20</v>
      </c>
      <c r="L5526">
        <v>20</v>
      </c>
      <c r="M5526">
        <v>20</v>
      </c>
    </row>
    <row r="5527" spans="1:13" x14ac:dyDescent="0.25">
      <c r="A5527" t="s">
        <v>12149</v>
      </c>
      <c r="B5527" t="s">
        <v>12150</v>
      </c>
      <c r="C5527" t="s">
        <v>20</v>
      </c>
      <c r="D5527" t="s">
        <v>2477</v>
      </c>
      <c r="F5527">
        <v>3</v>
      </c>
      <c r="G5527" t="s">
        <v>16</v>
      </c>
      <c r="H5527">
        <v>0</v>
      </c>
      <c r="I5527" s="2" t="b">
        <v>1</v>
      </c>
      <c r="J5527" s="2" t="s">
        <v>12151</v>
      </c>
      <c r="K5527">
        <v>20</v>
      </c>
      <c r="L5527">
        <v>20</v>
      </c>
      <c r="M5527">
        <v>20</v>
      </c>
    </row>
    <row r="5528" spans="1:13" x14ac:dyDescent="0.25">
      <c r="A5528" t="s">
        <v>12152</v>
      </c>
      <c r="B5528" t="s">
        <v>12150</v>
      </c>
      <c r="C5528" t="s">
        <v>20</v>
      </c>
      <c r="D5528" t="s">
        <v>2477</v>
      </c>
      <c r="F5528">
        <v>1</v>
      </c>
      <c r="G5528" t="s">
        <v>16</v>
      </c>
      <c r="H5528">
        <v>0</v>
      </c>
      <c r="I5528" s="2" t="s">
        <v>3289</v>
      </c>
      <c r="J5528" s="2" t="s">
        <v>12153</v>
      </c>
      <c r="K5528">
        <v>20</v>
      </c>
      <c r="L5528">
        <v>20</v>
      </c>
      <c r="M5528">
        <v>20</v>
      </c>
    </row>
    <row r="5529" spans="1:13" x14ac:dyDescent="0.25">
      <c r="A5529" t="s">
        <v>12154</v>
      </c>
      <c r="B5529" t="s">
        <v>12156</v>
      </c>
      <c r="C5529" t="s">
        <v>20</v>
      </c>
      <c r="D5529" t="s">
        <v>2477</v>
      </c>
      <c r="F5529">
        <v>3</v>
      </c>
      <c r="G5529" t="s">
        <v>16</v>
      </c>
      <c r="H5529">
        <v>0</v>
      </c>
      <c r="I5529" s="2" t="s">
        <v>765</v>
      </c>
      <c r="J5529" s="2" t="s">
        <v>12155</v>
      </c>
      <c r="K5529">
        <v>20</v>
      </c>
      <c r="L5529">
        <v>20</v>
      </c>
      <c r="M5529">
        <v>20</v>
      </c>
    </row>
    <row r="5530" spans="1:13" x14ac:dyDescent="0.25">
      <c r="A5530" t="s">
        <v>12157</v>
      </c>
      <c r="B5530" t="s">
        <v>12156</v>
      </c>
      <c r="C5530" t="s">
        <v>20</v>
      </c>
      <c r="D5530" t="s">
        <v>2477</v>
      </c>
      <c r="F5530">
        <v>2</v>
      </c>
      <c r="G5530" t="s">
        <v>16</v>
      </c>
      <c r="H5530">
        <v>0</v>
      </c>
      <c r="I5530" s="2" t="s">
        <v>12117</v>
      </c>
      <c r="J5530" s="2" t="s">
        <v>12158</v>
      </c>
      <c r="K5530">
        <v>20</v>
      </c>
      <c r="L5530">
        <v>20</v>
      </c>
      <c r="M5530">
        <v>20</v>
      </c>
    </row>
    <row r="5531" spans="1:13" x14ac:dyDescent="0.25">
      <c r="A5531" t="s">
        <v>12159</v>
      </c>
      <c r="B5531" t="s">
        <v>12156</v>
      </c>
      <c r="C5531" t="s">
        <v>20</v>
      </c>
      <c r="D5531" t="s">
        <v>2477</v>
      </c>
      <c r="G5531" t="s">
        <v>16</v>
      </c>
      <c r="H5531">
        <v>0</v>
      </c>
      <c r="I5531" s="2" t="s">
        <v>737</v>
      </c>
      <c r="J5531" s="2" t="s">
        <v>12160</v>
      </c>
      <c r="K5531">
        <v>20</v>
      </c>
      <c r="L5531">
        <v>20</v>
      </c>
      <c r="M5531">
        <v>20</v>
      </c>
    </row>
    <row r="5532" spans="1:13" x14ac:dyDescent="0.25">
      <c r="A5532">
        <v>5684189</v>
      </c>
      <c r="B5532" t="s">
        <v>12161</v>
      </c>
      <c r="C5532" t="s">
        <v>20</v>
      </c>
      <c r="D5532" t="s">
        <v>2477</v>
      </c>
      <c r="F5532">
        <v>1</v>
      </c>
      <c r="G5532" t="s">
        <v>16</v>
      </c>
      <c r="H5532">
        <v>0</v>
      </c>
      <c r="I5532" s="2" t="s">
        <v>497</v>
      </c>
      <c r="J5532" s="2">
        <v>13130732</v>
      </c>
      <c r="K5532">
        <v>20</v>
      </c>
      <c r="L5532">
        <v>20</v>
      </c>
      <c r="M5532">
        <v>20</v>
      </c>
    </row>
    <row r="5533" spans="1:13" x14ac:dyDescent="0.25">
      <c r="A5533" t="s">
        <v>12162</v>
      </c>
      <c r="B5533" t="s">
        <v>12163</v>
      </c>
      <c r="C5533" t="s">
        <v>20</v>
      </c>
      <c r="D5533" t="s">
        <v>2477</v>
      </c>
      <c r="F5533">
        <v>3</v>
      </c>
      <c r="G5533" t="s">
        <v>16</v>
      </c>
      <c r="H5533">
        <v>0</v>
      </c>
      <c r="I5533" s="2" t="b">
        <v>1</v>
      </c>
      <c r="J5533" s="2" t="s">
        <v>12164</v>
      </c>
      <c r="K5533">
        <v>20</v>
      </c>
      <c r="L5533">
        <v>20</v>
      </c>
      <c r="M5533">
        <v>20</v>
      </c>
    </row>
    <row r="5534" spans="1:13" x14ac:dyDescent="0.25">
      <c r="A5534" t="s">
        <v>12165</v>
      </c>
      <c r="B5534" t="s">
        <v>12163</v>
      </c>
      <c r="C5534" t="s">
        <v>20</v>
      </c>
      <c r="D5534" t="s">
        <v>2477</v>
      </c>
      <c r="F5534">
        <v>1</v>
      </c>
      <c r="G5534" t="s">
        <v>16</v>
      </c>
      <c r="H5534">
        <v>0</v>
      </c>
      <c r="I5534" s="2" t="s">
        <v>6861</v>
      </c>
      <c r="J5534" s="2" t="s">
        <v>12166</v>
      </c>
      <c r="K5534">
        <v>20</v>
      </c>
      <c r="L5534">
        <v>20</v>
      </c>
      <c r="M5534">
        <v>20</v>
      </c>
    </row>
    <row r="5535" spans="1:13" x14ac:dyDescent="0.25">
      <c r="A5535" t="s">
        <v>12167</v>
      </c>
      <c r="B5535" t="s">
        <v>12163</v>
      </c>
      <c r="C5535" t="s">
        <v>20</v>
      </c>
      <c r="D5535" t="s">
        <v>2477</v>
      </c>
      <c r="G5535" t="s">
        <v>16</v>
      </c>
      <c r="H5535">
        <v>0</v>
      </c>
      <c r="I5535" s="2" t="s">
        <v>737</v>
      </c>
      <c r="J5535" s="2" t="s">
        <v>12168</v>
      </c>
      <c r="K5535">
        <v>20</v>
      </c>
      <c r="L5535">
        <v>20</v>
      </c>
      <c r="M5535">
        <v>20</v>
      </c>
    </row>
    <row r="5536" spans="1:13" x14ac:dyDescent="0.25">
      <c r="A5536" t="s">
        <v>12169</v>
      </c>
      <c r="B5536" t="s">
        <v>12171</v>
      </c>
      <c r="C5536" t="s">
        <v>20</v>
      </c>
      <c r="D5536" t="s">
        <v>2477</v>
      </c>
      <c r="F5536">
        <v>1</v>
      </c>
      <c r="G5536" t="s">
        <v>16</v>
      </c>
      <c r="H5536">
        <v>0</v>
      </c>
      <c r="I5536" s="2" t="s">
        <v>765</v>
      </c>
      <c r="J5536" s="2" t="s">
        <v>12170</v>
      </c>
      <c r="K5536">
        <v>20</v>
      </c>
      <c r="L5536">
        <v>20</v>
      </c>
      <c r="M5536">
        <v>20</v>
      </c>
    </row>
    <row r="5537" spans="1:13" x14ac:dyDescent="0.25">
      <c r="A5537" t="s">
        <v>12172</v>
      </c>
      <c r="B5537" t="s">
        <v>12171</v>
      </c>
      <c r="C5537" t="s">
        <v>20</v>
      </c>
      <c r="D5537" t="s">
        <v>2477</v>
      </c>
      <c r="F5537">
        <v>1</v>
      </c>
      <c r="G5537" t="s">
        <v>16</v>
      </c>
      <c r="H5537">
        <v>0</v>
      </c>
      <c r="I5537" s="2" t="s">
        <v>5085</v>
      </c>
      <c r="J5537" s="2" t="s">
        <v>12173</v>
      </c>
      <c r="K5537">
        <v>20</v>
      </c>
      <c r="L5537">
        <v>20</v>
      </c>
      <c r="M5537">
        <v>20</v>
      </c>
    </row>
    <row r="5538" spans="1:13" x14ac:dyDescent="0.25">
      <c r="A5538" t="s">
        <v>12174</v>
      </c>
      <c r="B5538" t="s">
        <v>12171</v>
      </c>
      <c r="C5538" t="s">
        <v>20</v>
      </c>
      <c r="D5538" t="s">
        <v>2477</v>
      </c>
      <c r="F5538">
        <v>1</v>
      </c>
      <c r="G5538" t="s">
        <v>16</v>
      </c>
      <c r="H5538">
        <v>0</v>
      </c>
      <c r="I5538" s="2" t="s">
        <v>737</v>
      </c>
      <c r="J5538" s="2" t="s">
        <v>12175</v>
      </c>
      <c r="K5538">
        <v>20</v>
      </c>
      <c r="L5538">
        <v>20</v>
      </c>
      <c r="M5538">
        <v>20</v>
      </c>
    </row>
    <row r="5539" spans="1:13" x14ac:dyDescent="0.25">
      <c r="A5539" t="s">
        <v>12176</v>
      </c>
      <c r="B5539" t="s">
        <v>12177</v>
      </c>
      <c r="C5539" t="s">
        <v>20</v>
      </c>
      <c r="D5539" t="s">
        <v>2477</v>
      </c>
      <c r="F5539">
        <v>2</v>
      </c>
      <c r="G5539" t="s">
        <v>16</v>
      </c>
      <c r="H5539">
        <v>0</v>
      </c>
      <c r="I5539" s="2" t="s">
        <v>5085</v>
      </c>
      <c r="J5539" s="2" t="s">
        <v>12178</v>
      </c>
      <c r="K5539">
        <v>20</v>
      </c>
      <c r="L5539">
        <v>20</v>
      </c>
      <c r="M5539">
        <v>20</v>
      </c>
    </row>
    <row r="5540" spans="1:13" x14ac:dyDescent="0.25">
      <c r="A5540" t="s">
        <v>12179</v>
      </c>
      <c r="B5540" t="s">
        <v>12177</v>
      </c>
      <c r="C5540" t="s">
        <v>20</v>
      </c>
      <c r="D5540" t="s">
        <v>2477</v>
      </c>
      <c r="F5540">
        <v>0</v>
      </c>
      <c r="G5540" t="s">
        <v>16</v>
      </c>
      <c r="H5540">
        <v>0</v>
      </c>
      <c r="I5540" s="2" t="s">
        <v>737</v>
      </c>
      <c r="J5540" s="2" t="s">
        <v>12180</v>
      </c>
      <c r="K5540">
        <v>20</v>
      </c>
      <c r="L5540">
        <v>20</v>
      </c>
      <c r="M5540">
        <v>20</v>
      </c>
    </row>
    <row r="5541" spans="1:13" x14ac:dyDescent="0.25">
      <c r="A5541" t="s">
        <v>12181</v>
      </c>
      <c r="B5541" t="s">
        <v>12183</v>
      </c>
      <c r="C5541" t="s">
        <v>20</v>
      </c>
      <c r="D5541" t="s">
        <v>2477</v>
      </c>
      <c r="F5541">
        <v>2</v>
      </c>
      <c r="G5541" t="s">
        <v>16</v>
      </c>
      <c r="H5541">
        <v>0</v>
      </c>
      <c r="I5541" s="2" t="s">
        <v>288</v>
      </c>
      <c r="J5541" s="2" t="s">
        <v>12182</v>
      </c>
      <c r="K5541">
        <v>20</v>
      </c>
      <c r="L5541">
        <v>20</v>
      </c>
      <c r="M5541">
        <v>20</v>
      </c>
    </row>
    <row r="5542" spans="1:13" x14ac:dyDescent="0.25">
      <c r="A5542" t="s">
        <v>12184</v>
      </c>
      <c r="B5542" t="s">
        <v>12183</v>
      </c>
      <c r="C5542" t="s">
        <v>20</v>
      </c>
      <c r="D5542" t="s">
        <v>2477</v>
      </c>
      <c r="F5542">
        <v>1</v>
      </c>
      <c r="G5542" t="s">
        <v>16</v>
      </c>
      <c r="H5542">
        <v>0</v>
      </c>
      <c r="I5542" s="2" t="b">
        <v>1</v>
      </c>
      <c r="J5542" s="2" t="s">
        <v>12185</v>
      </c>
      <c r="K5542">
        <v>20</v>
      </c>
      <c r="L5542">
        <v>20</v>
      </c>
      <c r="M5542">
        <v>20</v>
      </c>
    </row>
    <row r="5543" spans="1:13" x14ac:dyDescent="0.25">
      <c r="A5543" t="s">
        <v>12186</v>
      </c>
      <c r="B5543" t="s">
        <v>12183</v>
      </c>
      <c r="C5543" t="s">
        <v>20</v>
      </c>
      <c r="D5543" t="s">
        <v>2477</v>
      </c>
      <c r="F5543">
        <v>1</v>
      </c>
      <c r="G5543" t="s">
        <v>16</v>
      </c>
      <c r="H5543">
        <v>0</v>
      </c>
      <c r="I5543" s="2" t="s">
        <v>737</v>
      </c>
      <c r="J5543" s="2" t="s">
        <v>12187</v>
      </c>
      <c r="K5543">
        <v>20</v>
      </c>
      <c r="L5543">
        <v>20</v>
      </c>
      <c r="M5543">
        <v>20</v>
      </c>
    </row>
    <row r="5544" spans="1:13" x14ac:dyDescent="0.25">
      <c r="A5544" t="s">
        <v>12188</v>
      </c>
      <c r="B5544" t="s">
        <v>12189</v>
      </c>
      <c r="C5544" t="s">
        <v>20</v>
      </c>
      <c r="D5544" t="s">
        <v>2477</v>
      </c>
      <c r="G5544" t="s">
        <v>16</v>
      </c>
      <c r="H5544">
        <v>0</v>
      </c>
      <c r="I5544" s="2" t="s">
        <v>5085</v>
      </c>
      <c r="J5544" s="2" t="s">
        <v>12190</v>
      </c>
      <c r="K5544">
        <v>20</v>
      </c>
      <c r="L5544">
        <v>20</v>
      </c>
      <c r="M5544">
        <v>20</v>
      </c>
    </row>
    <row r="5545" spans="1:13" x14ac:dyDescent="0.25">
      <c r="A5545" t="s">
        <v>12191</v>
      </c>
      <c r="B5545" t="s">
        <v>12193</v>
      </c>
      <c r="C5545" t="s">
        <v>20</v>
      </c>
      <c r="D5545" t="s">
        <v>2477</v>
      </c>
      <c r="F5545">
        <v>4</v>
      </c>
      <c r="G5545" t="s">
        <v>16</v>
      </c>
      <c r="H5545">
        <v>0</v>
      </c>
      <c r="I5545" s="2" t="s">
        <v>288</v>
      </c>
      <c r="J5545" s="2" t="s">
        <v>12192</v>
      </c>
      <c r="K5545">
        <v>20</v>
      </c>
      <c r="L5545">
        <v>20</v>
      </c>
      <c r="M5545">
        <v>20</v>
      </c>
    </row>
    <row r="5546" spans="1:13" x14ac:dyDescent="0.25">
      <c r="A5546" t="s">
        <v>12194</v>
      </c>
      <c r="B5546" t="s">
        <v>12193</v>
      </c>
      <c r="C5546" t="s">
        <v>20</v>
      </c>
      <c r="D5546" t="s">
        <v>2477</v>
      </c>
      <c r="F5546">
        <v>7</v>
      </c>
      <c r="G5546" t="s">
        <v>16</v>
      </c>
      <c r="H5546">
        <v>0</v>
      </c>
      <c r="I5546" s="2" t="s">
        <v>5085</v>
      </c>
      <c r="J5546" s="2" t="s">
        <v>12195</v>
      </c>
      <c r="K5546">
        <v>20</v>
      </c>
      <c r="L5546">
        <v>20</v>
      </c>
      <c r="M5546">
        <v>20</v>
      </c>
    </row>
    <row r="5547" spans="1:13" x14ac:dyDescent="0.25">
      <c r="A5547" t="s">
        <v>12196</v>
      </c>
      <c r="B5547" t="s">
        <v>12193</v>
      </c>
      <c r="C5547" t="s">
        <v>20</v>
      </c>
      <c r="D5547" t="s">
        <v>2477</v>
      </c>
      <c r="F5547">
        <v>3</v>
      </c>
      <c r="G5547" t="s">
        <v>16</v>
      </c>
      <c r="H5547">
        <v>0</v>
      </c>
      <c r="I5547" s="2" t="s">
        <v>64</v>
      </c>
      <c r="J5547" s="2">
        <v>10010252</v>
      </c>
      <c r="K5547">
        <v>20</v>
      </c>
      <c r="L5547">
        <v>20</v>
      </c>
      <c r="M5547">
        <v>20</v>
      </c>
    </row>
    <row r="5548" spans="1:13" x14ac:dyDescent="0.25">
      <c r="A5548" t="s">
        <v>12197</v>
      </c>
      <c r="B5548" t="s">
        <v>12193</v>
      </c>
      <c r="C5548" t="s">
        <v>20</v>
      </c>
      <c r="D5548" t="s">
        <v>2477</v>
      </c>
      <c r="F5548">
        <v>1</v>
      </c>
      <c r="G5548" t="s">
        <v>16</v>
      </c>
      <c r="H5548">
        <v>0</v>
      </c>
      <c r="I5548" s="2" t="s">
        <v>162</v>
      </c>
      <c r="J5548" s="2">
        <v>957006</v>
      </c>
      <c r="K5548">
        <v>20</v>
      </c>
      <c r="L5548">
        <v>20</v>
      </c>
      <c r="M5548">
        <v>20</v>
      </c>
    </row>
    <row r="5549" spans="1:13" x14ac:dyDescent="0.25">
      <c r="A5549" t="s">
        <v>12198</v>
      </c>
      <c r="B5549" t="s">
        <v>12193</v>
      </c>
      <c r="C5549" t="s">
        <v>20</v>
      </c>
      <c r="D5549" t="s">
        <v>2477</v>
      </c>
      <c r="G5549" t="s">
        <v>16</v>
      </c>
      <c r="H5549">
        <v>0</v>
      </c>
      <c r="I5549" s="2" t="s">
        <v>737</v>
      </c>
      <c r="J5549" s="2" t="s">
        <v>12199</v>
      </c>
      <c r="K5549">
        <v>20</v>
      </c>
      <c r="L5549">
        <v>20</v>
      </c>
      <c r="M5549">
        <v>20</v>
      </c>
    </row>
    <row r="5550" spans="1:13" x14ac:dyDescent="0.25">
      <c r="A5550" t="s">
        <v>12200</v>
      </c>
      <c r="B5550" t="s">
        <v>12202</v>
      </c>
      <c r="C5550" t="s">
        <v>20</v>
      </c>
      <c r="D5550" t="s">
        <v>2477</v>
      </c>
      <c r="F5550">
        <v>1</v>
      </c>
      <c r="G5550" t="s">
        <v>16</v>
      </c>
      <c r="H5550">
        <v>0</v>
      </c>
      <c r="I5550" s="2" t="s">
        <v>765</v>
      </c>
      <c r="J5550" s="2" t="s">
        <v>12201</v>
      </c>
      <c r="K5550">
        <v>20</v>
      </c>
      <c r="L5550">
        <v>20</v>
      </c>
      <c r="M5550">
        <v>20</v>
      </c>
    </row>
    <row r="5551" spans="1:13" x14ac:dyDescent="0.25">
      <c r="A5551" t="s">
        <v>12203</v>
      </c>
      <c r="B5551" t="s">
        <v>12202</v>
      </c>
      <c r="C5551" t="s">
        <v>20</v>
      </c>
      <c r="D5551" t="s">
        <v>2477</v>
      </c>
      <c r="G5551" t="s">
        <v>16</v>
      </c>
      <c r="H5551">
        <v>0</v>
      </c>
      <c r="I5551" s="2" t="s">
        <v>5085</v>
      </c>
      <c r="J5551" s="2" t="s">
        <v>12204</v>
      </c>
      <c r="K5551">
        <v>20</v>
      </c>
      <c r="L5551">
        <v>20</v>
      </c>
      <c r="M5551">
        <v>20</v>
      </c>
    </row>
    <row r="5552" spans="1:13" x14ac:dyDescent="0.25">
      <c r="A5552" t="s">
        <v>12205</v>
      </c>
      <c r="B5552" t="s">
        <v>12207</v>
      </c>
      <c r="C5552" t="s">
        <v>20</v>
      </c>
      <c r="D5552" t="s">
        <v>2477</v>
      </c>
      <c r="F5552">
        <v>1</v>
      </c>
      <c r="G5552" t="s">
        <v>16</v>
      </c>
      <c r="H5552">
        <v>0</v>
      </c>
      <c r="I5552" s="2" t="s">
        <v>288</v>
      </c>
      <c r="J5552" s="2" t="s">
        <v>12206</v>
      </c>
      <c r="K5552">
        <v>20</v>
      </c>
      <c r="L5552">
        <v>20</v>
      </c>
      <c r="M5552">
        <v>20</v>
      </c>
    </row>
    <row r="5553" spans="1:13" x14ac:dyDescent="0.25">
      <c r="A5553" t="s">
        <v>12208</v>
      </c>
      <c r="B5553" t="s">
        <v>12207</v>
      </c>
      <c r="C5553" t="s">
        <v>20</v>
      </c>
      <c r="D5553" t="s">
        <v>2477</v>
      </c>
      <c r="F5553">
        <v>1</v>
      </c>
      <c r="G5553" t="s">
        <v>16</v>
      </c>
      <c r="H5553">
        <v>0</v>
      </c>
      <c r="I5553" s="2" t="s">
        <v>737</v>
      </c>
      <c r="J5553" s="2" t="s">
        <v>12209</v>
      </c>
      <c r="K5553">
        <v>20</v>
      </c>
      <c r="L5553">
        <v>20</v>
      </c>
      <c r="M5553">
        <v>20</v>
      </c>
    </row>
    <row r="5554" spans="1:13" x14ac:dyDescent="0.25">
      <c r="A5554" t="s">
        <v>12210</v>
      </c>
      <c r="B5554" t="s">
        <v>12211</v>
      </c>
      <c r="C5554" t="s">
        <v>20</v>
      </c>
      <c r="D5554" t="s">
        <v>2477</v>
      </c>
      <c r="F5554">
        <v>2</v>
      </c>
      <c r="G5554" t="s">
        <v>16</v>
      </c>
      <c r="H5554">
        <v>0</v>
      </c>
      <c r="I5554" s="2" t="s">
        <v>5085</v>
      </c>
      <c r="J5554" s="2" t="s">
        <v>12212</v>
      </c>
      <c r="K5554">
        <v>20</v>
      </c>
      <c r="L5554">
        <v>20</v>
      </c>
      <c r="M5554">
        <v>20</v>
      </c>
    </row>
    <row r="5555" spans="1:13" x14ac:dyDescent="0.25">
      <c r="A5555" t="s">
        <v>12213</v>
      </c>
      <c r="B5555" t="s">
        <v>12214</v>
      </c>
      <c r="C5555" t="s">
        <v>20</v>
      </c>
      <c r="D5555" t="s">
        <v>2477</v>
      </c>
      <c r="G5555" t="s">
        <v>16</v>
      </c>
      <c r="H5555">
        <v>0</v>
      </c>
      <c r="I5555" s="2" t="s">
        <v>288</v>
      </c>
      <c r="J5555" s="2">
        <v>240067116</v>
      </c>
      <c r="K5555">
        <v>20</v>
      </c>
      <c r="L5555">
        <v>20</v>
      </c>
      <c r="M5555">
        <v>20</v>
      </c>
    </row>
    <row r="5556" spans="1:13" x14ac:dyDescent="0.25">
      <c r="A5556" t="s">
        <v>12215</v>
      </c>
      <c r="B5556" t="s">
        <v>12216</v>
      </c>
      <c r="C5556" t="s">
        <v>20</v>
      </c>
      <c r="D5556" t="s">
        <v>2477</v>
      </c>
      <c r="G5556" t="s">
        <v>16</v>
      </c>
      <c r="H5556">
        <v>0</v>
      </c>
      <c r="I5556" s="2" t="s">
        <v>2932</v>
      </c>
      <c r="J5556" s="2" t="s">
        <v>12217</v>
      </c>
      <c r="K5556">
        <v>20</v>
      </c>
      <c r="L5556">
        <v>20</v>
      </c>
      <c r="M5556">
        <v>20</v>
      </c>
    </row>
    <row r="5557" spans="1:13" x14ac:dyDescent="0.25">
      <c r="A5557" t="s">
        <v>12218</v>
      </c>
      <c r="B5557" t="s">
        <v>12214</v>
      </c>
      <c r="C5557" t="s">
        <v>20</v>
      </c>
      <c r="D5557" t="s">
        <v>2477</v>
      </c>
      <c r="G5557" t="s">
        <v>16</v>
      </c>
      <c r="H5557">
        <v>0</v>
      </c>
      <c r="I5557" s="2" t="s">
        <v>737</v>
      </c>
      <c r="J5557" s="2" t="s">
        <v>12219</v>
      </c>
      <c r="K5557">
        <v>20</v>
      </c>
      <c r="L5557">
        <v>20</v>
      </c>
      <c r="M5557">
        <v>20</v>
      </c>
    </row>
    <row r="5558" spans="1:13" x14ac:dyDescent="0.25">
      <c r="A5558" t="s">
        <v>12220</v>
      </c>
      <c r="B5558" t="s">
        <v>12221</v>
      </c>
      <c r="C5558" t="s">
        <v>20</v>
      </c>
      <c r="D5558" t="s">
        <v>2477</v>
      </c>
      <c r="G5558" t="s">
        <v>16</v>
      </c>
      <c r="H5558">
        <v>0</v>
      </c>
      <c r="I5558" s="2" t="s">
        <v>5085</v>
      </c>
      <c r="J5558" s="2" t="s">
        <v>12222</v>
      </c>
      <c r="K5558">
        <v>20</v>
      </c>
      <c r="L5558">
        <v>20</v>
      </c>
      <c r="M5558">
        <v>20</v>
      </c>
    </row>
    <row r="5559" spans="1:13" x14ac:dyDescent="0.25">
      <c r="A5559" t="s">
        <v>12223</v>
      </c>
      <c r="B5559" t="s">
        <v>12221</v>
      </c>
      <c r="C5559" t="s">
        <v>20</v>
      </c>
      <c r="D5559" t="s">
        <v>2477</v>
      </c>
      <c r="F5559">
        <v>2</v>
      </c>
      <c r="G5559" t="s">
        <v>16</v>
      </c>
      <c r="H5559">
        <v>0</v>
      </c>
      <c r="I5559" s="2" t="s">
        <v>737</v>
      </c>
      <c r="J5559" s="2" t="s">
        <v>12224</v>
      </c>
      <c r="K5559">
        <v>20</v>
      </c>
      <c r="L5559">
        <v>20</v>
      </c>
      <c r="M5559">
        <v>20</v>
      </c>
    </row>
    <row r="5560" spans="1:13" x14ac:dyDescent="0.25">
      <c r="A5560" t="s">
        <v>12225</v>
      </c>
      <c r="B5560" t="s">
        <v>12227</v>
      </c>
      <c r="C5560" t="s">
        <v>362</v>
      </c>
      <c r="D5560" t="s">
        <v>363</v>
      </c>
      <c r="F5560">
        <v>2</v>
      </c>
      <c r="G5560" t="s">
        <v>16</v>
      </c>
      <c r="H5560">
        <v>0</v>
      </c>
      <c r="I5560" s="2" t="s">
        <v>765</v>
      </c>
      <c r="J5560" s="2" t="s">
        <v>12226</v>
      </c>
      <c r="K5560">
        <v>20</v>
      </c>
      <c r="L5560">
        <v>20</v>
      </c>
      <c r="M5560">
        <v>20</v>
      </c>
    </row>
    <row r="5561" spans="1:13" x14ac:dyDescent="0.25">
      <c r="A5561" t="s">
        <v>12228</v>
      </c>
      <c r="B5561" t="s">
        <v>12227</v>
      </c>
      <c r="C5561" t="s">
        <v>362</v>
      </c>
      <c r="D5561" t="s">
        <v>363</v>
      </c>
      <c r="G5561" t="s">
        <v>16</v>
      </c>
      <c r="H5561">
        <v>0</v>
      </c>
      <c r="I5561" s="2" t="s">
        <v>2533</v>
      </c>
      <c r="J5561" s="2" t="s">
        <v>12229</v>
      </c>
      <c r="K5561">
        <v>20</v>
      </c>
      <c r="L5561">
        <v>20</v>
      </c>
      <c r="M5561">
        <v>20</v>
      </c>
    </row>
    <row r="5562" spans="1:13" x14ac:dyDescent="0.25">
      <c r="A5562" t="s">
        <v>12230</v>
      </c>
      <c r="B5562" t="s">
        <v>12227</v>
      </c>
      <c r="C5562" t="s">
        <v>362</v>
      </c>
      <c r="D5562" t="s">
        <v>4091</v>
      </c>
      <c r="F5562">
        <v>2</v>
      </c>
      <c r="G5562" t="s">
        <v>16</v>
      </c>
      <c r="H5562">
        <v>0</v>
      </c>
      <c r="I5562" s="2" t="s">
        <v>383</v>
      </c>
      <c r="J5562" s="2" t="str">
        <f>"0986478730"</f>
        <v>0986478730</v>
      </c>
      <c r="K5562">
        <v>20</v>
      </c>
      <c r="L5562">
        <v>20</v>
      </c>
      <c r="M5562">
        <v>20</v>
      </c>
    </row>
    <row r="5563" spans="1:13" x14ac:dyDescent="0.25">
      <c r="A5563" t="s">
        <v>12231</v>
      </c>
      <c r="B5563" t="s">
        <v>12227</v>
      </c>
      <c r="C5563" t="s">
        <v>362</v>
      </c>
      <c r="D5563" t="s">
        <v>363</v>
      </c>
      <c r="G5563" t="s">
        <v>16</v>
      </c>
      <c r="H5563">
        <v>0</v>
      </c>
      <c r="I5563" s="2" t="s">
        <v>941</v>
      </c>
      <c r="J5563" s="2" t="s">
        <v>12232</v>
      </c>
      <c r="K5563">
        <v>20</v>
      </c>
      <c r="L5563">
        <v>20</v>
      </c>
      <c r="M5563">
        <v>20</v>
      </c>
    </row>
    <row r="5564" spans="1:13" x14ac:dyDescent="0.25">
      <c r="A5564" t="s">
        <v>12233</v>
      </c>
      <c r="B5564" t="s">
        <v>12227</v>
      </c>
      <c r="C5564" t="s">
        <v>362</v>
      </c>
      <c r="D5564" t="s">
        <v>363</v>
      </c>
      <c r="G5564" t="s">
        <v>22</v>
      </c>
      <c r="H5564">
        <v>0</v>
      </c>
      <c r="I5564" s="2" t="s">
        <v>5496</v>
      </c>
      <c r="J5564" s="2" t="s">
        <v>12234</v>
      </c>
      <c r="K5564">
        <v>20</v>
      </c>
      <c r="L5564">
        <v>20</v>
      </c>
      <c r="M5564">
        <v>20</v>
      </c>
    </row>
    <row r="5565" spans="1:13" x14ac:dyDescent="0.25">
      <c r="A5565" t="s">
        <v>12235</v>
      </c>
      <c r="B5565" t="s">
        <v>12236</v>
      </c>
      <c r="C5565" t="s">
        <v>362</v>
      </c>
      <c r="D5565" t="s">
        <v>363</v>
      </c>
      <c r="G5565" t="s">
        <v>16</v>
      </c>
      <c r="H5565">
        <v>0</v>
      </c>
      <c r="I5565" s="2" t="s">
        <v>2533</v>
      </c>
      <c r="J5565" s="2" t="s">
        <v>12237</v>
      </c>
      <c r="K5565">
        <v>20</v>
      </c>
      <c r="L5565">
        <v>20</v>
      </c>
      <c r="M5565">
        <v>20</v>
      </c>
    </row>
    <row r="5566" spans="1:13" x14ac:dyDescent="0.25">
      <c r="A5566" t="s">
        <v>12238</v>
      </c>
      <c r="B5566" t="s">
        <v>12236</v>
      </c>
      <c r="C5566" t="s">
        <v>362</v>
      </c>
      <c r="D5566" t="s">
        <v>363</v>
      </c>
      <c r="G5566" t="s">
        <v>16</v>
      </c>
      <c r="H5566">
        <v>0</v>
      </c>
      <c r="I5566" s="2" t="s">
        <v>941</v>
      </c>
      <c r="J5566" s="2" t="s">
        <v>12239</v>
      </c>
      <c r="K5566">
        <v>20</v>
      </c>
      <c r="L5566">
        <v>20</v>
      </c>
      <c r="M5566">
        <v>20</v>
      </c>
    </row>
    <row r="5567" spans="1:13" x14ac:dyDescent="0.25">
      <c r="A5567" t="s">
        <v>12240</v>
      </c>
      <c r="B5567" t="s">
        <v>12236</v>
      </c>
      <c r="C5567" t="s">
        <v>362</v>
      </c>
      <c r="D5567" t="s">
        <v>363</v>
      </c>
      <c r="F5567">
        <v>2</v>
      </c>
      <c r="G5567" t="s">
        <v>16</v>
      </c>
      <c r="H5567">
        <v>0</v>
      </c>
      <c r="I5567" s="2" t="s">
        <v>12241</v>
      </c>
      <c r="J5567" s="2">
        <v>27065</v>
      </c>
      <c r="K5567">
        <v>20</v>
      </c>
      <c r="L5567">
        <v>20</v>
      </c>
      <c r="M5567">
        <v>20</v>
      </c>
    </row>
    <row r="5568" spans="1:13" x14ac:dyDescent="0.25">
      <c r="A5568" t="s">
        <v>12242</v>
      </c>
      <c r="B5568" t="s">
        <v>12244</v>
      </c>
      <c r="C5568" t="s">
        <v>362</v>
      </c>
      <c r="D5568" t="s">
        <v>363</v>
      </c>
      <c r="F5568">
        <v>2</v>
      </c>
      <c r="G5568" t="s">
        <v>16</v>
      </c>
      <c r="H5568">
        <v>0</v>
      </c>
      <c r="I5568" s="2" t="s">
        <v>765</v>
      </c>
      <c r="J5568" s="2" t="s">
        <v>12243</v>
      </c>
      <c r="K5568">
        <v>20</v>
      </c>
      <c r="L5568">
        <v>20</v>
      </c>
      <c r="M5568">
        <v>20</v>
      </c>
    </row>
    <row r="5569" spans="1:13" x14ac:dyDescent="0.25">
      <c r="A5569" t="s">
        <v>12245</v>
      </c>
      <c r="B5569" t="s">
        <v>12244</v>
      </c>
      <c r="C5569" t="s">
        <v>362</v>
      </c>
      <c r="D5569" t="s">
        <v>363</v>
      </c>
      <c r="G5569" t="s">
        <v>16</v>
      </c>
      <c r="H5569">
        <v>0</v>
      </c>
      <c r="I5569" s="2" t="s">
        <v>2533</v>
      </c>
      <c r="J5569" s="2" t="s">
        <v>12246</v>
      </c>
      <c r="K5569">
        <v>20</v>
      </c>
      <c r="L5569">
        <v>20</v>
      </c>
      <c r="M5569">
        <v>20</v>
      </c>
    </row>
    <row r="5570" spans="1:13" x14ac:dyDescent="0.25">
      <c r="A5570" t="s">
        <v>12247</v>
      </c>
      <c r="B5570" t="s">
        <v>12244</v>
      </c>
      <c r="C5570" t="s">
        <v>362</v>
      </c>
      <c r="D5570" t="s">
        <v>363</v>
      </c>
      <c r="G5570" t="s">
        <v>16</v>
      </c>
      <c r="H5570">
        <v>0</v>
      </c>
      <c r="I5570" s="2" t="s">
        <v>707</v>
      </c>
      <c r="J5570" s="2" t="s">
        <v>12248</v>
      </c>
      <c r="K5570">
        <v>20</v>
      </c>
      <c r="L5570">
        <v>20</v>
      </c>
      <c r="M5570">
        <v>20</v>
      </c>
    </row>
    <row r="5571" spans="1:13" x14ac:dyDescent="0.25">
      <c r="A5571" t="s">
        <v>12249</v>
      </c>
      <c r="B5571" t="s">
        <v>12250</v>
      </c>
      <c r="C5571" t="s">
        <v>362</v>
      </c>
      <c r="D5571" t="s">
        <v>363</v>
      </c>
      <c r="F5571">
        <v>2</v>
      </c>
      <c r="G5571" t="s">
        <v>16</v>
      </c>
      <c r="H5571">
        <v>0</v>
      </c>
      <c r="I5571" s="2" t="s">
        <v>2533</v>
      </c>
      <c r="J5571" s="2" t="s">
        <v>12251</v>
      </c>
      <c r="K5571">
        <v>20</v>
      </c>
      <c r="L5571">
        <v>20</v>
      </c>
      <c r="M5571">
        <v>20</v>
      </c>
    </row>
    <row r="5572" spans="1:13" x14ac:dyDescent="0.25">
      <c r="A5572" t="s">
        <v>12252</v>
      </c>
      <c r="B5572" t="s">
        <v>12250</v>
      </c>
      <c r="C5572" t="s">
        <v>362</v>
      </c>
      <c r="D5572" t="s">
        <v>363</v>
      </c>
      <c r="F5572">
        <v>6</v>
      </c>
      <c r="G5572" t="s">
        <v>16</v>
      </c>
      <c r="H5572">
        <v>0</v>
      </c>
      <c r="I5572" s="2" t="s">
        <v>383</v>
      </c>
      <c r="J5572" s="2" t="str">
        <f>"0986479S55"</f>
        <v>0986479S55</v>
      </c>
      <c r="K5572">
        <v>20</v>
      </c>
      <c r="L5572">
        <v>20</v>
      </c>
      <c r="M5572">
        <v>20</v>
      </c>
    </row>
    <row r="5573" spans="1:13" x14ac:dyDescent="0.25">
      <c r="A5573" t="s">
        <v>12253</v>
      </c>
      <c r="B5573" t="s">
        <v>12254</v>
      </c>
      <c r="C5573" t="s">
        <v>362</v>
      </c>
      <c r="D5573" t="s">
        <v>363</v>
      </c>
      <c r="G5573" t="s">
        <v>16</v>
      </c>
      <c r="H5573">
        <v>0</v>
      </c>
      <c r="I5573" s="2" t="s">
        <v>941</v>
      </c>
      <c r="J5573" s="2" t="s">
        <v>12255</v>
      </c>
      <c r="K5573">
        <v>20</v>
      </c>
      <c r="L5573">
        <v>20</v>
      </c>
      <c r="M5573">
        <v>20</v>
      </c>
    </row>
    <row r="5574" spans="1:13" x14ac:dyDescent="0.25">
      <c r="A5574" t="s">
        <v>12256</v>
      </c>
      <c r="B5574" t="s">
        <v>12257</v>
      </c>
      <c r="C5574" t="s">
        <v>362</v>
      </c>
      <c r="D5574" t="s">
        <v>363</v>
      </c>
      <c r="G5574" t="s">
        <v>16</v>
      </c>
      <c r="H5574">
        <v>0</v>
      </c>
      <c r="I5574" s="2" t="s">
        <v>5057</v>
      </c>
      <c r="J5574" s="2" t="s">
        <v>12258</v>
      </c>
      <c r="K5574">
        <v>20</v>
      </c>
      <c r="L5574">
        <v>20</v>
      </c>
      <c r="M5574">
        <v>20</v>
      </c>
    </row>
    <row r="5575" spans="1:13" x14ac:dyDescent="0.25">
      <c r="A5575" t="s">
        <v>12259</v>
      </c>
      <c r="B5575" t="s">
        <v>12260</v>
      </c>
      <c r="C5575" t="s">
        <v>362</v>
      </c>
      <c r="D5575" t="s">
        <v>363</v>
      </c>
      <c r="G5575" t="s">
        <v>16</v>
      </c>
      <c r="H5575">
        <v>0</v>
      </c>
      <c r="I5575" s="2" t="s">
        <v>2533</v>
      </c>
      <c r="J5575" s="2" t="s">
        <v>12261</v>
      </c>
      <c r="K5575">
        <v>20</v>
      </c>
      <c r="L5575">
        <v>20</v>
      </c>
      <c r="M5575">
        <v>20</v>
      </c>
    </row>
    <row r="5576" spans="1:13" x14ac:dyDescent="0.25">
      <c r="A5576" t="s">
        <v>12262</v>
      </c>
      <c r="B5576" t="s">
        <v>12263</v>
      </c>
      <c r="C5576" t="s">
        <v>362</v>
      </c>
      <c r="D5576" t="s">
        <v>363</v>
      </c>
      <c r="G5576" t="s">
        <v>16</v>
      </c>
      <c r="H5576">
        <v>0</v>
      </c>
      <c r="I5576" s="2" t="s">
        <v>685</v>
      </c>
      <c r="J5576" s="2" t="str">
        <f>"0986478081"</f>
        <v>0986478081</v>
      </c>
      <c r="K5576">
        <v>20</v>
      </c>
      <c r="L5576">
        <v>20</v>
      </c>
      <c r="M5576">
        <v>20</v>
      </c>
    </row>
    <row r="5577" spans="1:13" x14ac:dyDescent="0.25">
      <c r="A5577" t="s">
        <v>12264</v>
      </c>
      <c r="B5577" t="s">
        <v>12263</v>
      </c>
      <c r="C5577" t="s">
        <v>362</v>
      </c>
      <c r="D5577" t="s">
        <v>363</v>
      </c>
      <c r="F5577">
        <v>1</v>
      </c>
      <c r="G5577" t="s">
        <v>16</v>
      </c>
      <c r="H5577">
        <v>0</v>
      </c>
      <c r="I5577" s="2" t="s">
        <v>707</v>
      </c>
      <c r="J5577" s="2" t="s">
        <v>12265</v>
      </c>
      <c r="K5577">
        <v>20</v>
      </c>
      <c r="L5577">
        <v>20</v>
      </c>
      <c r="M5577">
        <v>20</v>
      </c>
    </row>
    <row r="5578" spans="1:13" x14ac:dyDescent="0.25">
      <c r="A5578" t="s">
        <v>12266</v>
      </c>
      <c r="B5578" t="s">
        <v>12268</v>
      </c>
      <c r="C5578" t="s">
        <v>362</v>
      </c>
      <c r="D5578" t="s">
        <v>363</v>
      </c>
      <c r="F5578">
        <v>2</v>
      </c>
      <c r="G5578" t="s">
        <v>16</v>
      </c>
      <c r="H5578">
        <v>0</v>
      </c>
      <c r="I5578" s="2" t="s">
        <v>765</v>
      </c>
      <c r="J5578" s="2" t="s">
        <v>12267</v>
      </c>
      <c r="K5578">
        <v>20</v>
      </c>
      <c r="L5578">
        <v>20</v>
      </c>
      <c r="M5578">
        <v>20</v>
      </c>
    </row>
    <row r="5579" spans="1:13" x14ac:dyDescent="0.25">
      <c r="A5579" t="s">
        <v>12269</v>
      </c>
      <c r="B5579" t="s">
        <v>12270</v>
      </c>
      <c r="C5579" t="s">
        <v>362</v>
      </c>
      <c r="D5579" t="s">
        <v>363</v>
      </c>
      <c r="G5579" t="s">
        <v>16</v>
      </c>
      <c r="H5579">
        <v>0</v>
      </c>
      <c r="I5579" s="2" t="s">
        <v>2533</v>
      </c>
      <c r="J5579" s="2" t="s">
        <v>12271</v>
      </c>
      <c r="K5579">
        <v>20</v>
      </c>
      <c r="L5579">
        <v>20</v>
      </c>
      <c r="M5579">
        <v>20</v>
      </c>
    </row>
    <row r="5580" spans="1:13" x14ac:dyDescent="0.25">
      <c r="A5580" t="s">
        <v>12272</v>
      </c>
      <c r="B5580" t="s">
        <v>12273</v>
      </c>
      <c r="C5580" t="s">
        <v>362</v>
      </c>
      <c r="D5580" t="s">
        <v>363</v>
      </c>
      <c r="G5580" t="s">
        <v>16</v>
      </c>
      <c r="H5580">
        <v>0</v>
      </c>
      <c r="I5580" s="2" t="s">
        <v>941</v>
      </c>
      <c r="J5580" s="2" t="s">
        <v>12274</v>
      </c>
      <c r="K5580">
        <v>20</v>
      </c>
      <c r="L5580">
        <v>20</v>
      </c>
      <c r="M5580">
        <v>20</v>
      </c>
    </row>
    <row r="5581" spans="1:13" x14ac:dyDescent="0.25">
      <c r="A5581" t="s">
        <v>12275</v>
      </c>
      <c r="B5581" t="s">
        <v>12276</v>
      </c>
      <c r="C5581" t="s">
        <v>362</v>
      </c>
      <c r="D5581" t="s">
        <v>363</v>
      </c>
      <c r="G5581" t="s">
        <v>16</v>
      </c>
      <c r="H5581">
        <v>0</v>
      </c>
      <c r="I5581" s="2" t="s">
        <v>6509</v>
      </c>
      <c r="J5581" s="2" t="s">
        <v>12277</v>
      </c>
      <c r="K5581">
        <v>20</v>
      </c>
      <c r="L5581">
        <v>20</v>
      </c>
      <c r="M5581">
        <v>20</v>
      </c>
    </row>
    <row r="5582" spans="1:13" x14ac:dyDescent="0.25">
      <c r="A5582" t="s">
        <v>12278</v>
      </c>
      <c r="B5582" t="s">
        <v>12270</v>
      </c>
      <c r="C5582" t="s">
        <v>362</v>
      </c>
      <c r="D5582" t="s">
        <v>363</v>
      </c>
      <c r="F5582">
        <v>1</v>
      </c>
      <c r="G5582" t="s">
        <v>22</v>
      </c>
      <c r="H5582">
        <v>0</v>
      </c>
      <c r="I5582" s="2" t="s">
        <v>5057</v>
      </c>
      <c r="J5582" s="2" t="s">
        <v>12279</v>
      </c>
      <c r="K5582">
        <v>20</v>
      </c>
      <c r="L5582">
        <v>20</v>
      </c>
      <c r="M5582">
        <v>20</v>
      </c>
    </row>
    <row r="5583" spans="1:13" x14ac:dyDescent="0.25">
      <c r="A5583" t="s">
        <v>12280</v>
      </c>
      <c r="B5583" t="s">
        <v>12281</v>
      </c>
      <c r="C5583" t="s">
        <v>362</v>
      </c>
      <c r="D5583" t="s">
        <v>363</v>
      </c>
      <c r="G5583" t="s">
        <v>16</v>
      </c>
      <c r="H5583">
        <v>0</v>
      </c>
      <c r="I5583" s="2" t="s">
        <v>2533</v>
      </c>
      <c r="J5583" s="2" t="s">
        <v>12282</v>
      </c>
      <c r="K5583">
        <v>20</v>
      </c>
      <c r="L5583">
        <v>20</v>
      </c>
      <c r="M5583">
        <v>20</v>
      </c>
    </row>
    <row r="5584" spans="1:13" x14ac:dyDescent="0.25">
      <c r="A5584" t="s">
        <v>12283</v>
      </c>
      <c r="B5584" t="s">
        <v>12284</v>
      </c>
      <c r="C5584" t="s">
        <v>362</v>
      </c>
      <c r="D5584" t="s">
        <v>363</v>
      </c>
      <c r="G5584" t="s">
        <v>16</v>
      </c>
      <c r="H5584">
        <v>0</v>
      </c>
      <c r="I5584" s="2" t="s">
        <v>383</v>
      </c>
      <c r="J5584" s="2" t="str">
        <f>"0986478535"</f>
        <v>0986478535</v>
      </c>
      <c r="K5584">
        <v>20</v>
      </c>
      <c r="L5584">
        <v>20</v>
      </c>
      <c r="M5584">
        <v>20</v>
      </c>
    </row>
    <row r="5585" spans="1:13" x14ac:dyDescent="0.25">
      <c r="A5585" t="s">
        <v>12285</v>
      </c>
      <c r="B5585" t="s">
        <v>12286</v>
      </c>
      <c r="C5585" t="s">
        <v>362</v>
      </c>
      <c r="D5585" t="s">
        <v>363</v>
      </c>
      <c r="G5585" t="s">
        <v>16</v>
      </c>
      <c r="H5585">
        <v>0</v>
      </c>
      <c r="I5585" s="2" t="s">
        <v>2533</v>
      </c>
      <c r="J5585" s="2" t="s">
        <v>12287</v>
      </c>
      <c r="K5585">
        <v>20</v>
      </c>
      <c r="L5585">
        <v>20</v>
      </c>
      <c r="M5585">
        <v>20</v>
      </c>
    </row>
    <row r="5586" spans="1:13" x14ac:dyDescent="0.25">
      <c r="A5586" t="s">
        <v>12288</v>
      </c>
      <c r="B5586" t="s">
        <v>12289</v>
      </c>
      <c r="C5586" t="s">
        <v>362</v>
      </c>
      <c r="D5586" t="s">
        <v>363</v>
      </c>
      <c r="G5586" t="s">
        <v>16</v>
      </c>
      <c r="H5586">
        <v>0</v>
      </c>
      <c r="I5586" s="2" t="s">
        <v>2533</v>
      </c>
      <c r="J5586" s="2" t="s">
        <v>12290</v>
      </c>
      <c r="K5586">
        <v>20</v>
      </c>
      <c r="L5586">
        <v>20</v>
      </c>
      <c r="M5586">
        <v>20</v>
      </c>
    </row>
    <row r="5587" spans="1:13" x14ac:dyDescent="0.25">
      <c r="A5587" t="s">
        <v>12291</v>
      </c>
      <c r="B5587" t="s">
        <v>12289</v>
      </c>
      <c r="C5587" t="s">
        <v>362</v>
      </c>
      <c r="D5587" t="s">
        <v>363</v>
      </c>
      <c r="G5587" t="s">
        <v>16</v>
      </c>
      <c r="H5587">
        <v>0</v>
      </c>
      <c r="I5587" s="2" t="s">
        <v>685</v>
      </c>
      <c r="J5587" s="2" t="str">
        <f>"0986479R76"</f>
        <v>0986479R76</v>
      </c>
      <c r="K5587">
        <v>20</v>
      </c>
      <c r="L5587">
        <v>20</v>
      </c>
      <c r="M5587">
        <v>20</v>
      </c>
    </row>
    <row r="5588" spans="1:13" x14ac:dyDescent="0.25">
      <c r="A5588" t="s">
        <v>12292</v>
      </c>
      <c r="B5588" t="s">
        <v>12289</v>
      </c>
      <c r="C5588" t="s">
        <v>362</v>
      </c>
      <c r="D5588" t="s">
        <v>363</v>
      </c>
      <c r="G5588" t="s">
        <v>16</v>
      </c>
      <c r="H5588">
        <v>0</v>
      </c>
      <c r="I5588" s="2" t="s">
        <v>941</v>
      </c>
      <c r="J5588" s="2" t="s">
        <v>12293</v>
      </c>
      <c r="K5588">
        <v>20</v>
      </c>
      <c r="L5588">
        <v>20</v>
      </c>
      <c r="M5588">
        <v>20</v>
      </c>
    </row>
    <row r="5589" spans="1:13" x14ac:dyDescent="0.25">
      <c r="A5589" t="s">
        <v>12294</v>
      </c>
      <c r="B5589" t="s">
        <v>12289</v>
      </c>
      <c r="C5589" t="s">
        <v>362</v>
      </c>
      <c r="D5589" t="s">
        <v>363</v>
      </c>
      <c r="F5589">
        <v>1</v>
      </c>
      <c r="G5589" t="s">
        <v>22</v>
      </c>
      <c r="H5589">
        <v>0</v>
      </c>
      <c r="I5589" s="2" t="s">
        <v>5496</v>
      </c>
      <c r="J5589" s="2" t="s">
        <v>12295</v>
      </c>
      <c r="K5589">
        <v>20</v>
      </c>
      <c r="L5589">
        <v>20</v>
      </c>
      <c r="M5589">
        <v>20</v>
      </c>
    </row>
    <row r="5590" spans="1:13" x14ac:dyDescent="0.25">
      <c r="A5590" t="s">
        <v>12296</v>
      </c>
      <c r="B5590" t="s">
        <v>12289</v>
      </c>
      <c r="C5590" t="s">
        <v>362</v>
      </c>
      <c r="D5590" t="s">
        <v>363</v>
      </c>
      <c r="G5590" t="s">
        <v>16</v>
      </c>
      <c r="H5590">
        <v>0</v>
      </c>
      <c r="I5590" s="2" t="s">
        <v>12297</v>
      </c>
      <c r="J5590" s="2">
        <v>3090038</v>
      </c>
      <c r="K5590">
        <v>20</v>
      </c>
      <c r="L5590">
        <v>20</v>
      </c>
      <c r="M5590">
        <v>20</v>
      </c>
    </row>
    <row r="5591" spans="1:13" x14ac:dyDescent="0.25">
      <c r="A5591" t="s">
        <v>12298</v>
      </c>
      <c r="B5591" t="s">
        <v>12300</v>
      </c>
      <c r="C5591" t="s">
        <v>362</v>
      </c>
      <c r="D5591" t="s">
        <v>363</v>
      </c>
      <c r="F5591">
        <v>6</v>
      </c>
      <c r="G5591" t="s">
        <v>16</v>
      </c>
      <c r="H5591">
        <v>0</v>
      </c>
      <c r="I5591" s="2" t="s">
        <v>765</v>
      </c>
      <c r="J5591" s="2" t="s">
        <v>12299</v>
      </c>
      <c r="K5591">
        <v>20</v>
      </c>
      <c r="L5591">
        <v>20</v>
      </c>
      <c r="M5591">
        <v>20</v>
      </c>
    </row>
    <row r="5592" spans="1:13" x14ac:dyDescent="0.25">
      <c r="A5592" t="s">
        <v>12301</v>
      </c>
      <c r="B5592" t="s">
        <v>12300</v>
      </c>
      <c r="C5592" t="s">
        <v>362</v>
      </c>
      <c r="D5592" t="s">
        <v>363</v>
      </c>
      <c r="F5592">
        <v>6</v>
      </c>
      <c r="G5592" t="s">
        <v>16</v>
      </c>
      <c r="H5592">
        <v>0</v>
      </c>
      <c r="I5592" s="2" t="s">
        <v>2517</v>
      </c>
      <c r="J5592" s="2" t="s">
        <v>12302</v>
      </c>
      <c r="K5592">
        <v>20</v>
      </c>
      <c r="L5592">
        <v>20</v>
      </c>
      <c r="M5592">
        <v>20</v>
      </c>
    </row>
    <row r="5593" spans="1:13" x14ac:dyDescent="0.25">
      <c r="A5593" t="s">
        <v>12303</v>
      </c>
      <c r="B5593" t="s">
        <v>12304</v>
      </c>
      <c r="C5593" t="s">
        <v>362</v>
      </c>
      <c r="D5593" t="s">
        <v>363</v>
      </c>
      <c r="G5593" t="s">
        <v>16</v>
      </c>
      <c r="H5593">
        <v>0</v>
      </c>
      <c r="I5593" s="2" t="s">
        <v>383</v>
      </c>
      <c r="J5593" s="2" t="str">
        <f>"0986479223"</f>
        <v>0986479223</v>
      </c>
      <c r="K5593">
        <v>20</v>
      </c>
      <c r="L5593">
        <v>20</v>
      </c>
      <c r="M5593">
        <v>20</v>
      </c>
    </row>
    <row r="5594" spans="1:13" x14ac:dyDescent="0.25">
      <c r="A5594" t="s">
        <v>12305</v>
      </c>
      <c r="B5594" t="s">
        <v>12306</v>
      </c>
      <c r="C5594" t="s">
        <v>362</v>
      </c>
      <c r="D5594" t="s">
        <v>363</v>
      </c>
      <c r="F5594">
        <v>6</v>
      </c>
      <c r="G5594" t="s">
        <v>22</v>
      </c>
      <c r="H5594">
        <v>0</v>
      </c>
      <c r="I5594" s="2" t="s">
        <v>941</v>
      </c>
      <c r="J5594" s="2" t="s">
        <v>12307</v>
      </c>
      <c r="K5594">
        <v>20</v>
      </c>
      <c r="L5594">
        <v>20</v>
      </c>
      <c r="M5594">
        <v>20</v>
      </c>
    </row>
    <row r="5595" spans="1:13" x14ac:dyDescent="0.25">
      <c r="A5595" t="s">
        <v>12308</v>
      </c>
      <c r="B5595" t="s">
        <v>12304</v>
      </c>
      <c r="C5595" t="s">
        <v>362</v>
      </c>
      <c r="D5595" t="s">
        <v>363</v>
      </c>
      <c r="F5595">
        <v>1</v>
      </c>
      <c r="G5595" t="s">
        <v>22</v>
      </c>
      <c r="H5595">
        <v>0</v>
      </c>
      <c r="I5595" s="2" t="s">
        <v>5496</v>
      </c>
      <c r="J5595" s="2" t="s">
        <v>12309</v>
      </c>
      <c r="K5595">
        <v>20</v>
      </c>
      <c r="L5595">
        <v>20</v>
      </c>
      <c r="M5595">
        <v>20</v>
      </c>
    </row>
    <row r="5596" spans="1:13" x14ac:dyDescent="0.25">
      <c r="A5596" t="s">
        <v>12310</v>
      </c>
      <c r="B5596" t="s">
        <v>12300</v>
      </c>
      <c r="C5596" t="s">
        <v>362</v>
      </c>
      <c r="D5596" t="s">
        <v>363</v>
      </c>
      <c r="F5596">
        <v>1</v>
      </c>
      <c r="G5596" t="s">
        <v>22</v>
      </c>
      <c r="H5596">
        <v>0</v>
      </c>
      <c r="I5596" s="2" t="s">
        <v>266</v>
      </c>
      <c r="J5596" s="2">
        <v>43283</v>
      </c>
      <c r="K5596">
        <v>20</v>
      </c>
      <c r="L5596">
        <v>20</v>
      </c>
      <c r="M5596">
        <v>20</v>
      </c>
    </row>
    <row r="5597" spans="1:13" x14ac:dyDescent="0.25">
      <c r="A5597" t="s">
        <v>12311</v>
      </c>
      <c r="B5597" t="s">
        <v>12313</v>
      </c>
      <c r="C5597" t="s">
        <v>362</v>
      </c>
      <c r="D5597" t="s">
        <v>363</v>
      </c>
      <c r="F5597">
        <v>2</v>
      </c>
      <c r="G5597" t="s">
        <v>16</v>
      </c>
      <c r="H5597">
        <v>0</v>
      </c>
      <c r="I5597" s="2" t="s">
        <v>288</v>
      </c>
      <c r="J5597" s="2" t="s">
        <v>12312</v>
      </c>
      <c r="K5597">
        <v>20</v>
      </c>
      <c r="L5597">
        <v>20</v>
      </c>
      <c r="M5597">
        <v>20</v>
      </c>
    </row>
    <row r="5598" spans="1:13" x14ac:dyDescent="0.25">
      <c r="A5598" t="s">
        <v>12314</v>
      </c>
      <c r="B5598" t="s">
        <v>12313</v>
      </c>
      <c r="C5598" t="s">
        <v>362</v>
      </c>
      <c r="D5598" t="s">
        <v>363</v>
      </c>
      <c r="F5598">
        <v>2</v>
      </c>
      <c r="G5598" t="s">
        <v>16</v>
      </c>
      <c r="H5598">
        <v>0</v>
      </c>
      <c r="I5598" s="2" t="s">
        <v>2517</v>
      </c>
      <c r="J5598" s="2" t="s">
        <v>12315</v>
      </c>
      <c r="K5598">
        <v>20</v>
      </c>
      <c r="L5598">
        <v>20</v>
      </c>
      <c r="M5598">
        <v>20</v>
      </c>
    </row>
    <row r="5599" spans="1:13" x14ac:dyDescent="0.25">
      <c r="A5599" t="s">
        <v>12316</v>
      </c>
      <c r="B5599" t="s">
        <v>12313</v>
      </c>
      <c r="C5599" t="s">
        <v>362</v>
      </c>
      <c r="D5599" t="s">
        <v>363</v>
      </c>
      <c r="F5599">
        <v>4</v>
      </c>
      <c r="G5599" t="s">
        <v>16</v>
      </c>
      <c r="H5599">
        <v>0</v>
      </c>
      <c r="I5599" s="2" t="s">
        <v>685</v>
      </c>
      <c r="J5599" s="2" t="str">
        <f>"0986478883"</f>
        <v>0986478883</v>
      </c>
      <c r="K5599">
        <v>20</v>
      </c>
      <c r="L5599">
        <v>20</v>
      </c>
      <c r="M5599">
        <v>20</v>
      </c>
    </row>
    <row r="5600" spans="1:13" x14ac:dyDescent="0.25">
      <c r="A5600" t="s">
        <v>12317</v>
      </c>
      <c r="B5600" t="s">
        <v>12313</v>
      </c>
      <c r="C5600" t="s">
        <v>362</v>
      </c>
      <c r="D5600" t="s">
        <v>363</v>
      </c>
      <c r="G5600" t="s">
        <v>16</v>
      </c>
      <c r="H5600">
        <v>0</v>
      </c>
      <c r="I5600" s="2" t="s">
        <v>707</v>
      </c>
      <c r="J5600" s="2" t="s">
        <v>12318</v>
      </c>
      <c r="K5600">
        <v>20</v>
      </c>
      <c r="L5600">
        <v>20</v>
      </c>
      <c r="M5600">
        <v>20</v>
      </c>
    </row>
    <row r="5601" spans="1:13" x14ac:dyDescent="0.25">
      <c r="A5601" t="s">
        <v>12319</v>
      </c>
      <c r="B5601" t="s">
        <v>12321</v>
      </c>
      <c r="C5601" t="s">
        <v>362</v>
      </c>
      <c r="D5601" t="s">
        <v>363</v>
      </c>
      <c r="F5601">
        <v>0</v>
      </c>
      <c r="G5601" t="s">
        <v>16</v>
      </c>
      <c r="H5601">
        <v>0</v>
      </c>
      <c r="I5601" s="2" t="s">
        <v>288</v>
      </c>
      <c r="J5601" s="2" t="s">
        <v>12320</v>
      </c>
      <c r="K5601">
        <v>20</v>
      </c>
      <c r="L5601">
        <v>20</v>
      </c>
      <c r="M5601">
        <v>20</v>
      </c>
    </row>
    <row r="5602" spans="1:13" x14ac:dyDescent="0.25">
      <c r="A5602" t="s">
        <v>12322</v>
      </c>
      <c r="B5602" t="s">
        <v>12321</v>
      </c>
      <c r="C5602" t="s">
        <v>362</v>
      </c>
      <c r="D5602" t="s">
        <v>363</v>
      </c>
      <c r="G5602" t="s">
        <v>16</v>
      </c>
      <c r="H5602">
        <v>0</v>
      </c>
      <c r="I5602" s="2" t="s">
        <v>2533</v>
      </c>
      <c r="J5602" s="2" t="s">
        <v>12323</v>
      </c>
      <c r="K5602">
        <v>20</v>
      </c>
      <c r="L5602">
        <v>20</v>
      </c>
      <c r="M5602">
        <v>20</v>
      </c>
    </row>
    <row r="5603" spans="1:13" x14ac:dyDescent="0.25">
      <c r="A5603" t="s">
        <v>12324</v>
      </c>
      <c r="B5603" t="s">
        <v>12321</v>
      </c>
      <c r="C5603" t="s">
        <v>362</v>
      </c>
      <c r="D5603" t="s">
        <v>363</v>
      </c>
      <c r="F5603">
        <v>2</v>
      </c>
      <c r="G5603" t="s">
        <v>16</v>
      </c>
      <c r="H5603">
        <v>0</v>
      </c>
      <c r="I5603" s="2" t="s">
        <v>685</v>
      </c>
      <c r="J5603" s="2" t="str">
        <f>"0986479643"</f>
        <v>0986479643</v>
      </c>
      <c r="K5603">
        <v>20</v>
      </c>
      <c r="L5603">
        <v>20</v>
      </c>
      <c r="M5603">
        <v>20</v>
      </c>
    </row>
    <row r="5604" spans="1:13" x14ac:dyDescent="0.25">
      <c r="A5604" t="s">
        <v>12325</v>
      </c>
      <c r="B5604" t="s">
        <v>12321</v>
      </c>
      <c r="C5604" t="s">
        <v>362</v>
      </c>
      <c r="D5604" t="s">
        <v>363</v>
      </c>
      <c r="F5604">
        <v>0</v>
      </c>
      <c r="G5604" t="s">
        <v>16</v>
      </c>
      <c r="H5604">
        <v>0</v>
      </c>
      <c r="I5604" s="2" t="s">
        <v>941</v>
      </c>
      <c r="J5604" s="2" t="s">
        <v>12326</v>
      </c>
      <c r="K5604">
        <v>20</v>
      </c>
      <c r="L5604">
        <v>20</v>
      </c>
      <c r="M5604">
        <v>20</v>
      </c>
    </row>
    <row r="5605" spans="1:13" x14ac:dyDescent="0.25">
      <c r="A5605" t="s">
        <v>12327</v>
      </c>
      <c r="B5605" t="s">
        <v>12321</v>
      </c>
      <c r="C5605" t="s">
        <v>362</v>
      </c>
      <c r="D5605" t="s">
        <v>363</v>
      </c>
      <c r="F5605">
        <v>0</v>
      </c>
      <c r="G5605" t="s">
        <v>22</v>
      </c>
      <c r="H5605">
        <v>0</v>
      </c>
      <c r="I5605" s="2" t="s">
        <v>64</v>
      </c>
      <c r="J5605" s="2" t="str">
        <f>"07040077"</f>
        <v>07040077</v>
      </c>
      <c r="K5605">
        <v>20</v>
      </c>
      <c r="L5605">
        <v>20</v>
      </c>
      <c r="M5605">
        <v>20</v>
      </c>
    </row>
    <row r="5606" spans="1:13" x14ac:dyDescent="0.25">
      <c r="A5606" t="s">
        <v>12328</v>
      </c>
      <c r="B5606" t="s">
        <v>12321</v>
      </c>
      <c r="C5606" t="s">
        <v>362</v>
      </c>
      <c r="D5606" t="s">
        <v>363</v>
      </c>
      <c r="F5606">
        <v>1</v>
      </c>
      <c r="G5606" t="s">
        <v>22</v>
      </c>
      <c r="H5606">
        <v>0</v>
      </c>
      <c r="I5606" s="2" t="s">
        <v>491</v>
      </c>
      <c r="J5606" s="2">
        <v>360704023100</v>
      </c>
      <c r="K5606">
        <v>20</v>
      </c>
      <c r="L5606">
        <v>20</v>
      </c>
      <c r="M5606">
        <v>20</v>
      </c>
    </row>
    <row r="5607" spans="1:13" x14ac:dyDescent="0.25">
      <c r="A5607" t="s">
        <v>12329</v>
      </c>
      <c r="B5607" t="s">
        <v>12330</v>
      </c>
      <c r="C5607" t="s">
        <v>362</v>
      </c>
      <c r="D5607" t="s">
        <v>363</v>
      </c>
      <c r="G5607" t="s">
        <v>16</v>
      </c>
      <c r="H5607">
        <v>0</v>
      </c>
      <c r="I5607" s="2" t="s">
        <v>2517</v>
      </c>
      <c r="J5607" s="2" t="s">
        <v>12331</v>
      </c>
      <c r="K5607">
        <v>20</v>
      </c>
      <c r="L5607">
        <v>20</v>
      </c>
      <c r="M5607">
        <v>20</v>
      </c>
    </row>
    <row r="5608" spans="1:13" x14ac:dyDescent="0.25">
      <c r="A5608" t="s">
        <v>12332</v>
      </c>
      <c r="B5608" t="s">
        <v>12330</v>
      </c>
      <c r="C5608" t="s">
        <v>362</v>
      </c>
      <c r="D5608" t="s">
        <v>363</v>
      </c>
      <c r="F5608">
        <v>1</v>
      </c>
      <c r="G5608" t="s">
        <v>22</v>
      </c>
      <c r="H5608">
        <v>0</v>
      </c>
      <c r="I5608" s="2" t="s">
        <v>9898</v>
      </c>
      <c r="J5608" s="2" t="s">
        <v>12333</v>
      </c>
      <c r="K5608">
        <v>20</v>
      </c>
      <c r="L5608">
        <v>20</v>
      </c>
      <c r="M5608">
        <v>20</v>
      </c>
    </row>
    <row r="5609" spans="1:13" x14ac:dyDescent="0.25">
      <c r="A5609" t="s">
        <v>12334</v>
      </c>
      <c r="B5609" t="s">
        <v>12330</v>
      </c>
      <c r="C5609" t="s">
        <v>362</v>
      </c>
      <c r="D5609" t="s">
        <v>363</v>
      </c>
      <c r="F5609">
        <v>1</v>
      </c>
      <c r="G5609" t="s">
        <v>22</v>
      </c>
      <c r="H5609">
        <v>0</v>
      </c>
      <c r="I5609" s="2" t="s">
        <v>266</v>
      </c>
      <c r="J5609" s="2">
        <v>43370</v>
      </c>
      <c r="K5609">
        <v>20</v>
      </c>
      <c r="L5609">
        <v>20</v>
      </c>
      <c r="M5609">
        <v>20</v>
      </c>
    </row>
    <row r="5610" spans="1:13" x14ac:dyDescent="0.25">
      <c r="A5610" t="s">
        <v>12335</v>
      </c>
      <c r="B5610" t="s">
        <v>12337</v>
      </c>
      <c r="C5610" t="s">
        <v>362</v>
      </c>
      <c r="D5610" t="s">
        <v>363</v>
      </c>
      <c r="F5610">
        <v>2</v>
      </c>
      <c r="G5610" t="s">
        <v>16</v>
      </c>
      <c r="H5610">
        <v>0</v>
      </c>
      <c r="I5610" s="2" t="s">
        <v>288</v>
      </c>
      <c r="J5610" s="2" t="s">
        <v>12336</v>
      </c>
      <c r="K5610">
        <v>20</v>
      </c>
      <c r="L5610">
        <v>20</v>
      </c>
      <c r="M5610">
        <v>20</v>
      </c>
    </row>
    <row r="5611" spans="1:13" x14ac:dyDescent="0.25">
      <c r="A5611" t="s">
        <v>12338</v>
      </c>
      <c r="B5611" t="s">
        <v>12337</v>
      </c>
      <c r="C5611" t="s">
        <v>362</v>
      </c>
      <c r="D5611" t="s">
        <v>363</v>
      </c>
      <c r="G5611" t="s">
        <v>16</v>
      </c>
      <c r="H5611">
        <v>0</v>
      </c>
      <c r="I5611" s="2" t="s">
        <v>2533</v>
      </c>
      <c r="J5611" s="2" t="s">
        <v>12339</v>
      </c>
      <c r="K5611">
        <v>20</v>
      </c>
      <c r="L5611">
        <v>20</v>
      </c>
      <c r="M5611">
        <v>20</v>
      </c>
    </row>
    <row r="5612" spans="1:13" x14ac:dyDescent="0.25">
      <c r="A5612" t="s">
        <v>12340</v>
      </c>
      <c r="B5612" t="s">
        <v>12342</v>
      </c>
      <c r="C5612" t="s">
        <v>362</v>
      </c>
      <c r="D5612" t="s">
        <v>363</v>
      </c>
      <c r="F5612">
        <v>2</v>
      </c>
      <c r="G5612" t="s">
        <v>16</v>
      </c>
      <c r="H5612">
        <v>0</v>
      </c>
      <c r="I5612" s="2" t="s">
        <v>288</v>
      </c>
      <c r="J5612" s="2" t="s">
        <v>12341</v>
      </c>
      <c r="K5612">
        <v>20</v>
      </c>
      <c r="L5612">
        <v>20</v>
      </c>
      <c r="M5612">
        <v>20</v>
      </c>
    </row>
    <row r="5613" spans="1:13" x14ac:dyDescent="0.25">
      <c r="A5613" t="s">
        <v>12343</v>
      </c>
      <c r="B5613" t="s">
        <v>12342</v>
      </c>
      <c r="C5613" t="s">
        <v>362</v>
      </c>
      <c r="D5613" t="s">
        <v>363</v>
      </c>
      <c r="G5613" t="s">
        <v>16</v>
      </c>
      <c r="H5613">
        <v>0</v>
      </c>
      <c r="I5613" s="2" t="s">
        <v>2533</v>
      </c>
      <c r="J5613" s="2" t="s">
        <v>12344</v>
      </c>
      <c r="K5613">
        <v>20</v>
      </c>
      <c r="L5613">
        <v>20</v>
      </c>
      <c r="M5613">
        <v>20</v>
      </c>
    </row>
    <row r="5614" spans="1:13" x14ac:dyDescent="0.25">
      <c r="A5614" t="s">
        <v>12345</v>
      </c>
      <c r="B5614" t="s">
        <v>12342</v>
      </c>
      <c r="C5614" t="s">
        <v>362</v>
      </c>
      <c r="D5614" t="s">
        <v>363</v>
      </c>
      <c r="F5614">
        <v>2</v>
      </c>
      <c r="G5614" t="s">
        <v>16</v>
      </c>
      <c r="H5614">
        <v>0</v>
      </c>
      <c r="I5614" s="2" t="s">
        <v>383</v>
      </c>
      <c r="J5614" s="2" t="str">
        <f>"0986479C56"</f>
        <v>0986479C56</v>
      </c>
      <c r="K5614">
        <v>20</v>
      </c>
      <c r="L5614">
        <v>20</v>
      </c>
      <c r="M5614">
        <v>20</v>
      </c>
    </row>
    <row r="5615" spans="1:13" x14ac:dyDescent="0.25">
      <c r="A5615" t="s">
        <v>12346</v>
      </c>
      <c r="B5615" t="s">
        <v>12342</v>
      </c>
      <c r="C5615" t="s">
        <v>362</v>
      </c>
      <c r="D5615" t="s">
        <v>363</v>
      </c>
      <c r="G5615" t="s">
        <v>16</v>
      </c>
      <c r="H5615">
        <v>0</v>
      </c>
      <c r="I5615" s="2" t="s">
        <v>707</v>
      </c>
      <c r="J5615" s="2" t="s">
        <v>12347</v>
      </c>
      <c r="K5615">
        <v>20</v>
      </c>
      <c r="L5615">
        <v>20</v>
      </c>
      <c r="M5615">
        <v>20</v>
      </c>
    </row>
    <row r="5616" spans="1:13" x14ac:dyDescent="0.25">
      <c r="A5616" t="s">
        <v>12348</v>
      </c>
      <c r="B5616" t="s">
        <v>12342</v>
      </c>
      <c r="C5616" t="s">
        <v>362</v>
      </c>
      <c r="D5616" t="s">
        <v>363</v>
      </c>
      <c r="F5616">
        <v>1</v>
      </c>
      <c r="G5616" t="s">
        <v>22</v>
      </c>
      <c r="H5616">
        <v>0</v>
      </c>
      <c r="I5616" s="2" t="s">
        <v>6299</v>
      </c>
      <c r="J5616" s="2">
        <v>2105</v>
      </c>
      <c r="K5616">
        <v>20</v>
      </c>
      <c r="L5616">
        <v>20</v>
      </c>
      <c r="M5616">
        <v>20</v>
      </c>
    </row>
    <row r="5617" spans="1:13" x14ac:dyDescent="0.25">
      <c r="A5617" t="s">
        <v>12349</v>
      </c>
      <c r="B5617" t="s">
        <v>12350</v>
      </c>
      <c r="C5617" t="s">
        <v>362</v>
      </c>
      <c r="D5617" t="s">
        <v>363</v>
      </c>
      <c r="F5617">
        <v>2</v>
      </c>
      <c r="G5617" t="s">
        <v>16</v>
      </c>
      <c r="H5617">
        <v>0</v>
      </c>
      <c r="I5617" s="2" t="s">
        <v>2533</v>
      </c>
      <c r="J5617" s="2" t="s">
        <v>12351</v>
      </c>
      <c r="K5617">
        <v>20</v>
      </c>
      <c r="L5617">
        <v>20</v>
      </c>
      <c r="M5617">
        <v>20</v>
      </c>
    </row>
    <row r="5618" spans="1:13" x14ac:dyDescent="0.25">
      <c r="A5618" t="s">
        <v>12352</v>
      </c>
      <c r="B5618" t="s">
        <v>12354</v>
      </c>
      <c r="C5618" t="s">
        <v>362</v>
      </c>
      <c r="D5618" t="s">
        <v>363</v>
      </c>
      <c r="F5618">
        <v>2</v>
      </c>
      <c r="G5618" t="s">
        <v>16</v>
      </c>
      <c r="H5618">
        <v>0</v>
      </c>
      <c r="I5618" s="2" t="s">
        <v>288</v>
      </c>
      <c r="J5618" s="2" t="s">
        <v>12353</v>
      </c>
      <c r="K5618">
        <v>20</v>
      </c>
      <c r="L5618">
        <v>20</v>
      </c>
      <c r="M5618">
        <v>20</v>
      </c>
    </row>
    <row r="5619" spans="1:13" x14ac:dyDescent="0.25">
      <c r="A5619" t="s">
        <v>12355</v>
      </c>
      <c r="B5619" t="s">
        <v>12354</v>
      </c>
      <c r="C5619" t="s">
        <v>362</v>
      </c>
      <c r="D5619" t="s">
        <v>363</v>
      </c>
      <c r="F5619">
        <v>1</v>
      </c>
      <c r="G5619" t="s">
        <v>22</v>
      </c>
      <c r="H5619">
        <v>0</v>
      </c>
      <c r="I5619" s="2" t="s">
        <v>64</v>
      </c>
      <c r="J5619" s="2" t="str">
        <f>"07040347"</f>
        <v>07040347</v>
      </c>
      <c r="K5619">
        <v>20</v>
      </c>
      <c r="L5619">
        <v>20</v>
      </c>
      <c r="M5619">
        <v>20</v>
      </c>
    </row>
    <row r="5620" spans="1:13" x14ac:dyDescent="0.25">
      <c r="A5620" t="s">
        <v>12356</v>
      </c>
      <c r="B5620" t="s">
        <v>12358</v>
      </c>
      <c r="C5620" t="s">
        <v>362</v>
      </c>
      <c r="D5620" t="s">
        <v>363</v>
      </c>
      <c r="G5620" t="s">
        <v>16</v>
      </c>
      <c r="H5620">
        <v>0</v>
      </c>
      <c r="I5620" s="2" t="s">
        <v>288</v>
      </c>
      <c r="J5620" s="2" t="s">
        <v>12357</v>
      </c>
      <c r="K5620">
        <v>20</v>
      </c>
      <c r="L5620">
        <v>20</v>
      </c>
      <c r="M5620">
        <v>20</v>
      </c>
    </row>
    <row r="5621" spans="1:13" x14ac:dyDescent="0.25">
      <c r="A5621" t="s">
        <v>12359</v>
      </c>
      <c r="B5621" t="s">
        <v>12358</v>
      </c>
      <c r="C5621" t="s">
        <v>362</v>
      </c>
      <c r="D5621" t="s">
        <v>363</v>
      </c>
      <c r="G5621" t="s">
        <v>16</v>
      </c>
      <c r="H5621">
        <v>0</v>
      </c>
      <c r="I5621" s="2" t="s">
        <v>2517</v>
      </c>
      <c r="J5621" s="2" t="s">
        <v>12360</v>
      </c>
      <c r="K5621">
        <v>20</v>
      </c>
      <c r="L5621">
        <v>20</v>
      </c>
      <c r="M5621">
        <v>20</v>
      </c>
    </row>
    <row r="5622" spans="1:13" x14ac:dyDescent="0.25">
      <c r="A5622" t="s">
        <v>12361</v>
      </c>
      <c r="B5622" t="s">
        <v>12358</v>
      </c>
      <c r="C5622" t="s">
        <v>362</v>
      </c>
      <c r="D5622" t="s">
        <v>363</v>
      </c>
      <c r="G5622" t="s">
        <v>16</v>
      </c>
      <c r="H5622">
        <v>0</v>
      </c>
      <c r="I5622" s="2" t="s">
        <v>941</v>
      </c>
      <c r="J5622" s="2" t="s">
        <v>12362</v>
      </c>
      <c r="K5622">
        <v>20</v>
      </c>
      <c r="L5622">
        <v>20</v>
      </c>
      <c r="M5622">
        <v>20</v>
      </c>
    </row>
    <row r="5623" spans="1:13" x14ac:dyDescent="0.25">
      <c r="A5623" t="s">
        <v>12363</v>
      </c>
      <c r="B5623" t="s">
        <v>12358</v>
      </c>
      <c r="C5623" t="s">
        <v>362</v>
      </c>
      <c r="D5623" t="s">
        <v>363</v>
      </c>
      <c r="F5623">
        <v>2</v>
      </c>
      <c r="G5623" t="s">
        <v>22</v>
      </c>
      <c r="H5623">
        <v>0</v>
      </c>
      <c r="I5623" s="2" t="s">
        <v>5496</v>
      </c>
      <c r="J5623" s="2" t="s">
        <v>12364</v>
      </c>
      <c r="K5623">
        <v>20</v>
      </c>
      <c r="L5623">
        <v>20</v>
      </c>
      <c r="M5623">
        <v>20</v>
      </c>
    </row>
    <row r="5624" spans="1:13" x14ac:dyDescent="0.25">
      <c r="A5624" t="s">
        <v>12365</v>
      </c>
      <c r="B5624" t="s">
        <v>12366</v>
      </c>
      <c r="C5624" t="s">
        <v>362</v>
      </c>
      <c r="D5624" t="s">
        <v>363</v>
      </c>
      <c r="F5624">
        <v>2</v>
      </c>
      <c r="G5624" t="s">
        <v>16</v>
      </c>
      <c r="H5624">
        <v>0</v>
      </c>
      <c r="I5624" s="2" t="s">
        <v>2517</v>
      </c>
      <c r="J5624" s="2" t="s">
        <v>12367</v>
      </c>
      <c r="K5624">
        <v>20</v>
      </c>
      <c r="L5624">
        <v>20</v>
      </c>
      <c r="M5624">
        <v>20</v>
      </c>
    </row>
    <row r="5625" spans="1:13" x14ac:dyDescent="0.25">
      <c r="A5625" t="s">
        <v>12368</v>
      </c>
      <c r="B5625" t="s">
        <v>12369</v>
      </c>
      <c r="C5625" t="s">
        <v>362</v>
      </c>
      <c r="D5625" t="s">
        <v>363</v>
      </c>
      <c r="F5625">
        <v>-2</v>
      </c>
      <c r="G5625" t="s">
        <v>16</v>
      </c>
      <c r="H5625">
        <v>0</v>
      </c>
      <c r="I5625" s="2" t="s">
        <v>2517</v>
      </c>
      <c r="J5625" s="2" t="s">
        <v>12370</v>
      </c>
      <c r="K5625">
        <v>20</v>
      </c>
      <c r="L5625">
        <v>20</v>
      </c>
      <c r="M5625">
        <v>20</v>
      </c>
    </row>
    <row r="5626" spans="1:13" x14ac:dyDescent="0.25">
      <c r="A5626" t="s">
        <v>12371</v>
      </c>
      <c r="B5626" t="s">
        <v>12369</v>
      </c>
      <c r="C5626" t="s">
        <v>362</v>
      </c>
      <c r="D5626" t="s">
        <v>363</v>
      </c>
      <c r="F5626">
        <v>4</v>
      </c>
      <c r="G5626" t="s">
        <v>16</v>
      </c>
      <c r="H5626">
        <v>0</v>
      </c>
      <c r="I5626" s="2" t="s">
        <v>685</v>
      </c>
      <c r="J5626" s="2" t="str">
        <f>"0986479191"</f>
        <v>0986479191</v>
      </c>
      <c r="K5626">
        <v>20</v>
      </c>
      <c r="L5626">
        <v>20</v>
      </c>
      <c r="M5626">
        <v>20</v>
      </c>
    </row>
    <row r="5627" spans="1:13" x14ac:dyDescent="0.25">
      <c r="A5627" t="s">
        <v>12372</v>
      </c>
      <c r="B5627" t="s">
        <v>12373</v>
      </c>
      <c r="C5627" t="s">
        <v>362</v>
      </c>
      <c r="D5627" t="s">
        <v>363</v>
      </c>
      <c r="G5627" t="s">
        <v>16</v>
      </c>
      <c r="H5627">
        <v>0</v>
      </c>
      <c r="I5627" s="2" t="s">
        <v>2517</v>
      </c>
      <c r="J5627" s="2" t="s">
        <v>12374</v>
      </c>
      <c r="K5627">
        <v>20</v>
      </c>
      <c r="L5627">
        <v>20</v>
      </c>
      <c r="M5627">
        <v>20</v>
      </c>
    </row>
    <row r="5628" spans="1:13" x14ac:dyDescent="0.25">
      <c r="A5628" t="s">
        <v>12375</v>
      </c>
      <c r="B5628" t="s">
        <v>12376</v>
      </c>
      <c r="C5628" t="s">
        <v>362</v>
      </c>
      <c r="D5628" t="s">
        <v>363</v>
      </c>
      <c r="F5628">
        <v>3</v>
      </c>
      <c r="G5628" t="s">
        <v>22</v>
      </c>
      <c r="H5628">
        <v>0</v>
      </c>
      <c r="I5628" s="2" t="s">
        <v>941</v>
      </c>
      <c r="J5628" s="2" t="s">
        <v>12377</v>
      </c>
      <c r="K5628">
        <v>20</v>
      </c>
      <c r="L5628">
        <v>20</v>
      </c>
      <c r="M5628">
        <v>20</v>
      </c>
    </row>
    <row r="5629" spans="1:13" x14ac:dyDescent="0.25">
      <c r="A5629" t="s">
        <v>12378</v>
      </c>
      <c r="B5629" t="s">
        <v>12379</v>
      </c>
      <c r="C5629" t="s">
        <v>362</v>
      </c>
      <c r="D5629" t="s">
        <v>363</v>
      </c>
      <c r="F5629">
        <v>4</v>
      </c>
      <c r="G5629" t="s">
        <v>16</v>
      </c>
      <c r="H5629">
        <v>0</v>
      </c>
      <c r="I5629" s="2" t="s">
        <v>2533</v>
      </c>
      <c r="J5629" s="2" t="s">
        <v>12380</v>
      </c>
      <c r="K5629">
        <v>20</v>
      </c>
      <c r="L5629">
        <v>20</v>
      </c>
      <c r="M5629">
        <v>20</v>
      </c>
    </row>
    <row r="5630" spans="1:13" x14ac:dyDescent="0.25">
      <c r="A5630" t="s">
        <v>12381</v>
      </c>
      <c r="B5630" t="s">
        <v>12382</v>
      </c>
      <c r="C5630" t="s">
        <v>362</v>
      </c>
      <c r="D5630" t="s">
        <v>363</v>
      </c>
      <c r="F5630">
        <v>-2</v>
      </c>
      <c r="G5630" t="s">
        <v>16</v>
      </c>
      <c r="H5630">
        <v>0</v>
      </c>
      <c r="I5630" s="2" t="s">
        <v>2533</v>
      </c>
      <c r="J5630" s="2" t="s">
        <v>12383</v>
      </c>
      <c r="K5630">
        <v>20</v>
      </c>
      <c r="L5630">
        <v>20</v>
      </c>
      <c r="M5630">
        <v>20</v>
      </c>
    </row>
    <row r="5631" spans="1:13" x14ac:dyDescent="0.25">
      <c r="A5631" t="s">
        <v>12384</v>
      </c>
      <c r="B5631" t="s">
        <v>12385</v>
      </c>
      <c r="C5631" t="s">
        <v>362</v>
      </c>
      <c r="D5631" t="s">
        <v>363</v>
      </c>
      <c r="G5631" t="s">
        <v>16</v>
      </c>
      <c r="H5631">
        <v>0</v>
      </c>
      <c r="I5631" s="2" t="s">
        <v>2517</v>
      </c>
      <c r="J5631" s="2">
        <v>50212</v>
      </c>
      <c r="K5631">
        <v>20</v>
      </c>
      <c r="L5631">
        <v>20</v>
      </c>
      <c r="M5631">
        <v>20</v>
      </c>
    </row>
    <row r="5632" spans="1:13" x14ac:dyDescent="0.25">
      <c r="A5632" t="s">
        <v>12386</v>
      </c>
      <c r="B5632" t="s">
        <v>12387</v>
      </c>
      <c r="C5632" t="s">
        <v>362</v>
      </c>
      <c r="D5632" t="s">
        <v>363</v>
      </c>
      <c r="G5632" t="s">
        <v>16</v>
      </c>
      <c r="H5632">
        <v>0</v>
      </c>
      <c r="I5632" s="2" t="s">
        <v>941</v>
      </c>
      <c r="J5632" s="2" t="s">
        <v>12388</v>
      </c>
      <c r="K5632">
        <v>20</v>
      </c>
      <c r="L5632">
        <v>20</v>
      </c>
      <c r="M5632">
        <v>20</v>
      </c>
    </row>
    <row r="5633" spans="1:13" x14ac:dyDescent="0.25">
      <c r="A5633" t="s">
        <v>12389</v>
      </c>
      <c r="B5633" t="s">
        <v>12390</v>
      </c>
      <c r="C5633" t="s">
        <v>362</v>
      </c>
      <c r="D5633" t="s">
        <v>363</v>
      </c>
      <c r="G5633" t="s">
        <v>16</v>
      </c>
      <c r="H5633">
        <v>0</v>
      </c>
      <c r="I5633" s="2" t="s">
        <v>491</v>
      </c>
      <c r="J5633" s="2">
        <v>360704016400</v>
      </c>
      <c r="K5633">
        <v>20</v>
      </c>
      <c r="L5633">
        <v>20</v>
      </c>
      <c r="M5633">
        <v>20</v>
      </c>
    </row>
    <row r="5634" spans="1:13" x14ac:dyDescent="0.25">
      <c r="A5634" t="s">
        <v>12391</v>
      </c>
      <c r="B5634" t="s">
        <v>12392</v>
      </c>
      <c r="C5634" t="s">
        <v>151</v>
      </c>
      <c r="F5634">
        <v>0</v>
      </c>
      <c r="G5634" t="s">
        <v>16</v>
      </c>
      <c r="H5634">
        <v>0</v>
      </c>
      <c r="I5634" s="2" t="s">
        <v>854</v>
      </c>
      <c r="J5634" s="2">
        <v>439692</v>
      </c>
      <c r="K5634">
        <v>20</v>
      </c>
      <c r="L5634">
        <v>20</v>
      </c>
      <c r="M5634">
        <v>20</v>
      </c>
    </row>
    <row r="5635" spans="1:13" x14ac:dyDescent="0.25">
      <c r="A5635" t="s">
        <v>12393</v>
      </c>
      <c r="B5635" t="s">
        <v>12394</v>
      </c>
      <c r="C5635" t="s">
        <v>151</v>
      </c>
      <c r="F5635">
        <v>1</v>
      </c>
      <c r="G5635" t="s">
        <v>16</v>
      </c>
      <c r="H5635">
        <v>0</v>
      </c>
      <c r="I5635" s="2" t="s">
        <v>64</v>
      </c>
      <c r="J5635" s="2">
        <v>11020092</v>
      </c>
      <c r="K5635">
        <v>20</v>
      </c>
      <c r="L5635">
        <v>20</v>
      </c>
      <c r="M5635">
        <v>20</v>
      </c>
    </row>
    <row r="5636" spans="1:13" x14ac:dyDescent="0.25">
      <c r="A5636" t="s">
        <v>12395</v>
      </c>
      <c r="B5636" t="s">
        <v>12396</v>
      </c>
      <c r="C5636" t="s">
        <v>1432</v>
      </c>
      <c r="F5636">
        <v>2</v>
      </c>
      <c r="G5636" t="s">
        <v>16</v>
      </c>
      <c r="H5636">
        <v>0</v>
      </c>
      <c r="I5636" s="2" t="s">
        <v>1175</v>
      </c>
      <c r="J5636" s="2" t="s">
        <v>12397</v>
      </c>
      <c r="K5636">
        <v>20</v>
      </c>
      <c r="L5636">
        <v>20</v>
      </c>
      <c r="M5636">
        <v>20</v>
      </c>
    </row>
    <row r="5637" spans="1:13" x14ac:dyDescent="0.25">
      <c r="A5637" t="s">
        <v>12398</v>
      </c>
      <c r="B5637" t="s">
        <v>12399</v>
      </c>
      <c r="C5637" t="s">
        <v>1432</v>
      </c>
      <c r="F5637">
        <v>2</v>
      </c>
      <c r="G5637" t="s">
        <v>16</v>
      </c>
      <c r="H5637">
        <v>0</v>
      </c>
      <c r="I5637" s="2" t="s">
        <v>1175</v>
      </c>
      <c r="J5637" s="2" t="s">
        <v>12400</v>
      </c>
      <c r="K5637">
        <v>20</v>
      </c>
      <c r="L5637">
        <v>20</v>
      </c>
      <c r="M5637">
        <v>20</v>
      </c>
    </row>
    <row r="5638" spans="1:13" x14ac:dyDescent="0.25">
      <c r="A5638" t="s">
        <v>12401</v>
      </c>
      <c r="B5638" t="s">
        <v>12402</v>
      </c>
      <c r="C5638" t="s">
        <v>1432</v>
      </c>
      <c r="F5638">
        <v>2</v>
      </c>
      <c r="G5638" t="s">
        <v>16</v>
      </c>
      <c r="H5638">
        <v>0</v>
      </c>
      <c r="I5638" s="2" t="s">
        <v>2542</v>
      </c>
      <c r="J5638" s="2" t="s">
        <v>12403</v>
      </c>
      <c r="K5638">
        <v>20</v>
      </c>
      <c r="L5638">
        <v>20</v>
      </c>
      <c r="M5638">
        <v>20</v>
      </c>
    </row>
    <row r="5639" spans="1:13" x14ac:dyDescent="0.25">
      <c r="A5639" t="s">
        <v>12404</v>
      </c>
      <c r="B5639" t="s">
        <v>12405</v>
      </c>
      <c r="C5639" t="s">
        <v>1432</v>
      </c>
      <c r="F5639">
        <v>5</v>
      </c>
      <c r="G5639" t="s">
        <v>16</v>
      </c>
      <c r="H5639">
        <v>0</v>
      </c>
      <c r="I5639" s="2" t="s">
        <v>1175</v>
      </c>
      <c r="J5639" s="2" t="s">
        <v>12406</v>
      </c>
      <c r="K5639">
        <v>20</v>
      </c>
      <c r="L5639">
        <v>20</v>
      </c>
      <c r="M5639">
        <v>20</v>
      </c>
    </row>
    <row r="5640" spans="1:13" x14ac:dyDescent="0.25">
      <c r="A5640" t="s">
        <v>12407</v>
      </c>
      <c r="B5640" t="s">
        <v>12408</v>
      </c>
      <c r="C5640" t="s">
        <v>1426</v>
      </c>
      <c r="F5640">
        <v>2</v>
      </c>
      <c r="G5640" t="s">
        <v>16</v>
      </c>
      <c r="H5640">
        <v>0</v>
      </c>
      <c r="I5640" s="2" t="s">
        <v>759</v>
      </c>
      <c r="J5640" s="2" t="s">
        <v>12409</v>
      </c>
      <c r="K5640">
        <v>20</v>
      </c>
      <c r="L5640">
        <v>20</v>
      </c>
      <c r="M5640">
        <v>20</v>
      </c>
    </row>
    <row r="5641" spans="1:13" x14ac:dyDescent="0.25">
      <c r="A5641" t="s">
        <v>12410</v>
      </c>
      <c r="B5641" t="s">
        <v>12405</v>
      </c>
      <c r="C5641" t="s">
        <v>1432</v>
      </c>
      <c r="G5641" t="s">
        <v>16</v>
      </c>
      <c r="H5641">
        <v>0</v>
      </c>
      <c r="K5641">
        <v>20</v>
      </c>
      <c r="L5641">
        <v>20</v>
      </c>
      <c r="M5641">
        <v>20</v>
      </c>
    </row>
    <row r="5642" spans="1:13" x14ac:dyDescent="0.25">
      <c r="A5642" t="s">
        <v>12411</v>
      </c>
      <c r="B5642" t="s">
        <v>12412</v>
      </c>
      <c r="C5642" t="s">
        <v>1432</v>
      </c>
      <c r="F5642">
        <v>2</v>
      </c>
      <c r="G5642" t="s">
        <v>16</v>
      </c>
      <c r="H5642">
        <v>0</v>
      </c>
      <c r="I5642" s="2" t="s">
        <v>142</v>
      </c>
      <c r="J5642" s="2" t="s">
        <v>12413</v>
      </c>
      <c r="K5642">
        <v>20</v>
      </c>
      <c r="L5642">
        <v>20</v>
      </c>
      <c r="M5642">
        <v>20</v>
      </c>
    </row>
    <row r="5643" spans="1:13" x14ac:dyDescent="0.25">
      <c r="A5643" t="s">
        <v>12414</v>
      </c>
      <c r="B5643" t="s">
        <v>12415</v>
      </c>
      <c r="C5643" t="s">
        <v>1432</v>
      </c>
      <c r="F5643">
        <v>6</v>
      </c>
      <c r="G5643" t="s">
        <v>16</v>
      </c>
      <c r="H5643">
        <v>0</v>
      </c>
      <c r="I5643" s="2" t="s">
        <v>142</v>
      </c>
      <c r="J5643" s="2" t="s">
        <v>12416</v>
      </c>
      <c r="K5643">
        <v>20</v>
      </c>
      <c r="L5643">
        <v>20</v>
      </c>
      <c r="M5643">
        <v>20</v>
      </c>
    </row>
    <row r="5644" spans="1:13" x14ac:dyDescent="0.25">
      <c r="A5644" t="s">
        <v>12417</v>
      </c>
      <c r="B5644" t="s">
        <v>12418</v>
      </c>
      <c r="C5644" t="s">
        <v>1426</v>
      </c>
      <c r="F5644">
        <v>5</v>
      </c>
      <c r="G5644" t="s">
        <v>16</v>
      </c>
      <c r="H5644">
        <v>0</v>
      </c>
      <c r="I5644" s="2" t="s">
        <v>591</v>
      </c>
      <c r="J5644" s="2">
        <v>220613</v>
      </c>
      <c r="K5644">
        <v>20</v>
      </c>
      <c r="L5644">
        <v>20</v>
      </c>
      <c r="M5644">
        <v>20</v>
      </c>
    </row>
    <row r="5645" spans="1:13" x14ac:dyDescent="0.25">
      <c r="A5645" t="s">
        <v>12419</v>
      </c>
      <c r="B5645" t="s">
        <v>12420</v>
      </c>
      <c r="C5645" t="s">
        <v>1432</v>
      </c>
      <c r="F5645">
        <v>1</v>
      </c>
      <c r="G5645" t="s">
        <v>16</v>
      </c>
      <c r="H5645">
        <v>0</v>
      </c>
      <c r="I5645" s="2" t="s">
        <v>64</v>
      </c>
      <c r="J5645" s="2">
        <v>21030316</v>
      </c>
      <c r="K5645">
        <v>20</v>
      </c>
      <c r="L5645">
        <v>20</v>
      </c>
      <c r="M5645">
        <v>20</v>
      </c>
    </row>
    <row r="5646" spans="1:13" x14ac:dyDescent="0.25">
      <c r="A5646" t="s">
        <v>12421</v>
      </c>
      <c r="B5646" t="s">
        <v>12415</v>
      </c>
      <c r="G5646" t="s">
        <v>16</v>
      </c>
      <c r="H5646">
        <v>0</v>
      </c>
      <c r="K5646">
        <v>20</v>
      </c>
      <c r="L5646">
        <v>20</v>
      </c>
      <c r="M5646">
        <v>20</v>
      </c>
    </row>
    <row r="5647" spans="1:13" x14ac:dyDescent="0.25">
      <c r="A5647" t="s">
        <v>12422</v>
      </c>
      <c r="B5647" t="s">
        <v>12423</v>
      </c>
      <c r="C5647" t="s">
        <v>1432</v>
      </c>
      <c r="G5647" t="s">
        <v>16</v>
      </c>
      <c r="H5647">
        <v>0</v>
      </c>
      <c r="I5647" s="2" t="s">
        <v>12424</v>
      </c>
      <c r="J5647" s="2">
        <v>5735025</v>
      </c>
      <c r="K5647">
        <v>20</v>
      </c>
      <c r="L5647">
        <v>20</v>
      </c>
      <c r="M5647">
        <v>20</v>
      </c>
    </row>
    <row r="5648" spans="1:13" x14ac:dyDescent="0.25">
      <c r="A5648" t="s">
        <v>12425</v>
      </c>
      <c r="B5648" t="s">
        <v>12426</v>
      </c>
      <c r="C5648" t="s">
        <v>1432</v>
      </c>
      <c r="F5648">
        <v>4</v>
      </c>
      <c r="G5648" t="s">
        <v>16</v>
      </c>
      <c r="H5648">
        <v>0</v>
      </c>
      <c r="I5648" s="2" t="s">
        <v>142</v>
      </c>
      <c r="J5648" s="2" t="s">
        <v>12427</v>
      </c>
      <c r="K5648">
        <v>20</v>
      </c>
      <c r="L5648">
        <v>20</v>
      </c>
      <c r="M5648">
        <v>20</v>
      </c>
    </row>
    <row r="5649" spans="1:13" x14ac:dyDescent="0.25">
      <c r="A5649" t="s">
        <v>12428</v>
      </c>
      <c r="B5649" t="s">
        <v>12429</v>
      </c>
      <c r="C5649" t="s">
        <v>1432</v>
      </c>
      <c r="G5649" t="s">
        <v>16</v>
      </c>
      <c r="H5649">
        <v>0</v>
      </c>
      <c r="I5649" s="2" t="s">
        <v>12430</v>
      </c>
      <c r="J5649" s="2">
        <v>5738040</v>
      </c>
      <c r="K5649">
        <v>20</v>
      </c>
      <c r="L5649">
        <v>20</v>
      </c>
      <c r="M5649">
        <v>20</v>
      </c>
    </row>
    <row r="5650" spans="1:13" x14ac:dyDescent="0.25">
      <c r="A5650" t="s">
        <v>12431</v>
      </c>
      <c r="B5650" t="s">
        <v>12432</v>
      </c>
      <c r="C5650" t="s">
        <v>1426</v>
      </c>
      <c r="F5650">
        <v>1</v>
      </c>
      <c r="G5650" t="s">
        <v>16</v>
      </c>
      <c r="H5650">
        <v>0</v>
      </c>
      <c r="I5650" s="2" t="s">
        <v>643</v>
      </c>
      <c r="J5650" s="2">
        <v>111329</v>
      </c>
      <c r="K5650">
        <v>20</v>
      </c>
      <c r="L5650">
        <v>20</v>
      </c>
      <c r="M5650">
        <v>20</v>
      </c>
    </row>
    <row r="5651" spans="1:13" x14ac:dyDescent="0.25">
      <c r="A5651" t="s">
        <v>12433</v>
      </c>
      <c r="B5651" t="s">
        <v>12434</v>
      </c>
      <c r="C5651" t="s">
        <v>1432</v>
      </c>
      <c r="F5651">
        <v>5</v>
      </c>
      <c r="G5651" t="s">
        <v>16</v>
      </c>
      <c r="H5651">
        <v>0</v>
      </c>
      <c r="I5651" s="2" t="s">
        <v>142</v>
      </c>
      <c r="J5651" s="2" t="s">
        <v>12435</v>
      </c>
      <c r="K5651">
        <v>20</v>
      </c>
      <c r="L5651">
        <v>20</v>
      </c>
      <c r="M5651">
        <v>20</v>
      </c>
    </row>
    <row r="5652" spans="1:13" x14ac:dyDescent="0.25">
      <c r="A5652" t="s">
        <v>12436</v>
      </c>
      <c r="B5652" t="s">
        <v>12437</v>
      </c>
      <c r="C5652" t="s">
        <v>1426</v>
      </c>
      <c r="G5652" t="s">
        <v>16</v>
      </c>
      <c r="H5652">
        <v>0</v>
      </c>
      <c r="I5652" s="2" t="s">
        <v>511</v>
      </c>
      <c r="J5652" s="2">
        <v>220612</v>
      </c>
      <c r="K5652">
        <v>20</v>
      </c>
      <c r="L5652">
        <v>20</v>
      </c>
      <c r="M5652">
        <v>20</v>
      </c>
    </row>
    <row r="5653" spans="1:13" x14ac:dyDescent="0.25">
      <c r="A5653" t="s">
        <v>12438</v>
      </c>
      <c r="B5653" t="s">
        <v>12439</v>
      </c>
      <c r="C5653" t="s">
        <v>1426</v>
      </c>
      <c r="F5653">
        <v>3</v>
      </c>
      <c r="G5653" t="s">
        <v>16</v>
      </c>
      <c r="H5653">
        <v>0</v>
      </c>
      <c r="I5653" s="2" t="s">
        <v>511</v>
      </c>
      <c r="J5653" s="2">
        <v>220611</v>
      </c>
      <c r="K5653">
        <v>20</v>
      </c>
      <c r="L5653">
        <v>20</v>
      </c>
      <c r="M5653">
        <v>20</v>
      </c>
    </row>
    <row r="5654" spans="1:13" x14ac:dyDescent="0.25">
      <c r="A5654" t="s">
        <v>12440</v>
      </c>
      <c r="B5654" t="s">
        <v>12439</v>
      </c>
      <c r="C5654" t="s">
        <v>1426</v>
      </c>
      <c r="G5654" t="s">
        <v>16</v>
      </c>
      <c r="H5654">
        <v>0</v>
      </c>
      <c r="K5654">
        <v>20</v>
      </c>
      <c r="L5654">
        <v>20</v>
      </c>
      <c r="M5654">
        <v>20</v>
      </c>
    </row>
    <row r="5655" spans="1:13" x14ac:dyDescent="0.25">
      <c r="A5655" t="s">
        <v>12441</v>
      </c>
      <c r="B5655" t="s">
        <v>12442</v>
      </c>
      <c r="C5655" t="s">
        <v>1432</v>
      </c>
      <c r="G5655" t="s">
        <v>16</v>
      </c>
      <c r="H5655">
        <v>0</v>
      </c>
      <c r="I5655" s="2" t="s">
        <v>591</v>
      </c>
      <c r="J5655" s="2">
        <v>220629</v>
      </c>
      <c r="K5655">
        <v>20</v>
      </c>
      <c r="L5655">
        <v>20</v>
      </c>
      <c r="M5655">
        <v>20</v>
      </c>
    </row>
    <row r="5656" spans="1:13" x14ac:dyDescent="0.25">
      <c r="A5656" t="s">
        <v>12443</v>
      </c>
      <c r="B5656" t="s">
        <v>12444</v>
      </c>
      <c r="C5656" t="s">
        <v>1432</v>
      </c>
      <c r="F5656">
        <v>1</v>
      </c>
      <c r="G5656" t="s">
        <v>16</v>
      </c>
      <c r="H5656">
        <v>0</v>
      </c>
      <c r="I5656" s="2" t="s">
        <v>759</v>
      </c>
      <c r="J5656" s="2" t="s">
        <v>12445</v>
      </c>
      <c r="K5656">
        <v>20</v>
      </c>
      <c r="L5656">
        <v>20</v>
      </c>
      <c r="M5656">
        <v>20</v>
      </c>
    </row>
    <row r="5657" spans="1:13" x14ac:dyDescent="0.25">
      <c r="A5657" t="s">
        <v>12446</v>
      </c>
      <c r="B5657" t="s">
        <v>12444</v>
      </c>
      <c r="C5657" t="s">
        <v>1432</v>
      </c>
      <c r="G5657" t="s">
        <v>16</v>
      </c>
      <c r="H5657">
        <v>0</v>
      </c>
      <c r="I5657" s="2" t="s">
        <v>288</v>
      </c>
      <c r="J5657" s="2">
        <v>267050116</v>
      </c>
      <c r="K5657">
        <v>20</v>
      </c>
      <c r="L5657">
        <v>20</v>
      </c>
      <c r="M5657">
        <v>20</v>
      </c>
    </row>
    <row r="5658" spans="1:13" x14ac:dyDescent="0.25">
      <c r="A5658" t="s">
        <v>12447</v>
      </c>
      <c r="B5658" t="s">
        <v>12448</v>
      </c>
      <c r="C5658" t="s">
        <v>1432</v>
      </c>
      <c r="G5658" t="s">
        <v>16</v>
      </c>
      <c r="H5658">
        <v>0</v>
      </c>
      <c r="I5658" s="2" t="s">
        <v>7513</v>
      </c>
      <c r="J5658" s="2" t="s">
        <v>12449</v>
      </c>
      <c r="K5658">
        <v>20</v>
      </c>
      <c r="L5658">
        <v>20</v>
      </c>
      <c r="M5658">
        <v>20</v>
      </c>
    </row>
    <row r="5659" spans="1:13" x14ac:dyDescent="0.25">
      <c r="A5659" t="s">
        <v>12450</v>
      </c>
      <c r="B5659" t="s">
        <v>12444</v>
      </c>
      <c r="C5659" t="s">
        <v>1432</v>
      </c>
      <c r="F5659">
        <v>5</v>
      </c>
      <c r="G5659" t="s">
        <v>16</v>
      </c>
      <c r="H5659">
        <v>0</v>
      </c>
      <c r="I5659" s="2" t="s">
        <v>64</v>
      </c>
      <c r="J5659" s="2">
        <v>10070004</v>
      </c>
      <c r="K5659">
        <v>20</v>
      </c>
      <c r="L5659">
        <v>20</v>
      </c>
      <c r="M5659">
        <v>20</v>
      </c>
    </row>
    <row r="5660" spans="1:13" x14ac:dyDescent="0.25">
      <c r="A5660" t="s">
        <v>12451</v>
      </c>
      <c r="B5660" t="s">
        <v>12444</v>
      </c>
      <c r="C5660" t="s">
        <v>1432</v>
      </c>
      <c r="F5660">
        <v>1</v>
      </c>
      <c r="G5660" t="s">
        <v>16</v>
      </c>
      <c r="H5660">
        <v>0</v>
      </c>
      <c r="I5660" s="2" t="s">
        <v>6829</v>
      </c>
      <c r="J5660" s="2" t="s">
        <v>12452</v>
      </c>
      <c r="K5660">
        <v>20</v>
      </c>
      <c r="L5660">
        <v>20</v>
      </c>
      <c r="M5660">
        <v>20</v>
      </c>
    </row>
    <row r="5661" spans="1:13" x14ac:dyDescent="0.25">
      <c r="A5661" t="s">
        <v>12453</v>
      </c>
      <c r="B5661" t="s">
        <v>12454</v>
      </c>
      <c r="C5661" t="s">
        <v>1432</v>
      </c>
      <c r="G5661" t="s">
        <v>16</v>
      </c>
      <c r="H5661">
        <v>0</v>
      </c>
      <c r="I5661" s="2" t="s">
        <v>288</v>
      </c>
      <c r="J5661" s="2">
        <v>267056116</v>
      </c>
      <c r="K5661">
        <v>20</v>
      </c>
      <c r="L5661">
        <v>20</v>
      </c>
      <c r="M5661">
        <v>20</v>
      </c>
    </row>
    <row r="5662" spans="1:13" x14ac:dyDescent="0.25">
      <c r="A5662" t="s">
        <v>12455</v>
      </c>
      <c r="B5662" t="s">
        <v>12456</v>
      </c>
      <c r="C5662" t="s">
        <v>1432</v>
      </c>
      <c r="G5662" t="s">
        <v>16</v>
      </c>
      <c r="H5662">
        <v>0</v>
      </c>
      <c r="I5662" s="2" t="s">
        <v>288</v>
      </c>
      <c r="J5662" s="2">
        <v>267055116</v>
      </c>
      <c r="K5662">
        <v>20</v>
      </c>
      <c r="L5662">
        <v>20</v>
      </c>
      <c r="M5662">
        <v>20</v>
      </c>
    </row>
    <row r="5663" spans="1:13" x14ac:dyDescent="0.25">
      <c r="A5663" t="s">
        <v>12457</v>
      </c>
      <c r="B5663" t="s">
        <v>12458</v>
      </c>
      <c r="C5663" t="s">
        <v>1426</v>
      </c>
      <c r="F5663">
        <v>2</v>
      </c>
      <c r="G5663" t="s">
        <v>16</v>
      </c>
      <c r="H5663">
        <v>0</v>
      </c>
      <c r="I5663" s="2" t="s">
        <v>64</v>
      </c>
      <c r="J5663" s="2">
        <v>21030361</v>
      </c>
      <c r="K5663">
        <v>20</v>
      </c>
      <c r="L5663">
        <v>20</v>
      </c>
      <c r="M5663">
        <v>20</v>
      </c>
    </row>
    <row r="5664" spans="1:13" x14ac:dyDescent="0.25">
      <c r="A5664" t="s">
        <v>12459</v>
      </c>
      <c r="B5664" t="s">
        <v>12460</v>
      </c>
      <c r="C5664" t="s">
        <v>1426</v>
      </c>
      <c r="F5664">
        <v>4</v>
      </c>
      <c r="G5664" t="s">
        <v>16</v>
      </c>
      <c r="H5664">
        <v>0</v>
      </c>
      <c r="I5664" s="2" t="s">
        <v>6829</v>
      </c>
      <c r="J5664" s="2">
        <v>7733</v>
      </c>
      <c r="K5664">
        <v>20</v>
      </c>
      <c r="L5664">
        <v>20</v>
      </c>
      <c r="M5664">
        <v>20</v>
      </c>
    </row>
    <row r="5665" spans="1:13" x14ac:dyDescent="0.25">
      <c r="A5665" t="s">
        <v>12461</v>
      </c>
      <c r="B5665" t="s">
        <v>12462</v>
      </c>
      <c r="C5665" t="s">
        <v>20</v>
      </c>
      <c r="D5665" t="s">
        <v>899</v>
      </c>
      <c r="F5665">
        <v>2</v>
      </c>
      <c r="G5665" t="s">
        <v>16</v>
      </c>
      <c r="H5665">
        <v>0</v>
      </c>
      <c r="I5665" s="2" t="s">
        <v>3689</v>
      </c>
      <c r="J5665" s="2" t="s">
        <v>12463</v>
      </c>
      <c r="K5665">
        <v>20</v>
      </c>
      <c r="L5665">
        <v>20</v>
      </c>
      <c r="M5665">
        <v>20</v>
      </c>
    </row>
    <row r="5666" spans="1:13" x14ac:dyDescent="0.25">
      <c r="A5666" t="s">
        <v>12464</v>
      </c>
      <c r="B5666" t="s">
        <v>12462</v>
      </c>
      <c r="C5666" t="s">
        <v>20</v>
      </c>
      <c r="D5666" t="s">
        <v>899</v>
      </c>
      <c r="G5666" t="s">
        <v>16</v>
      </c>
      <c r="H5666">
        <v>0</v>
      </c>
      <c r="I5666" s="2" t="s">
        <v>3701</v>
      </c>
      <c r="J5666" s="2" t="s">
        <v>12465</v>
      </c>
      <c r="K5666">
        <v>20</v>
      </c>
      <c r="L5666">
        <v>20</v>
      </c>
      <c r="M5666">
        <v>20</v>
      </c>
    </row>
    <row r="5667" spans="1:13" x14ac:dyDescent="0.25">
      <c r="A5667" t="s">
        <v>12466</v>
      </c>
      <c r="B5667" t="s">
        <v>12467</v>
      </c>
      <c r="C5667" t="s">
        <v>20</v>
      </c>
      <c r="D5667" t="s">
        <v>899</v>
      </c>
      <c r="G5667" t="s">
        <v>16</v>
      </c>
      <c r="H5667">
        <v>0</v>
      </c>
      <c r="I5667" s="2" t="s">
        <v>685</v>
      </c>
      <c r="J5667" s="2">
        <v>1987947943</v>
      </c>
      <c r="K5667">
        <v>20</v>
      </c>
      <c r="L5667">
        <v>20</v>
      </c>
      <c r="M5667">
        <v>20</v>
      </c>
    </row>
    <row r="5668" spans="1:13" x14ac:dyDescent="0.25">
      <c r="A5668" t="s">
        <v>12468</v>
      </c>
      <c r="B5668" t="s">
        <v>12469</v>
      </c>
      <c r="C5668" t="s">
        <v>20</v>
      </c>
      <c r="D5668" t="s">
        <v>899</v>
      </c>
      <c r="G5668" t="s">
        <v>16</v>
      </c>
      <c r="H5668">
        <v>0</v>
      </c>
      <c r="I5668" s="2" t="s">
        <v>685</v>
      </c>
      <c r="J5668" s="2">
        <v>1987948360</v>
      </c>
      <c r="K5668">
        <v>20</v>
      </c>
      <c r="L5668">
        <v>20</v>
      </c>
      <c r="M5668">
        <v>20</v>
      </c>
    </row>
    <row r="5669" spans="1:13" x14ac:dyDescent="0.25">
      <c r="A5669" t="s">
        <v>12470</v>
      </c>
      <c r="B5669" t="s">
        <v>12471</v>
      </c>
      <c r="C5669" t="s">
        <v>20</v>
      </c>
      <c r="D5669" t="s">
        <v>894</v>
      </c>
      <c r="F5669">
        <v>1</v>
      </c>
      <c r="G5669" t="s">
        <v>16</v>
      </c>
      <c r="H5669">
        <v>0</v>
      </c>
      <c r="I5669" s="2" t="s">
        <v>408</v>
      </c>
      <c r="J5669" s="2" t="s">
        <v>12472</v>
      </c>
      <c r="K5669">
        <v>20</v>
      </c>
      <c r="L5669">
        <v>20</v>
      </c>
      <c r="M5669">
        <v>20</v>
      </c>
    </row>
    <row r="5670" spans="1:13" x14ac:dyDescent="0.25">
      <c r="A5670" t="s">
        <v>12473</v>
      </c>
      <c r="B5670" t="s">
        <v>12474</v>
      </c>
      <c r="C5670" t="s">
        <v>20</v>
      </c>
      <c r="D5670" t="s">
        <v>899</v>
      </c>
      <c r="G5670" t="s">
        <v>16</v>
      </c>
      <c r="H5670">
        <v>0</v>
      </c>
      <c r="I5670" s="2" t="s">
        <v>3710</v>
      </c>
      <c r="J5670" s="2" t="s">
        <v>12475</v>
      </c>
      <c r="K5670">
        <v>20</v>
      </c>
      <c r="L5670">
        <v>20</v>
      </c>
      <c r="M5670">
        <v>20</v>
      </c>
    </row>
    <row r="5671" spans="1:13" x14ac:dyDescent="0.25">
      <c r="A5671" t="s">
        <v>12476</v>
      </c>
      <c r="B5671" t="s">
        <v>12477</v>
      </c>
      <c r="C5671" t="s">
        <v>20</v>
      </c>
      <c r="D5671" t="s">
        <v>899</v>
      </c>
      <c r="F5671">
        <v>1</v>
      </c>
      <c r="G5671" t="s">
        <v>16</v>
      </c>
      <c r="H5671">
        <v>0</v>
      </c>
      <c r="I5671" s="2" t="s">
        <v>3689</v>
      </c>
      <c r="J5671" s="2" t="s">
        <v>12478</v>
      </c>
      <c r="K5671">
        <v>20</v>
      </c>
      <c r="L5671">
        <v>20</v>
      </c>
      <c r="M5671">
        <v>20</v>
      </c>
    </row>
    <row r="5672" spans="1:13" x14ac:dyDescent="0.25">
      <c r="A5672" t="s">
        <v>12479</v>
      </c>
      <c r="B5672" t="s">
        <v>12477</v>
      </c>
      <c r="C5672" t="s">
        <v>20</v>
      </c>
      <c r="D5672" t="s">
        <v>899</v>
      </c>
      <c r="F5672">
        <v>2</v>
      </c>
      <c r="G5672" t="s">
        <v>16</v>
      </c>
      <c r="H5672">
        <v>0</v>
      </c>
      <c r="I5672" s="2" t="s">
        <v>685</v>
      </c>
      <c r="J5672" s="2">
        <v>1987948485</v>
      </c>
      <c r="K5672">
        <v>20</v>
      </c>
      <c r="L5672">
        <v>20</v>
      </c>
      <c r="M5672">
        <v>20</v>
      </c>
    </row>
    <row r="5673" spans="1:13" x14ac:dyDescent="0.25">
      <c r="A5673" t="s">
        <v>12480</v>
      </c>
      <c r="B5673" t="s">
        <v>12481</v>
      </c>
      <c r="C5673" t="s">
        <v>20</v>
      </c>
      <c r="D5673" t="s">
        <v>899</v>
      </c>
      <c r="F5673">
        <v>0</v>
      </c>
      <c r="G5673" t="s">
        <v>16</v>
      </c>
      <c r="H5673">
        <v>0</v>
      </c>
      <c r="I5673" s="2" t="s">
        <v>51</v>
      </c>
      <c r="J5673" s="2" t="s">
        <v>12480</v>
      </c>
      <c r="K5673">
        <v>20</v>
      </c>
      <c r="L5673">
        <v>20</v>
      </c>
      <c r="M5673">
        <v>20</v>
      </c>
    </row>
    <row r="5674" spans="1:13" x14ac:dyDescent="0.25">
      <c r="A5674" t="s">
        <v>12482</v>
      </c>
      <c r="B5674" t="s">
        <v>12481</v>
      </c>
      <c r="C5674" t="s">
        <v>20</v>
      </c>
      <c r="D5674" t="s">
        <v>899</v>
      </c>
      <c r="G5674" t="s">
        <v>16</v>
      </c>
      <c r="H5674">
        <v>0</v>
      </c>
      <c r="I5674" s="2" t="s">
        <v>3701</v>
      </c>
      <c r="J5674" s="2" t="s">
        <v>12483</v>
      </c>
      <c r="K5674">
        <v>20</v>
      </c>
      <c r="L5674">
        <v>20</v>
      </c>
      <c r="M5674">
        <v>20</v>
      </c>
    </row>
    <row r="5675" spans="1:13" x14ac:dyDescent="0.25">
      <c r="A5675" t="s">
        <v>12484</v>
      </c>
      <c r="B5675" t="s">
        <v>12481</v>
      </c>
      <c r="C5675" t="s">
        <v>20</v>
      </c>
      <c r="D5675" t="s">
        <v>899</v>
      </c>
      <c r="G5675" t="s">
        <v>16</v>
      </c>
      <c r="H5675">
        <v>0</v>
      </c>
      <c r="I5675" s="2" t="s">
        <v>685</v>
      </c>
      <c r="J5675" s="2">
        <v>1987946027</v>
      </c>
      <c r="K5675">
        <v>20</v>
      </c>
      <c r="L5675">
        <v>20</v>
      </c>
      <c r="M5675">
        <v>20</v>
      </c>
    </row>
    <row r="5676" spans="1:13" x14ac:dyDescent="0.25">
      <c r="A5676" t="s">
        <v>12485</v>
      </c>
      <c r="B5676" t="s">
        <v>12486</v>
      </c>
      <c r="C5676" t="s">
        <v>20</v>
      </c>
      <c r="D5676" t="s">
        <v>899</v>
      </c>
      <c r="G5676" t="s">
        <v>16</v>
      </c>
      <c r="H5676">
        <v>0</v>
      </c>
      <c r="I5676" s="2" t="s">
        <v>4250</v>
      </c>
      <c r="J5676" s="2" t="s">
        <v>12487</v>
      </c>
      <c r="K5676">
        <v>20</v>
      </c>
      <c r="L5676">
        <v>20</v>
      </c>
      <c r="M5676">
        <v>20</v>
      </c>
    </row>
    <row r="5677" spans="1:13" x14ac:dyDescent="0.25">
      <c r="A5677" t="s">
        <v>12488</v>
      </c>
      <c r="B5677" t="s">
        <v>12489</v>
      </c>
      <c r="C5677" t="s">
        <v>20</v>
      </c>
      <c r="D5677" t="s">
        <v>899</v>
      </c>
      <c r="F5677">
        <v>2</v>
      </c>
      <c r="G5677" t="s">
        <v>16</v>
      </c>
      <c r="H5677">
        <v>0</v>
      </c>
      <c r="I5677" s="2" t="s">
        <v>3689</v>
      </c>
      <c r="J5677" s="2" t="s">
        <v>12490</v>
      </c>
      <c r="K5677">
        <v>20</v>
      </c>
      <c r="L5677">
        <v>20</v>
      </c>
      <c r="M5677">
        <v>20</v>
      </c>
    </row>
    <row r="5678" spans="1:13" x14ac:dyDescent="0.25">
      <c r="A5678" t="s">
        <v>12491</v>
      </c>
      <c r="B5678" t="s">
        <v>12492</v>
      </c>
      <c r="C5678" t="s">
        <v>20</v>
      </c>
      <c r="D5678" t="s">
        <v>899</v>
      </c>
      <c r="F5678">
        <v>1</v>
      </c>
      <c r="G5678" t="s">
        <v>16</v>
      </c>
      <c r="H5678">
        <v>0</v>
      </c>
      <c r="I5678" s="2" t="s">
        <v>3689</v>
      </c>
      <c r="J5678" s="2" t="s">
        <v>12493</v>
      </c>
      <c r="K5678">
        <v>20</v>
      </c>
      <c r="L5678">
        <v>20</v>
      </c>
      <c r="M5678">
        <v>20</v>
      </c>
    </row>
    <row r="5679" spans="1:13" x14ac:dyDescent="0.25">
      <c r="A5679" t="s">
        <v>12494</v>
      </c>
      <c r="B5679" t="s">
        <v>12495</v>
      </c>
      <c r="C5679" t="s">
        <v>20</v>
      </c>
      <c r="D5679" t="s">
        <v>899</v>
      </c>
      <c r="G5679" t="s">
        <v>16</v>
      </c>
      <c r="H5679">
        <v>0</v>
      </c>
      <c r="I5679" s="2" t="s">
        <v>3830</v>
      </c>
      <c r="J5679" s="2" t="s">
        <v>12496</v>
      </c>
      <c r="K5679">
        <v>20</v>
      </c>
      <c r="L5679">
        <v>20</v>
      </c>
      <c r="M5679">
        <v>20</v>
      </c>
    </row>
    <row r="5680" spans="1:13" x14ac:dyDescent="0.25">
      <c r="A5680" t="s">
        <v>12497</v>
      </c>
      <c r="B5680" t="s">
        <v>12498</v>
      </c>
      <c r="C5680" t="s">
        <v>20</v>
      </c>
      <c r="D5680" t="s">
        <v>899</v>
      </c>
      <c r="F5680">
        <v>1</v>
      </c>
      <c r="G5680" t="s">
        <v>16</v>
      </c>
      <c r="H5680">
        <v>0</v>
      </c>
      <c r="I5680" s="2" t="s">
        <v>383</v>
      </c>
      <c r="J5680" s="2">
        <v>1987947944</v>
      </c>
      <c r="K5680">
        <v>20</v>
      </c>
      <c r="L5680">
        <v>20</v>
      </c>
      <c r="M5680">
        <v>20</v>
      </c>
    </row>
    <row r="5681" spans="1:13" x14ac:dyDescent="0.25">
      <c r="A5681" t="s">
        <v>12499</v>
      </c>
      <c r="B5681" t="s">
        <v>12500</v>
      </c>
      <c r="C5681" t="s">
        <v>20</v>
      </c>
      <c r="D5681" t="s">
        <v>899</v>
      </c>
      <c r="F5681">
        <v>1</v>
      </c>
      <c r="G5681" t="s">
        <v>16</v>
      </c>
      <c r="H5681">
        <v>0</v>
      </c>
      <c r="I5681" s="2" t="s">
        <v>3689</v>
      </c>
      <c r="J5681" s="2" t="s">
        <v>12501</v>
      </c>
      <c r="K5681">
        <v>20</v>
      </c>
      <c r="L5681">
        <v>20</v>
      </c>
      <c r="M5681">
        <v>20</v>
      </c>
    </row>
    <row r="5682" spans="1:13" x14ac:dyDescent="0.25">
      <c r="A5682" t="s">
        <v>12502</v>
      </c>
      <c r="B5682" t="s">
        <v>12503</v>
      </c>
      <c r="C5682" t="s">
        <v>20</v>
      </c>
      <c r="D5682" t="s">
        <v>899</v>
      </c>
      <c r="G5682" t="s">
        <v>16</v>
      </c>
      <c r="H5682">
        <v>0</v>
      </c>
      <c r="I5682" s="2" t="s">
        <v>3710</v>
      </c>
      <c r="J5682" s="2" t="s">
        <v>12504</v>
      </c>
      <c r="K5682">
        <v>20</v>
      </c>
      <c r="L5682">
        <v>20</v>
      </c>
      <c r="M5682">
        <v>20</v>
      </c>
    </row>
    <row r="5683" spans="1:13" x14ac:dyDescent="0.25">
      <c r="A5683" t="s">
        <v>12505</v>
      </c>
      <c r="B5683" t="s">
        <v>12503</v>
      </c>
      <c r="C5683" t="s">
        <v>20</v>
      </c>
      <c r="D5683" t="s">
        <v>899</v>
      </c>
      <c r="F5683">
        <v>1</v>
      </c>
      <c r="G5683" t="s">
        <v>16</v>
      </c>
      <c r="H5683">
        <v>0</v>
      </c>
      <c r="I5683" s="2" t="s">
        <v>383</v>
      </c>
      <c r="J5683" s="2">
        <v>1987946240</v>
      </c>
      <c r="K5683">
        <v>20</v>
      </c>
      <c r="L5683">
        <v>20</v>
      </c>
      <c r="M5683">
        <v>20</v>
      </c>
    </row>
    <row r="5684" spans="1:13" x14ac:dyDescent="0.25">
      <c r="A5684" t="s">
        <v>12506</v>
      </c>
      <c r="B5684" t="s">
        <v>12507</v>
      </c>
      <c r="C5684" t="s">
        <v>20</v>
      </c>
      <c r="D5684" t="s">
        <v>899</v>
      </c>
      <c r="F5684">
        <v>1</v>
      </c>
      <c r="G5684" t="s">
        <v>16</v>
      </c>
      <c r="H5684">
        <v>0</v>
      </c>
      <c r="I5684" s="2" t="s">
        <v>3689</v>
      </c>
      <c r="J5684" s="2" t="s">
        <v>12508</v>
      </c>
      <c r="K5684">
        <v>20</v>
      </c>
      <c r="L5684">
        <v>20</v>
      </c>
      <c r="M5684">
        <v>20</v>
      </c>
    </row>
    <row r="5685" spans="1:13" x14ac:dyDescent="0.25">
      <c r="A5685" t="s">
        <v>12509</v>
      </c>
      <c r="B5685" t="s">
        <v>12507</v>
      </c>
      <c r="C5685" t="s">
        <v>20</v>
      </c>
      <c r="D5685" t="s">
        <v>899</v>
      </c>
      <c r="F5685">
        <v>1</v>
      </c>
      <c r="G5685" t="s">
        <v>16</v>
      </c>
      <c r="H5685">
        <v>0</v>
      </c>
      <c r="I5685" s="2" t="s">
        <v>3710</v>
      </c>
      <c r="J5685" s="2" t="s">
        <v>12510</v>
      </c>
      <c r="K5685">
        <v>20</v>
      </c>
      <c r="L5685">
        <v>20</v>
      </c>
      <c r="M5685">
        <v>20</v>
      </c>
    </row>
    <row r="5686" spans="1:13" x14ac:dyDescent="0.25">
      <c r="A5686" t="s">
        <v>12511</v>
      </c>
      <c r="B5686" t="s">
        <v>12512</v>
      </c>
      <c r="C5686" t="s">
        <v>20</v>
      </c>
      <c r="D5686" t="s">
        <v>899</v>
      </c>
      <c r="F5686">
        <v>4</v>
      </c>
      <c r="G5686" t="s">
        <v>16</v>
      </c>
      <c r="H5686">
        <v>0</v>
      </c>
      <c r="I5686" s="2" t="s">
        <v>3701</v>
      </c>
      <c r="J5686" s="2" t="s">
        <v>12513</v>
      </c>
      <c r="K5686">
        <v>20</v>
      </c>
      <c r="L5686">
        <v>20</v>
      </c>
      <c r="M5686">
        <v>20</v>
      </c>
    </row>
    <row r="5687" spans="1:13" x14ac:dyDescent="0.25">
      <c r="A5687" t="s">
        <v>12514</v>
      </c>
      <c r="B5687" t="s">
        <v>12515</v>
      </c>
      <c r="C5687" t="s">
        <v>20</v>
      </c>
      <c r="D5687" t="s">
        <v>899</v>
      </c>
      <c r="F5687">
        <v>3</v>
      </c>
      <c r="G5687" t="s">
        <v>16</v>
      </c>
      <c r="H5687">
        <v>0</v>
      </c>
      <c r="I5687" s="2" t="s">
        <v>383</v>
      </c>
      <c r="J5687" s="2">
        <v>1987947989</v>
      </c>
      <c r="K5687">
        <v>20</v>
      </c>
      <c r="L5687">
        <v>20</v>
      </c>
      <c r="M5687">
        <v>20</v>
      </c>
    </row>
    <row r="5688" spans="1:13" x14ac:dyDescent="0.25">
      <c r="A5688" t="s">
        <v>12516</v>
      </c>
      <c r="B5688" t="s">
        <v>12512</v>
      </c>
      <c r="C5688" t="s">
        <v>20</v>
      </c>
      <c r="D5688" t="s">
        <v>899</v>
      </c>
      <c r="F5688">
        <v>0</v>
      </c>
      <c r="G5688" t="s">
        <v>16</v>
      </c>
      <c r="H5688">
        <v>0</v>
      </c>
      <c r="I5688" s="2" t="s">
        <v>411</v>
      </c>
      <c r="J5688" s="2" t="s">
        <v>12517</v>
      </c>
      <c r="K5688">
        <v>20</v>
      </c>
      <c r="L5688">
        <v>20</v>
      </c>
      <c r="M5688">
        <v>20</v>
      </c>
    </row>
    <row r="5689" spans="1:13" x14ac:dyDescent="0.25">
      <c r="A5689" t="s">
        <v>12518</v>
      </c>
      <c r="B5689" t="s">
        <v>12520</v>
      </c>
      <c r="C5689" t="s">
        <v>20</v>
      </c>
      <c r="D5689" t="s">
        <v>899</v>
      </c>
      <c r="G5689" t="s">
        <v>16</v>
      </c>
      <c r="H5689">
        <v>0</v>
      </c>
      <c r="I5689" s="2" t="s">
        <v>3689</v>
      </c>
      <c r="J5689" s="2" t="s">
        <v>12519</v>
      </c>
      <c r="K5689">
        <v>20</v>
      </c>
      <c r="L5689">
        <v>20</v>
      </c>
      <c r="M5689">
        <v>20</v>
      </c>
    </row>
    <row r="5690" spans="1:13" x14ac:dyDescent="0.25">
      <c r="A5690" t="s">
        <v>12521</v>
      </c>
      <c r="B5690" t="s">
        <v>12522</v>
      </c>
      <c r="C5690" t="s">
        <v>20</v>
      </c>
      <c r="D5690" t="s">
        <v>899</v>
      </c>
      <c r="F5690">
        <v>3</v>
      </c>
      <c r="G5690" t="s">
        <v>16</v>
      </c>
      <c r="H5690">
        <v>0</v>
      </c>
      <c r="I5690" s="2" t="s">
        <v>301</v>
      </c>
      <c r="J5690" s="2" t="s">
        <v>12523</v>
      </c>
      <c r="K5690">
        <v>20</v>
      </c>
      <c r="L5690">
        <v>20</v>
      </c>
      <c r="M5690">
        <v>20</v>
      </c>
    </row>
    <row r="5691" spans="1:13" x14ac:dyDescent="0.25">
      <c r="A5691" t="s">
        <v>12524</v>
      </c>
      <c r="B5691" t="s">
        <v>12522</v>
      </c>
      <c r="C5691" t="s">
        <v>20</v>
      </c>
      <c r="D5691" t="s">
        <v>899</v>
      </c>
      <c r="G5691" t="s">
        <v>16</v>
      </c>
      <c r="H5691">
        <v>0</v>
      </c>
      <c r="I5691" s="2" t="s">
        <v>383</v>
      </c>
      <c r="J5691" s="2">
        <v>1987945702</v>
      </c>
      <c r="K5691">
        <v>20</v>
      </c>
      <c r="L5691">
        <v>20</v>
      </c>
      <c r="M5691">
        <v>20</v>
      </c>
    </row>
    <row r="5692" spans="1:13" x14ac:dyDescent="0.25">
      <c r="A5692" t="s">
        <v>12525</v>
      </c>
      <c r="B5692" t="s">
        <v>12526</v>
      </c>
      <c r="C5692" t="s">
        <v>20</v>
      </c>
      <c r="D5692" t="s">
        <v>899</v>
      </c>
      <c r="F5692">
        <v>2</v>
      </c>
      <c r="G5692" t="s">
        <v>16</v>
      </c>
      <c r="H5692">
        <v>0</v>
      </c>
      <c r="I5692" s="2" t="s">
        <v>3689</v>
      </c>
      <c r="J5692" s="2" t="s">
        <v>12527</v>
      </c>
      <c r="K5692">
        <v>20</v>
      </c>
      <c r="L5692">
        <v>20</v>
      </c>
      <c r="M5692">
        <v>20</v>
      </c>
    </row>
    <row r="5693" spans="1:13" x14ac:dyDescent="0.25">
      <c r="A5693" t="s">
        <v>12528</v>
      </c>
      <c r="B5693" t="s">
        <v>12529</v>
      </c>
      <c r="C5693" t="s">
        <v>20</v>
      </c>
      <c r="D5693" t="s">
        <v>899</v>
      </c>
      <c r="G5693" t="s">
        <v>16</v>
      </c>
      <c r="H5693">
        <v>0</v>
      </c>
      <c r="I5693" s="2" t="s">
        <v>685</v>
      </c>
      <c r="J5693" s="2">
        <v>1987947981</v>
      </c>
      <c r="K5693">
        <v>20</v>
      </c>
      <c r="L5693">
        <v>20</v>
      </c>
      <c r="M5693">
        <v>20</v>
      </c>
    </row>
    <row r="5694" spans="1:13" x14ac:dyDescent="0.25">
      <c r="A5694" t="s">
        <v>12530</v>
      </c>
      <c r="B5694" t="s">
        <v>12531</v>
      </c>
      <c r="C5694" t="s">
        <v>20</v>
      </c>
      <c r="D5694" t="s">
        <v>899</v>
      </c>
      <c r="G5694" t="s">
        <v>16</v>
      </c>
      <c r="H5694">
        <v>0</v>
      </c>
      <c r="I5694" s="2" t="s">
        <v>301</v>
      </c>
      <c r="J5694" s="2" t="s">
        <v>12532</v>
      </c>
      <c r="K5694">
        <v>20</v>
      </c>
      <c r="L5694">
        <v>20</v>
      </c>
      <c r="M5694">
        <v>20</v>
      </c>
    </row>
    <row r="5695" spans="1:13" x14ac:dyDescent="0.25">
      <c r="A5695" t="s">
        <v>12533</v>
      </c>
      <c r="B5695" t="s">
        <v>12534</v>
      </c>
      <c r="C5695" t="s">
        <v>20</v>
      </c>
      <c r="D5695" t="s">
        <v>899</v>
      </c>
      <c r="F5695">
        <v>5</v>
      </c>
      <c r="G5695" t="s">
        <v>16</v>
      </c>
      <c r="H5695">
        <v>0</v>
      </c>
      <c r="I5695" s="2" t="s">
        <v>3689</v>
      </c>
      <c r="J5695" s="2" t="s">
        <v>12535</v>
      </c>
      <c r="K5695">
        <v>20</v>
      </c>
      <c r="L5695">
        <v>20</v>
      </c>
      <c r="M5695">
        <v>20</v>
      </c>
    </row>
    <row r="5696" spans="1:13" x14ac:dyDescent="0.25">
      <c r="A5696" t="s">
        <v>12536</v>
      </c>
      <c r="B5696" t="s">
        <v>12534</v>
      </c>
      <c r="C5696" t="s">
        <v>20</v>
      </c>
      <c r="D5696" t="s">
        <v>899</v>
      </c>
      <c r="F5696">
        <v>4</v>
      </c>
      <c r="G5696" t="s">
        <v>16</v>
      </c>
      <c r="H5696">
        <v>0</v>
      </c>
      <c r="I5696" s="2" t="s">
        <v>3710</v>
      </c>
      <c r="J5696" s="2" t="s">
        <v>12537</v>
      </c>
      <c r="K5696">
        <v>20</v>
      </c>
      <c r="L5696">
        <v>20</v>
      </c>
      <c r="M5696">
        <v>20</v>
      </c>
    </row>
    <row r="5697" spans="1:13" x14ac:dyDescent="0.25">
      <c r="A5697" t="s">
        <v>12538</v>
      </c>
      <c r="B5697" t="s">
        <v>12534</v>
      </c>
      <c r="C5697" t="s">
        <v>20</v>
      </c>
      <c r="D5697" t="s">
        <v>899</v>
      </c>
      <c r="G5697" t="s">
        <v>16</v>
      </c>
      <c r="H5697">
        <v>0</v>
      </c>
      <c r="I5697" s="2" t="s">
        <v>383</v>
      </c>
      <c r="J5697" s="2">
        <v>1987948486</v>
      </c>
      <c r="K5697">
        <v>20</v>
      </c>
      <c r="L5697">
        <v>20</v>
      </c>
      <c r="M5697">
        <v>20</v>
      </c>
    </row>
    <row r="5698" spans="1:13" x14ac:dyDescent="0.25">
      <c r="A5698" t="s">
        <v>12539</v>
      </c>
      <c r="B5698" t="s">
        <v>12540</v>
      </c>
      <c r="C5698" t="s">
        <v>20</v>
      </c>
      <c r="D5698" t="s">
        <v>899</v>
      </c>
      <c r="F5698">
        <v>1</v>
      </c>
      <c r="G5698" t="s">
        <v>16</v>
      </c>
      <c r="H5698">
        <v>0</v>
      </c>
      <c r="I5698" s="2" t="s">
        <v>3689</v>
      </c>
      <c r="J5698" s="2" t="s">
        <v>12541</v>
      </c>
      <c r="K5698">
        <v>20</v>
      </c>
      <c r="L5698">
        <v>20</v>
      </c>
      <c r="M5698">
        <v>20</v>
      </c>
    </row>
    <row r="5699" spans="1:13" x14ac:dyDescent="0.25">
      <c r="A5699" t="s">
        <v>12542</v>
      </c>
      <c r="B5699" t="s">
        <v>12544</v>
      </c>
      <c r="C5699" t="s">
        <v>20</v>
      </c>
      <c r="D5699" t="s">
        <v>894</v>
      </c>
      <c r="G5699" t="s">
        <v>16</v>
      </c>
      <c r="H5699">
        <v>0</v>
      </c>
      <c r="I5699" s="2" t="s">
        <v>900</v>
      </c>
      <c r="J5699" s="2" t="s">
        <v>12543</v>
      </c>
      <c r="K5699">
        <v>20</v>
      </c>
      <c r="L5699">
        <v>20</v>
      </c>
      <c r="M5699">
        <v>20</v>
      </c>
    </row>
    <row r="5700" spans="1:13" x14ac:dyDescent="0.25">
      <c r="A5700" t="s">
        <v>12545</v>
      </c>
      <c r="B5700" t="s">
        <v>12544</v>
      </c>
      <c r="C5700" t="s">
        <v>20</v>
      </c>
      <c r="D5700" t="s">
        <v>899</v>
      </c>
      <c r="F5700">
        <v>2</v>
      </c>
      <c r="G5700" t="s">
        <v>16</v>
      </c>
      <c r="H5700">
        <v>0</v>
      </c>
      <c r="I5700" s="2" t="s">
        <v>900</v>
      </c>
      <c r="J5700" s="2" t="s">
        <v>12546</v>
      </c>
      <c r="K5700">
        <v>20</v>
      </c>
      <c r="L5700">
        <v>20</v>
      </c>
      <c r="M5700">
        <v>20</v>
      </c>
    </row>
    <row r="5701" spans="1:13" x14ac:dyDescent="0.25">
      <c r="A5701" t="s">
        <v>12547</v>
      </c>
      <c r="B5701" t="s">
        <v>12544</v>
      </c>
      <c r="C5701" t="s">
        <v>20</v>
      </c>
      <c r="D5701" t="s">
        <v>894</v>
      </c>
      <c r="F5701">
        <v>2</v>
      </c>
      <c r="G5701" t="s">
        <v>16</v>
      </c>
      <c r="H5701">
        <v>0</v>
      </c>
      <c r="I5701" s="2" t="s">
        <v>12548</v>
      </c>
      <c r="J5701" s="2" t="s">
        <v>12549</v>
      </c>
      <c r="K5701">
        <v>20</v>
      </c>
      <c r="L5701">
        <v>20</v>
      </c>
      <c r="M5701">
        <v>20</v>
      </c>
    </row>
    <row r="5702" spans="1:13" x14ac:dyDescent="0.25">
      <c r="A5702" t="s">
        <v>12550</v>
      </c>
      <c r="B5702" t="s">
        <v>12551</v>
      </c>
      <c r="C5702" t="s">
        <v>20</v>
      </c>
      <c r="D5702" t="s">
        <v>899</v>
      </c>
      <c r="F5702">
        <v>1</v>
      </c>
      <c r="G5702" t="s">
        <v>16</v>
      </c>
      <c r="H5702">
        <v>0</v>
      </c>
      <c r="I5702" s="2" t="s">
        <v>301</v>
      </c>
      <c r="J5702" s="2">
        <v>25405147</v>
      </c>
      <c r="K5702">
        <v>20</v>
      </c>
      <c r="L5702">
        <v>20</v>
      </c>
      <c r="M5702">
        <v>20</v>
      </c>
    </row>
    <row r="5703" spans="1:13" x14ac:dyDescent="0.25">
      <c r="A5703" t="s">
        <v>12552</v>
      </c>
      <c r="B5703" t="s">
        <v>12553</v>
      </c>
      <c r="C5703" t="s">
        <v>20</v>
      </c>
      <c r="D5703" t="s">
        <v>894</v>
      </c>
      <c r="F5703">
        <v>1</v>
      </c>
      <c r="G5703" t="s">
        <v>16</v>
      </c>
      <c r="H5703">
        <v>0</v>
      </c>
      <c r="I5703" s="2" t="s">
        <v>12548</v>
      </c>
      <c r="J5703" s="2" t="s">
        <v>12554</v>
      </c>
      <c r="K5703">
        <v>20</v>
      </c>
      <c r="L5703">
        <v>20</v>
      </c>
      <c r="M5703">
        <v>20</v>
      </c>
    </row>
    <row r="5704" spans="1:13" x14ac:dyDescent="0.25">
      <c r="A5704" t="s">
        <v>12555</v>
      </c>
      <c r="B5704" t="s">
        <v>12557</v>
      </c>
      <c r="C5704" t="s">
        <v>20</v>
      </c>
      <c r="D5704" t="s">
        <v>894</v>
      </c>
      <c r="G5704" t="s">
        <v>16</v>
      </c>
      <c r="H5704">
        <v>0</v>
      </c>
      <c r="I5704" s="2" t="s">
        <v>3783</v>
      </c>
      <c r="J5704" s="2" t="s">
        <v>12556</v>
      </c>
      <c r="K5704">
        <v>20</v>
      </c>
      <c r="L5704">
        <v>20</v>
      </c>
      <c r="M5704">
        <v>20</v>
      </c>
    </row>
    <row r="5705" spans="1:13" x14ac:dyDescent="0.25">
      <c r="A5705" t="s">
        <v>12558</v>
      </c>
      <c r="B5705" t="s">
        <v>12559</v>
      </c>
      <c r="C5705" t="s">
        <v>20</v>
      </c>
      <c r="D5705" t="s">
        <v>894</v>
      </c>
      <c r="F5705">
        <v>1</v>
      </c>
      <c r="G5705" t="s">
        <v>16</v>
      </c>
      <c r="H5705">
        <v>0</v>
      </c>
      <c r="I5705" s="2" t="s">
        <v>408</v>
      </c>
      <c r="J5705" s="2" t="s">
        <v>12560</v>
      </c>
      <c r="K5705">
        <v>20</v>
      </c>
      <c r="L5705">
        <v>20</v>
      </c>
      <c r="M5705">
        <v>20</v>
      </c>
    </row>
    <row r="5706" spans="1:13" x14ac:dyDescent="0.25">
      <c r="A5706" t="s">
        <v>12561</v>
      </c>
      <c r="B5706" t="s">
        <v>12562</v>
      </c>
      <c r="C5706" t="s">
        <v>20</v>
      </c>
      <c r="D5706" t="s">
        <v>894</v>
      </c>
      <c r="G5706" t="s">
        <v>16</v>
      </c>
      <c r="H5706">
        <v>0</v>
      </c>
      <c r="I5706" s="2" t="s">
        <v>3756</v>
      </c>
      <c r="J5706" s="2" t="s">
        <v>12563</v>
      </c>
      <c r="K5706">
        <v>20</v>
      </c>
      <c r="L5706">
        <v>20</v>
      </c>
      <c r="M5706">
        <v>20</v>
      </c>
    </row>
    <row r="5707" spans="1:13" x14ac:dyDescent="0.25">
      <c r="A5707" t="s">
        <v>12564</v>
      </c>
      <c r="B5707" t="s">
        <v>12565</v>
      </c>
      <c r="C5707" t="s">
        <v>20</v>
      </c>
      <c r="D5707" t="s">
        <v>894</v>
      </c>
      <c r="G5707" t="s">
        <v>16</v>
      </c>
      <c r="H5707">
        <v>0</v>
      </c>
      <c r="I5707" s="2" t="s">
        <v>3689</v>
      </c>
      <c r="J5707" s="2">
        <v>25405944</v>
      </c>
      <c r="K5707">
        <v>20</v>
      </c>
      <c r="L5707">
        <v>20</v>
      </c>
      <c r="M5707">
        <v>20</v>
      </c>
    </row>
    <row r="5708" spans="1:13" x14ac:dyDescent="0.25">
      <c r="A5708" t="s">
        <v>12566</v>
      </c>
      <c r="B5708" t="s">
        <v>12568</v>
      </c>
      <c r="C5708" t="s">
        <v>20</v>
      </c>
      <c r="D5708" t="s">
        <v>894</v>
      </c>
      <c r="G5708" t="s">
        <v>16</v>
      </c>
      <c r="H5708">
        <v>0</v>
      </c>
      <c r="I5708" s="2" t="s">
        <v>900</v>
      </c>
      <c r="J5708" s="2" t="s">
        <v>12567</v>
      </c>
      <c r="K5708">
        <v>20</v>
      </c>
      <c r="L5708">
        <v>20</v>
      </c>
      <c r="M5708">
        <v>20</v>
      </c>
    </row>
    <row r="5709" spans="1:13" x14ac:dyDescent="0.25">
      <c r="A5709" t="s">
        <v>12569</v>
      </c>
      <c r="B5709" t="s">
        <v>12570</v>
      </c>
      <c r="C5709" t="s">
        <v>20</v>
      </c>
      <c r="D5709" t="s">
        <v>894</v>
      </c>
      <c r="F5709">
        <v>1</v>
      </c>
      <c r="G5709" t="s">
        <v>16</v>
      </c>
      <c r="H5709">
        <v>0</v>
      </c>
      <c r="I5709" s="2" t="s">
        <v>3689</v>
      </c>
      <c r="J5709" s="2">
        <v>25401076</v>
      </c>
      <c r="K5709">
        <v>20</v>
      </c>
      <c r="L5709">
        <v>20</v>
      </c>
      <c r="M5709">
        <v>20</v>
      </c>
    </row>
    <row r="5710" spans="1:13" x14ac:dyDescent="0.25">
      <c r="A5710" t="s">
        <v>12571</v>
      </c>
      <c r="B5710" t="s">
        <v>12570</v>
      </c>
      <c r="C5710" t="s">
        <v>20</v>
      </c>
      <c r="D5710" t="s">
        <v>894</v>
      </c>
      <c r="F5710">
        <v>3</v>
      </c>
      <c r="G5710" t="s">
        <v>16</v>
      </c>
      <c r="H5710">
        <v>0</v>
      </c>
      <c r="I5710" s="2" t="s">
        <v>288</v>
      </c>
      <c r="J5710" s="2" t="s">
        <v>12572</v>
      </c>
      <c r="K5710">
        <v>20</v>
      </c>
      <c r="L5710">
        <v>20</v>
      </c>
      <c r="M5710">
        <v>20</v>
      </c>
    </row>
    <row r="5711" spans="1:13" x14ac:dyDescent="0.25">
      <c r="A5711" t="s">
        <v>12573</v>
      </c>
      <c r="B5711" t="s">
        <v>12574</v>
      </c>
      <c r="C5711" t="s">
        <v>20</v>
      </c>
      <c r="D5711" t="s">
        <v>894</v>
      </c>
      <c r="G5711" t="s">
        <v>16</v>
      </c>
      <c r="H5711">
        <v>0</v>
      </c>
      <c r="I5711" s="2" t="s">
        <v>5737</v>
      </c>
      <c r="J5711" s="2" t="s">
        <v>12575</v>
      </c>
      <c r="K5711">
        <v>20</v>
      </c>
      <c r="L5711">
        <v>20</v>
      </c>
      <c r="M5711">
        <v>20</v>
      </c>
    </row>
    <row r="5712" spans="1:13" x14ac:dyDescent="0.25">
      <c r="A5712" t="s">
        <v>12576</v>
      </c>
      <c r="B5712" t="s">
        <v>12570</v>
      </c>
      <c r="C5712" t="s">
        <v>20</v>
      </c>
      <c r="D5712" t="s">
        <v>894</v>
      </c>
      <c r="G5712" t="s">
        <v>16</v>
      </c>
      <c r="H5712">
        <v>0</v>
      </c>
      <c r="I5712" s="2" t="s">
        <v>404</v>
      </c>
      <c r="J5712" s="2" t="s">
        <v>12577</v>
      </c>
      <c r="K5712">
        <v>20</v>
      </c>
      <c r="L5712">
        <v>20</v>
      </c>
      <c r="M5712">
        <v>20</v>
      </c>
    </row>
    <row r="5713" spans="1:13" x14ac:dyDescent="0.25">
      <c r="A5713" t="s">
        <v>12578</v>
      </c>
      <c r="B5713" t="s">
        <v>12570</v>
      </c>
      <c r="C5713" t="s">
        <v>20</v>
      </c>
      <c r="D5713" t="s">
        <v>894</v>
      </c>
      <c r="G5713" t="s">
        <v>16</v>
      </c>
      <c r="H5713">
        <v>0</v>
      </c>
      <c r="I5713" s="2" t="s">
        <v>408</v>
      </c>
      <c r="J5713" s="2" t="s">
        <v>12579</v>
      </c>
      <c r="K5713">
        <v>20</v>
      </c>
      <c r="L5713">
        <v>20</v>
      </c>
      <c r="M5713">
        <v>20</v>
      </c>
    </row>
    <row r="5714" spans="1:13" x14ac:dyDescent="0.25">
      <c r="A5714" t="s">
        <v>12580</v>
      </c>
      <c r="B5714" t="s">
        <v>12581</v>
      </c>
      <c r="C5714" t="s">
        <v>20</v>
      </c>
      <c r="D5714" t="s">
        <v>899</v>
      </c>
      <c r="F5714">
        <v>1</v>
      </c>
      <c r="G5714" t="s">
        <v>16</v>
      </c>
      <c r="H5714">
        <v>0</v>
      </c>
      <c r="I5714" s="2" t="s">
        <v>900</v>
      </c>
      <c r="J5714" s="2" t="s">
        <v>12582</v>
      </c>
      <c r="K5714">
        <v>20</v>
      </c>
      <c r="L5714">
        <v>20</v>
      </c>
      <c r="M5714">
        <v>20</v>
      </c>
    </row>
    <row r="5715" spans="1:13" x14ac:dyDescent="0.25">
      <c r="A5715" t="s">
        <v>12583</v>
      </c>
      <c r="B5715" t="s">
        <v>12581</v>
      </c>
      <c r="C5715" t="s">
        <v>20</v>
      </c>
      <c r="D5715" t="s">
        <v>899</v>
      </c>
      <c r="F5715">
        <v>2</v>
      </c>
      <c r="G5715" t="s">
        <v>16</v>
      </c>
      <c r="H5715">
        <v>0</v>
      </c>
      <c r="I5715" s="2" t="s">
        <v>3783</v>
      </c>
      <c r="J5715" s="2" t="s">
        <v>12584</v>
      </c>
      <c r="K5715">
        <v>20</v>
      </c>
      <c r="L5715">
        <v>20</v>
      </c>
      <c r="M5715">
        <v>20</v>
      </c>
    </row>
    <row r="5716" spans="1:13" x14ac:dyDescent="0.25">
      <c r="A5716" t="s">
        <v>12585</v>
      </c>
      <c r="B5716" t="s">
        <v>12586</v>
      </c>
      <c r="C5716" t="s">
        <v>20</v>
      </c>
      <c r="D5716" t="s">
        <v>899</v>
      </c>
      <c r="F5716">
        <v>4</v>
      </c>
      <c r="G5716" t="s">
        <v>16</v>
      </c>
      <c r="H5716">
        <v>0</v>
      </c>
      <c r="I5716" s="2" t="s">
        <v>3689</v>
      </c>
      <c r="J5716" s="2">
        <v>25405525</v>
      </c>
      <c r="K5716">
        <v>20</v>
      </c>
      <c r="L5716">
        <v>20</v>
      </c>
      <c r="M5716">
        <v>20</v>
      </c>
    </row>
    <row r="5717" spans="1:13" x14ac:dyDescent="0.25">
      <c r="A5717" t="s">
        <v>12587</v>
      </c>
      <c r="B5717" t="s">
        <v>12588</v>
      </c>
      <c r="C5717" t="s">
        <v>20</v>
      </c>
      <c r="D5717" t="s">
        <v>894</v>
      </c>
      <c r="F5717">
        <v>1</v>
      </c>
      <c r="G5717" t="s">
        <v>16</v>
      </c>
      <c r="H5717">
        <v>0</v>
      </c>
      <c r="I5717" s="2" t="s">
        <v>3689</v>
      </c>
      <c r="J5717" s="2">
        <v>25405987</v>
      </c>
      <c r="K5717">
        <v>20</v>
      </c>
      <c r="L5717">
        <v>20</v>
      </c>
      <c r="M5717">
        <v>20</v>
      </c>
    </row>
    <row r="5718" spans="1:13" x14ac:dyDescent="0.25">
      <c r="A5718" t="s">
        <v>12589</v>
      </c>
      <c r="B5718" t="s">
        <v>12590</v>
      </c>
      <c r="C5718" t="s">
        <v>20</v>
      </c>
      <c r="D5718" t="s">
        <v>894</v>
      </c>
      <c r="G5718" t="s">
        <v>16</v>
      </c>
      <c r="H5718">
        <v>0</v>
      </c>
      <c r="I5718" s="2" t="s">
        <v>900</v>
      </c>
      <c r="J5718" s="2" t="s">
        <v>12591</v>
      </c>
      <c r="K5718">
        <v>20</v>
      </c>
      <c r="L5718">
        <v>20</v>
      </c>
      <c r="M5718">
        <v>20</v>
      </c>
    </row>
    <row r="5719" spans="1:13" x14ac:dyDescent="0.25">
      <c r="A5719" t="s">
        <v>12592</v>
      </c>
      <c r="B5719" t="s">
        <v>12586</v>
      </c>
      <c r="C5719" t="s">
        <v>20</v>
      </c>
      <c r="D5719" t="s">
        <v>899</v>
      </c>
      <c r="F5719">
        <v>2</v>
      </c>
      <c r="G5719" t="s">
        <v>16</v>
      </c>
      <c r="H5719">
        <v>0</v>
      </c>
      <c r="I5719" s="2" t="s">
        <v>3783</v>
      </c>
      <c r="J5719" s="2" t="s">
        <v>12593</v>
      </c>
      <c r="K5719">
        <v>20</v>
      </c>
      <c r="L5719">
        <v>20</v>
      </c>
      <c r="M5719">
        <v>20</v>
      </c>
    </row>
    <row r="5720" spans="1:13" x14ac:dyDescent="0.25">
      <c r="A5720" t="s">
        <v>12594</v>
      </c>
      <c r="B5720" t="s">
        <v>12595</v>
      </c>
      <c r="C5720" t="s">
        <v>20</v>
      </c>
      <c r="D5720" t="s">
        <v>894</v>
      </c>
      <c r="G5720" t="s">
        <v>16</v>
      </c>
      <c r="H5720">
        <v>0</v>
      </c>
      <c r="I5720" s="2" t="s">
        <v>3800</v>
      </c>
      <c r="J5720" s="2" t="s">
        <v>12596</v>
      </c>
      <c r="K5720">
        <v>20</v>
      </c>
      <c r="L5720">
        <v>20</v>
      </c>
      <c r="M5720">
        <v>20</v>
      </c>
    </row>
    <row r="5721" spans="1:13" x14ac:dyDescent="0.25">
      <c r="A5721" t="s">
        <v>12597</v>
      </c>
      <c r="B5721" t="s">
        <v>12588</v>
      </c>
      <c r="C5721" t="s">
        <v>20</v>
      </c>
      <c r="D5721" t="s">
        <v>894</v>
      </c>
      <c r="F5721">
        <v>3</v>
      </c>
      <c r="G5721" t="s">
        <v>16</v>
      </c>
      <c r="H5721">
        <v>0</v>
      </c>
      <c r="I5721" s="2" t="s">
        <v>408</v>
      </c>
      <c r="J5721" s="2" t="s">
        <v>12598</v>
      </c>
      <c r="K5721">
        <v>20</v>
      </c>
      <c r="L5721">
        <v>20</v>
      </c>
      <c r="M5721">
        <v>20</v>
      </c>
    </row>
    <row r="5722" spans="1:13" x14ac:dyDescent="0.25">
      <c r="A5722" t="s">
        <v>12599</v>
      </c>
      <c r="B5722" t="s">
        <v>12600</v>
      </c>
      <c r="C5722" t="s">
        <v>20</v>
      </c>
      <c r="D5722" t="s">
        <v>894</v>
      </c>
      <c r="F5722">
        <v>1</v>
      </c>
      <c r="G5722" t="s">
        <v>16</v>
      </c>
      <c r="H5722">
        <v>0</v>
      </c>
      <c r="I5722" s="2" t="s">
        <v>51</v>
      </c>
      <c r="J5722" s="2" t="s">
        <v>12599</v>
      </c>
      <c r="K5722">
        <v>20</v>
      </c>
      <c r="L5722">
        <v>20</v>
      </c>
      <c r="M5722">
        <v>20</v>
      </c>
    </row>
    <row r="5723" spans="1:13" x14ac:dyDescent="0.25">
      <c r="A5723" t="s">
        <v>12601</v>
      </c>
      <c r="B5723" t="s">
        <v>12602</v>
      </c>
      <c r="C5723" t="s">
        <v>20</v>
      </c>
      <c r="D5723" t="s">
        <v>894</v>
      </c>
      <c r="F5723">
        <v>1</v>
      </c>
      <c r="G5723" t="s">
        <v>16</v>
      </c>
      <c r="H5723">
        <v>0</v>
      </c>
      <c r="I5723" s="2" t="s">
        <v>3689</v>
      </c>
      <c r="J5723" s="2">
        <v>25401030</v>
      </c>
      <c r="K5723">
        <v>20</v>
      </c>
      <c r="L5723">
        <v>20</v>
      </c>
      <c r="M5723">
        <v>20</v>
      </c>
    </row>
    <row r="5724" spans="1:13" x14ac:dyDescent="0.25">
      <c r="A5724" t="s">
        <v>12603</v>
      </c>
      <c r="B5724" t="s">
        <v>12602</v>
      </c>
      <c r="C5724" t="s">
        <v>20</v>
      </c>
      <c r="D5724" t="s">
        <v>894</v>
      </c>
      <c r="F5724">
        <v>1</v>
      </c>
      <c r="G5724" t="s">
        <v>16</v>
      </c>
      <c r="H5724">
        <v>0</v>
      </c>
      <c r="I5724" s="2" t="s">
        <v>408</v>
      </c>
      <c r="J5724" s="2" t="s">
        <v>12604</v>
      </c>
      <c r="K5724">
        <v>20</v>
      </c>
      <c r="L5724">
        <v>20</v>
      </c>
      <c r="M5724">
        <v>20</v>
      </c>
    </row>
    <row r="5725" spans="1:13" x14ac:dyDescent="0.25">
      <c r="A5725" t="s">
        <v>12605</v>
      </c>
      <c r="B5725" t="s">
        <v>12606</v>
      </c>
      <c r="C5725" t="s">
        <v>20</v>
      </c>
      <c r="D5725" t="s">
        <v>894</v>
      </c>
      <c r="F5725">
        <v>1</v>
      </c>
      <c r="G5725" t="s">
        <v>16</v>
      </c>
      <c r="H5725">
        <v>0</v>
      </c>
      <c r="I5725" s="2" t="s">
        <v>12607</v>
      </c>
      <c r="J5725" s="2" t="s">
        <v>12608</v>
      </c>
      <c r="K5725">
        <v>20</v>
      </c>
      <c r="L5725">
        <v>20</v>
      </c>
      <c r="M5725">
        <v>20</v>
      </c>
    </row>
    <row r="5726" spans="1:13" x14ac:dyDescent="0.25">
      <c r="A5726" t="s">
        <v>12609</v>
      </c>
      <c r="B5726" t="s">
        <v>12610</v>
      </c>
      <c r="C5726" t="s">
        <v>20</v>
      </c>
      <c r="D5726" t="s">
        <v>894</v>
      </c>
      <c r="F5726">
        <v>2</v>
      </c>
      <c r="G5726" t="s">
        <v>16</v>
      </c>
      <c r="H5726">
        <v>0</v>
      </c>
      <c r="I5726" s="2" t="s">
        <v>301</v>
      </c>
      <c r="J5726" s="2">
        <v>25405198</v>
      </c>
      <c r="K5726">
        <v>20</v>
      </c>
      <c r="L5726">
        <v>20</v>
      </c>
      <c r="M5726">
        <v>20</v>
      </c>
    </row>
    <row r="5727" spans="1:13" x14ac:dyDescent="0.25">
      <c r="A5727" t="s">
        <v>12611</v>
      </c>
      <c r="B5727" t="s">
        <v>12612</v>
      </c>
      <c r="C5727" t="s">
        <v>20</v>
      </c>
      <c r="D5727" t="s">
        <v>894</v>
      </c>
      <c r="F5727">
        <v>1</v>
      </c>
      <c r="G5727" t="s">
        <v>16</v>
      </c>
      <c r="H5727">
        <v>0</v>
      </c>
      <c r="I5727" s="2" t="s">
        <v>285</v>
      </c>
      <c r="J5727" s="2">
        <v>78018</v>
      </c>
      <c r="K5727">
        <v>20</v>
      </c>
      <c r="L5727">
        <v>20</v>
      </c>
      <c r="M5727">
        <v>20</v>
      </c>
    </row>
    <row r="5728" spans="1:13" x14ac:dyDescent="0.25">
      <c r="A5728" t="s">
        <v>12613</v>
      </c>
      <c r="B5728" t="s">
        <v>12615</v>
      </c>
      <c r="C5728" t="s">
        <v>20</v>
      </c>
      <c r="D5728" t="s">
        <v>894</v>
      </c>
      <c r="F5728">
        <v>1</v>
      </c>
      <c r="G5728" t="s">
        <v>16</v>
      </c>
      <c r="H5728">
        <v>0</v>
      </c>
      <c r="I5728" s="2" t="s">
        <v>900</v>
      </c>
      <c r="J5728" s="2" t="s">
        <v>12614</v>
      </c>
      <c r="K5728">
        <v>20</v>
      </c>
      <c r="L5728">
        <v>20</v>
      </c>
      <c r="M5728">
        <v>20</v>
      </c>
    </row>
    <row r="5729" spans="1:13" x14ac:dyDescent="0.25">
      <c r="A5729" t="s">
        <v>12616</v>
      </c>
      <c r="B5729" t="s">
        <v>12617</v>
      </c>
      <c r="C5729" t="s">
        <v>20</v>
      </c>
      <c r="D5729" t="s">
        <v>894</v>
      </c>
      <c r="F5729">
        <v>2</v>
      </c>
      <c r="G5729" t="s">
        <v>16</v>
      </c>
      <c r="H5729">
        <v>0</v>
      </c>
      <c r="I5729" s="2" t="s">
        <v>301</v>
      </c>
      <c r="J5729" s="2">
        <v>25400250</v>
      </c>
      <c r="K5729">
        <v>20</v>
      </c>
      <c r="L5729">
        <v>20</v>
      </c>
      <c r="M5729">
        <v>20</v>
      </c>
    </row>
    <row r="5730" spans="1:13" x14ac:dyDescent="0.25">
      <c r="A5730" t="s">
        <v>12618</v>
      </c>
      <c r="B5730" t="s">
        <v>12617</v>
      </c>
      <c r="C5730" t="s">
        <v>20</v>
      </c>
      <c r="D5730" t="s">
        <v>894</v>
      </c>
      <c r="G5730" t="s">
        <v>16</v>
      </c>
      <c r="H5730">
        <v>0</v>
      </c>
      <c r="I5730" s="2" t="s">
        <v>3800</v>
      </c>
      <c r="J5730" s="2" t="s">
        <v>12619</v>
      </c>
      <c r="K5730">
        <v>20</v>
      </c>
      <c r="L5730">
        <v>20</v>
      </c>
      <c r="M5730">
        <v>20</v>
      </c>
    </row>
    <row r="5731" spans="1:13" x14ac:dyDescent="0.25">
      <c r="A5731" t="s">
        <v>12620</v>
      </c>
      <c r="B5731" t="s">
        <v>12621</v>
      </c>
      <c r="C5731" t="s">
        <v>20</v>
      </c>
      <c r="D5731" t="s">
        <v>894</v>
      </c>
      <c r="G5731" t="s">
        <v>16</v>
      </c>
      <c r="H5731">
        <v>0</v>
      </c>
      <c r="I5731" s="2" t="s">
        <v>51</v>
      </c>
      <c r="J5731" s="2" t="s">
        <v>12620</v>
      </c>
      <c r="K5731">
        <v>20</v>
      </c>
      <c r="L5731">
        <v>20</v>
      </c>
      <c r="M5731">
        <v>20</v>
      </c>
    </row>
    <row r="5732" spans="1:13" x14ac:dyDescent="0.25">
      <c r="A5732" t="s">
        <v>12622</v>
      </c>
      <c r="B5732" t="s">
        <v>12621</v>
      </c>
      <c r="C5732" t="s">
        <v>20</v>
      </c>
      <c r="D5732" t="s">
        <v>894</v>
      </c>
      <c r="F5732">
        <v>3</v>
      </c>
      <c r="G5732" t="s">
        <v>16</v>
      </c>
      <c r="H5732">
        <v>0</v>
      </c>
      <c r="I5732" s="2" t="s">
        <v>3689</v>
      </c>
      <c r="J5732" s="2">
        <v>25405989</v>
      </c>
      <c r="K5732">
        <v>20</v>
      </c>
      <c r="L5732">
        <v>20</v>
      </c>
      <c r="M5732">
        <v>20</v>
      </c>
    </row>
    <row r="5733" spans="1:13" x14ac:dyDescent="0.25">
      <c r="A5733" t="s">
        <v>12623</v>
      </c>
      <c r="B5733" t="s">
        <v>12624</v>
      </c>
      <c r="C5733" t="s">
        <v>20</v>
      </c>
      <c r="D5733" t="s">
        <v>894</v>
      </c>
      <c r="G5733" t="s">
        <v>16</v>
      </c>
      <c r="H5733">
        <v>0</v>
      </c>
      <c r="I5733" s="2" t="s">
        <v>408</v>
      </c>
      <c r="J5733" s="2" t="s">
        <v>12625</v>
      </c>
      <c r="K5733">
        <v>20</v>
      </c>
      <c r="L5733">
        <v>20</v>
      </c>
      <c r="M5733">
        <v>20</v>
      </c>
    </row>
    <row r="5734" spans="1:13" x14ac:dyDescent="0.25">
      <c r="A5734" t="s">
        <v>12626</v>
      </c>
      <c r="B5734" t="s">
        <v>12628</v>
      </c>
      <c r="C5734" t="s">
        <v>20</v>
      </c>
      <c r="D5734" t="s">
        <v>894</v>
      </c>
      <c r="F5734">
        <v>1</v>
      </c>
      <c r="G5734" t="s">
        <v>16</v>
      </c>
      <c r="H5734">
        <v>0</v>
      </c>
      <c r="I5734" s="2" t="s">
        <v>900</v>
      </c>
      <c r="J5734" s="2" t="s">
        <v>12627</v>
      </c>
      <c r="K5734">
        <v>20</v>
      </c>
      <c r="L5734">
        <v>20</v>
      </c>
      <c r="M5734">
        <v>20</v>
      </c>
    </row>
    <row r="5735" spans="1:13" x14ac:dyDescent="0.25">
      <c r="A5735" t="s">
        <v>12629</v>
      </c>
      <c r="B5735" t="s">
        <v>12630</v>
      </c>
      <c r="C5735" t="s">
        <v>20</v>
      </c>
      <c r="D5735" t="s">
        <v>894</v>
      </c>
      <c r="F5735">
        <v>1</v>
      </c>
      <c r="G5735" t="s">
        <v>16</v>
      </c>
      <c r="H5735">
        <v>0</v>
      </c>
      <c r="I5735" s="2" t="s">
        <v>411</v>
      </c>
      <c r="J5735" s="2" t="s">
        <v>12631</v>
      </c>
      <c r="K5735">
        <v>20</v>
      </c>
      <c r="L5735">
        <v>20</v>
      </c>
      <c r="M5735">
        <v>20</v>
      </c>
    </row>
    <row r="5736" spans="1:13" x14ac:dyDescent="0.25">
      <c r="A5736" t="s">
        <v>12632</v>
      </c>
      <c r="B5736" t="s">
        <v>12630</v>
      </c>
      <c r="C5736" t="s">
        <v>20</v>
      </c>
      <c r="D5736" t="s">
        <v>894</v>
      </c>
      <c r="G5736" t="s">
        <v>16</v>
      </c>
      <c r="H5736">
        <v>0</v>
      </c>
      <c r="I5736" s="2" t="s">
        <v>3800</v>
      </c>
      <c r="J5736" s="2" t="s">
        <v>12633</v>
      </c>
      <c r="K5736">
        <v>20</v>
      </c>
      <c r="L5736">
        <v>20</v>
      </c>
      <c r="M5736">
        <v>20</v>
      </c>
    </row>
    <row r="5737" spans="1:13" x14ac:dyDescent="0.25">
      <c r="A5737" t="s">
        <v>12634</v>
      </c>
      <c r="B5737" t="s">
        <v>12630</v>
      </c>
      <c r="C5737" t="s">
        <v>20</v>
      </c>
      <c r="D5737" t="s">
        <v>894</v>
      </c>
      <c r="F5737">
        <v>2</v>
      </c>
      <c r="G5737" t="s">
        <v>16</v>
      </c>
      <c r="H5737">
        <v>0</v>
      </c>
      <c r="I5737" s="2" t="s">
        <v>408</v>
      </c>
      <c r="J5737" s="2" t="s">
        <v>12635</v>
      </c>
      <c r="K5737">
        <v>20</v>
      </c>
      <c r="L5737">
        <v>20</v>
      </c>
      <c r="M5737">
        <v>20</v>
      </c>
    </row>
    <row r="5738" spans="1:13" x14ac:dyDescent="0.25">
      <c r="A5738" t="s">
        <v>12636</v>
      </c>
      <c r="B5738" t="s">
        <v>12637</v>
      </c>
      <c r="C5738" t="s">
        <v>20</v>
      </c>
      <c r="D5738" t="s">
        <v>899</v>
      </c>
      <c r="F5738">
        <v>2</v>
      </c>
      <c r="G5738" t="s">
        <v>16</v>
      </c>
      <c r="H5738">
        <v>0</v>
      </c>
      <c r="I5738" s="2" t="s">
        <v>3689</v>
      </c>
      <c r="J5738" s="2">
        <v>25405991</v>
      </c>
      <c r="K5738">
        <v>20</v>
      </c>
      <c r="L5738">
        <v>20</v>
      </c>
      <c r="M5738">
        <v>20</v>
      </c>
    </row>
    <row r="5739" spans="1:13" x14ac:dyDescent="0.25">
      <c r="A5739" t="s">
        <v>12638</v>
      </c>
      <c r="B5739" t="s">
        <v>12639</v>
      </c>
      <c r="C5739" t="s">
        <v>20</v>
      </c>
      <c r="D5739" t="s">
        <v>899</v>
      </c>
      <c r="F5739">
        <v>2</v>
      </c>
      <c r="G5739" t="s">
        <v>16</v>
      </c>
      <c r="H5739">
        <v>0</v>
      </c>
      <c r="I5739" s="2" t="s">
        <v>3783</v>
      </c>
      <c r="J5739" s="2" t="s">
        <v>11374</v>
      </c>
      <c r="K5739">
        <v>20</v>
      </c>
      <c r="L5739">
        <v>20</v>
      </c>
      <c r="M5739">
        <v>20</v>
      </c>
    </row>
    <row r="5740" spans="1:13" x14ac:dyDescent="0.25">
      <c r="A5740" t="s">
        <v>12640</v>
      </c>
      <c r="B5740" t="s">
        <v>12641</v>
      </c>
      <c r="C5740" t="s">
        <v>20</v>
      </c>
      <c r="D5740" t="s">
        <v>894</v>
      </c>
      <c r="F5740">
        <v>1</v>
      </c>
      <c r="G5740" t="s">
        <v>16</v>
      </c>
      <c r="H5740">
        <v>0</v>
      </c>
      <c r="I5740" s="2" t="s">
        <v>404</v>
      </c>
      <c r="J5740" s="2" t="s">
        <v>12642</v>
      </c>
      <c r="K5740">
        <v>20</v>
      </c>
      <c r="L5740">
        <v>20</v>
      </c>
      <c r="M5740">
        <v>20</v>
      </c>
    </row>
    <row r="5741" spans="1:13" x14ac:dyDescent="0.25">
      <c r="A5741" t="s">
        <v>12643</v>
      </c>
      <c r="B5741" t="s">
        <v>12644</v>
      </c>
      <c r="C5741" t="s">
        <v>540</v>
      </c>
      <c r="F5741">
        <v>3</v>
      </c>
      <c r="G5741" t="s">
        <v>16</v>
      </c>
      <c r="H5741">
        <v>0</v>
      </c>
      <c r="I5741" s="2" t="s">
        <v>737</v>
      </c>
      <c r="J5741" s="2" t="s">
        <v>12645</v>
      </c>
      <c r="K5741">
        <v>20</v>
      </c>
      <c r="L5741">
        <v>20</v>
      </c>
      <c r="M5741">
        <v>20</v>
      </c>
    </row>
    <row r="5742" spans="1:13" x14ac:dyDescent="0.25">
      <c r="A5742" t="s">
        <v>12646</v>
      </c>
      <c r="B5742" t="s">
        <v>12647</v>
      </c>
      <c r="C5742" t="s">
        <v>1426</v>
      </c>
      <c r="G5742" t="s">
        <v>16</v>
      </c>
      <c r="H5742">
        <v>0</v>
      </c>
      <c r="I5742" s="2" t="s">
        <v>511</v>
      </c>
      <c r="J5742" s="2">
        <v>220621</v>
      </c>
      <c r="K5742">
        <v>20</v>
      </c>
      <c r="L5742">
        <v>20</v>
      </c>
      <c r="M5742">
        <v>20</v>
      </c>
    </row>
    <row r="5743" spans="1:13" x14ac:dyDescent="0.25">
      <c r="A5743" t="s">
        <v>12648</v>
      </c>
      <c r="B5743" t="s">
        <v>12649</v>
      </c>
      <c r="C5743" t="s">
        <v>1426</v>
      </c>
      <c r="G5743" t="s">
        <v>16</v>
      </c>
      <c r="H5743">
        <v>0</v>
      </c>
      <c r="I5743" s="2" t="s">
        <v>511</v>
      </c>
      <c r="J5743" s="2">
        <v>220622</v>
      </c>
      <c r="K5743">
        <v>20</v>
      </c>
      <c r="L5743">
        <v>20</v>
      </c>
      <c r="M5743">
        <v>20</v>
      </c>
    </row>
    <row r="5744" spans="1:13" x14ac:dyDescent="0.25">
      <c r="A5744" t="s">
        <v>12650</v>
      </c>
      <c r="B5744" t="s">
        <v>12651</v>
      </c>
      <c r="C5744" t="s">
        <v>1426</v>
      </c>
      <c r="G5744" t="s">
        <v>16</v>
      </c>
      <c r="H5744">
        <v>0</v>
      </c>
      <c r="I5744" s="2" t="s">
        <v>591</v>
      </c>
      <c r="J5744" s="2">
        <v>220623</v>
      </c>
      <c r="K5744">
        <v>20</v>
      </c>
      <c r="L5744">
        <v>20</v>
      </c>
      <c r="M5744">
        <v>20</v>
      </c>
    </row>
    <row r="5745" spans="1:13" x14ac:dyDescent="0.25">
      <c r="A5745" t="s">
        <v>12652</v>
      </c>
      <c r="B5745" t="s">
        <v>12653</v>
      </c>
      <c r="C5745" t="s">
        <v>1426</v>
      </c>
      <c r="G5745" t="s">
        <v>16</v>
      </c>
      <c r="H5745">
        <v>0</v>
      </c>
      <c r="K5745">
        <v>20</v>
      </c>
      <c r="L5745">
        <v>20</v>
      </c>
      <c r="M5745">
        <v>20</v>
      </c>
    </row>
    <row r="5746" spans="1:13" x14ac:dyDescent="0.25">
      <c r="A5746" t="s">
        <v>12654</v>
      </c>
      <c r="B5746" t="s">
        <v>12655</v>
      </c>
      <c r="C5746" t="s">
        <v>151</v>
      </c>
      <c r="F5746">
        <v>1</v>
      </c>
      <c r="G5746" t="s">
        <v>16</v>
      </c>
      <c r="H5746">
        <v>0</v>
      </c>
      <c r="I5746" s="2" t="s">
        <v>854</v>
      </c>
      <c r="J5746" s="2">
        <v>438091</v>
      </c>
      <c r="K5746">
        <v>20</v>
      </c>
      <c r="L5746">
        <v>20</v>
      </c>
      <c r="M5746">
        <v>20</v>
      </c>
    </row>
    <row r="5747" spans="1:13" x14ac:dyDescent="0.25">
      <c r="A5747" t="s">
        <v>12656</v>
      </c>
      <c r="B5747" t="s">
        <v>12657</v>
      </c>
      <c r="C5747" t="s">
        <v>1436</v>
      </c>
      <c r="D5747" t="s">
        <v>1437</v>
      </c>
      <c r="F5747">
        <v>1</v>
      </c>
      <c r="G5747" t="s">
        <v>16</v>
      </c>
      <c r="H5747">
        <v>0</v>
      </c>
      <c r="I5747" s="2" t="s">
        <v>685</v>
      </c>
      <c r="J5747" s="2" t="str">
        <f>"0580314002"</f>
        <v>0580314002</v>
      </c>
      <c r="K5747">
        <v>20</v>
      </c>
      <c r="L5747">
        <v>20</v>
      </c>
      <c r="M5747">
        <v>20</v>
      </c>
    </row>
    <row r="5748" spans="1:13" x14ac:dyDescent="0.25">
      <c r="A5748" t="s">
        <v>12658</v>
      </c>
      <c r="B5748" t="s">
        <v>12657</v>
      </c>
      <c r="C5748" t="s">
        <v>1436</v>
      </c>
      <c r="D5748" t="s">
        <v>1437</v>
      </c>
      <c r="F5748">
        <v>1</v>
      </c>
      <c r="G5748" t="s">
        <v>16</v>
      </c>
      <c r="H5748">
        <v>0</v>
      </c>
      <c r="I5748" s="2" t="s">
        <v>707</v>
      </c>
      <c r="J5748" s="2" t="s">
        <v>12659</v>
      </c>
      <c r="K5748">
        <v>20</v>
      </c>
      <c r="L5748">
        <v>20</v>
      </c>
      <c r="M5748">
        <v>20</v>
      </c>
    </row>
    <row r="5749" spans="1:13" x14ac:dyDescent="0.25">
      <c r="A5749" t="s">
        <v>12660</v>
      </c>
      <c r="B5749" t="s">
        <v>12661</v>
      </c>
      <c r="C5749" t="s">
        <v>1436</v>
      </c>
      <c r="F5749">
        <v>1</v>
      </c>
      <c r="G5749" t="s">
        <v>16</v>
      </c>
      <c r="H5749">
        <v>0</v>
      </c>
      <c r="I5749" s="2" t="s">
        <v>2542</v>
      </c>
      <c r="J5749" s="2">
        <v>13105950</v>
      </c>
      <c r="K5749">
        <v>20</v>
      </c>
      <c r="L5749">
        <v>20</v>
      </c>
      <c r="M5749">
        <v>20</v>
      </c>
    </row>
    <row r="5750" spans="1:13" x14ac:dyDescent="0.25">
      <c r="A5750" t="s">
        <v>12662</v>
      </c>
      <c r="B5750" t="s">
        <v>12663</v>
      </c>
      <c r="C5750" t="s">
        <v>1436</v>
      </c>
      <c r="F5750">
        <v>3</v>
      </c>
      <c r="G5750" t="s">
        <v>16</v>
      </c>
      <c r="H5750">
        <v>0</v>
      </c>
      <c r="I5750" s="2" t="s">
        <v>500</v>
      </c>
      <c r="J5750" s="2" t="s">
        <v>12664</v>
      </c>
      <c r="K5750">
        <v>20</v>
      </c>
      <c r="L5750">
        <v>20</v>
      </c>
      <c r="M5750">
        <v>20</v>
      </c>
    </row>
    <row r="5751" spans="1:13" x14ac:dyDescent="0.25">
      <c r="A5751" t="s">
        <v>12665</v>
      </c>
      <c r="B5751" t="s">
        <v>12666</v>
      </c>
      <c r="C5751" t="s">
        <v>151</v>
      </c>
      <c r="G5751" t="s">
        <v>16</v>
      </c>
      <c r="H5751">
        <v>0</v>
      </c>
      <c r="I5751" s="2" t="s">
        <v>639</v>
      </c>
      <c r="J5751" s="2" t="s">
        <v>12667</v>
      </c>
      <c r="K5751">
        <v>20</v>
      </c>
      <c r="L5751">
        <v>20</v>
      </c>
      <c r="M5751">
        <v>20</v>
      </c>
    </row>
    <row r="5752" spans="1:13" x14ac:dyDescent="0.25">
      <c r="A5752" t="s">
        <v>12668</v>
      </c>
      <c r="B5752" t="s">
        <v>12669</v>
      </c>
      <c r="C5752" t="s">
        <v>1436</v>
      </c>
      <c r="D5752" t="s">
        <v>1437</v>
      </c>
      <c r="F5752">
        <v>2</v>
      </c>
      <c r="G5752" t="s">
        <v>16</v>
      </c>
      <c r="H5752">
        <v>0</v>
      </c>
      <c r="I5752" s="2" t="s">
        <v>937</v>
      </c>
      <c r="J5752" s="2" t="s">
        <v>12670</v>
      </c>
      <c r="K5752">
        <v>20</v>
      </c>
      <c r="L5752">
        <v>20</v>
      </c>
      <c r="M5752">
        <v>20</v>
      </c>
    </row>
    <row r="5753" spans="1:13" x14ac:dyDescent="0.25">
      <c r="A5753" t="s">
        <v>12671</v>
      </c>
      <c r="B5753" t="s">
        <v>12672</v>
      </c>
      <c r="C5753" t="s">
        <v>241</v>
      </c>
      <c r="D5753" t="s">
        <v>1436</v>
      </c>
      <c r="F5753">
        <v>1</v>
      </c>
      <c r="G5753" t="s">
        <v>16</v>
      </c>
      <c r="H5753">
        <v>0</v>
      </c>
      <c r="I5753" s="2" t="s">
        <v>64</v>
      </c>
      <c r="J5753" s="2">
        <v>10034504</v>
      </c>
      <c r="K5753">
        <v>20</v>
      </c>
      <c r="L5753">
        <v>20</v>
      </c>
      <c r="M5753">
        <v>20</v>
      </c>
    </row>
    <row r="5754" spans="1:13" x14ac:dyDescent="0.25">
      <c r="A5754" t="s">
        <v>12673</v>
      </c>
      <c r="B5754" t="s">
        <v>12675</v>
      </c>
      <c r="C5754" t="s">
        <v>241</v>
      </c>
      <c r="D5754" t="s">
        <v>1436</v>
      </c>
      <c r="F5754">
        <v>1</v>
      </c>
      <c r="G5754" t="s">
        <v>16</v>
      </c>
      <c r="H5754">
        <v>0</v>
      </c>
      <c r="I5754" s="2" t="s">
        <v>2389</v>
      </c>
      <c r="J5754" s="2" t="s">
        <v>12674</v>
      </c>
      <c r="K5754">
        <v>20</v>
      </c>
      <c r="L5754">
        <v>20</v>
      </c>
      <c r="M5754">
        <v>20</v>
      </c>
    </row>
    <row r="5755" spans="1:13" x14ac:dyDescent="0.25">
      <c r="A5755" t="s">
        <v>12676</v>
      </c>
      <c r="B5755" t="s">
        <v>12677</v>
      </c>
      <c r="C5755" t="s">
        <v>1436</v>
      </c>
      <c r="F5755">
        <v>1</v>
      </c>
      <c r="G5755" t="s">
        <v>16</v>
      </c>
      <c r="H5755">
        <v>0</v>
      </c>
      <c r="I5755" s="2" t="s">
        <v>685</v>
      </c>
      <c r="J5755" s="2" t="str">
        <f>"0445214086"</f>
        <v>0445214086</v>
      </c>
      <c r="K5755">
        <v>20</v>
      </c>
      <c r="L5755">
        <v>20</v>
      </c>
      <c r="M5755">
        <v>20</v>
      </c>
    </row>
    <row r="5756" spans="1:13" x14ac:dyDescent="0.25">
      <c r="A5756" t="s">
        <v>12678</v>
      </c>
      <c r="B5756" t="s">
        <v>12679</v>
      </c>
      <c r="C5756" t="s">
        <v>14</v>
      </c>
      <c r="D5756" t="s">
        <v>2620</v>
      </c>
      <c r="G5756" t="s">
        <v>16</v>
      </c>
      <c r="H5756">
        <v>0</v>
      </c>
      <c r="I5756" s="2" t="s">
        <v>685</v>
      </c>
      <c r="J5756" s="2" t="s">
        <v>12680</v>
      </c>
      <c r="K5756">
        <v>20</v>
      </c>
      <c r="L5756">
        <v>20</v>
      </c>
      <c r="M5756">
        <v>20</v>
      </c>
    </row>
    <row r="5757" spans="1:13" x14ac:dyDescent="0.25">
      <c r="A5757" t="s">
        <v>12681</v>
      </c>
      <c r="B5757" t="s">
        <v>12679</v>
      </c>
      <c r="C5757" t="s">
        <v>14</v>
      </c>
      <c r="D5757" t="s">
        <v>2620</v>
      </c>
      <c r="G5757" t="s">
        <v>16</v>
      </c>
      <c r="H5757">
        <v>0</v>
      </c>
      <c r="I5757" s="2" t="s">
        <v>707</v>
      </c>
      <c r="J5757" s="2" t="s">
        <v>12682</v>
      </c>
      <c r="K5757">
        <v>20</v>
      </c>
      <c r="L5757">
        <v>20</v>
      </c>
      <c r="M5757">
        <v>20</v>
      </c>
    </row>
    <row r="5758" spans="1:13" x14ac:dyDescent="0.25">
      <c r="A5758" t="s">
        <v>12683</v>
      </c>
      <c r="B5758" t="s">
        <v>12679</v>
      </c>
      <c r="C5758" t="s">
        <v>14</v>
      </c>
      <c r="D5758" t="s">
        <v>2620</v>
      </c>
      <c r="G5758" t="s">
        <v>16</v>
      </c>
      <c r="H5758">
        <v>0</v>
      </c>
      <c r="I5758" s="2" t="s">
        <v>392</v>
      </c>
      <c r="J5758" s="2">
        <v>1643625380</v>
      </c>
      <c r="K5758">
        <v>20</v>
      </c>
      <c r="L5758">
        <v>20</v>
      </c>
      <c r="M5758">
        <v>20</v>
      </c>
    </row>
    <row r="5759" spans="1:13" x14ac:dyDescent="0.25">
      <c r="A5759" t="s">
        <v>12684</v>
      </c>
      <c r="B5759" t="s">
        <v>12679</v>
      </c>
      <c r="C5759" t="s">
        <v>14</v>
      </c>
      <c r="D5759" t="s">
        <v>2620</v>
      </c>
      <c r="F5759">
        <v>4</v>
      </c>
      <c r="G5759" t="s">
        <v>16</v>
      </c>
      <c r="H5759">
        <v>0</v>
      </c>
      <c r="I5759" s="2" t="s">
        <v>1741</v>
      </c>
      <c r="J5759" s="2" t="s">
        <v>12685</v>
      </c>
      <c r="K5759">
        <v>20</v>
      </c>
      <c r="L5759">
        <v>20</v>
      </c>
      <c r="M5759">
        <v>20</v>
      </c>
    </row>
    <row r="5760" spans="1:13" x14ac:dyDescent="0.25">
      <c r="A5760" t="s">
        <v>12686</v>
      </c>
      <c r="B5760" t="s">
        <v>12679</v>
      </c>
      <c r="C5760" t="s">
        <v>14</v>
      </c>
      <c r="D5760" t="s">
        <v>2620</v>
      </c>
      <c r="G5760" t="s">
        <v>16</v>
      </c>
      <c r="H5760">
        <v>0</v>
      </c>
      <c r="I5760" s="2" t="s">
        <v>7250</v>
      </c>
      <c r="J5760" s="2" t="s">
        <v>12687</v>
      </c>
      <c r="K5760">
        <v>20</v>
      </c>
      <c r="L5760">
        <v>20</v>
      </c>
      <c r="M5760">
        <v>20</v>
      </c>
    </row>
    <row r="5761" spans="1:13" x14ac:dyDescent="0.25">
      <c r="A5761" t="s">
        <v>12688</v>
      </c>
      <c r="B5761" t="s">
        <v>12679</v>
      </c>
      <c r="C5761" t="s">
        <v>14</v>
      </c>
      <c r="D5761" t="s">
        <v>2620</v>
      </c>
      <c r="F5761">
        <v>2</v>
      </c>
      <c r="G5761" t="s">
        <v>16</v>
      </c>
      <c r="H5761">
        <v>0</v>
      </c>
      <c r="I5761" s="2" t="s">
        <v>669</v>
      </c>
      <c r="J5761" s="2" t="s">
        <v>12689</v>
      </c>
      <c r="K5761">
        <v>20</v>
      </c>
      <c r="L5761">
        <v>20</v>
      </c>
      <c r="M5761">
        <v>20</v>
      </c>
    </row>
    <row r="5762" spans="1:13" x14ac:dyDescent="0.25">
      <c r="A5762" t="s">
        <v>12690</v>
      </c>
      <c r="B5762" t="s">
        <v>12679</v>
      </c>
      <c r="C5762" t="s">
        <v>14</v>
      </c>
      <c r="D5762" t="s">
        <v>2620</v>
      </c>
      <c r="G5762" t="s">
        <v>16</v>
      </c>
      <c r="H5762">
        <v>0</v>
      </c>
      <c r="I5762" s="2" t="s">
        <v>17</v>
      </c>
      <c r="J5762" s="2" t="s">
        <v>12691</v>
      </c>
      <c r="K5762">
        <v>20</v>
      </c>
      <c r="L5762">
        <v>20</v>
      </c>
      <c r="M5762">
        <v>20</v>
      </c>
    </row>
    <row r="5763" spans="1:13" x14ac:dyDescent="0.25">
      <c r="A5763" t="s">
        <v>12692</v>
      </c>
      <c r="B5763" t="s">
        <v>12679</v>
      </c>
      <c r="C5763" t="s">
        <v>14</v>
      </c>
      <c r="D5763" t="s">
        <v>2620</v>
      </c>
      <c r="F5763">
        <v>7</v>
      </c>
      <c r="G5763" t="s">
        <v>16</v>
      </c>
      <c r="H5763">
        <v>0</v>
      </c>
      <c r="I5763" s="2" t="s">
        <v>842</v>
      </c>
      <c r="J5763" s="2">
        <v>587932</v>
      </c>
      <c r="K5763">
        <v>20</v>
      </c>
      <c r="L5763">
        <v>20</v>
      </c>
      <c r="M5763">
        <v>20</v>
      </c>
    </row>
    <row r="5764" spans="1:13" x14ac:dyDescent="0.25">
      <c r="A5764" t="s">
        <v>12693</v>
      </c>
      <c r="B5764" t="s">
        <v>12679</v>
      </c>
      <c r="C5764" t="s">
        <v>14</v>
      </c>
      <c r="D5764" t="s">
        <v>2620</v>
      </c>
      <c r="G5764" t="s">
        <v>16</v>
      </c>
      <c r="H5764">
        <v>0</v>
      </c>
      <c r="I5764" s="2" t="s">
        <v>4736</v>
      </c>
      <c r="J5764" s="2" t="s">
        <v>12694</v>
      </c>
      <c r="K5764">
        <v>20</v>
      </c>
      <c r="L5764">
        <v>20</v>
      </c>
      <c r="M5764">
        <v>20</v>
      </c>
    </row>
    <row r="5765" spans="1:13" x14ac:dyDescent="0.25">
      <c r="A5765" t="s">
        <v>12695</v>
      </c>
      <c r="B5765" t="s">
        <v>12697</v>
      </c>
      <c r="C5765" t="s">
        <v>241</v>
      </c>
      <c r="D5765" t="s">
        <v>1436</v>
      </c>
      <c r="G5765" t="s">
        <v>16</v>
      </c>
      <c r="H5765">
        <v>0</v>
      </c>
      <c r="I5765" s="2" t="s">
        <v>784</v>
      </c>
      <c r="J5765" s="2" t="s">
        <v>12696</v>
      </c>
      <c r="K5765">
        <v>20</v>
      </c>
      <c r="L5765">
        <v>20</v>
      </c>
      <c r="M5765">
        <v>20</v>
      </c>
    </row>
    <row r="5766" spans="1:13" x14ac:dyDescent="0.25">
      <c r="A5766" t="s">
        <v>12698</v>
      </c>
      <c r="B5766" t="s">
        <v>12699</v>
      </c>
      <c r="C5766" t="s">
        <v>241</v>
      </c>
      <c r="D5766" t="s">
        <v>1436</v>
      </c>
      <c r="F5766">
        <v>1</v>
      </c>
      <c r="G5766" t="s">
        <v>16</v>
      </c>
      <c r="H5766">
        <v>0</v>
      </c>
      <c r="I5766" s="2" t="s">
        <v>243</v>
      </c>
      <c r="J5766" s="2">
        <v>21650</v>
      </c>
      <c r="K5766">
        <v>20</v>
      </c>
      <c r="L5766">
        <v>20</v>
      </c>
      <c r="M5766">
        <v>20</v>
      </c>
    </row>
    <row r="5767" spans="1:13" x14ac:dyDescent="0.25">
      <c r="A5767" t="s">
        <v>12700</v>
      </c>
      <c r="B5767" t="s">
        <v>12701</v>
      </c>
      <c r="C5767" t="s">
        <v>241</v>
      </c>
      <c r="G5767" t="s">
        <v>16</v>
      </c>
      <c r="H5767">
        <v>0</v>
      </c>
      <c r="I5767" s="2" t="s">
        <v>243</v>
      </c>
      <c r="J5767" s="2">
        <v>21260</v>
      </c>
      <c r="K5767">
        <v>20</v>
      </c>
      <c r="L5767">
        <v>20</v>
      </c>
      <c r="M5767">
        <v>20</v>
      </c>
    </row>
    <row r="5768" spans="1:13" x14ac:dyDescent="0.25">
      <c r="A5768" t="s">
        <v>12702</v>
      </c>
      <c r="B5768" t="s">
        <v>12703</v>
      </c>
      <c r="C5768" t="s">
        <v>357</v>
      </c>
      <c r="D5768" t="s">
        <v>241</v>
      </c>
      <c r="F5768">
        <v>2</v>
      </c>
      <c r="G5768" t="s">
        <v>16</v>
      </c>
      <c r="H5768">
        <v>0</v>
      </c>
      <c r="I5768" s="2" t="s">
        <v>64</v>
      </c>
      <c r="J5768" s="2">
        <v>10030589</v>
      </c>
      <c r="K5768">
        <v>20</v>
      </c>
      <c r="L5768">
        <v>20</v>
      </c>
      <c r="M5768">
        <v>20</v>
      </c>
    </row>
    <row r="5769" spans="1:13" x14ac:dyDescent="0.25">
      <c r="A5769">
        <v>5825247</v>
      </c>
      <c r="B5769" t="s">
        <v>12704</v>
      </c>
      <c r="C5769" t="s">
        <v>20</v>
      </c>
      <c r="G5769" t="s">
        <v>16</v>
      </c>
      <c r="H5769">
        <v>0</v>
      </c>
      <c r="I5769" s="2" t="s">
        <v>497</v>
      </c>
      <c r="J5769" s="2">
        <v>93187697</v>
      </c>
      <c r="K5769">
        <v>20</v>
      </c>
      <c r="L5769">
        <v>20</v>
      </c>
      <c r="M5769">
        <v>20</v>
      </c>
    </row>
    <row r="5770" spans="1:13" x14ac:dyDescent="0.25">
      <c r="A5770" t="s">
        <v>12705</v>
      </c>
      <c r="B5770" t="s">
        <v>12706</v>
      </c>
      <c r="C5770" t="s">
        <v>241</v>
      </c>
      <c r="D5770" t="s">
        <v>2216</v>
      </c>
      <c r="G5770" t="s">
        <v>16</v>
      </c>
      <c r="H5770">
        <v>0</v>
      </c>
      <c r="I5770" s="2" t="s">
        <v>12707</v>
      </c>
      <c r="J5770" s="2">
        <v>21436</v>
      </c>
      <c r="K5770">
        <v>20</v>
      </c>
      <c r="L5770">
        <v>20</v>
      </c>
      <c r="M5770">
        <v>20</v>
      </c>
    </row>
    <row r="5771" spans="1:13" x14ac:dyDescent="0.25">
      <c r="A5771" t="s">
        <v>12708</v>
      </c>
      <c r="B5771" t="s">
        <v>12710</v>
      </c>
      <c r="C5771" t="s">
        <v>357</v>
      </c>
      <c r="D5771" t="s">
        <v>241</v>
      </c>
      <c r="F5771">
        <v>2</v>
      </c>
      <c r="G5771" t="s">
        <v>16</v>
      </c>
      <c r="H5771">
        <v>0</v>
      </c>
      <c r="I5771" s="2" t="s">
        <v>288</v>
      </c>
      <c r="J5771" s="2" t="s">
        <v>12709</v>
      </c>
      <c r="K5771">
        <v>20</v>
      </c>
      <c r="L5771">
        <v>20</v>
      </c>
      <c r="M5771">
        <v>20</v>
      </c>
    </row>
    <row r="5772" spans="1:13" x14ac:dyDescent="0.25">
      <c r="A5772" t="s">
        <v>12711</v>
      </c>
      <c r="B5772" t="s">
        <v>12712</v>
      </c>
      <c r="C5772" t="s">
        <v>357</v>
      </c>
      <c r="D5772" t="s">
        <v>241</v>
      </c>
      <c r="G5772" t="s">
        <v>16</v>
      </c>
      <c r="H5772">
        <v>0</v>
      </c>
      <c r="I5772" s="2" t="s">
        <v>243</v>
      </c>
      <c r="J5772" s="2">
        <v>21251</v>
      </c>
      <c r="K5772">
        <v>20</v>
      </c>
      <c r="L5772">
        <v>20</v>
      </c>
      <c r="M5772">
        <v>20</v>
      </c>
    </row>
    <row r="5773" spans="1:13" x14ac:dyDescent="0.25">
      <c r="A5773" t="s">
        <v>12713</v>
      </c>
      <c r="B5773" t="s">
        <v>12710</v>
      </c>
      <c r="C5773" t="s">
        <v>357</v>
      </c>
      <c r="D5773" t="s">
        <v>241</v>
      </c>
      <c r="F5773">
        <v>3</v>
      </c>
      <c r="G5773" t="s">
        <v>16</v>
      </c>
      <c r="H5773">
        <v>0</v>
      </c>
      <c r="I5773" s="2" t="s">
        <v>64</v>
      </c>
      <c r="J5773" s="2">
        <v>10030895</v>
      </c>
      <c r="K5773">
        <v>20</v>
      </c>
      <c r="L5773">
        <v>20</v>
      </c>
      <c r="M5773">
        <v>20</v>
      </c>
    </row>
    <row r="5774" spans="1:13" x14ac:dyDescent="0.25">
      <c r="A5774" t="s">
        <v>12714</v>
      </c>
      <c r="B5774" t="s">
        <v>12712</v>
      </c>
      <c r="C5774" t="s">
        <v>357</v>
      </c>
      <c r="D5774" t="s">
        <v>241</v>
      </c>
      <c r="F5774">
        <v>1</v>
      </c>
      <c r="G5774" t="s">
        <v>16</v>
      </c>
      <c r="H5774">
        <v>0</v>
      </c>
      <c r="I5774" s="2" t="s">
        <v>221</v>
      </c>
      <c r="J5774" s="2">
        <v>21251</v>
      </c>
      <c r="K5774">
        <v>20</v>
      </c>
      <c r="L5774">
        <v>20</v>
      </c>
      <c r="M5774">
        <v>20</v>
      </c>
    </row>
    <row r="5775" spans="1:13" x14ac:dyDescent="0.25">
      <c r="A5775" t="s">
        <v>12715</v>
      </c>
      <c r="B5775" t="s">
        <v>12712</v>
      </c>
      <c r="C5775" t="s">
        <v>357</v>
      </c>
      <c r="D5775" t="s">
        <v>241</v>
      </c>
      <c r="G5775" t="s">
        <v>16</v>
      </c>
      <c r="H5775">
        <v>0</v>
      </c>
      <c r="I5775" s="2" t="s">
        <v>784</v>
      </c>
      <c r="J5775" s="2" t="s">
        <v>12716</v>
      </c>
      <c r="K5775">
        <v>20</v>
      </c>
      <c r="L5775">
        <v>20</v>
      </c>
      <c r="M5775">
        <v>20</v>
      </c>
    </row>
    <row r="5776" spans="1:13" x14ac:dyDescent="0.25">
      <c r="A5776" t="s">
        <v>12717</v>
      </c>
      <c r="B5776" t="s">
        <v>12712</v>
      </c>
      <c r="C5776" t="s">
        <v>357</v>
      </c>
      <c r="D5776" t="s">
        <v>241</v>
      </c>
      <c r="F5776">
        <v>2</v>
      </c>
      <c r="G5776" t="s">
        <v>16</v>
      </c>
      <c r="H5776">
        <v>0</v>
      </c>
      <c r="I5776" s="2" t="s">
        <v>737</v>
      </c>
      <c r="J5776" s="2" t="s">
        <v>12718</v>
      </c>
      <c r="K5776">
        <v>20</v>
      </c>
      <c r="L5776">
        <v>20</v>
      </c>
      <c r="M5776">
        <v>20</v>
      </c>
    </row>
    <row r="5777" spans="1:13" x14ac:dyDescent="0.25">
      <c r="A5777">
        <v>5835847</v>
      </c>
      <c r="B5777" t="s">
        <v>12719</v>
      </c>
      <c r="C5777" t="s">
        <v>241</v>
      </c>
      <c r="D5777" t="s">
        <v>242</v>
      </c>
      <c r="G5777" t="s">
        <v>16</v>
      </c>
      <c r="H5777">
        <v>0</v>
      </c>
      <c r="I5777" s="2" t="s">
        <v>497</v>
      </c>
      <c r="J5777" s="2">
        <v>24460994</v>
      </c>
      <c r="K5777">
        <v>20</v>
      </c>
      <c r="L5777">
        <v>20</v>
      </c>
      <c r="M5777">
        <v>20</v>
      </c>
    </row>
    <row r="5778" spans="1:13" x14ac:dyDescent="0.25">
      <c r="A5778" t="s">
        <v>12720</v>
      </c>
      <c r="B5778" t="s">
        <v>12721</v>
      </c>
      <c r="C5778" t="s">
        <v>14</v>
      </c>
      <c r="D5778" t="s">
        <v>191</v>
      </c>
      <c r="F5778">
        <v>26</v>
      </c>
      <c r="G5778" t="s">
        <v>16</v>
      </c>
      <c r="H5778">
        <v>0</v>
      </c>
      <c r="I5778" s="2" t="s">
        <v>4783</v>
      </c>
      <c r="J5778" s="2">
        <v>51830174</v>
      </c>
      <c r="K5778">
        <v>20</v>
      </c>
      <c r="L5778">
        <v>20</v>
      </c>
      <c r="M5778">
        <v>20</v>
      </c>
    </row>
    <row r="5779" spans="1:13" x14ac:dyDescent="0.25">
      <c r="A5779" t="s">
        <v>12722</v>
      </c>
      <c r="B5779" t="s">
        <v>12721</v>
      </c>
      <c r="C5779" t="s">
        <v>14</v>
      </c>
      <c r="D5779" t="s">
        <v>191</v>
      </c>
      <c r="F5779">
        <v>10</v>
      </c>
      <c r="G5779" t="s">
        <v>16</v>
      </c>
      <c r="H5779">
        <v>0</v>
      </c>
      <c r="I5779" s="2" t="s">
        <v>1175</v>
      </c>
      <c r="J5779" s="2" t="s">
        <v>12723</v>
      </c>
      <c r="K5779">
        <v>20</v>
      </c>
      <c r="L5779">
        <v>20</v>
      </c>
      <c r="M5779">
        <v>20</v>
      </c>
    </row>
    <row r="5780" spans="1:13" x14ac:dyDescent="0.25">
      <c r="A5780" t="s">
        <v>12724</v>
      </c>
      <c r="B5780" t="s">
        <v>12721</v>
      </c>
      <c r="C5780" t="s">
        <v>14</v>
      </c>
      <c r="D5780" t="s">
        <v>191</v>
      </c>
      <c r="F5780">
        <v>2</v>
      </c>
      <c r="G5780" t="s">
        <v>16</v>
      </c>
      <c r="H5780">
        <v>0</v>
      </c>
      <c r="I5780" s="2" t="s">
        <v>4711</v>
      </c>
      <c r="J5780" s="2" t="s">
        <v>12725</v>
      </c>
      <c r="K5780">
        <v>20</v>
      </c>
      <c r="L5780">
        <v>20</v>
      </c>
      <c r="M5780">
        <v>20</v>
      </c>
    </row>
    <row r="5781" spans="1:13" x14ac:dyDescent="0.25">
      <c r="A5781" t="s">
        <v>12726</v>
      </c>
      <c r="B5781" t="s">
        <v>12727</v>
      </c>
      <c r="C5781" t="s">
        <v>14</v>
      </c>
      <c r="D5781" t="s">
        <v>191</v>
      </c>
      <c r="F5781">
        <v>5</v>
      </c>
      <c r="G5781" t="s">
        <v>16</v>
      </c>
      <c r="H5781">
        <v>0</v>
      </c>
      <c r="I5781" s="2" t="s">
        <v>4810</v>
      </c>
      <c r="J5781" s="2" t="s">
        <v>12728</v>
      </c>
      <c r="K5781">
        <v>20</v>
      </c>
      <c r="L5781">
        <v>20</v>
      </c>
      <c r="M5781">
        <v>20</v>
      </c>
    </row>
    <row r="5782" spans="1:13" x14ac:dyDescent="0.25">
      <c r="A5782" t="s">
        <v>12729</v>
      </c>
      <c r="B5782" t="s">
        <v>12731</v>
      </c>
      <c r="C5782" t="s">
        <v>241</v>
      </c>
      <c r="F5782">
        <v>1</v>
      </c>
      <c r="G5782" t="s">
        <v>16</v>
      </c>
      <c r="H5782">
        <v>0</v>
      </c>
      <c r="I5782" s="2" t="s">
        <v>288</v>
      </c>
      <c r="J5782" s="2" t="s">
        <v>12730</v>
      </c>
      <c r="K5782">
        <v>20</v>
      </c>
      <c r="L5782">
        <v>20</v>
      </c>
      <c r="M5782">
        <v>20</v>
      </c>
    </row>
    <row r="5783" spans="1:13" x14ac:dyDescent="0.25">
      <c r="A5783" t="s">
        <v>12732</v>
      </c>
      <c r="B5783" t="s">
        <v>12731</v>
      </c>
      <c r="C5783" t="s">
        <v>241</v>
      </c>
      <c r="G5783" t="s">
        <v>16</v>
      </c>
      <c r="H5783">
        <v>0</v>
      </c>
      <c r="I5783" s="2" t="s">
        <v>245</v>
      </c>
      <c r="J5783" s="2" t="s">
        <v>12733</v>
      </c>
      <c r="K5783">
        <v>20</v>
      </c>
      <c r="L5783">
        <v>20</v>
      </c>
      <c r="M5783">
        <v>20</v>
      </c>
    </row>
    <row r="5784" spans="1:13" x14ac:dyDescent="0.25">
      <c r="A5784" t="s">
        <v>12734</v>
      </c>
      <c r="B5784" t="s">
        <v>12731</v>
      </c>
      <c r="C5784" t="s">
        <v>241</v>
      </c>
      <c r="G5784" t="s">
        <v>16</v>
      </c>
      <c r="H5784">
        <v>0</v>
      </c>
      <c r="I5784" s="2" t="s">
        <v>737</v>
      </c>
      <c r="J5784" s="2" t="s">
        <v>12735</v>
      </c>
      <c r="K5784">
        <v>20</v>
      </c>
      <c r="L5784">
        <v>20</v>
      </c>
      <c r="M5784">
        <v>20</v>
      </c>
    </row>
    <row r="5785" spans="1:13" x14ac:dyDescent="0.25">
      <c r="A5785" t="s">
        <v>12736</v>
      </c>
      <c r="B5785" t="s">
        <v>12737</v>
      </c>
      <c r="C5785" t="s">
        <v>151</v>
      </c>
      <c r="G5785" t="s">
        <v>16</v>
      </c>
      <c r="H5785">
        <v>0</v>
      </c>
      <c r="I5785" s="2" t="s">
        <v>500</v>
      </c>
      <c r="J5785" s="2" t="s">
        <v>12738</v>
      </c>
      <c r="K5785">
        <v>20</v>
      </c>
      <c r="L5785">
        <v>20</v>
      </c>
      <c r="M5785">
        <v>20</v>
      </c>
    </row>
    <row r="5786" spans="1:13" x14ac:dyDescent="0.25">
      <c r="A5786" t="s">
        <v>12739</v>
      </c>
      <c r="B5786" t="s">
        <v>12740</v>
      </c>
      <c r="C5786" t="s">
        <v>20</v>
      </c>
      <c r="G5786" t="s">
        <v>16</v>
      </c>
      <c r="H5786">
        <v>0</v>
      </c>
      <c r="I5786" s="2" t="s">
        <v>12741</v>
      </c>
      <c r="J5786" s="2" t="s">
        <v>12742</v>
      </c>
      <c r="K5786">
        <v>20</v>
      </c>
      <c r="L5786">
        <v>20</v>
      </c>
      <c r="M5786">
        <v>20</v>
      </c>
    </row>
    <row r="5787" spans="1:13" x14ac:dyDescent="0.25">
      <c r="A5787" t="s">
        <v>12743</v>
      </c>
      <c r="B5787" t="s">
        <v>12744</v>
      </c>
      <c r="C5787" t="s">
        <v>20</v>
      </c>
      <c r="D5787" t="s">
        <v>26</v>
      </c>
      <c r="F5787">
        <v>1</v>
      </c>
      <c r="G5787" t="s">
        <v>16</v>
      </c>
      <c r="H5787">
        <v>0</v>
      </c>
      <c r="I5787" s="2" t="s">
        <v>99</v>
      </c>
      <c r="J5787" s="2" t="str">
        <f>"022-390"</f>
        <v>022-390</v>
      </c>
      <c r="K5787">
        <v>20</v>
      </c>
      <c r="L5787">
        <v>20</v>
      </c>
      <c r="M5787">
        <v>20</v>
      </c>
    </row>
    <row r="5788" spans="1:13" x14ac:dyDescent="0.25">
      <c r="A5788">
        <v>5850185</v>
      </c>
      <c r="B5788" t="s">
        <v>12745</v>
      </c>
      <c r="C5788" t="s">
        <v>20</v>
      </c>
      <c r="F5788">
        <v>0</v>
      </c>
      <c r="G5788" t="s">
        <v>16</v>
      </c>
      <c r="H5788">
        <v>0</v>
      </c>
      <c r="I5788" s="2" t="s">
        <v>497</v>
      </c>
      <c r="J5788" s="2">
        <v>93191224</v>
      </c>
      <c r="K5788">
        <v>20</v>
      </c>
      <c r="L5788">
        <v>20</v>
      </c>
      <c r="M5788">
        <v>20</v>
      </c>
    </row>
    <row r="5789" spans="1:13" x14ac:dyDescent="0.25">
      <c r="A5789" t="s">
        <v>12746</v>
      </c>
      <c r="B5789" t="s">
        <v>12747</v>
      </c>
      <c r="C5789" t="s">
        <v>20</v>
      </c>
      <c r="D5789" t="s">
        <v>26</v>
      </c>
      <c r="F5789">
        <v>1</v>
      </c>
      <c r="G5789" t="s">
        <v>16</v>
      </c>
      <c r="H5789">
        <v>0</v>
      </c>
      <c r="I5789" s="2" t="s">
        <v>142</v>
      </c>
      <c r="J5789" s="2">
        <v>5850534</v>
      </c>
      <c r="K5789">
        <v>20</v>
      </c>
      <c r="L5789">
        <v>20</v>
      </c>
      <c r="M5789">
        <v>20</v>
      </c>
    </row>
    <row r="5790" spans="1:13" x14ac:dyDescent="0.25">
      <c r="A5790" t="s">
        <v>12748</v>
      </c>
      <c r="B5790" t="s">
        <v>12749</v>
      </c>
      <c r="C5790" t="s">
        <v>20</v>
      </c>
      <c r="D5790" t="s">
        <v>26</v>
      </c>
      <c r="G5790" t="s">
        <v>16</v>
      </c>
      <c r="H5790">
        <v>0</v>
      </c>
      <c r="I5790" s="2" t="s">
        <v>80</v>
      </c>
      <c r="J5790" s="2" t="s">
        <v>12750</v>
      </c>
      <c r="K5790">
        <v>20</v>
      </c>
      <c r="L5790">
        <v>20</v>
      </c>
      <c r="M5790">
        <v>20</v>
      </c>
    </row>
    <row r="5791" spans="1:13" x14ac:dyDescent="0.25">
      <c r="A5791">
        <v>5850609</v>
      </c>
      <c r="B5791" t="s">
        <v>12751</v>
      </c>
      <c r="C5791" t="s">
        <v>20</v>
      </c>
      <c r="D5791" t="s">
        <v>26</v>
      </c>
      <c r="G5791" t="s">
        <v>16</v>
      </c>
      <c r="H5791">
        <v>0</v>
      </c>
      <c r="I5791" s="2" t="s">
        <v>142</v>
      </c>
      <c r="K5791">
        <v>20</v>
      </c>
      <c r="L5791">
        <v>20</v>
      </c>
      <c r="M5791">
        <v>20</v>
      </c>
    </row>
    <row r="5792" spans="1:13" x14ac:dyDescent="0.25">
      <c r="A5792" t="s">
        <v>12752</v>
      </c>
      <c r="B5792" t="s">
        <v>12751</v>
      </c>
      <c r="C5792" t="s">
        <v>20</v>
      </c>
      <c r="D5792" t="s">
        <v>26</v>
      </c>
      <c r="F5792">
        <v>3</v>
      </c>
      <c r="G5792" t="s">
        <v>16</v>
      </c>
      <c r="H5792">
        <v>0</v>
      </c>
      <c r="I5792" s="2" t="s">
        <v>5822</v>
      </c>
      <c r="J5792" s="2" t="s">
        <v>12753</v>
      </c>
      <c r="K5792">
        <v>20</v>
      </c>
      <c r="L5792">
        <v>20</v>
      </c>
      <c r="M5792">
        <v>20</v>
      </c>
    </row>
    <row r="5793" spans="1:13" x14ac:dyDescent="0.25">
      <c r="A5793" t="s">
        <v>12754</v>
      </c>
      <c r="B5793" t="s">
        <v>12756</v>
      </c>
      <c r="C5793" t="s">
        <v>20</v>
      </c>
      <c r="D5793" t="s">
        <v>26</v>
      </c>
      <c r="F5793">
        <v>1</v>
      </c>
      <c r="G5793" t="s">
        <v>16</v>
      </c>
      <c r="H5793">
        <v>0</v>
      </c>
      <c r="I5793" s="2" t="s">
        <v>142</v>
      </c>
      <c r="J5793" s="2" t="s">
        <v>12755</v>
      </c>
      <c r="K5793">
        <v>20</v>
      </c>
      <c r="L5793">
        <v>20</v>
      </c>
      <c r="M5793">
        <v>20</v>
      </c>
    </row>
    <row r="5794" spans="1:13" x14ac:dyDescent="0.25">
      <c r="A5794" t="s">
        <v>12757</v>
      </c>
      <c r="B5794" t="s">
        <v>12758</v>
      </c>
      <c r="C5794" t="s">
        <v>20</v>
      </c>
      <c r="D5794" t="s">
        <v>26</v>
      </c>
      <c r="G5794" t="s">
        <v>16</v>
      </c>
      <c r="H5794">
        <v>0</v>
      </c>
      <c r="I5794" s="2" t="s">
        <v>174</v>
      </c>
      <c r="J5794" s="2" t="str">
        <f>"092020"</f>
        <v>092020</v>
      </c>
      <c r="K5794">
        <v>20</v>
      </c>
      <c r="L5794">
        <v>20</v>
      </c>
      <c r="M5794">
        <v>20</v>
      </c>
    </row>
    <row r="5795" spans="1:13" x14ac:dyDescent="0.25">
      <c r="A5795" t="s">
        <v>12759</v>
      </c>
      <c r="B5795" t="s">
        <v>12758</v>
      </c>
      <c r="C5795" t="s">
        <v>20</v>
      </c>
      <c r="D5795" t="s">
        <v>26</v>
      </c>
      <c r="F5795">
        <v>1</v>
      </c>
      <c r="G5795" t="s">
        <v>16</v>
      </c>
      <c r="H5795">
        <v>0</v>
      </c>
      <c r="I5795" s="2" t="s">
        <v>83</v>
      </c>
      <c r="J5795" s="2" t="s">
        <v>12760</v>
      </c>
      <c r="K5795">
        <v>20</v>
      </c>
      <c r="L5795">
        <v>20</v>
      </c>
      <c r="M5795">
        <v>20</v>
      </c>
    </row>
    <row r="5796" spans="1:13" x14ac:dyDescent="0.25">
      <c r="A5796" t="s">
        <v>12761</v>
      </c>
      <c r="B5796" t="s">
        <v>12762</v>
      </c>
      <c r="C5796" t="s">
        <v>20</v>
      </c>
      <c r="D5796" t="s">
        <v>26</v>
      </c>
      <c r="G5796" t="s">
        <v>16</v>
      </c>
      <c r="H5796">
        <v>0</v>
      </c>
      <c r="I5796" s="2" t="s">
        <v>172</v>
      </c>
      <c r="J5796" s="2">
        <v>42448018</v>
      </c>
      <c r="K5796">
        <v>20</v>
      </c>
      <c r="L5796">
        <v>20</v>
      </c>
      <c r="M5796">
        <v>20</v>
      </c>
    </row>
    <row r="5797" spans="1:13" x14ac:dyDescent="0.25">
      <c r="A5797" t="s">
        <v>12763</v>
      </c>
      <c r="B5797" t="s">
        <v>12764</v>
      </c>
      <c r="C5797" t="s">
        <v>20</v>
      </c>
      <c r="D5797" t="s">
        <v>26</v>
      </c>
      <c r="G5797" t="s">
        <v>16</v>
      </c>
      <c r="H5797">
        <v>0</v>
      </c>
      <c r="I5797" s="2" t="s">
        <v>80</v>
      </c>
      <c r="J5797" s="2" t="s">
        <v>12765</v>
      </c>
      <c r="K5797">
        <v>20</v>
      </c>
      <c r="L5797">
        <v>20</v>
      </c>
      <c r="M5797">
        <v>20</v>
      </c>
    </row>
    <row r="5798" spans="1:13" x14ac:dyDescent="0.25">
      <c r="A5798" t="s">
        <v>12766</v>
      </c>
      <c r="B5798" t="s">
        <v>12767</v>
      </c>
      <c r="C5798" t="s">
        <v>20</v>
      </c>
      <c r="D5798" t="s">
        <v>26</v>
      </c>
      <c r="F5798">
        <v>3</v>
      </c>
      <c r="G5798" t="s">
        <v>16</v>
      </c>
      <c r="H5798">
        <v>0</v>
      </c>
      <c r="I5798" s="2" t="s">
        <v>99</v>
      </c>
      <c r="J5798" s="3">
        <v>809890</v>
      </c>
      <c r="K5798">
        <v>20</v>
      </c>
      <c r="L5798">
        <v>20</v>
      </c>
      <c r="M5798">
        <v>20</v>
      </c>
    </row>
    <row r="5799" spans="1:13" x14ac:dyDescent="0.25">
      <c r="A5799" t="s">
        <v>12768</v>
      </c>
      <c r="B5799" t="s">
        <v>12769</v>
      </c>
      <c r="C5799" t="s">
        <v>20</v>
      </c>
      <c r="D5799" t="s">
        <v>26</v>
      </c>
      <c r="G5799" t="s">
        <v>16</v>
      </c>
      <c r="H5799">
        <v>0</v>
      </c>
      <c r="I5799" s="2" t="s">
        <v>97</v>
      </c>
      <c r="J5799" s="2" t="str">
        <f>"081.690"</f>
        <v>081.690</v>
      </c>
      <c r="K5799">
        <v>20</v>
      </c>
      <c r="L5799">
        <v>20</v>
      </c>
      <c r="M5799">
        <v>20</v>
      </c>
    </row>
    <row r="5800" spans="1:13" x14ac:dyDescent="0.25">
      <c r="A5800" t="s">
        <v>12770</v>
      </c>
      <c r="B5800" t="s">
        <v>12771</v>
      </c>
      <c r="C5800" t="s">
        <v>20</v>
      </c>
      <c r="D5800" t="s">
        <v>26</v>
      </c>
      <c r="F5800">
        <v>0</v>
      </c>
      <c r="G5800" t="s">
        <v>16</v>
      </c>
      <c r="H5800">
        <v>0</v>
      </c>
      <c r="K5800">
        <v>20</v>
      </c>
      <c r="L5800">
        <v>20</v>
      </c>
      <c r="M5800">
        <v>20</v>
      </c>
    </row>
    <row r="5801" spans="1:13" x14ac:dyDescent="0.25">
      <c r="A5801" t="s">
        <v>12772</v>
      </c>
      <c r="B5801" t="s">
        <v>12773</v>
      </c>
      <c r="C5801" t="s">
        <v>20</v>
      </c>
      <c r="D5801" t="s">
        <v>26</v>
      </c>
      <c r="G5801" t="s">
        <v>16</v>
      </c>
      <c r="H5801">
        <v>0</v>
      </c>
      <c r="I5801" s="2" t="s">
        <v>12774</v>
      </c>
      <c r="J5801" s="2">
        <v>3704219</v>
      </c>
      <c r="K5801">
        <v>20</v>
      </c>
      <c r="L5801">
        <v>20</v>
      </c>
      <c r="M5801">
        <v>20</v>
      </c>
    </row>
    <row r="5802" spans="1:13" x14ac:dyDescent="0.25">
      <c r="A5802" t="s">
        <v>12775</v>
      </c>
      <c r="B5802" t="s">
        <v>12776</v>
      </c>
      <c r="C5802" t="s">
        <v>151</v>
      </c>
      <c r="F5802">
        <v>1</v>
      </c>
      <c r="G5802" t="s">
        <v>16</v>
      </c>
      <c r="H5802">
        <v>0</v>
      </c>
      <c r="I5802" s="2" t="s">
        <v>707</v>
      </c>
      <c r="J5802" s="2" t="s">
        <v>12777</v>
      </c>
      <c r="K5802">
        <v>20</v>
      </c>
      <c r="L5802">
        <v>20</v>
      </c>
      <c r="M5802">
        <v>20</v>
      </c>
    </row>
    <row r="5803" spans="1:13" x14ac:dyDescent="0.25">
      <c r="A5803" t="s">
        <v>12778</v>
      </c>
      <c r="B5803" t="s">
        <v>12779</v>
      </c>
      <c r="C5803" t="s">
        <v>20</v>
      </c>
      <c r="F5803">
        <v>0</v>
      </c>
      <c r="G5803" t="s">
        <v>16</v>
      </c>
      <c r="H5803">
        <v>0</v>
      </c>
      <c r="I5803" s="2" t="s">
        <v>707</v>
      </c>
      <c r="J5803" s="2" t="s">
        <v>12780</v>
      </c>
      <c r="K5803">
        <v>20</v>
      </c>
      <c r="L5803">
        <v>20</v>
      </c>
      <c r="M5803">
        <v>20</v>
      </c>
    </row>
    <row r="5804" spans="1:13" x14ac:dyDescent="0.25">
      <c r="A5804" t="s">
        <v>12781</v>
      </c>
      <c r="B5804" t="s">
        <v>12782</v>
      </c>
      <c r="C5804" t="s">
        <v>151</v>
      </c>
      <c r="D5804" t="s">
        <v>6316</v>
      </c>
      <c r="G5804" t="s">
        <v>16</v>
      </c>
      <c r="H5804">
        <v>0</v>
      </c>
      <c r="K5804">
        <v>20</v>
      </c>
      <c r="L5804">
        <v>20</v>
      </c>
      <c r="M5804">
        <v>20</v>
      </c>
    </row>
    <row r="5805" spans="1:13" x14ac:dyDescent="0.25">
      <c r="A5805" t="s">
        <v>12783</v>
      </c>
      <c r="B5805" t="s">
        <v>12782</v>
      </c>
      <c r="C5805" t="s">
        <v>151</v>
      </c>
      <c r="D5805" t="s">
        <v>6316</v>
      </c>
      <c r="G5805" t="s">
        <v>16</v>
      </c>
      <c r="H5805">
        <v>0</v>
      </c>
      <c r="I5805" s="2" t="s">
        <v>493</v>
      </c>
      <c r="K5805">
        <v>20</v>
      </c>
      <c r="L5805">
        <v>20</v>
      </c>
      <c r="M5805">
        <v>20</v>
      </c>
    </row>
    <row r="5806" spans="1:13" x14ac:dyDescent="0.25">
      <c r="A5806" t="s">
        <v>12784</v>
      </c>
      <c r="B5806" t="s">
        <v>12785</v>
      </c>
      <c r="C5806" t="s">
        <v>20</v>
      </c>
      <c r="D5806" t="s">
        <v>26</v>
      </c>
      <c r="F5806">
        <v>2</v>
      </c>
      <c r="G5806" t="s">
        <v>16</v>
      </c>
      <c r="H5806">
        <v>0</v>
      </c>
      <c r="I5806" s="2" t="s">
        <v>97</v>
      </c>
      <c r="J5806" s="3">
        <v>689330</v>
      </c>
      <c r="K5806">
        <v>20</v>
      </c>
      <c r="L5806">
        <v>20</v>
      </c>
      <c r="M5806">
        <v>20</v>
      </c>
    </row>
    <row r="5807" spans="1:13" x14ac:dyDescent="0.25">
      <c r="A5807" t="s">
        <v>12786</v>
      </c>
      <c r="B5807" t="s">
        <v>12787</v>
      </c>
      <c r="C5807" t="s">
        <v>20</v>
      </c>
      <c r="D5807" t="s">
        <v>26</v>
      </c>
      <c r="G5807" t="s">
        <v>16</v>
      </c>
      <c r="H5807">
        <v>0</v>
      </c>
      <c r="I5807" s="2" t="s">
        <v>99</v>
      </c>
      <c r="J5807" s="3">
        <v>934870</v>
      </c>
      <c r="K5807">
        <v>20</v>
      </c>
      <c r="L5807">
        <v>20</v>
      </c>
      <c r="M5807">
        <v>20</v>
      </c>
    </row>
    <row r="5808" spans="1:13" x14ac:dyDescent="0.25">
      <c r="A5808" t="s">
        <v>12788</v>
      </c>
      <c r="B5808" t="s">
        <v>12789</v>
      </c>
      <c r="C5808" t="s">
        <v>357</v>
      </c>
      <c r="D5808" t="s">
        <v>241</v>
      </c>
      <c r="G5808" t="s">
        <v>16</v>
      </c>
      <c r="H5808">
        <v>0</v>
      </c>
      <c r="I5808" s="2" t="s">
        <v>7513</v>
      </c>
      <c r="J5808" s="2" t="s">
        <v>12790</v>
      </c>
      <c r="K5808">
        <v>20</v>
      </c>
      <c r="L5808">
        <v>20</v>
      </c>
      <c r="M5808">
        <v>20</v>
      </c>
    </row>
    <row r="5809" spans="1:13" x14ac:dyDescent="0.25">
      <c r="A5809" t="s">
        <v>12791</v>
      </c>
      <c r="B5809" t="s">
        <v>12792</v>
      </c>
      <c r="C5809" t="s">
        <v>357</v>
      </c>
      <c r="D5809" t="s">
        <v>241</v>
      </c>
      <c r="G5809" t="s">
        <v>16</v>
      </c>
      <c r="H5809">
        <v>0</v>
      </c>
      <c r="I5809" s="2" t="s">
        <v>243</v>
      </c>
      <c r="J5809" s="2">
        <v>14944</v>
      </c>
      <c r="K5809">
        <v>20</v>
      </c>
      <c r="L5809">
        <v>20</v>
      </c>
      <c r="M5809">
        <v>20</v>
      </c>
    </row>
    <row r="5810" spans="1:13" x14ac:dyDescent="0.25">
      <c r="A5810" t="s">
        <v>12793</v>
      </c>
      <c r="B5810" t="s">
        <v>12794</v>
      </c>
      <c r="C5810" t="s">
        <v>357</v>
      </c>
      <c r="D5810" t="s">
        <v>241</v>
      </c>
      <c r="G5810" t="s">
        <v>16</v>
      </c>
      <c r="H5810">
        <v>0</v>
      </c>
      <c r="I5810" s="2" t="s">
        <v>64</v>
      </c>
      <c r="J5810" s="2">
        <v>10033423</v>
      </c>
      <c r="K5810">
        <v>20</v>
      </c>
      <c r="L5810">
        <v>20</v>
      </c>
      <c r="M5810">
        <v>20</v>
      </c>
    </row>
    <row r="5811" spans="1:13" x14ac:dyDescent="0.25">
      <c r="A5811" t="s">
        <v>12795</v>
      </c>
      <c r="B5811" t="s">
        <v>12796</v>
      </c>
      <c r="C5811" t="s">
        <v>241</v>
      </c>
      <c r="D5811" t="s">
        <v>2216</v>
      </c>
      <c r="G5811" t="s">
        <v>16</v>
      </c>
      <c r="H5811">
        <v>0</v>
      </c>
      <c r="I5811" s="2" t="s">
        <v>7513</v>
      </c>
      <c r="J5811" s="2" t="s">
        <v>12797</v>
      </c>
      <c r="K5811">
        <v>20</v>
      </c>
      <c r="L5811">
        <v>20</v>
      </c>
      <c r="M5811">
        <v>20</v>
      </c>
    </row>
    <row r="5812" spans="1:13" x14ac:dyDescent="0.25">
      <c r="A5812" t="s">
        <v>12798</v>
      </c>
      <c r="B5812" t="s">
        <v>12796</v>
      </c>
      <c r="C5812" t="s">
        <v>357</v>
      </c>
      <c r="D5812" t="s">
        <v>241</v>
      </c>
      <c r="G5812" t="s">
        <v>16</v>
      </c>
      <c r="H5812">
        <v>0</v>
      </c>
      <c r="I5812" s="2" t="s">
        <v>243</v>
      </c>
      <c r="J5812" s="2">
        <v>15084</v>
      </c>
      <c r="K5812">
        <v>20</v>
      </c>
      <c r="L5812">
        <v>20</v>
      </c>
      <c r="M5812">
        <v>20</v>
      </c>
    </row>
    <row r="5813" spans="1:13" x14ac:dyDescent="0.25">
      <c r="A5813" t="s">
        <v>12799</v>
      </c>
      <c r="B5813" t="s">
        <v>12800</v>
      </c>
      <c r="C5813" t="s">
        <v>357</v>
      </c>
      <c r="D5813" t="s">
        <v>241</v>
      </c>
      <c r="F5813">
        <v>1</v>
      </c>
      <c r="G5813" t="s">
        <v>16</v>
      </c>
      <c r="H5813">
        <v>0</v>
      </c>
      <c r="I5813" s="2" t="s">
        <v>221</v>
      </c>
      <c r="J5813" s="2">
        <v>14944</v>
      </c>
      <c r="K5813">
        <v>20</v>
      </c>
      <c r="L5813">
        <v>20</v>
      </c>
      <c r="M5813">
        <v>20</v>
      </c>
    </row>
    <row r="5814" spans="1:13" x14ac:dyDescent="0.25">
      <c r="A5814" t="s">
        <v>12801</v>
      </c>
      <c r="B5814" t="s">
        <v>12802</v>
      </c>
      <c r="C5814" t="s">
        <v>20</v>
      </c>
      <c r="F5814">
        <v>0</v>
      </c>
      <c r="G5814" t="s">
        <v>16</v>
      </c>
      <c r="H5814">
        <v>0</v>
      </c>
      <c r="I5814" s="2" t="s">
        <v>707</v>
      </c>
      <c r="J5814" s="2" t="s">
        <v>12803</v>
      </c>
      <c r="K5814">
        <v>20</v>
      </c>
      <c r="L5814">
        <v>20</v>
      </c>
      <c r="M5814">
        <v>20</v>
      </c>
    </row>
    <row r="5815" spans="1:13" x14ac:dyDescent="0.25">
      <c r="A5815" t="s">
        <v>12804</v>
      </c>
      <c r="B5815" t="s">
        <v>12805</v>
      </c>
      <c r="C5815" t="s">
        <v>357</v>
      </c>
      <c r="D5815" t="s">
        <v>241</v>
      </c>
      <c r="F5815">
        <v>5</v>
      </c>
      <c r="G5815" t="s">
        <v>16</v>
      </c>
      <c r="H5815">
        <v>0</v>
      </c>
      <c r="I5815" s="2" t="s">
        <v>271</v>
      </c>
      <c r="J5815" s="2">
        <v>2812</v>
      </c>
      <c r="K5815">
        <v>20</v>
      </c>
      <c r="L5815">
        <v>20</v>
      </c>
      <c r="M5815">
        <v>20</v>
      </c>
    </row>
    <row r="5816" spans="1:13" x14ac:dyDescent="0.25">
      <c r="A5816" t="s">
        <v>12806</v>
      </c>
      <c r="B5816" t="s">
        <v>12805</v>
      </c>
      <c r="C5816" t="s">
        <v>357</v>
      </c>
      <c r="D5816" t="s">
        <v>241</v>
      </c>
      <c r="F5816">
        <v>2</v>
      </c>
      <c r="G5816" t="s">
        <v>16</v>
      </c>
      <c r="H5816">
        <v>0</v>
      </c>
      <c r="I5816" s="2" t="s">
        <v>162</v>
      </c>
      <c r="J5816" s="2">
        <v>961166</v>
      </c>
      <c r="K5816">
        <v>20</v>
      </c>
      <c r="L5816">
        <v>20</v>
      </c>
      <c r="M5816">
        <v>20</v>
      </c>
    </row>
    <row r="5817" spans="1:13" x14ac:dyDescent="0.25">
      <c r="A5817" t="s">
        <v>12807</v>
      </c>
      <c r="B5817" t="s">
        <v>12805</v>
      </c>
      <c r="C5817" t="s">
        <v>357</v>
      </c>
      <c r="D5817" t="s">
        <v>241</v>
      </c>
      <c r="G5817" t="s">
        <v>16</v>
      </c>
      <c r="H5817">
        <v>0</v>
      </c>
      <c r="I5817" s="2" t="s">
        <v>245</v>
      </c>
      <c r="J5817" s="2" t="s">
        <v>12808</v>
      </c>
      <c r="K5817">
        <v>20</v>
      </c>
      <c r="L5817">
        <v>20</v>
      </c>
      <c r="M5817">
        <v>20</v>
      </c>
    </row>
    <row r="5818" spans="1:13" x14ac:dyDescent="0.25">
      <c r="A5818" t="s">
        <v>12809</v>
      </c>
      <c r="B5818" t="s">
        <v>12810</v>
      </c>
      <c r="C5818" t="s">
        <v>241</v>
      </c>
      <c r="D5818" t="s">
        <v>2216</v>
      </c>
      <c r="F5818">
        <v>4</v>
      </c>
      <c r="G5818" t="s">
        <v>16</v>
      </c>
      <c r="H5818">
        <v>0</v>
      </c>
      <c r="I5818" s="2" t="s">
        <v>12811</v>
      </c>
      <c r="J5818" s="2" t="s">
        <v>12812</v>
      </c>
      <c r="K5818">
        <v>20</v>
      </c>
      <c r="L5818">
        <v>20</v>
      </c>
      <c r="M5818">
        <v>20</v>
      </c>
    </row>
    <row r="5819" spans="1:13" x14ac:dyDescent="0.25">
      <c r="A5819" t="s">
        <v>12813</v>
      </c>
      <c r="B5819" t="s">
        <v>12814</v>
      </c>
      <c r="C5819" t="s">
        <v>2493</v>
      </c>
      <c r="G5819" t="s">
        <v>16</v>
      </c>
      <c r="H5819">
        <v>0</v>
      </c>
      <c r="I5819" s="2" t="s">
        <v>2300</v>
      </c>
      <c r="J5819" s="2">
        <v>31512</v>
      </c>
      <c r="K5819">
        <v>20</v>
      </c>
      <c r="L5819">
        <v>20</v>
      </c>
      <c r="M5819">
        <v>20</v>
      </c>
    </row>
    <row r="5820" spans="1:13" x14ac:dyDescent="0.25">
      <c r="A5820" t="s">
        <v>12815</v>
      </c>
      <c r="B5820" t="s">
        <v>12816</v>
      </c>
      <c r="C5820" t="s">
        <v>20</v>
      </c>
      <c r="D5820" t="s">
        <v>26</v>
      </c>
      <c r="F5820">
        <v>2</v>
      </c>
      <c r="G5820" t="s">
        <v>16</v>
      </c>
      <c r="H5820">
        <v>0</v>
      </c>
      <c r="I5820" s="2" t="s">
        <v>99</v>
      </c>
      <c r="J5820" s="3">
        <v>633000</v>
      </c>
      <c r="K5820">
        <v>20</v>
      </c>
      <c r="L5820">
        <v>20</v>
      </c>
      <c r="M5820">
        <v>20</v>
      </c>
    </row>
    <row r="5821" spans="1:13" x14ac:dyDescent="0.25">
      <c r="A5821" t="s">
        <v>12817</v>
      </c>
      <c r="B5821" t="s">
        <v>12818</v>
      </c>
      <c r="C5821" t="s">
        <v>20</v>
      </c>
      <c r="D5821" t="s">
        <v>26</v>
      </c>
      <c r="F5821">
        <v>3</v>
      </c>
      <c r="G5821" t="s">
        <v>16</v>
      </c>
      <c r="H5821">
        <v>0</v>
      </c>
      <c r="I5821" s="2" t="s">
        <v>99</v>
      </c>
      <c r="J5821" s="2" t="str">
        <f>"077.470"</f>
        <v>077.470</v>
      </c>
      <c r="K5821">
        <v>20</v>
      </c>
      <c r="L5821">
        <v>20</v>
      </c>
      <c r="M5821">
        <v>20</v>
      </c>
    </row>
    <row r="5822" spans="1:13" x14ac:dyDescent="0.25">
      <c r="A5822" t="s">
        <v>12819</v>
      </c>
      <c r="B5822" t="s">
        <v>12820</v>
      </c>
      <c r="C5822" t="s">
        <v>241</v>
      </c>
      <c r="D5822" t="s">
        <v>242</v>
      </c>
      <c r="F5822">
        <v>1</v>
      </c>
      <c r="G5822" t="s">
        <v>16</v>
      </c>
      <c r="H5822">
        <v>0</v>
      </c>
      <c r="I5822" s="2" t="s">
        <v>221</v>
      </c>
      <c r="J5822" s="2">
        <v>21351</v>
      </c>
      <c r="K5822">
        <v>20</v>
      </c>
      <c r="L5822">
        <v>20</v>
      </c>
      <c r="M5822">
        <v>20</v>
      </c>
    </row>
    <row r="5823" spans="1:13" x14ac:dyDescent="0.25">
      <c r="A5823" t="s">
        <v>12821</v>
      </c>
      <c r="B5823" t="s">
        <v>12823</v>
      </c>
      <c r="C5823" t="s">
        <v>241</v>
      </c>
      <c r="D5823" t="s">
        <v>242</v>
      </c>
      <c r="F5823">
        <v>1</v>
      </c>
      <c r="G5823" t="s">
        <v>16</v>
      </c>
      <c r="H5823">
        <v>0</v>
      </c>
      <c r="I5823" s="2" t="s">
        <v>3088</v>
      </c>
      <c r="J5823" s="2" t="s">
        <v>12822</v>
      </c>
      <c r="K5823">
        <v>20</v>
      </c>
      <c r="L5823">
        <v>20</v>
      </c>
      <c r="M5823">
        <v>20</v>
      </c>
    </row>
    <row r="5824" spans="1:13" x14ac:dyDescent="0.25">
      <c r="A5824">
        <v>5860048</v>
      </c>
      <c r="B5824" t="s">
        <v>12824</v>
      </c>
      <c r="C5824" t="s">
        <v>20</v>
      </c>
      <c r="D5824" t="s">
        <v>26</v>
      </c>
      <c r="F5824">
        <v>4</v>
      </c>
      <c r="G5824" t="s">
        <v>16</v>
      </c>
      <c r="H5824">
        <v>0</v>
      </c>
      <c r="I5824" s="2" t="s">
        <v>1444</v>
      </c>
      <c r="J5824" s="2">
        <v>55562915</v>
      </c>
      <c r="K5824">
        <v>20</v>
      </c>
      <c r="L5824">
        <v>20</v>
      </c>
      <c r="M5824">
        <v>20</v>
      </c>
    </row>
    <row r="5825" spans="1:13" x14ac:dyDescent="0.25">
      <c r="A5825" t="s">
        <v>12825</v>
      </c>
      <c r="B5825" t="s">
        <v>12826</v>
      </c>
      <c r="C5825" t="s">
        <v>20</v>
      </c>
      <c r="D5825" t="s">
        <v>26</v>
      </c>
      <c r="F5825">
        <v>3</v>
      </c>
      <c r="G5825" t="s">
        <v>16</v>
      </c>
      <c r="H5825">
        <v>0</v>
      </c>
      <c r="I5825" s="2" t="s">
        <v>99</v>
      </c>
      <c r="J5825" s="2" t="str">
        <f>"007.300"</f>
        <v>007.300</v>
      </c>
      <c r="K5825">
        <v>20</v>
      </c>
      <c r="L5825">
        <v>20</v>
      </c>
      <c r="M5825">
        <v>20</v>
      </c>
    </row>
    <row r="5826" spans="1:13" x14ac:dyDescent="0.25">
      <c r="A5826" t="s">
        <v>12827</v>
      </c>
      <c r="B5826" t="s">
        <v>12828</v>
      </c>
      <c r="C5826" t="s">
        <v>20</v>
      </c>
      <c r="D5826" t="s">
        <v>26</v>
      </c>
      <c r="F5826">
        <v>1</v>
      </c>
      <c r="G5826" t="s">
        <v>16</v>
      </c>
      <c r="H5826">
        <v>0</v>
      </c>
      <c r="I5826" s="2" t="s">
        <v>64</v>
      </c>
      <c r="J5826" s="2">
        <v>12010288</v>
      </c>
      <c r="K5826">
        <v>20</v>
      </c>
      <c r="L5826">
        <v>20</v>
      </c>
      <c r="M5826">
        <v>20</v>
      </c>
    </row>
    <row r="5827" spans="1:13" x14ac:dyDescent="0.25">
      <c r="A5827" t="s">
        <v>12829</v>
      </c>
      <c r="B5827" t="s">
        <v>12830</v>
      </c>
      <c r="C5827" t="s">
        <v>241</v>
      </c>
      <c r="D5827" t="s">
        <v>244</v>
      </c>
      <c r="F5827">
        <v>1</v>
      </c>
      <c r="G5827" t="s">
        <v>16</v>
      </c>
      <c r="H5827">
        <v>0</v>
      </c>
      <c r="I5827" s="2" t="s">
        <v>254</v>
      </c>
      <c r="K5827">
        <v>20</v>
      </c>
      <c r="L5827">
        <v>20</v>
      </c>
      <c r="M5827">
        <v>20</v>
      </c>
    </row>
    <row r="5828" spans="1:13" x14ac:dyDescent="0.25">
      <c r="A5828" t="s">
        <v>12831</v>
      </c>
      <c r="B5828" t="s">
        <v>12833</v>
      </c>
      <c r="C5828" t="s">
        <v>357</v>
      </c>
      <c r="D5828" t="s">
        <v>241</v>
      </c>
      <c r="F5828">
        <v>2</v>
      </c>
      <c r="G5828" t="s">
        <v>16</v>
      </c>
      <c r="H5828">
        <v>0</v>
      </c>
      <c r="I5828" s="2" t="s">
        <v>288</v>
      </c>
      <c r="J5828" s="2" t="s">
        <v>12832</v>
      </c>
      <c r="K5828">
        <v>20</v>
      </c>
      <c r="L5828">
        <v>20</v>
      </c>
      <c r="M5828">
        <v>20</v>
      </c>
    </row>
    <row r="5829" spans="1:13" x14ac:dyDescent="0.25">
      <c r="A5829" t="s">
        <v>12834</v>
      </c>
      <c r="B5829" t="s">
        <v>12833</v>
      </c>
      <c r="C5829" t="s">
        <v>357</v>
      </c>
      <c r="D5829" t="s">
        <v>241</v>
      </c>
      <c r="G5829" t="s">
        <v>16</v>
      </c>
      <c r="H5829">
        <v>0</v>
      </c>
      <c r="I5829" s="2" t="s">
        <v>10075</v>
      </c>
      <c r="J5829" s="2" t="s">
        <v>12835</v>
      </c>
      <c r="K5829">
        <v>20</v>
      </c>
      <c r="L5829">
        <v>20</v>
      </c>
      <c r="M5829">
        <v>20</v>
      </c>
    </row>
    <row r="5830" spans="1:13" x14ac:dyDescent="0.25">
      <c r="A5830" t="s">
        <v>12836</v>
      </c>
      <c r="B5830" t="s">
        <v>12837</v>
      </c>
      <c r="C5830" t="s">
        <v>357</v>
      </c>
      <c r="D5830" t="s">
        <v>241</v>
      </c>
      <c r="G5830" t="s">
        <v>16</v>
      </c>
      <c r="H5830">
        <v>0</v>
      </c>
      <c r="I5830" s="2" t="s">
        <v>8700</v>
      </c>
      <c r="J5830" s="2" t="s">
        <v>12838</v>
      </c>
      <c r="K5830">
        <v>20</v>
      </c>
      <c r="L5830">
        <v>20</v>
      </c>
      <c r="M5830">
        <v>20</v>
      </c>
    </row>
    <row r="5831" spans="1:13" x14ac:dyDescent="0.25">
      <c r="A5831" t="s">
        <v>12839</v>
      </c>
      <c r="B5831" t="s">
        <v>12833</v>
      </c>
      <c r="C5831" t="s">
        <v>357</v>
      </c>
      <c r="D5831" t="s">
        <v>241</v>
      </c>
      <c r="G5831" t="s">
        <v>16</v>
      </c>
      <c r="H5831">
        <v>0</v>
      </c>
      <c r="I5831" s="2" t="s">
        <v>245</v>
      </c>
      <c r="J5831" s="2" t="s">
        <v>12840</v>
      </c>
      <c r="K5831">
        <v>20</v>
      </c>
      <c r="L5831">
        <v>20</v>
      </c>
      <c r="M5831">
        <v>20</v>
      </c>
    </row>
    <row r="5832" spans="1:13" x14ac:dyDescent="0.25">
      <c r="A5832" t="s">
        <v>12841</v>
      </c>
      <c r="B5832" t="s">
        <v>12833</v>
      </c>
      <c r="C5832" t="s">
        <v>357</v>
      </c>
      <c r="D5832" t="s">
        <v>241</v>
      </c>
      <c r="F5832">
        <v>2</v>
      </c>
      <c r="G5832" t="s">
        <v>16</v>
      </c>
      <c r="H5832">
        <v>0</v>
      </c>
      <c r="I5832" s="2" t="s">
        <v>784</v>
      </c>
      <c r="J5832" s="2" t="s">
        <v>12842</v>
      </c>
      <c r="K5832">
        <v>20</v>
      </c>
      <c r="L5832">
        <v>20</v>
      </c>
      <c r="M5832">
        <v>20</v>
      </c>
    </row>
    <row r="5833" spans="1:13" x14ac:dyDescent="0.25">
      <c r="A5833" t="s">
        <v>12843</v>
      </c>
      <c r="B5833" t="s">
        <v>12837</v>
      </c>
      <c r="C5833" t="s">
        <v>357</v>
      </c>
      <c r="D5833" t="s">
        <v>241</v>
      </c>
      <c r="G5833" t="s">
        <v>16</v>
      </c>
      <c r="H5833">
        <v>0</v>
      </c>
      <c r="I5833" s="2" t="s">
        <v>737</v>
      </c>
      <c r="J5833" s="2" t="s">
        <v>12844</v>
      </c>
      <c r="K5833">
        <v>20</v>
      </c>
      <c r="L5833">
        <v>20</v>
      </c>
      <c r="M5833">
        <v>20</v>
      </c>
    </row>
    <row r="5834" spans="1:13" x14ac:dyDescent="0.25">
      <c r="A5834">
        <v>5860545</v>
      </c>
      <c r="B5834" t="s">
        <v>12845</v>
      </c>
      <c r="C5834" t="s">
        <v>20</v>
      </c>
      <c r="D5834" t="s">
        <v>26</v>
      </c>
      <c r="F5834">
        <v>3</v>
      </c>
      <c r="G5834" t="s">
        <v>16</v>
      </c>
      <c r="H5834">
        <v>0</v>
      </c>
      <c r="I5834" s="2" t="s">
        <v>1444</v>
      </c>
      <c r="J5834" s="2">
        <v>55559246</v>
      </c>
      <c r="K5834">
        <v>20</v>
      </c>
      <c r="L5834">
        <v>20</v>
      </c>
      <c r="M5834">
        <v>20</v>
      </c>
    </row>
    <row r="5835" spans="1:13" x14ac:dyDescent="0.25">
      <c r="A5835" t="s">
        <v>12846</v>
      </c>
      <c r="B5835" t="s">
        <v>12847</v>
      </c>
      <c r="C5835" t="s">
        <v>241</v>
      </c>
      <c r="D5835" t="s">
        <v>242</v>
      </c>
      <c r="F5835">
        <v>1</v>
      </c>
      <c r="G5835" t="s">
        <v>16</v>
      </c>
      <c r="H5835">
        <v>0</v>
      </c>
      <c r="I5835" s="2" t="s">
        <v>243</v>
      </c>
      <c r="J5835" s="2">
        <v>21346</v>
      </c>
      <c r="K5835">
        <v>20</v>
      </c>
      <c r="L5835">
        <v>20</v>
      </c>
      <c r="M5835">
        <v>20</v>
      </c>
    </row>
    <row r="5836" spans="1:13" x14ac:dyDescent="0.25">
      <c r="A5836" t="s">
        <v>12848</v>
      </c>
      <c r="B5836" t="s">
        <v>12849</v>
      </c>
      <c r="C5836" t="s">
        <v>241</v>
      </c>
      <c r="D5836" t="s">
        <v>242</v>
      </c>
      <c r="F5836">
        <v>1</v>
      </c>
      <c r="G5836" t="s">
        <v>16</v>
      </c>
      <c r="H5836">
        <v>0</v>
      </c>
      <c r="I5836" s="2" t="s">
        <v>243</v>
      </c>
      <c r="J5836" s="2">
        <v>21161</v>
      </c>
      <c r="K5836">
        <v>20</v>
      </c>
      <c r="L5836">
        <v>20</v>
      </c>
      <c r="M5836">
        <v>20</v>
      </c>
    </row>
    <row r="5837" spans="1:13" x14ac:dyDescent="0.25">
      <c r="A5837" t="s">
        <v>12850</v>
      </c>
      <c r="B5837" t="s">
        <v>12851</v>
      </c>
      <c r="C5837" t="s">
        <v>241</v>
      </c>
      <c r="D5837" t="s">
        <v>242</v>
      </c>
      <c r="F5837">
        <v>1</v>
      </c>
      <c r="G5837" t="s">
        <v>16</v>
      </c>
      <c r="H5837">
        <v>0</v>
      </c>
      <c r="I5837" s="2" t="s">
        <v>221</v>
      </c>
      <c r="J5837" s="2">
        <v>21250</v>
      </c>
      <c r="K5837">
        <v>20</v>
      </c>
      <c r="L5837">
        <v>20</v>
      </c>
      <c r="M5837">
        <v>20</v>
      </c>
    </row>
    <row r="5838" spans="1:13" x14ac:dyDescent="0.25">
      <c r="A5838" t="s">
        <v>12852</v>
      </c>
      <c r="B5838" t="s">
        <v>12853</v>
      </c>
      <c r="C5838" t="s">
        <v>241</v>
      </c>
      <c r="D5838" t="s">
        <v>242</v>
      </c>
      <c r="F5838">
        <v>1</v>
      </c>
      <c r="G5838" t="s">
        <v>16</v>
      </c>
      <c r="H5838">
        <v>0</v>
      </c>
      <c r="I5838" s="2" t="s">
        <v>737</v>
      </c>
      <c r="J5838" s="2" t="s">
        <v>12854</v>
      </c>
      <c r="K5838">
        <v>20</v>
      </c>
      <c r="L5838">
        <v>20</v>
      </c>
      <c r="M5838">
        <v>20</v>
      </c>
    </row>
    <row r="5839" spans="1:13" x14ac:dyDescent="0.25">
      <c r="A5839" t="s">
        <v>12855</v>
      </c>
      <c r="B5839" t="s">
        <v>12856</v>
      </c>
      <c r="C5839" t="s">
        <v>241</v>
      </c>
      <c r="D5839" t="s">
        <v>244</v>
      </c>
      <c r="G5839" t="s">
        <v>16</v>
      </c>
      <c r="H5839">
        <v>0</v>
      </c>
      <c r="I5839" s="2" t="s">
        <v>4895</v>
      </c>
      <c r="J5839" s="2" t="s">
        <v>12857</v>
      </c>
      <c r="K5839">
        <v>20</v>
      </c>
      <c r="L5839">
        <v>20</v>
      </c>
      <c r="M5839">
        <v>20</v>
      </c>
    </row>
    <row r="5840" spans="1:13" x14ac:dyDescent="0.25">
      <c r="A5840" t="s">
        <v>12858</v>
      </c>
      <c r="B5840" t="s">
        <v>12856</v>
      </c>
      <c r="C5840" t="s">
        <v>20</v>
      </c>
      <c r="G5840" t="s">
        <v>16</v>
      </c>
      <c r="H5840">
        <v>0</v>
      </c>
      <c r="I5840" s="2" t="s">
        <v>7513</v>
      </c>
      <c r="J5840" s="2" t="s">
        <v>12859</v>
      </c>
      <c r="K5840">
        <v>20</v>
      </c>
      <c r="L5840">
        <v>20</v>
      </c>
      <c r="M5840">
        <v>20</v>
      </c>
    </row>
    <row r="5841" spans="1:13" x14ac:dyDescent="0.25">
      <c r="A5841" t="s">
        <v>12860</v>
      </c>
      <c r="B5841" t="s">
        <v>12856</v>
      </c>
      <c r="C5841" t="s">
        <v>241</v>
      </c>
      <c r="D5841" t="s">
        <v>244</v>
      </c>
      <c r="F5841">
        <v>1</v>
      </c>
      <c r="G5841" t="s">
        <v>16</v>
      </c>
      <c r="H5841">
        <v>0</v>
      </c>
      <c r="I5841" s="2" t="s">
        <v>64</v>
      </c>
      <c r="J5841" s="2">
        <v>10040394</v>
      </c>
      <c r="K5841">
        <v>20</v>
      </c>
      <c r="L5841">
        <v>20</v>
      </c>
      <c r="M5841">
        <v>20</v>
      </c>
    </row>
    <row r="5842" spans="1:13" x14ac:dyDescent="0.25">
      <c r="A5842" t="s">
        <v>12861</v>
      </c>
      <c r="B5842" t="s">
        <v>12863</v>
      </c>
      <c r="C5842" t="s">
        <v>241</v>
      </c>
      <c r="D5842" t="s">
        <v>242</v>
      </c>
      <c r="F5842">
        <v>2</v>
      </c>
      <c r="G5842" t="s">
        <v>16</v>
      </c>
      <c r="H5842">
        <v>0</v>
      </c>
      <c r="I5842" s="2" t="s">
        <v>288</v>
      </c>
      <c r="J5842" s="2" t="s">
        <v>12862</v>
      </c>
      <c r="K5842">
        <v>20</v>
      </c>
      <c r="L5842">
        <v>20</v>
      </c>
      <c r="M5842">
        <v>20</v>
      </c>
    </row>
    <row r="5843" spans="1:13" x14ac:dyDescent="0.25">
      <c r="A5843">
        <v>5860946</v>
      </c>
      <c r="B5843" t="s">
        <v>12864</v>
      </c>
      <c r="C5843" t="s">
        <v>20</v>
      </c>
      <c r="D5843" t="s">
        <v>26</v>
      </c>
      <c r="F5843">
        <v>2</v>
      </c>
      <c r="G5843" t="s">
        <v>16</v>
      </c>
      <c r="H5843">
        <v>0</v>
      </c>
      <c r="I5843" s="2" t="s">
        <v>1444</v>
      </c>
      <c r="J5843" s="2">
        <v>55564222</v>
      </c>
      <c r="K5843">
        <v>20</v>
      </c>
      <c r="L5843">
        <v>20</v>
      </c>
      <c r="M5843">
        <v>20</v>
      </c>
    </row>
    <row r="5844" spans="1:13" x14ac:dyDescent="0.25">
      <c r="A5844" t="s">
        <v>12865</v>
      </c>
      <c r="B5844" t="s">
        <v>12866</v>
      </c>
      <c r="C5844" t="s">
        <v>20</v>
      </c>
      <c r="D5844" t="s">
        <v>21</v>
      </c>
      <c r="F5844">
        <v>4</v>
      </c>
      <c r="G5844" t="s">
        <v>16</v>
      </c>
      <c r="H5844">
        <v>0</v>
      </c>
      <c r="I5844" s="2" t="s">
        <v>354</v>
      </c>
      <c r="J5844" s="2" t="s">
        <v>12867</v>
      </c>
      <c r="K5844">
        <v>20</v>
      </c>
      <c r="L5844">
        <v>20</v>
      </c>
      <c r="M5844">
        <v>20</v>
      </c>
    </row>
    <row r="5845" spans="1:13" x14ac:dyDescent="0.25">
      <c r="A5845" t="s">
        <v>12868</v>
      </c>
      <c r="B5845" t="s">
        <v>12869</v>
      </c>
      <c r="C5845" t="s">
        <v>496</v>
      </c>
      <c r="F5845">
        <v>1</v>
      </c>
      <c r="G5845" t="s">
        <v>16</v>
      </c>
      <c r="H5845">
        <v>0</v>
      </c>
      <c r="I5845" s="2" t="s">
        <v>12870</v>
      </c>
      <c r="J5845" s="2" t="s">
        <v>12871</v>
      </c>
      <c r="K5845">
        <v>20</v>
      </c>
      <c r="L5845">
        <v>20</v>
      </c>
      <c r="M5845">
        <v>20</v>
      </c>
    </row>
    <row r="5846" spans="1:13" x14ac:dyDescent="0.25">
      <c r="A5846" t="s">
        <v>12872</v>
      </c>
      <c r="B5846" t="s">
        <v>12873</v>
      </c>
      <c r="C5846" t="s">
        <v>496</v>
      </c>
      <c r="F5846">
        <v>0</v>
      </c>
      <c r="G5846" t="s">
        <v>16</v>
      </c>
      <c r="H5846">
        <v>0</v>
      </c>
      <c r="I5846" s="2" t="s">
        <v>162</v>
      </c>
      <c r="J5846" s="2">
        <v>67801</v>
      </c>
      <c r="K5846">
        <v>20</v>
      </c>
      <c r="L5846">
        <v>20</v>
      </c>
      <c r="M5846">
        <v>20</v>
      </c>
    </row>
    <row r="5847" spans="1:13" x14ac:dyDescent="0.25">
      <c r="A5847" t="s">
        <v>12874</v>
      </c>
      <c r="B5847" t="s">
        <v>12875</v>
      </c>
      <c r="C5847" t="s">
        <v>151</v>
      </c>
      <c r="D5847" t="s">
        <v>1476</v>
      </c>
      <c r="F5847">
        <v>1</v>
      </c>
      <c r="G5847" t="s">
        <v>16</v>
      </c>
      <c r="H5847">
        <v>0</v>
      </c>
      <c r="I5847" s="2" t="s">
        <v>1663</v>
      </c>
      <c r="J5847" s="2">
        <v>143202</v>
      </c>
      <c r="K5847">
        <v>20</v>
      </c>
      <c r="L5847">
        <v>20</v>
      </c>
      <c r="M5847">
        <v>20</v>
      </c>
    </row>
    <row r="5848" spans="1:13" x14ac:dyDescent="0.25">
      <c r="A5848" t="s">
        <v>12876</v>
      </c>
      <c r="B5848" t="s">
        <v>12877</v>
      </c>
      <c r="C5848" t="s">
        <v>926</v>
      </c>
      <c r="D5848" t="s">
        <v>927</v>
      </c>
      <c r="G5848" t="s">
        <v>16</v>
      </c>
      <c r="H5848">
        <v>0</v>
      </c>
      <c r="I5848" s="2" t="s">
        <v>383</v>
      </c>
      <c r="J5848" s="2" t="str">
        <f>"0242235666"</f>
        <v>0242235666</v>
      </c>
      <c r="K5848">
        <v>20</v>
      </c>
      <c r="L5848">
        <v>20</v>
      </c>
      <c r="M5848">
        <v>20</v>
      </c>
    </row>
    <row r="5849" spans="1:13" x14ac:dyDescent="0.25">
      <c r="A5849" t="s">
        <v>12878</v>
      </c>
      <c r="B5849" t="s">
        <v>12879</v>
      </c>
      <c r="C5849" t="s">
        <v>926</v>
      </c>
      <c r="D5849" t="s">
        <v>1036</v>
      </c>
      <c r="F5849">
        <v>2</v>
      </c>
      <c r="G5849" t="s">
        <v>16</v>
      </c>
      <c r="H5849">
        <v>0</v>
      </c>
      <c r="I5849" s="2" t="s">
        <v>491</v>
      </c>
      <c r="J5849" s="2">
        <v>359000400050</v>
      </c>
      <c r="K5849">
        <v>20</v>
      </c>
      <c r="L5849">
        <v>20</v>
      </c>
      <c r="M5849">
        <v>20</v>
      </c>
    </row>
    <row r="5850" spans="1:13" x14ac:dyDescent="0.25">
      <c r="A5850" t="s">
        <v>12880</v>
      </c>
      <c r="B5850" t="s">
        <v>12881</v>
      </c>
      <c r="C5850" t="s">
        <v>926</v>
      </c>
      <c r="D5850" t="s">
        <v>1036</v>
      </c>
      <c r="G5850" t="s">
        <v>16</v>
      </c>
      <c r="H5850">
        <v>0</v>
      </c>
      <c r="I5850" s="2" t="s">
        <v>383</v>
      </c>
      <c r="J5850" s="2" t="str">
        <f>"0242229797"</f>
        <v>0242229797</v>
      </c>
      <c r="K5850">
        <v>20</v>
      </c>
      <c r="L5850">
        <v>20</v>
      </c>
      <c r="M5850">
        <v>20</v>
      </c>
    </row>
    <row r="5851" spans="1:13" x14ac:dyDescent="0.25">
      <c r="A5851" t="s">
        <v>12882</v>
      </c>
      <c r="B5851" t="s">
        <v>12883</v>
      </c>
      <c r="C5851" t="s">
        <v>926</v>
      </c>
      <c r="F5851">
        <v>4</v>
      </c>
      <c r="G5851" t="s">
        <v>16</v>
      </c>
      <c r="H5851">
        <v>0</v>
      </c>
      <c r="I5851" s="2" t="s">
        <v>12884</v>
      </c>
      <c r="J5851" s="2" t="s">
        <v>12885</v>
      </c>
      <c r="K5851">
        <v>20</v>
      </c>
      <c r="L5851">
        <v>20</v>
      </c>
      <c r="M5851">
        <v>20</v>
      </c>
    </row>
    <row r="5852" spans="1:13" x14ac:dyDescent="0.25">
      <c r="A5852" t="s">
        <v>12886</v>
      </c>
      <c r="B5852" t="s">
        <v>12883</v>
      </c>
      <c r="C5852" t="s">
        <v>926</v>
      </c>
      <c r="G5852" t="s">
        <v>16</v>
      </c>
      <c r="H5852">
        <v>0</v>
      </c>
      <c r="I5852" s="2" t="s">
        <v>10326</v>
      </c>
      <c r="J5852" s="2" t="s">
        <v>12887</v>
      </c>
      <c r="K5852">
        <v>20</v>
      </c>
      <c r="L5852">
        <v>20</v>
      </c>
      <c r="M5852">
        <v>20</v>
      </c>
    </row>
    <row r="5853" spans="1:13" x14ac:dyDescent="0.25">
      <c r="A5853" t="s">
        <v>12888</v>
      </c>
      <c r="B5853" t="s">
        <v>12889</v>
      </c>
      <c r="C5853" t="s">
        <v>926</v>
      </c>
      <c r="D5853" t="s">
        <v>1036</v>
      </c>
      <c r="G5853" t="s">
        <v>16</v>
      </c>
      <c r="H5853">
        <v>0</v>
      </c>
      <c r="I5853" s="2" t="s">
        <v>389</v>
      </c>
      <c r="J5853" s="2">
        <v>1682251880</v>
      </c>
      <c r="K5853">
        <v>20</v>
      </c>
      <c r="L5853">
        <v>20</v>
      </c>
      <c r="M5853">
        <v>20</v>
      </c>
    </row>
    <row r="5854" spans="1:13" x14ac:dyDescent="0.25">
      <c r="A5854" t="s">
        <v>12890</v>
      </c>
      <c r="B5854" t="s">
        <v>12892</v>
      </c>
      <c r="C5854" t="s">
        <v>926</v>
      </c>
      <c r="G5854" t="s">
        <v>16</v>
      </c>
      <c r="H5854">
        <v>0</v>
      </c>
      <c r="I5854" s="2" t="s">
        <v>12893</v>
      </c>
      <c r="J5854" s="2" t="s">
        <v>12891</v>
      </c>
      <c r="K5854">
        <v>20</v>
      </c>
      <c r="L5854">
        <v>20</v>
      </c>
      <c r="M5854">
        <v>20</v>
      </c>
    </row>
    <row r="5855" spans="1:13" x14ac:dyDescent="0.25">
      <c r="A5855" t="s">
        <v>12894</v>
      </c>
      <c r="B5855" t="s">
        <v>12892</v>
      </c>
      <c r="C5855" t="s">
        <v>926</v>
      </c>
      <c r="D5855" t="s">
        <v>1036</v>
      </c>
      <c r="F5855">
        <v>10</v>
      </c>
      <c r="G5855" t="s">
        <v>16</v>
      </c>
      <c r="H5855">
        <v>0</v>
      </c>
      <c r="I5855" s="2" t="s">
        <v>7922</v>
      </c>
      <c r="J5855" s="3">
        <v>1621904008</v>
      </c>
      <c r="K5855">
        <v>20</v>
      </c>
      <c r="L5855">
        <v>20</v>
      </c>
      <c r="M5855">
        <v>20</v>
      </c>
    </row>
    <row r="5856" spans="1:13" x14ac:dyDescent="0.25">
      <c r="A5856" t="s">
        <v>12895</v>
      </c>
      <c r="B5856" t="s">
        <v>12896</v>
      </c>
      <c r="C5856" t="s">
        <v>926</v>
      </c>
      <c r="D5856" t="s">
        <v>1036</v>
      </c>
      <c r="F5856">
        <v>48</v>
      </c>
      <c r="G5856" t="s">
        <v>16</v>
      </c>
      <c r="H5856">
        <v>0</v>
      </c>
      <c r="I5856" s="2" t="s">
        <v>389</v>
      </c>
      <c r="J5856" s="2">
        <v>1625935580</v>
      </c>
      <c r="K5856">
        <v>20</v>
      </c>
      <c r="L5856">
        <v>20</v>
      </c>
      <c r="M5856">
        <v>20</v>
      </c>
    </row>
    <row r="5857" spans="1:13" x14ac:dyDescent="0.25">
      <c r="A5857" t="s">
        <v>12897</v>
      </c>
      <c r="B5857" t="s">
        <v>12896</v>
      </c>
      <c r="C5857" t="s">
        <v>926</v>
      </c>
      <c r="D5857" t="s">
        <v>1036</v>
      </c>
      <c r="F5857">
        <v>10</v>
      </c>
      <c r="G5857" t="s">
        <v>16</v>
      </c>
      <c r="H5857">
        <v>0</v>
      </c>
      <c r="I5857" s="2" t="s">
        <v>491</v>
      </c>
      <c r="J5857" s="2">
        <v>359000400230</v>
      </c>
      <c r="K5857">
        <v>20</v>
      </c>
      <c r="L5857">
        <v>20</v>
      </c>
      <c r="M5857">
        <v>20</v>
      </c>
    </row>
    <row r="5858" spans="1:13" x14ac:dyDescent="0.25">
      <c r="A5858" t="s">
        <v>12898</v>
      </c>
      <c r="B5858" t="s">
        <v>12899</v>
      </c>
      <c r="C5858" t="s">
        <v>926</v>
      </c>
      <c r="G5858" t="s">
        <v>16</v>
      </c>
      <c r="H5858">
        <v>0</v>
      </c>
      <c r="I5858" s="2" t="s">
        <v>51</v>
      </c>
      <c r="J5858" s="2" t="s">
        <v>12898</v>
      </c>
      <c r="K5858">
        <v>20</v>
      </c>
      <c r="L5858">
        <v>20</v>
      </c>
      <c r="M5858">
        <v>20</v>
      </c>
    </row>
    <row r="5859" spans="1:13" x14ac:dyDescent="0.25">
      <c r="A5859" t="s">
        <v>12900</v>
      </c>
      <c r="B5859" t="s">
        <v>12899</v>
      </c>
      <c r="C5859" t="s">
        <v>926</v>
      </c>
      <c r="F5859">
        <v>10</v>
      </c>
      <c r="G5859" t="s">
        <v>16</v>
      </c>
      <c r="H5859">
        <v>0</v>
      </c>
      <c r="I5859" s="2" t="s">
        <v>108</v>
      </c>
      <c r="J5859" s="3">
        <v>1621904016</v>
      </c>
      <c r="K5859">
        <v>20</v>
      </c>
      <c r="L5859">
        <v>20</v>
      </c>
      <c r="M5859">
        <v>20</v>
      </c>
    </row>
    <row r="5860" spans="1:13" x14ac:dyDescent="0.25">
      <c r="A5860" t="s">
        <v>12901</v>
      </c>
      <c r="B5860" t="s">
        <v>12899</v>
      </c>
      <c r="C5860" t="s">
        <v>926</v>
      </c>
      <c r="G5860" t="s">
        <v>16</v>
      </c>
      <c r="H5860">
        <v>0</v>
      </c>
      <c r="I5860" s="2" t="s">
        <v>10326</v>
      </c>
      <c r="J5860" s="2" t="s">
        <v>12902</v>
      </c>
      <c r="K5860">
        <v>20</v>
      </c>
      <c r="L5860">
        <v>20</v>
      </c>
      <c r="M5860">
        <v>20</v>
      </c>
    </row>
    <row r="5861" spans="1:13" x14ac:dyDescent="0.25">
      <c r="A5861" t="s">
        <v>12903</v>
      </c>
      <c r="B5861" t="s">
        <v>12904</v>
      </c>
      <c r="C5861" t="s">
        <v>926</v>
      </c>
      <c r="D5861" t="s">
        <v>1036</v>
      </c>
      <c r="F5861">
        <v>12</v>
      </c>
      <c r="G5861" t="s">
        <v>16</v>
      </c>
      <c r="H5861">
        <v>0</v>
      </c>
      <c r="I5861" s="2" t="s">
        <v>392</v>
      </c>
      <c r="J5861" s="2">
        <v>1682247880</v>
      </c>
      <c r="K5861">
        <v>20</v>
      </c>
      <c r="L5861">
        <v>20</v>
      </c>
      <c r="M5861">
        <v>20</v>
      </c>
    </row>
    <row r="5862" spans="1:13" x14ac:dyDescent="0.25">
      <c r="A5862" t="s">
        <v>12905</v>
      </c>
      <c r="B5862" t="s">
        <v>12904</v>
      </c>
      <c r="C5862" t="s">
        <v>926</v>
      </c>
      <c r="F5862">
        <v>20</v>
      </c>
      <c r="G5862" t="s">
        <v>16</v>
      </c>
      <c r="H5862">
        <v>0</v>
      </c>
      <c r="I5862" s="2" t="s">
        <v>10326</v>
      </c>
      <c r="J5862" s="2" t="s">
        <v>12906</v>
      </c>
      <c r="K5862">
        <v>20</v>
      </c>
      <c r="L5862">
        <v>20</v>
      </c>
      <c r="M5862">
        <v>20</v>
      </c>
    </row>
    <row r="5863" spans="1:13" x14ac:dyDescent="0.25">
      <c r="A5863" t="s">
        <v>12907</v>
      </c>
      <c r="B5863" t="s">
        <v>12908</v>
      </c>
      <c r="C5863" t="s">
        <v>926</v>
      </c>
      <c r="D5863" t="s">
        <v>1036</v>
      </c>
      <c r="F5863">
        <v>4</v>
      </c>
      <c r="G5863" t="s">
        <v>16</v>
      </c>
      <c r="H5863">
        <v>0</v>
      </c>
      <c r="I5863" s="2" t="s">
        <v>392</v>
      </c>
      <c r="J5863" s="2">
        <v>1682246180</v>
      </c>
      <c r="K5863">
        <v>20</v>
      </c>
      <c r="L5863">
        <v>20</v>
      </c>
      <c r="M5863">
        <v>20</v>
      </c>
    </row>
    <row r="5864" spans="1:13" x14ac:dyDescent="0.25">
      <c r="A5864" t="s">
        <v>12909</v>
      </c>
      <c r="B5864" t="s">
        <v>12908</v>
      </c>
      <c r="C5864" t="s">
        <v>926</v>
      </c>
      <c r="D5864" t="s">
        <v>1036</v>
      </c>
      <c r="F5864">
        <v>10</v>
      </c>
      <c r="G5864" t="s">
        <v>16</v>
      </c>
      <c r="H5864">
        <v>0</v>
      </c>
      <c r="I5864" s="2" t="s">
        <v>108</v>
      </c>
      <c r="J5864" s="3">
        <v>1621904012</v>
      </c>
      <c r="K5864">
        <v>20</v>
      </c>
      <c r="L5864">
        <v>20</v>
      </c>
      <c r="M5864">
        <v>20</v>
      </c>
    </row>
    <row r="5865" spans="1:13" x14ac:dyDescent="0.25">
      <c r="A5865" t="s">
        <v>12910</v>
      </c>
      <c r="B5865" t="s">
        <v>12908</v>
      </c>
      <c r="C5865" t="s">
        <v>926</v>
      </c>
      <c r="G5865" t="s">
        <v>16</v>
      </c>
      <c r="H5865">
        <v>0</v>
      </c>
      <c r="I5865" s="2" t="s">
        <v>1067</v>
      </c>
      <c r="J5865" s="2" t="s">
        <v>12911</v>
      </c>
      <c r="K5865">
        <v>20</v>
      </c>
      <c r="L5865">
        <v>20</v>
      </c>
      <c r="M5865">
        <v>20</v>
      </c>
    </row>
    <row r="5866" spans="1:13" x14ac:dyDescent="0.25">
      <c r="A5866" t="s">
        <v>12912</v>
      </c>
      <c r="B5866" t="s">
        <v>12913</v>
      </c>
      <c r="C5866" t="s">
        <v>926</v>
      </c>
      <c r="D5866" t="s">
        <v>1036</v>
      </c>
      <c r="G5866" t="s">
        <v>16</v>
      </c>
      <c r="H5866">
        <v>0</v>
      </c>
      <c r="I5866" s="2" t="s">
        <v>383</v>
      </c>
      <c r="J5866" s="2" t="str">
        <f>"0242129510"</f>
        <v>0242129510</v>
      </c>
      <c r="K5866">
        <v>20</v>
      </c>
      <c r="L5866">
        <v>20</v>
      </c>
      <c r="M5866">
        <v>20</v>
      </c>
    </row>
    <row r="5867" spans="1:13" x14ac:dyDescent="0.25">
      <c r="A5867" t="s">
        <v>12914</v>
      </c>
      <c r="B5867" t="s">
        <v>12915</v>
      </c>
      <c r="C5867" t="s">
        <v>926</v>
      </c>
      <c r="D5867" t="s">
        <v>1036</v>
      </c>
      <c r="F5867">
        <v>4</v>
      </c>
      <c r="G5867" t="s">
        <v>16</v>
      </c>
      <c r="H5867">
        <v>0</v>
      </c>
      <c r="I5867" s="2" t="s">
        <v>389</v>
      </c>
      <c r="J5867" s="2">
        <v>1625935480</v>
      </c>
      <c r="K5867">
        <v>20</v>
      </c>
      <c r="L5867">
        <v>20</v>
      </c>
      <c r="M5867">
        <v>20</v>
      </c>
    </row>
    <row r="5868" spans="1:13" x14ac:dyDescent="0.25">
      <c r="A5868" t="s">
        <v>12916</v>
      </c>
      <c r="B5868" t="s">
        <v>12913</v>
      </c>
      <c r="C5868" t="s">
        <v>926</v>
      </c>
      <c r="D5868" t="s">
        <v>1036</v>
      </c>
      <c r="F5868">
        <v>14</v>
      </c>
      <c r="G5868" t="s">
        <v>16</v>
      </c>
      <c r="H5868">
        <v>0</v>
      </c>
      <c r="I5868" s="2" t="s">
        <v>1043</v>
      </c>
      <c r="J5868" s="2" t="s">
        <v>12917</v>
      </c>
      <c r="K5868">
        <v>20</v>
      </c>
      <c r="L5868">
        <v>20</v>
      </c>
      <c r="M5868">
        <v>20</v>
      </c>
    </row>
    <row r="5869" spans="1:13" x14ac:dyDescent="0.25">
      <c r="A5869" t="s">
        <v>12918</v>
      </c>
      <c r="B5869" t="s">
        <v>12919</v>
      </c>
      <c r="C5869" t="s">
        <v>151</v>
      </c>
      <c r="G5869" t="s">
        <v>16</v>
      </c>
      <c r="H5869">
        <v>0</v>
      </c>
      <c r="I5869" s="2" t="s">
        <v>383</v>
      </c>
      <c r="J5869" s="2" t="str">
        <f>"0250201039"</f>
        <v>0250201039</v>
      </c>
      <c r="K5869">
        <v>20</v>
      </c>
      <c r="L5869">
        <v>20</v>
      </c>
      <c r="M5869">
        <v>20</v>
      </c>
    </row>
    <row r="5870" spans="1:13" x14ac:dyDescent="0.25">
      <c r="A5870" t="s">
        <v>12920</v>
      </c>
      <c r="B5870" t="s">
        <v>12919</v>
      </c>
      <c r="C5870" t="s">
        <v>926</v>
      </c>
      <c r="G5870" t="s">
        <v>16</v>
      </c>
      <c r="H5870">
        <v>0</v>
      </c>
      <c r="I5870" s="2" t="s">
        <v>10326</v>
      </c>
      <c r="J5870" s="2" t="s">
        <v>12921</v>
      </c>
      <c r="K5870">
        <v>20</v>
      </c>
      <c r="L5870">
        <v>20</v>
      </c>
      <c r="M5870">
        <v>20</v>
      </c>
    </row>
    <row r="5871" spans="1:13" x14ac:dyDescent="0.25">
      <c r="A5871" t="s">
        <v>12922</v>
      </c>
      <c r="B5871" t="s">
        <v>12923</v>
      </c>
      <c r="C5871" t="s">
        <v>926</v>
      </c>
      <c r="D5871" t="s">
        <v>1036</v>
      </c>
      <c r="G5871" t="s">
        <v>16</v>
      </c>
      <c r="H5871">
        <v>0</v>
      </c>
      <c r="I5871" s="2" t="s">
        <v>685</v>
      </c>
      <c r="J5871" s="2" t="str">
        <f>"0242135518"</f>
        <v>0242135518</v>
      </c>
      <c r="K5871">
        <v>20</v>
      </c>
      <c r="L5871">
        <v>20</v>
      </c>
      <c r="M5871">
        <v>20</v>
      </c>
    </row>
    <row r="5872" spans="1:13" x14ac:dyDescent="0.25">
      <c r="A5872" t="s">
        <v>12924</v>
      </c>
      <c r="B5872" t="s">
        <v>12925</v>
      </c>
      <c r="C5872" t="s">
        <v>926</v>
      </c>
      <c r="D5872" t="s">
        <v>1036</v>
      </c>
      <c r="F5872">
        <v>12</v>
      </c>
      <c r="G5872" t="s">
        <v>16</v>
      </c>
      <c r="H5872">
        <v>0</v>
      </c>
      <c r="I5872" s="2" t="s">
        <v>389</v>
      </c>
      <c r="J5872" s="2">
        <v>1625936880</v>
      </c>
      <c r="K5872">
        <v>20</v>
      </c>
      <c r="L5872">
        <v>20</v>
      </c>
      <c r="M5872">
        <v>20</v>
      </c>
    </row>
    <row r="5873" spans="1:13" x14ac:dyDescent="0.25">
      <c r="A5873" t="s">
        <v>12926</v>
      </c>
      <c r="B5873" t="s">
        <v>12927</v>
      </c>
      <c r="C5873" t="s">
        <v>926</v>
      </c>
      <c r="D5873" t="s">
        <v>927</v>
      </c>
      <c r="G5873" t="s">
        <v>16</v>
      </c>
      <c r="H5873">
        <v>0</v>
      </c>
      <c r="I5873" s="2" t="s">
        <v>383</v>
      </c>
      <c r="J5873" s="2" t="str">
        <f>"0221504470"</f>
        <v>0221504470</v>
      </c>
      <c r="K5873">
        <v>20</v>
      </c>
      <c r="L5873">
        <v>20</v>
      </c>
      <c r="M5873">
        <v>20</v>
      </c>
    </row>
    <row r="5874" spans="1:13" x14ac:dyDescent="0.25">
      <c r="A5874" t="s">
        <v>12928</v>
      </c>
      <c r="B5874" t="s">
        <v>12929</v>
      </c>
      <c r="C5874" t="s">
        <v>926</v>
      </c>
      <c r="D5874" t="s">
        <v>927</v>
      </c>
      <c r="F5874">
        <v>1</v>
      </c>
      <c r="G5874" t="s">
        <v>16</v>
      </c>
      <c r="H5874">
        <v>0</v>
      </c>
      <c r="I5874" s="2" t="s">
        <v>383</v>
      </c>
      <c r="J5874" s="2" t="str">
        <f>"098622A205"</f>
        <v>098622A205</v>
      </c>
      <c r="K5874">
        <v>20</v>
      </c>
      <c r="L5874">
        <v>20</v>
      </c>
      <c r="M5874">
        <v>20</v>
      </c>
    </row>
    <row r="5875" spans="1:13" x14ac:dyDescent="0.25">
      <c r="A5875" t="s">
        <v>12930</v>
      </c>
      <c r="B5875" t="s">
        <v>12929</v>
      </c>
      <c r="C5875" t="s">
        <v>926</v>
      </c>
      <c r="D5875" t="s">
        <v>927</v>
      </c>
      <c r="F5875">
        <v>1</v>
      </c>
      <c r="G5875" t="s">
        <v>16</v>
      </c>
      <c r="H5875">
        <v>0</v>
      </c>
      <c r="I5875" s="2" t="s">
        <v>707</v>
      </c>
      <c r="J5875" s="2" t="s">
        <v>12931</v>
      </c>
      <c r="K5875">
        <v>20</v>
      </c>
      <c r="L5875">
        <v>20</v>
      </c>
      <c r="M5875">
        <v>20</v>
      </c>
    </row>
    <row r="5876" spans="1:13" x14ac:dyDescent="0.25">
      <c r="A5876" t="s">
        <v>12932</v>
      </c>
      <c r="B5876" t="s">
        <v>12933</v>
      </c>
      <c r="C5876" t="s">
        <v>926</v>
      </c>
      <c r="D5876" t="s">
        <v>927</v>
      </c>
      <c r="F5876">
        <v>1</v>
      </c>
      <c r="G5876" t="s">
        <v>16</v>
      </c>
      <c r="H5876">
        <v>0</v>
      </c>
      <c r="I5876" s="2" t="s">
        <v>51</v>
      </c>
      <c r="J5876" s="2" t="s">
        <v>12932</v>
      </c>
      <c r="K5876">
        <v>20</v>
      </c>
      <c r="L5876">
        <v>20</v>
      </c>
      <c r="M5876">
        <v>20</v>
      </c>
    </row>
    <row r="5877" spans="1:13" x14ac:dyDescent="0.25">
      <c r="A5877" t="s">
        <v>12934</v>
      </c>
      <c r="B5877" t="s">
        <v>12935</v>
      </c>
      <c r="C5877" t="s">
        <v>926</v>
      </c>
      <c r="D5877" t="s">
        <v>927</v>
      </c>
      <c r="F5877">
        <v>1</v>
      </c>
      <c r="G5877" t="s">
        <v>16</v>
      </c>
      <c r="H5877">
        <v>0</v>
      </c>
      <c r="I5877" s="2" t="s">
        <v>1663</v>
      </c>
      <c r="J5877" s="2" t="s">
        <v>12936</v>
      </c>
      <c r="K5877">
        <v>20</v>
      </c>
      <c r="L5877">
        <v>20</v>
      </c>
      <c r="M5877">
        <v>20</v>
      </c>
    </row>
    <row r="5878" spans="1:13" x14ac:dyDescent="0.25">
      <c r="A5878" t="s">
        <v>12937</v>
      </c>
      <c r="B5878" t="s">
        <v>12938</v>
      </c>
      <c r="C5878" t="s">
        <v>926</v>
      </c>
      <c r="D5878" t="s">
        <v>927</v>
      </c>
      <c r="F5878">
        <v>1</v>
      </c>
      <c r="G5878" t="s">
        <v>16</v>
      </c>
      <c r="H5878">
        <v>0</v>
      </c>
      <c r="I5878" s="2" t="s">
        <v>950</v>
      </c>
      <c r="J5878" s="2">
        <v>20383</v>
      </c>
      <c r="K5878">
        <v>20</v>
      </c>
      <c r="L5878">
        <v>20</v>
      </c>
      <c r="M5878">
        <v>20</v>
      </c>
    </row>
    <row r="5879" spans="1:13" x14ac:dyDescent="0.25">
      <c r="A5879" t="s">
        <v>12939</v>
      </c>
      <c r="B5879" t="s">
        <v>12940</v>
      </c>
      <c r="C5879" t="s">
        <v>926</v>
      </c>
      <c r="D5879" t="s">
        <v>927</v>
      </c>
      <c r="F5879">
        <v>1</v>
      </c>
      <c r="G5879" t="s">
        <v>16</v>
      </c>
      <c r="H5879">
        <v>0</v>
      </c>
      <c r="I5879" s="2" t="s">
        <v>937</v>
      </c>
      <c r="J5879" s="2" t="s">
        <v>12941</v>
      </c>
      <c r="K5879">
        <v>20</v>
      </c>
      <c r="L5879">
        <v>20</v>
      </c>
      <c r="M5879">
        <v>20</v>
      </c>
    </row>
    <row r="5880" spans="1:13" x14ac:dyDescent="0.25">
      <c r="A5880" t="s">
        <v>12942</v>
      </c>
      <c r="B5880" t="s">
        <v>12943</v>
      </c>
      <c r="C5880" t="s">
        <v>926</v>
      </c>
      <c r="D5880" t="s">
        <v>927</v>
      </c>
      <c r="F5880">
        <v>1</v>
      </c>
      <c r="G5880" t="s">
        <v>16</v>
      </c>
      <c r="H5880">
        <v>0</v>
      </c>
      <c r="I5880" s="2" t="s">
        <v>1488</v>
      </c>
      <c r="J5880" s="3">
        <v>96303</v>
      </c>
      <c r="K5880">
        <v>20</v>
      </c>
      <c r="L5880">
        <v>20</v>
      </c>
      <c r="M5880">
        <v>20</v>
      </c>
    </row>
    <row r="5881" spans="1:13" x14ac:dyDescent="0.25">
      <c r="A5881" t="s">
        <v>12944</v>
      </c>
      <c r="B5881" t="s">
        <v>12945</v>
      </c>
      <c r="C5881" t="s">
        <v>151</v>
      </c>
      <c r="G5881" t="s">
        <v>16</v>
      </c>
      <c r="H5881">
        <v>0</v>
      </c>
      <c r="I5881" s="2" t="s">
        <v>2831</v>
      </c>
      <c r="J5881" s="2" t="s">
        <v>12944</v>
      </c>
      <c r="K5881">
        <v>20</v>
      </c>
      <c r="L5881">
        <v>20</v>
      </c>
      <c r="M5881">
        <v>20</v>
      </c>
    </row>
    <row r="5882" spans="1:13" x14ac:dyDescent="0.25">
      <c r="A5882" t="s">
        <v>12946</v>
      </c>
      <c r="B5882" t="s">
        <v>12947</v>
      </c>
      <c r="C5882" t="s">
        <v>1736</v>
      </c>
      <c r="F5882">
        <v>0</v>
      </c>
      <c r="G5882" t="s">
        <v>16</v>
      </c>
      <c r="H5882">
        <v>0</v>
      </c>
      <c r="I5882" s="2" t="s">
        <v>1748</v>
      </c>
      <c r="J5882" s="2" t="s">
        <v>12948</v>
      </c>
      <c r="K5882">
        <v>20</v>
      </c>
      <c r="L5882">
        <v>20</v>
      </c>
      <c r="M5882">
        <v>20</v>
      </c>
    </row>
    <row r="5883" spans="1:13" x14ac:dyDescent="0.25">
      <c r="A5883" t="s">
        <v>12949</v>
      </c>
      <c r="B5883" t="s">
        <v>12950</v>
      </c>
      <c r="C5883" t="s">
        <v>1736</v>
      </c>
      <c r="F5883">
        <v>0</v>
      </c>
      <c r="G5883" t="s">
        <v>16</v>
      </c>
      <c r="H5883">
        <v>0</v>
      </c>
      <c r="I5883" s="2" t="s">
        <v>1748</v>
      </c>
      <c r="J5883" s="2" t="s">
        <v>12951</v>
      </c>
      <c r="K5883">
        <v>20</v>
      </c>
      <c r="L5883">
        <v>20</v>
      </c>
      <c r="M5883">
        <v>20</v>
      </c>
    </row>
    <row r="5884" spans="1:13" x14ac:dyDescent="0.25">
      <c r="A5884" t="s">
        <v>12952</v>
      </c>
      <c r="B5884" t="s">
        <v>12953</v>
      </c>
      <c r="C5884" t="s">
        <v>362</v>
      </c>
      <c r="D5884" t="s">
        <v>4091</v>
      </c>
      <c r="F5884">
        <v>0</v>
      </c>
      <c r="G5884" t="s">
        <v>16</v>
      </c>
      <c r="H5884">
        <v>0</v>
      </c>
      <c r="I5884" s="2" t="s">
        <v>4193</v>
      </c>
      <c r="J5884" s="2" t="s">
        <v>12954</v>
      </c>
      <c r="K5884">
        <v>20</v>
      </c>
      <c r="L5884">
        <v>20</v>
      </c>
      <c r="M5884">
        <v>20</v>
      </c>
    </row>
    <row r="5885" spans="1:13" x14ac:dyDescent="0.25">
      <c r="A5885" t="s">
        <v>12955</v>
      </c>
      <c r="B5885" t="s">
        <v>12956</v>
      </c>
      <c r="C5885" t="s">
        <v>362</v>
      </c>
      <c r="D5885" t="s">
        <v>4091</v>
      </c>
      <c r="F5885">
        <v>0</v>
      </c>
      <c r="G5885" t="s">
        <v>16</v>
      </c>
      <c r="H5885">
        <v>0</v>
      </c>
      <c r="I5885" s="2" t="s">
        <v>4193</v>
      </c>
      <c r="J5885" s="2" t="s">
        <v>12957</v>
      </c>
      <c r="K5885">
        <v>20</v>
      </c>
      <c r="L5885">
        <v>20</v>
      </c>
      <c r="M5885">
        <v>20</v>
      </c>
    </row>
    <row r="5886" spans="1:13" x14ac:dyDescent="0.25">
      <c r="A5886" t="s">
        <v>12958</v>
      </c>
      <c r="B5886" t="s">
        <v>12959</v>
      </c>
      <c r="C5886" t="s">
        <v>20</v>
      </c>
      <c r="F5886">
        <v>0</v>
      </c>
      <c r="G5886" t="s">
        <v>16</v>
      </c>
      <c r="H5886">
        <v>0</v>
      </c>
      <c r="I5886" s="2" t="s">
        <v>525</v>
      </c>
      <c r="J5886" s="2">
        <v>7616</v>
      </c>
      <c r="K5886">
        <v>20</v>
      </c>
      <c r="L5886">
        <v>20</v>
      </c>
      <c r="M5886">
        <v>20</v>
      </c>
    </row>
    <row r="5887" spans="1:13" x14ac:dyDescent="0.25">
      <c r="A5887" t="s">
        <v>12960</v>
      </c>
      <c r="B5887" t="s">
        <v>12961</v>
      </c>
      <c r="C5887" t="s">
        <v>20</v>
      </c>
      <c r="F5887">
        <v>3</v>
      </c>
      <c r="G5887" t="s">
        <v>16</v>
      </c>
      <c r="H5887">
        <v>0</v>
      </c>
      <c r="I5887" s="2" t="s">
        <v>525</v>
      </c>
      <c r="J5887" s="2">
        <v>9952</v>
      </c>
      <c r="K5887">
        <v>20</v>
      </c>
      <c r="L5887">
        <v>20</v>
      </c>
      <c r="M5887">
        <v>20</v>
      </c>
    </row>
    <row r="5888" spans="1:13" x14ac:dyDescent="0.25">
      <c r="A5888" t="s">
        <v>12962</v>
      </c>
      <c r="B5888" t="s">
        <v>12963</v>
      </c>
      <c r="C5888" t="s">
        <v>20</v>
      </c>
      <c r="F5888">
        <v>3</v>
      </c>
      <c r="G5888" t="s">
        <v>16</v>
      </c>
      <c r="H5888">
        <v>0</v>
      </c>
      <c r="I5888" s="2" t="s">
        <v>525</v>
      </c>
      <c r="J5888" s="2">
        <v>2316</v>
      </c>
      <c r="K5888">
        <v>20</v>
      </c>
      <c r="L5888">
        <v>20</v>
      </c>
      <c r="M5888">
        <v>20</v>
      </c>
    </row>
    <row r="5889" spans="1:13" x14ac:dyDescent="0.25">
      <c r="A5889" t="s">
        <v>12964</v>
      </c>
      <c r="B5889" t="s">
        <v>12965</v>
      </c>
      <c r="C5889" t="s">
        <v>20</v>
      </c>
      <c r="F5889">
        <v>31</v>
      </c>
      <c r="G5889" t="s">
        <v>16</v>
      </c>
      <c r="H5889">
        <v>0</v>
      </c>
      <c r="I5889" s="2" t="s">
        <v>530</v>
      </c>
      <c r="J5889" s="2" t="s">
        <v>531</v>
      </c>
      <c r="K5889">
        <v>20</v>
      </c>
      <c r="L5889">
        <v>20</v>
      </c>
      <c r="M5889">
        <v>20</v>
      </c>
    </row>
    <row r="5890" spans="1:13" x14ac:dyDescent="0.25">
      <c r="A5890" t="s">
        <v>12966</v>
      </c>
      <c r="B5890" t="s">
        <v>12967</v>
      </c>
      <c r="C5890" t="s">
        <v>20</v>
      </c>
      <c r="F5890">
        <v>5</v>
      </c>
      <c r="G5890" t="s">
        <v>16</v>
      </c>
      <c r="H5890">
        <v>0</v>
      </c>
      <c r="I5890" s="2" t="s">
        <v>530</v>
      </c>
      <c r="J5890" s="2" t="s">
        <v>531</v>
      </c>
      <c r="K5890">
        <v>20</v>
      </c>
      <c r="L5890">
        <v>20</v>
      </c>
      <c r="M5890">
        <v>20</v>
      </c>
    </row>
    <row r="5891" spans="1:13" x14ac:dyDescent="0.25">
      <c r="A5891" t="s">
        <v>12968</v>
      </c>
      <c r="B5891" t="s">
        <v>12969</v>
      </c>
      <c r="C5891" t="s">
        <v>20</v>
      </c>
      <c r="F5891">
        <v>3</v>
      </c>
      <c r="G5891" t="s">
        <v>16</v>
      </c>
      <c r="H5891">
        <v>0</v>
      </c>
      <c r="I5891" s="2" t="s">
        <v>530</v>
      </c>
      <c r="J5891" s="2" t="s">
        <v>531</v>
      </c>
      <c r="K5891">
        <v>20</v>
      </c>
      <c r="L5891">
        <v>20</v>
      </c>
      <c r="M5891">
        <v>20</v>
      </c>
    </row>
    <row r="5892" spans="1:13" x14ac:dyDescent="0.25">
      <c r="A5892" t="s">
        <v>12970</v>
      </c>
      <c r="B5892" t="s">
        <v>12971</v>
      </c>
      <c r="C5892" t="s">
        <v>20</v>
      </c>
      <c r="F5892">
        <v>28</v>
      </c>
      <c r="G5892" t="s">
        <v>16</v>
      </c>
      <c r="H5892">
        <v>0</v>
      </c>
      <c r="I5892" s="2" t="s">
        <v>530</v>
      </c>
      <c r="J5892" s="2" t="s">
        <v>531</v>
      </c>
      <c r="K5892">
        <v>20</v>
      </c>
      <c r="L5892">
        <v>20</v>
      </c>
      <c r="M5892">
        <v>20</v>
      </c>
    </row>
    <row r="5893" spans="1:13" x14ac:dyDescent="0.25">
      <c r="A5893" t="s">
        <v>12972</v>
      </c>
      <c r="B5893" t="s">
        <v>12973</v>
      </c>
      <c r="C5893" t="s">
        <v>357</v>
      </c>
      <c r="D5893" t="s">
        <v>241</v>
      </c>
      <c r="F5893">
        <v>2</v>
      </c>
      <c r="G5893" t="s">
        <v>16</v>
      </c>
      <c r="H5893">
        <v>0</v>
      </c>
      <c r="I5893" s="2" t="s">
        <v>500</v>
      </c>
      <c r="J5893" s="2" t="s">
        <v>12974</v>
      </c>
      <c r="K5893">
        <v>20</v>
      </c>
      <c r="L5893">
        <v>20</v>
      </c>
      <c r="M5893">
        <v>20</v>
      </c>
    </row>
    <row r="5894" spans="1:13" x14ac:dyDescent="0.25">
      <c r="A5894" t="s">
        <v>12975</v>
      </c>
      <c r="B5894" t="s">
        <v>12973</v>
      </c>
      <c r="C5894" t="s">
        <v>357</v>
      </c>
      <c r="D5894" t="s">
        <v>241</v>
      </c>
      <c r="F5894">
        <v>6</v>
      </c>
      <c r="G5894" t="s">
        <v>16</v>
      </c>
      <c r="H5894">
        <v>0</v>
      </c>
      <c r="I5894" s="2" t="s">
        <v>504</v>
      </c>
      <c r="J5894" s="2" t="s">
        <v>12976</v>
      </c>
      <c r="K5894">
        <v>20</v>
      </c>
      <c r="L5894">
        <v>20</v>
      </c>
      <c r="M5894">
        <v>20</v>
      </c>
    </row>
    <row r="5895" spans="1:13" x14ac:dyDescent="0.25">
      <c r="A5895" t="s">
        <v>12977</v>
      </c>
      <c r="B5895" t="s">
        <v>12978</v>
      </c>
      <c r="C5895" t="s">
        <v>357</v>
      </c>
      <c r="D5895" t="s">
        <v>241</v>
      </c>
      <c r="F5895">
        <v>2</v>
      </c>
      <c r="G5895" t="s">
        <v>16</v>
      </c>
      <c r="H5895">
        <v>0</v>
      </c>
      <c r="I5895" s="2" t="s">
        <v>500</v>
      </c>
      <c r="J5895" s="2" t="s">
        <v>12979</v>
      </c>
      <c r="K5895">
        <v>20</v>
      </c>
      <c r="L5895">
        <v>20</v>
      </c>
      <c r="M5895">
        <v>20</v>
      </c>
    </row>
    <row r="5896" spans="1:13" x14ac:dyDescent="0.25">
      <c r="A5896" t="s">
        <v>12980</v>
      </c>
      <c r="B5896" t="s">
        <v>12981</v>
      </c>
      <c r="C5896" t="s">
        <v>20</v>
      </c>
      <c r="F5896">
        <v>0</v>
      </c>
      <c r="G5896" t="s">
        <v>16</v>
      </c>
      <c r="H5896">
        <v>0</v>
      </c>
      <c r="I5896" s="2" t="s">
        <v>11614</v>
      </c>
      <c r="J5896" s="2" t="s">
        <v>12982</v>
      </c>
      <c r="K5896">
        <v>20</v>
      </c>
      <c r="L5896">
        <v>20</v>
      </c>
      <c r="M5896">
        <v>20</v>
      </c>
    </row>
    <row r="5897" spans="1:13" x14ac:dyDescent="0.25">
      <c r="A5897" t="s">
        <v>12983</v>
      </c>
      <c r="B5897" t="s">
        <v>12984</v>
      </c>
      <c r="C5897" t="s">
        <v>20</v>
      </c>
      <c r="F5897">
        <v>0</v>
      </c>
      <c r="G5897" t="s">
        <v>16</v>
      </c>
      <c r="H5897">
        <v>0</v>
      </c>
      <c r="I5897" s="2" t="s">
        <v>12985</v>
      </c>
      <c r="J5897" s="2" t="s">
        <v>12986</v>
      </c>
      <c r="K5897">
        <v>20</v>
      </c>
      <c r="L5897">
        <v>20</v>
      </c>
      <c r="M5897">
        <v>20</v>
      </c>
    </row>
    <row r="5898" spans="1:13" x14ac:dyDescent="0.25">
      <c r="A5898" t="s">
        <v>12987</v>
      </c>
      <c r="B5898" t="s">
        <v>12984</v>
      </c>
      <c r="C5898" t="s">
        <v>20</v>
      </c>
      <c r="F5898">
        <v>0</v>
      </c>
      <c r="G5898" t="s">
        <v>16</v>
      </c>
      <c r="H5898">
        <v>0</v>
      </c>
      <c r="I5898" s="2" t="s">
        <v>288</v>
      </c>
      <c r="J5898" s="2" t="s">
        <v>12988</v>
      </c>
      <c r="K5898">
        <v>20</v>
      </c>
      <c r="L5898">
        <v>20</v>
      </c>
      <c r="M5898">
        <v>20</v>
      </c>
    </row>
    <row r="5899" spans="1:13" x14ac:dyDescent="0.25">
      <c r="A5899" t="s">
        <v>12989</v>
      </c>
      <c r="B5899" t="s">
        <v>12990</v>
      </c>
      <c r="C5899" t="s">
        <v>20</v>
      </c>
      <c r="F5899">
        <v>1</v>
      </c>
      <c r="G5899" t="s">
        <v>16</v>
      </c>
      <c r="H5899">
        <v>0</v>
      </c>
      <c r="I5899" s="2" t="s">
        <v>12985</v>
      </c>
      <c r="J5899" s="2" t="s">
        <v>12991</v>
      </c>
      <c r="K5899">
        <v>20</v>
      </c>
      <c r="L5899">
        <v>20</v>
      </c>
      <c r="M5899">
        <v>20</v>
      </c>
    </row>
    <row r="5900" spans="1:13" x14ac:dyDescent="0.25">
      <c r="A5900" t="s">
        <v>12992</v>
      </c>
      <c r="B5900" t="s">
        <v>12993</v>
      </c>
      <c r="C5900" t="s">
        <v>20</v>
      </c>
      <c r="G5900" t="s">
        <v>16</v>
      </c>
      <c r="H5900">
        <v>0</v>
      </c>
      <c r="I5900" s="2" t="s">
        <v>3421</v>
      </c>
      <c r="J5900" s="2" t="s">
        <v>12994</v>
      </c>
      <c r="K5900">
        <v>20</v>
      </c>
      <c r="L5900">
        <v>20</v>
      </c>
      <c r="M5900">
        <v>20</v>
      </c>
    </row>
    <row r="5901" spans="1:13" x14ac:dyDescent="0.25">
      <c r="A5901" t="s">
        <v>12995</v>
      </c>
      <c r="B5901" t="s">
        <v>12993</v>
      </c>
      <c r="C5901" t="s">
        <v>20</v>
      </c>
      <c r="F5901">
        <v>1</v>
      </c>
      <c r="G5901" t="s">
        <v>16</v>
      </c>
      <c r="H5901">
        <v>0</v>
      </c>
      <c r="I5901" s="2" t="s">
        <v>99</v>
      </c>
      <c r="J5901" s="3">
        <v>751970</v>
      </c>
      <c r="K5901">
        <v>20</v>
      </c>
      <c r="L5901">
        <v>20</v>
      </c>
      <c r="M5901">
        <v>20</v>
      </c>
    </row>
    <row r="5902" spans="1:13" x14ac:dyDescent="0.25">
      <c r="A5902" t="s">
        <v>12996</v>
      </c>
      <c r="B5902" t="s">
        <v>12993</v>
      </c>
      <c r="C5902" t="s">
        <v>20</v>
      </c>
      <c r="G5902" t="s">
        <v>16</v>
      </c>
      <c r="H5902">
        <v>0</v>
      </c>
      <c r="I5902" s="2" t="s">
        <v>83</v>
      </c>
      <c r="J5902" s="2" t="s">
        <v>12997</v>
      </c>
      <c r="K5902">
        <v>20</v>
      </c>
      <c r="L5902">
        <v>20</v>
      </c>
      <c r="M5902">
        <v>20</v>
      </c>
    </row>
    <row r="5903" spans="1:13" x14ac:dyDescent="0.25">
      <c r="A5903" t="s">
        <v>12998</v>
      </c>
      <c r="B5903" t="s">
        <v>12999</v>
      </c>
      <c r="C5903" t="s">
        <v>20</v>
      </c>
      <c r="F5903">
        <v>1</v>
      </c>
      <c r="G5903" t="s">
        <v>16</v>
      </c>
      <c r="H5903">
        <v>0</v>
      </c>
      <c r="I5903" s="2" t="s">
        <v>99</v>
      </c>
      <c r="J5903" s="3">
        <v>820262</v>
      </c>
      <c r="K5903">
        <v>20</v>
      </c>
      <c r="L5903">
        <v>20</v>
      </c>
      <c r="M5903">
        <v>20</v>
      </c>
    </row>
    <row r="5904" spans="1:13" x14ac:dyDescent="0.25">
      <c r="A5904" t="s">
        <v>13000</v>
      </c>
      <c r="B5904" t="s">
        <v>13001</v>
      </c>
      <c r="C5904" t="s">
        <v>20</v>
      </c>
      <c r="F5904">
        <v>2</v>
      </c>
      <c r="G5904" t="s">
        <v>16</v>
      </c>
      <c r="H5904">
        <v>0</v>
      </c>
      <c r="I5904" s="2" t="s">
        <v>97</v>
      </c>
      <c r="J5904" s="3">
        <v>803010</v>
      </c>
      <c r="K5904">
        <v>20</v>
      </c>
      <c r="L5904">
        <v>20</v>
      </c>
      <c r="M5904">
        <v>20</v>
      </c>
    </row>
    <row r="5905" spans="1:13" x14ac:dyDescent="0.25">
      <c r="A5905" t="s">
        <v>13002</v>
      </c>
      <c r="B5905" t="s">
        <v>13001</v>
      </c>
      <c r="C5905" t="s">
        <v>20</v>
      </c>
      <c r="F5905">
        <v>1</v>
      </c>
      <c r="G5905" t="s">
        <v>22</v>
      </c>
      <c r="H5905">
        <v>0</v>
      </c>
      <c r="I5905" s="2" t="s">
        <v>83</v>
      </c>
      <c r="J5905" s="2" t="s">
        <v>13003</v>
      </c>
      <c r="K5905">
        <v>20</v>
      </c>
      <c r="L5905">
        <v>20</v>
      </c>
      <c r="M5905">
        <v>20</v>
      </c>
    </row>
    <row r="5906" spans="1:13" x14ac:dyDescent="0.25">
      <c r="A5906" t="s">
        <v>13004</v>
      </c>
      <c r="B5906" t="s">
        <v>13005</v>
      </c>
      <c r="C5906" t="s">
        <v>20</v>
      </c>
      <c r="F5906">
        <v>1</v>
      </c>
      <c r="G5906" t="s">
        <v>16</v>
      </c>
      <c r="H5906">
        <v>0</v>
      </c>
      <c r="I5906" s="2" t="s">
        <v>11618</v>
      </c>
      <c r="J5906" s="2" t="s">
        <v>13006</v>
      </c>
      <c r="K5906">
        <v>20</v>
      </c>
      <c r="L5906">
        <v>20</v>
      </c>
      <c r="M5906">
        <v>20</v>
      </c>
    </row>
    <row r="5907" spans="1:13" x14ac:dyDescent="0.25">
      <c r="A5907" t="s">
        <v>13007</v>
      </c>
      <c r="B5907" t="s">
        <v>13008</v>
      </c>
      <c r="C5907" t="s">
        <v>20</v>
      </c>
      <c r="D5907" t="s">
        <v>26</v>
      </c>
      <c r="G5907" t="s">
        <v>16</v>
      </c>
      <c r="H5907">
        <v>0</v>
      </c>
      <c r="I5907" s="2" t="s">
        <v>3421</v>
      </c>
      <c r="J5907" s="2" t="s">
        <v>13009</v>
      </c>
      <c r="K5907">
        <v>20</v>
      </c>
      <c r="L5907">
        <v>20</v>
      </c>
      <c r="M5907">
        <v>20</v>
      </c>
    </row>
    <row r="5908" spans="1:13" x14ac:dyDescent="0.25">
      <c r="A5908" t="s">
        <v>13010</v>
      </c>
      <c r="B5908" t="s">
        <v>13011</v>
      </c>
      <c r="C5908" t="s">
        <v>20</v>
      </c>
      <c r="D5908" t="s">
        <v>26</v>
      </c>
      <c r="F5908">
        <v>2</v>
      </c>
      <c r="G5908" t="s">
        <v>16</v>
      </c>
      <c r="H5908">
        <v>0</v>
      </c>
      <c r="I5908" s="2" t="s">
        <v>99</v>
      </c>
      <c r="J5908" s="3">
        <v>186711</v>
      </c>
      <c r="K5908">
        <v>20</v>
      </c>
      <c r="L5908">
        <v>20</v>
      </c>
      <c r="M5908">
        <v>20</v>
      </c>
    </row>
    <row r="5909" spans="1:13" x14ac:dyDescent="0.25">
      <c r="A5909" t="s">
        <v>13012</v>
      </c>
      <c r="B5909" t="s">
        <v>13011</v>
      </c>
      <c r="C5909" t="s">
        <v>20</v>
      </c>
      <c r="D5909" t="s">
        <v>26</v>
      </c>
      <c r="F5909">
        <v>1</v>
      </c>
      <c r="G5909" t="s">
        <v>16</v>
      </c>
      <c r="H5909">
        <v>0</v>
      </c>
      <c r="I5909" s="2" t="s">
        <v>172</v>
      </c>
      <c r="J5909" s="2">
        <v>42447405</v>
      </c>
      <c r="K5909">
        <v>20</v>
      </c>
      <c r="L5909">
        <v>20</v>
      </c>
      <c r="M5909">
        <v>20</v>
      </c>
    </row>
    <row r="5910" spans="1:13" x14ac:dyDescent="0.25">
      <c r="A5910" t="s">
        <v>13013</v>
      </c>
      <c r="B5910" t="s">
        <v>13008</v>
      </c>
      <c r="C5910" t="s">
        <v>20</v>
      </c>
      <c r="D5910" t="s">
        <v>26</v>
      </c>
      <c r="F5910">
        <v>3</v>
      </c>
      <c r="G5910" t="s">
        <v>16</v>
      </c>
      <c r="H5910">
        <v>0</v>
      </c>
      <c r="I5910" s="2" t="s">
        <v>80</v>
      </c>
      <c r="J5910" s="2" t="s">
        <v>13014</v>
      </c>
      <c r="K5910">
        <v>20</v>
      </c>
      <c r="L5910">
        <v>20</v>
      </c>
      <c r="M5910">
        <v>20</v>
      </c>
    </row>
    <row r="5911" spans="1:13" x14ac:dyDescent="0.25">
      <c r="A5911" t="s">
        <v>13015</v>
      </c>
      <c r="B5911" t="s">
        <v>13016</v>
      </c>
      <c r="C5911" t="s">
        <v>20</v>
      </c>
      <c r="D5911" t="s">
        <v>26</v>
      </c>
      <c r="G5911" t="s">
        <v>16</v>
      </c>
      <c r="H5911">
        <v>0</v>
      </c>
      <c r="I5911" s="2" t="s">
        <v>92</v>
      </c>
      <c r="J5911" s="2">
        <v>83440073</v>
      </c>
      <c r="K5911">
        <v>20</v>
      </c>
      <c r="L5911">
        <v>20</v>
      </c>
      <c r="M5911">
        <v>20</v>
      </c>
    </row>
    <row r="5912" spans="1:13" x14ac:dyDescent="0.25">
      <c r="A5912" t="s">
        <v>13017</v>
      </c>
      <c r="B5912" t="s">
        <v>13016</v>
      </c>
      <c r="C5912" t="s">
        <v>20</v>
      </c>
      <c r="D5912" t="s">
        <v>26</v>
      </c>
      <c r="F5912">
        <v>2</v>
      </c>
      <c r="G5912" t="s">
        <v>16</v>
      </c>
      <c r="H5912">
        <v>0</v>
      </c>
      <c r="I5912" s="2" t="s">
        <v>97</v>
      </c>
      <c r="J5912" s="3">
        <v>492100</v>
      </c>
      <c r="K5912">
        <v>20</v>
      </c>
      <c r="L5912">
        <v>20</v>
      </c>
      <c r="M5912">
        <v>20</v>
      </c>
    </row>
    <row r="5913" spans="1:13" x14ac:dyDescent="0.25">
      <c r="A5913" t="s">
        <v>13018</v>
      </c>
      <c r="B5913" t="s">
        <v>13016</v>
      </c>
      <c r="C5913" t="s">
        <v>20</v>
      </c>
      <c r="D5913" t="s">
        <v>26</v>
      </c>
      <c r="G5913" t="s">
        <v>16</v>
      </c>
      <c r="H5913">
        <v>0</v>
      </c>
      <c r="I5913" s="2" t="s">
        <v>80</v>
      </c>
      <c r="J5913" s="2" t="s">
        <v>13019</v>
      </c>
      <c r="K5913">
        <v>20</v>
      </c>
      <c r="L5913">
        <v>20</v>
      </c>
      <c r="M5913">
        <v>20</v>
      </c>
    </row>
    <row r="5914" spans="1:13" x14ac:dyDescent="0.25">
      <c r="A5914" t="s">
        <v>13020</v>
      </c>
      <c r="B5914" t="s">
        <v>13021</v>
      </c>
      <c r="C5914" t="s">
        <v>20</v>
      </c>
      <c r="D5914" t="s">
        <v>26</v>
      </c>
      <c r="G5914" t="s">
        <v>16</v>
      </c>
      <c r="H5914">
        <v>0</v>
      </c>
      <c r="I5914" s="2" t="s">
        <v>80</v>
      </c>
      <c r="J5914" s="2" t="s">
        <v>13022</v>
      </c>
      <c r="K5914">
        <v>20</v>
      </c>
      <c r="L5914">
        <v>20</v>
      </c>
      <c r="M5914">
        <v>20</v>
      </c>
    </row>
    <row r="5915" spans="1:13" x14ac:dyDescent="0.25">
      <c r="A5915" t="s">
        <v>13023</v>
      </c>
      <c r="B5915" t="s">
        <v>13024</v>
      </c>
      <c r="C5915" t="s">
        <v>20</v>
      </c>
      <c r="D5915" t="s">
        <v>26</v>
      </c>
      <c r="F5915">
        <v>2</v>
      </c>
      <c r="G5915" t="s">
        <v>16</v>
      </c>
      <c r="H5915">
        <v>0</v>
      </c>
      <c r="I5915" s="2" t="s">
        <v>142</v>
      </c>
      <c r="J5915" s="2">
        <v>607505</v>
      </c>
      <c r="K5915">
        <v>20</v>
      </c>
      <c r="L5915">
        <v>20</v>
      </c>
      <c r="M5915">
        <v>20</v>
      </c>
    </row>
    <row r="5916" spans="1:13" x14ac:dyDescent="0.25">
      <c r="A5916" t="s">
        <v>13025</v>
      </c>
      <c r="B5916" t="s">
        <v>13024</v>
      </c>
      <c r="C5916" t="s">
        <v>20</v>
      </c>
      <c r="D5916" t="s">
        <v>26</v>
      </c>
      <c r="F5916">
        <v>3</v>
      </c>
      <c r="G5916" t="s">
        <v>16</v>
      </c>
      <c r="H5916">
        <v>0</v>
      </c>
      <c r="I5916" s="2" t="s">
        <v>3528</v>
      </c>
      <c r="J5916" s="2" t="s">
        <v>13026</v>
      </c>
      <c r="K5916">
        <v>20</v>
      </c>
      <c r="L5916">
        <v>20</v>
      </c>
      <c r="M5916">
        <v>20</v>
      </c>
    </row>
    <row r="5917" spans="1:13" x14ac:dyDescent="0.25">
      <c r="A5917" t="s">
        <v>13027</v>
      </c>
      <c r="B5917" t="s">
        <v>13028</v>
      </c>
      <c r="C5917" t="s">
        <v>20</v>
      </c>
      <c r="F5917">
        <v>1</v>
      </c>
      <c r="G5917" t="s">
        <v>16</v>
      </c>
      <c r="H5917">
        <v>0</v>
      </c>
      <c r="I5917" s="2" t="s">
        <v>759</v>
      </c>
      <c r="J5917" s="2" t="s">
        <v>13029</v>
      </c>
      <c r="K5917">
        <v>20</v>
      </c>
      <c r="L5917">
        <v>20</v>
      </c>
      <c r="M5917">
        <v>20</v>
      </c>
    </row>
    <row r="5918" spans="1:13" x14ac:dyDescent="0.25">
      <c r="A5918" t="s">
        <v>13030</v>
      </c>
      <c r="B5918" t="s">
        <v>13032</v>
      </c>
      <c r="C5918" t="s">
        <v>20</v>
      </c>
      <c r="F5918">
        <v>3</v>
      </c>
      <c r="G5918" t="s">
        <v>16</v>
      </c>
      <c r="H5918">
        <v>0</v>
      </c>
      <c r="I5918" s="2" t="s">
        <v>765</v>
      </c>
      <c r="J5918" s="2" t="s">
        <v>13031</v>
      </c>
      <c r="K5918">
        <v>20</v>
      </c>
      <c r="L5918">
        <v>20</v>
      </c>
      <c r="M5918">
        <v>20</v>
      </c>
    </row>
    <row r="5919" spans="1:13" x14ac:dyDescent="0.25">
      <c r="A5919" t="s">
        <v>13033</v>
      </c>
      <c r="B5919" t="s">
        <v>13034</v>
      </c>
      <c r="C5919" t="s">
        <v>20</v>
      </c>
      <c r="D5919" t="s">
        <v>26</v>
      </c>
      <c r="G5919" t="s">
        <v>16</v>
      </c>
      <c r="H5919">
        <v>0</v>
      </c>
      <c r="I5919" s="2" t="s">
        <v>80</v>
      </c>
      <c r="J5919" s="2" t="s">
        <v>13035</v>
      </c>
      <c r="K5919">
        <v>20</v>
      </c>
      <c r="L5919">
        <v>20</v>
      </c>
      <c r="M5919">
        <v>20</v>
      </c>
    </row>
    <row r="5920" spans="1:13" x14ac:dyDescent="0.25">
      <c r="A5920" t="s">
        <v>13036</v>
      </c>
      <c r="B5920" t="s">
        <v>13037</v>
      </c>
      <c r="C5920" t="s">
        <v>20</v>
      </c>
      <c r="D5920" t="s">
        <v>26</v>
      </c>
      <c r="F5920">
        <v>1</v>
      </c>
      <c r="G5920" t="s">
        <v>16</v>
      </c>
      <c r="H5920">
        <v>0</v>
      </c>
      <c r="I5920" s="2" t="s">
        <v>83</v>
      </c>
      <c r="J5920" s="2" t="s">
        <v>13038</v>
      </c>
      <c r="K5920">
        <v>20</v>
      </c>
      <c r="L5920">
        <v>20</v>
      </c>
      <c r="M5920">
        <v>20</v>
      </c>
    </row>
    <row r="5921" spans="1:13" x14ac:dyDescent="0.25">
      <c r="A5921">
        <v>607647</v>
      </c>
      <c r="B5921" t="s">
        <v>13039</v>
      </c>
      <c r="C5921" t="s">
        <v>20</v>
      </c>
      <c r="D5921" t="s">
        <v>26</v>
      </c>
      <c r="F5921">
        <v>2</v>
      </c>
      <c r="G5921" t="s">
        <v>16</v>
      </c>
      <c r="H5921">
        <v>0</v>
      </c>
      <c r="I5921" s="2" t="s">
        <v>497</v>
      </c>
      <c r="J5921" s="2">
        <v>90501944</v>
      </c>
      <c r="K5921">
        <v>20</v>
      </c>
      <c r="L5921">
        <v>20</v>
      </c>
      <c r="M5921">
        <v>20</v>
      </c>
    </row>
    <row r="5922" spans="1:13" x14ac:dyDescent="0.25">
      <c r="A5922" t="s">
        <v>13040</v>
      </c>
      <c r="B5922" t="s">
        <v>13041</v>
      </c>
      <c r="C5922" t="s">
        <v>20</v>
      </c>
      <c r="D5922" t="s">
        <v>26</v>
      </c>
      <c r="F5922">
        <v>2</v>
      </c>
      <c r="G5922" t="s">
        <v>16</v>
      </c>
      <c r="H5922">
        <v>0</v>
      </c>
      <c r="I5922" s="2" t="s">
        <v>759</v>
      </c>
      <c r="J5922" s="2" t="s">
        <v>13042</v>
      </c>
      <c r="K5922">
        <v>20</v>
      </c>
      <c r="L5922">
        <v>20</v>
      </c>
      <c r="M5922">
        <v>20</v>
      </c>
    </row>
    <row r="5923" spans="1:13" x14ac:dyDescent="0.25">
      <c r="A5923" t="s">
        <v>13043</v>
      </c>
      <c r="B5923" t="s">
        <v>13039</v>
      </c>
      <c r="C5923" t="s">
        <v>20</v>
      </c>
      <c r="D5923" t="s">
        <v>26</v>
      </c>
      <c r="F5923">
        <v>5</v>
      </c>
      <c r="G5923" t="s">
        <v>16</v>
      </c>
      <c r="H5923">
        <v>0</v>
      </c>
      <c r="I5923" s="2" t="s">
        <v>99</v>
      </c>
      <c r="J5923" s="3">
        <v>495770</v>
      </c>
      <c r="K5923">
        <v>20</v>
      </c>
      <c r="L5923">
        <v>20</v>
      </c>
      <c r="M5923">
        <v>20</v>
      </c>
    </row>
    <row r="5924" spans="1:13" x14ac:dyDescent="0.25">
      <c r="A5924" t="s">
        <v>13044</v>
      </c>
      <c r="B5924" t="s">
        <v>13041</v>
      </c>
      <c r="C5924" t="s">
        <v>20</v>
      </c>
      <c r="D5924" t="s">
        <v>26</v>
      </c>
      <c r="G5924" t="s">
        <v>16</v>
      </c>
      <c r="H5924">
        <v>0</v>
      </c>
      <c r="I5924" s="2" t="s">
        <v>500</v>
      </c>
      <c r="J5924" s="2" t="s">
        <v>13045</v>
      </c>
      <c r="K5924">
        <v>20</v>
      </c>
      <c r="L5924">
        <v>20</v>
      </c>
      <c r="M5924">
        <v>20</v>
      </c>
    </row>
    <row r="5925" spans="1:13" x14ac:dyDescent="0.25">
      <c r="A5925" t="s">
        <v>13046</v>
      </c>
      <c r="B5925" t="s">
        <v>13039</v>
      </c>
      <c r="C5925" t="s">
        <v>20</v>
      </c>
      <c r="D5925" t="s">
        <v>26</v>
      </c>
      <c r="F5925">
        <v>1</v>
      </c>
      <c r="G5925" t="s">
        <v>16</v>
      </c>
      <c r="H5925">
        <v>0</v>
      </c>
      <c r="I5925" s="2" t="s">
        <v>7250</v>
      </c>
      <c r="J5925" s="2" t="s">
        <v>13047</v>
      </c>
      <c r="K5925">
        <v>20</v>
      </c>
      <c r="L5925">
        <v>20</v>
      </c>
      <c r="M5925">
        <v>20</v>
      </c>
    </row>
    <row r="5926" spans="1:13" x14ac:dyDescent="0.25">
      <c r="A5926" t="s">
        <v>13048</v>
      </c>
      <c r="B5926" t="s">
        <v>13039</v>
      </c>
      <c r="C5926" t="s">
        <v>20</v>
      </c>
      <c r="D5926" t="s">
        <v>26</v>
      </c>
      <c r="G5926" t="s">
        <v>16</v>
      </c>
      <c r="H5926">
        <v>0</v>
      </c>
      <c r="I5926" s="2" t="s">
        <v>80</v>
      </c>
      <c r="J5926" s="2" t="s">
        <v>13049</v>
      </c>
      <c r="K5926">
        <v>20</v>
      </c>
      <c r="L5926">
        <v>20</v>
      </c>
      <c r="M5926">
        <v>20</v>
      </c>
    </row>
    <row r="5927" spans="1:13" x14ac:dyDescent="0.25">
      <c r="A5927" t="s">
        <v>13050</v>
      </c>
      <c r="B5927" t="s">
        <v>13051</v>
      </c>
      <c r="C5927" t="s">
        <v>20</v>
      </c>
      <c r="D5927" t="s">
        <v>26</v>
      </c>
      <c r="F5927">
        <v>1</v>
      </c>
      <c r="G5927" t="s">
        <v>16</v>
      </c>
      <c r="H5927">
        <v>0</v>
      </c>
      <c r="I5927" s="2" t="s">
        <v>83</v>
      </c>
      <c r="J5927" s="2" t="s">
        <v>13052</v>
      </c>
      <c r="K5927">
        <v>20</v>
      </c>
      <c r="L5927">
        <v>20</v>
      </c>
      <c r="M5927">
        <v>20</v>
      </c>
    </row>
    <row r="5928" spans="1:13" x14ac:dyDescent="0.25">
      <c r="A5928" t="s">
        <v>13053</v>
      </c>
      <c r="B5928" t="s">
        <v>13041</v>
      </c>
      <c r="C5928" t="s">
        <v>20</v>
      </c>
      <c r="D5928" t="s">
        <v>26</v>
      </c>
      <c r="F5928">
        <v>2</v>
      </c>
      <c r="G5928" t="s">
        <v>16</v>
      </c>
      <c r="H5928">
        <v>0</v>
      </c>
      <c r="I5928" s="2" t="s">
        <v>1200</v>
      </c>
      <c r="J5928" s="2" t="s">
        <v>13054</v>
      </c>
      <c r="K5928">
        <v>20</v>
      </c>
      <c r="L5928">
        <v>20</v>
      </c>
      <c r="M5928">
        <v>20</v>
      </c>
    </row>
    <row r="5929" spans="1:13" x14ac:dyDescent="0.25">
      <c r="A5929" t="s">
        <v>13055</v>
      </c>
      <c r="B5929" t="s">
        <v>13056</v>
      </c>
      <c r="C5929" t="s">
        <v>20</v>
      </c>
      <c r="D5929" t="s">
        <v>26</v>
      </c>
      <c r="G5929" t="s">
        <v>16</v>
      </c>
      <c r="H5929">
        <v>0</v>
      </c>
      <c r="I5929" s="2" t="s">
        <v>99</v>
      </c>
      <c r="J5929" s="3">
        <v>212610</v>
      </c>
      <c r="K5929">
        <v>20</v>
      </c>
      <c r="L5929">
        <v>20</v>
      </c>
      <c r="M5929">
        <v>20</v>
      </c>
    </row>
    <row r="5930" spans="1:13" x14ac:dyDescent="0.25">
      <c r="A5930" t="s">
        <v>13057</v>
      </c>
      <c r="B5930" t="s">
        <v>13058</v>
      </c>
      <c r="C5930" t="s">
        <v>20</v>
      </c>
      <c r="G5930" t="s">
        <v>16</v>
      </c>
      <c r="H5930">
        <v>0</v>
      </c>
      <c r="I5930" s="2" t="s">
        <v>99</v>
      </c>
      <c r="J5930" s="3">
        <v>820458</v>
      </c>
      <c r="K5930">
        <v>20</v>
      </c>
      <c r="L5930">
        <v>20</v>
      </c>
      <c r="M5930">
        <v>20</v>
      </c>
    </row>
    <row r="5931" spans="1:13" x14ac:dyDescent="0.25">
      <c r="A5931" t="s">
        <v>13059</v>
      </c>
      <c r="B5931" t="s">
        <v>13061</v>
      </c>
      <c r="C5931" t="s">
        <v>20</v>
      </c>
      <c r="D5931" t="s">
        <v>161</v>
      </c>
      <c r="F5931">
        <v>3</v>
      </c>
      <c r="G5931" t="s">
        <v>16</v>
      </c>
      <c r="H5931">
        <v>0</v>
      </c>
      <c r="I5931" s="2" t="s">
        <v>288</v>
      </c>
      <c r="J5931" s="2" t="s">
        <v>13060</v>
      </c>
      <c r="K5931">
        <v>20</v>
      </c>
      <c r="L5931">
        <v>20</v>
      </c>
      <c r="M5931">
        <v>20</v>
      </c>
    </row>
    <row r="5932" spans="1:13" x14ac:dyDescent="0.25">
      <c r="A5932" t="s">
        <v>13062</v>
      </c>
      <c r="B5932" t="s">
        <v>13061</v>
      </c>
      <c r="C5932" t="s">
        <v>20</v>
      </c>
      <c r="F5932">
        <v>4</v>
      </c>
      <c r="G5932" t="s">
        <v>16</v>
      </c>
      <c r="H5932">
        <v>0</v>
      </c>
      <c r="I5932" s="2" t="s">
        <v>248</v>
      </c>
      <c r="J5932" s="2">
        <v>49615</v>
      </c>
      <c r="K5932">
        <v>20</v>
      </c>
      <c r="L5932">
        <v>20</v>
      </c>
      <c r="M5932">
        <v>20</v>
      </c>
    </row>
    <row r="5933" spans="1:13" x14ac:dyDescent="0.25">
      <c r="A5933" t="s">
        <v>13063</v>
      </c>
      <c r="B5933" t="s">
        <v>13061</v>
      </c>
      <c r="C5933" t="s">
        <v>20</v>
      </c>
      <c r="F5933">
        <v>1</v>
      </c>
      <c r="G5933" t="s">
        <v>16</v>
      </c>
      <c r="H5933">
        <v>0</v>
      </c>
      <c r="I5933" s="2" t="s">
        <v>64</v>
      </c>
      <c r="J5933" s="2">
        <v>12140032</v>
      </c>
      <c r="K5933">
        <v>20</v>
      </c>
      <c r="L5933">
        <v>20</v>
      </c>
      <c r="M5933">
        <v>20</v>
      </c>
    </row>
    <row r="5934" spans="1:13" x14ac:dyDescent="0.25">
      <c r="A5934" t="s">
        <v>13064</v>
      </c>
      <c r="B5934" t="s">
        <v>13065</v>
      </c>
      <c r="C5934" t="s">
        <v>20</v>
      </c>
      <c r="D5934" t="s">
        <v>26</v>
      </c>
      <c r="F5934">
        <v>4</v>
      </c>
      <c r="G5934" t="s">
        <v>16</v>
      </c>
      <c r="H5934">
        <v>0</v>
      </c>
      <c r="I5934" s="2" t="s">
        <v>1175</v>
      </c>
      <c r="J5934" s="2" t="s">
        <v>13066</v>
      </c>
      <c r="K5934">
        <v>20</v>
      </c>
      <c r="L5934">
        <v>20</v>
      </c>
      <c r="M5934">
        <v>20</v>
      </c>
    </row>
    <row r="5935" spans="1:13" x14ac:dyDescent="0.25">
      <c r="A5935" t="s">
        <v>13067</v>
      </c>
      <c r="B5935" t="s">
        <v>13068</v>
      </c>
      <c r="C5935" t="s">
        <v>20</v>
      </c>
      <c r="D5935" t="s">
        <v>26</v>
      </c>
      <c r="G5935" t="s">
        <v>16</v>
      </c>
      <c r="H5935">
        <v>0</v>
      </c>
      <c r="K5935">
        <v>20</v>
      </c>
      <c r="L5935">
        <v>20</v>
      </c>
      <c r="M5935">
        <v>20</v>
      </c>
    </row>
    <row r="5936" spans="1:13" x14ac:dyDescent="0.25">
      <c r="A5936">
        <v>607767</v>
      </c>
      <c r="B5936" t="s">
        <v>13069</v>
      </c>
      <c r="C5936" t="s">
        <v>20</v>
      </c>
      <c r="G5936" t="s">
        <v>16</v>
      </c>
      <c r="H5936">
        <v>0</v>
      </c>
      <c r="I5936" s="2" t="s">
        <v>497</v>
      </c>
      <c r="J5936" s="2">
        <v>12855195</v>
      </c>
      <c r="K5936">
        <v>20</v>
      </c>
      <c r="L5936">
        <v>20</v>
      </c>
      <c r="M5936">
        <v>20</v>
      </c>
    </row>
    <row r="5937" spans="1:13" x14ac:dyDescent="0.25">
      <c r="A5937" t="s">
        <v>13070</v>
      </c>
      <c r="B5937" t="s">
        <v>13071</v>
      </c>
      <c r="C5937" t="s">
        <v>20</v>
      </c>
      <c r="D5937" t="s">
        <v>26</v>
      </c>
      <c r="G5937" t="s">
        <v>16</v>
      </c>
      <c r="H5937">
        <v>0</v>
      </c>
      <c r="I5937" s="2" t="s">
        <v>500</v>
      </c>
      <c r="J5937" s="2" t="s">
        <v>13072</v>
      </c>
      <c r="K5937">
        <v>20</v>
      </c>
      <c r="L5937">
        <v>20</v>
      </c>
      <c r="M5937">
        <v>20</v>
      </c>
    </row>
    <row r="5938" spans="1:13" x14ac:dyDescent="0.25">
      <c r="A5938" t="s">
        <v>13073</v>
      </c>
      <c r="B5938" t="s">
        <v>13074</v>
      </c>
      <c r="C5938" t="s">
        <v>20</v>
      </c>
      <c r="D5938" t="s">
        <v>26</v>
      </c>
      <c r="F5938">
        <v>0</v>
      </c>
      <c r="G5938" t="s">
        <v>16</v>
      </c>
      <c r="H5938">
        <v>0</v>
      </c>
      <c r="I5938" s="2" t="s">
        <v>97</v>
      </c>
      <c r="J5938" s="3">
        <v>744492</v>
      </c>
      <c r="K5938">
        <v>20</v>
      </c>
      <c r="L5938">
        <v>20</v>
      </c>
      <c r="M5938">
        <v>20</v>
      </c>
    </row>
    <row r="5939" spans="1:13" x14ac:dyDescent="0.25">
      <c r="A5939" t="s">
        <v>13075</v>
      </c>
      <c r="B5939" t="s">
        <v>13076</v>
      </c>
      <c r="C5939" t="s">
        <v>20</v>
      </c>
      <c r="F5939">
        <v>0</v>
      </c>
      <c r="G5939" t="s">
        <v>22</v>
      </c>
      <c r="H5939">
        <v>0</v>
      </c>
      <c r="I5939" s="2" t="s">
        <v>80</v>
      </c>
      <c r="J5939" s="2" t="s">
        <v>13077</v>
      </c>
      <c r="K5939">
        <v>20</v>
      </c>
      <c r="L5939">
        <v>20</v>
      </c>
      <c r="M5939">
        <v>20</v>
      </c>
    </row>
    <row r="5940" spans="1:13" x14ac:dyDescent="0.25">
      <c r="A5940" t="s">
        <v>13078</v>
      </c>
      <c r="B5940" t="s">
        <v>13079</v>
      </c>
      <c r="C5940" t="s">
        <v>20</v>
      </c>
      <c r="F5940">
        <v>3</v>
      </c>
      <c r="G5940" t="s">
        <v>16</v>
      </c>
      <c r="H5940">
        <v>0</v>
      </c>
      <c r="I5940" s="2" t="s">
        <v>99</v>
      </c>
      <c r="J5940" s="3">
        <v>803060</v>
      </c>
      <c r="K5940">
        <v>20</v>
      </c>
      <c r="L5940">
        <v>20</v>
      </c>
      <c r="M5940">
        <v>20</v>
      </c>
    </row>
    <row r="5941" spans="1:13" x14ac:dyDescent="0.25">
      <c r="A5941" t="s">
        <v>13080</v>
      </c>
      <c r="B5941" t="s">
        <v>13079</v>
      </c>
      <c r="C5941" t="s">
        <v>20</v>
      </c>
      <c r="G5941" t="s">
        <v>16</v>
      </c>
      <c r="H5941">
        <v>0</v>
      </c>
      <c r="I5941" s="2" t="s">
        <v>1444</v>
      </c>
      <c r="J5941" s="2">
        <v>90412701</v>
      </c>
      <c r="K5941">
        <v>20</v>
      </c>
      <c r="L5941">
        <v>20</v>
      </c>
      <c r="M5941">
        <v>20</v>
      </c>
    </row>
    <row r="5942" spans="1:13" x14ac:dyDescent="0.25">
      <c r="A5942" t="s">
        <v>13081</v>
      </c>
      <c r="B5942" t="s">
        <v>13079</v>
      </c>
      <c r="C5942" t="s">
        <v>20</v>
      </c>
      <c r="F5942">
        <v>0</v>
      </c>
      <c r="G5942" t="s">
        <v>16</v>
      </c>
      <c r="H5942">
        <v>0</v>
      </c>
      <c r="I5942" s="2" t="s">
        <v>80</v>
      </c>
      <c r="J5942" s="2" t="s">
        <v>13082</v>
      </c>
      <c r="K5942">
        <v>20</v>
      </c>
      <c r="L5942">
        <v>20</v>
      </c>
      <c r="M5942">
        <v>20</v>
      </c>
    </row>
    <row r="5943" spans="1:13" x14ac:dyDescent="0.25">
      <c r="A5943" t="s">
        <v>13083</v>
      </c>
      <c r="B5943" t="s">
        <v>13084</v>
      </c>
      <c r="C5943" t="s">
        <v>20</v>
      </c>
      <c r="F5943">
        <v>25</v>
      </c>
      <c r="G5943" t="s">
        <v>16</v>
      </c>
      <c r="H5943">
        <v>0</v>
      </c>
      <c r="I5943" s="2" t="s">
        <v>486</v>
      </c>
      <c r="J5943" s="2">
        <v>40903072</v>
      </c>
      <c r="K5943">
        <v>20</v>
      </c>
      <c r="L5943">
        <v>20</v>
      </c>
      <c r="M5943">
        <v>20</v>
      </c>
    </row>
    <row r="5944" spans="1:13" x14ac:dyDescent="0.25">
      <c r="A5944" t="s">
        <v>13085</v>
      </c>
      <c r="B5944" t="s">
        <v>13086</v>
      </c>
      <c r="C5944" t="s">
        <v>20</v>
      </c>
      <c r="D5944" t="s">
        <v>26</v>
      </c>
      <c r="G5944" t="s">
        <v>16</v>
      </c>
      <c r="H5944">
        <v>0</v>
      </c>
      <c r="I5944" s="2" t="s">
        <v>99</v>
      </c>
      <c r="J5944" s="3">
        <v>828913</v>
      </c>
      <c r="K5944">
        <v>20</v>
      </c>
      <c r="L5944">
        <v>20</v>
      </c>
      <c r="M5944">
        <v>20</v>
      </c>
    </row>
    <row r="5945" spans="1:13" x14ac:dyDescent="0.25">
      <c r="A5945" t="s">
        <v>13087</v>
      </c>
      <c r="B5945" t="s">
        <v>13086</v>
      </c>
      <c r="C5945" t="s">
        <v>20</v>
      </c>
      <c r="D5945" t="s">
        <v>26</v>
      </c>
      <c r="F5945">
        <v>1</v>
      </c>
      <c r="G5945" t="s">
        <v>16</v>
      </c>
      <c r="H5945">
        <v>0</v>
      </c>
      <c r="I5945" s="2" t="s">
        <v>80</v>
      </c>
      <c r="J5945" s="2" t="s">
        <v>13088</v>
      </c>
      <c r="K5945">
        <v>20</v>
      </c>
      <c r="L5945">
        <v>20</v>
      </c>
      <c r="M5945">
        <v>20</v>
      </c>
    </row>
    <row r="5946" spans="1:13" x14ac:dyDescent="0.25">
      <c r="A5946" t="s">
        <v>13089</v>
      </c>
      <c r="B5946" t="s">
        <v>13090</v>
      </c>
      <c r="C5946" t="s">
        <v>20</v>
      </c>
      <c r="D5946" t="s">
        <v>26</v>
      </c>
      <c r="G5946" t="s">
        <v>16</v>
      </c>
      <c r="H5946">
        <v>0</v>
      </c>
      <c r="I5946" s="2" t="s">
        <v>99</v>
      </c>
      <c r="J5946" s="3">
        <v>646370</v>
      </c>
      <c r="K5946">
        <v>20</v>
      </c>
      <c r="L5946">
        <v>20</v>
      </c>
      <c r="M5946">
        <v>20</v>
      </c>
    </row>
    <row r="5947" spans="1:13" x14ac:dyDescent="0.25">
      <c r="A5947" t="s">
        <v>13091</v>
      </c>
      <c r="B5947" t="s">
        <v>13090</v>
      </c>
      <c r="C5947" t="s">
        <v>20</v>
      </c>
      <c r="D5947" t="s">
        <v>26</v>
      </c>
      <c r="F5947">
        <v>2</v>
      </c>
      <c r="G5947" t="s">
        <v>16</v>
      </c>
      <c r="H5947">
        <v>0</v>
      </c>
      <c r="I5947" s="2" t="s">
        <v>80</v>
      </c>
      <c r="J5947" s="2" t="s">
        <v>13092</v>
      </c>
      <c r="K5947">
        <v>20</v>
      </c>
      <c r="L5947">
        <v>20</v>
      </c>
      <c r="M5947">
        <v>20</v>
      </c>
    </row>
    <row r="5948" spans="1:13" x14ac:dyDescent="0.25">
      <c r="A5948">
        <v>6101330</v>
      </c>
      <c r="B5948" t="s">
        <v>13093</v>
      </c>
      <c r="C5948" t="s">
        <v>540</v>
      </c>
      <c r="F5948">
        <v>0</v>
      </c>
      <c r="G5948" t="s">
        <v>16</v>
      </c>
      <c r="H5948">
        <v>0</v>
      </c>
      <c r="I5948" s="2" t="s">
        <v>497</v>
      </c>
      <c r="J5948" s="2">
        <v>13109022</v>
      </c>
      <c r="K5948">
        <v>20</v>
      </c>
      <c r="L5948">
        <v>20</v>
      </c>
      <c r="M5948">
        <v>20</v>
      </c>
    </row>
    <row r="5949" spans="1:13" x14ac:dyDescent="0.25">
      <c r="A5949" t="s">
        <v>13094</v>
      </c>
      <c r="B5949" t="s">
        <v>13095</v>
      </c>
      <c r="C5949" t="s">
        <v>540</v>
      </c>
      <c r="D5949" t="s">
        <v>562</v>
      </c>
      <c r="F5949">
        <v>2</v>
      </c>
      <c r="G5949" t="s">
        <v>16</v>
      </c>
      <c r="H5949">
        <v>0</v>
      </c>
      <c r="I5949" s="2" t="s">
        <v>13096</v>
      </c>
      <c r="J5949" s="2" t="s">
        <v>13097</v>
      </c>
      <c r="K5949">
        <v>20</v>
      </c>
      <c r="L5949">
        <v>20</v>
      </c>
      <c r="M5949">
        <v>20</v>
      </c>
    </row>
    <row r="5950" spans="1:13" x14ac:dyDescent="0.25">
      <c r="A5950" t="s">
        <v>13098</v>
      </c>
      <c r="B5950" t="s">
        <v>13093</v>
      </c>
      <c r="C5950" t="s">
        <v>540</v>
      </c>
      <c r="G5950" t="s">
        <v>16</v>
      </c>
      <c r="H5950">
        <v>0</v>
      </c>
      <c r="K5950">
        <v>20</v>
      </c>
      <c r="L5950">
        <v>20</v>
      </c>
      <c r="M5950">
        <v>20</v>
      </c>
    </row>
    <row r="5951" spans="1:13" x14ac:dyDescent="0.25">
      <c r="A5951" t="s">
        <v>13099</v>
      </c>
      <c r="B5951" t="s">
        <v>13100</v>
      </c>
      <c r="C5951" t="s">
        <v>540</v>
      </c>
      <c r="F5951">
        <v>1</v>
      </c>
      <c r="G5951" t="s">
        <v>16</v>
      </c>
      <c r="H5951">
        <v>0</v>
      </c>
      <c r="K5951">
        <v>20</v>
      </c>
      <c r="L5951">
        <v>20</v>
      </c>
      <c r="M5951">
        <v>20</v>
      </c>
    </row>
    <row r="5952" spans="1:13" x14ac:dyDescent="0.25">
      <c r="A5952" t="s">
        <v>13101</v>
      </c>
      <c r="B5952" t="s">
        <v>13102</v>
      </c>
      <c r="C5952" t="s">
        <v>540</v>
      </c>
      <c r="F5952">
        <v>2</v>
      </c>
      <c r="G5952" t="s">
        <v>16</v>
      </c>
      <c r="H5952">
        <v>0</v>
      </c>
      <c r="I5952" s="2" t="s">
        <v>587</v>
      </c>
      <c r="J5952" s="2" t="s">
        <v>13103</v>
      </c>
      <c r="K5952">
        <v>20</v>
      </c>
      <c r="L5952">
        <v>20</v>
      </c>
      <c r="M5952">
        <v>20</v>
      </c>
    </row>
    <row r="5953" spans="1:13" x14ac:dyDescent="0.25">
      <c r="A5953" t="s">
        <v>13104</v>
      </c>
      <c r="B5953" t="s">
        <v>13105</v>
      </c>
      <c r="C5953" t="s">
        <v>540</v>
      </c>
      <c r="F5953">
        <v>1</v>
      </c>
      <c r="G5953" t="s">
        <v>16</v>
      </c>
      <c r="H5953">
        <v>0</v>
      </c>
      <c r="I5953" s="2" t="s">
        <v>649</v>
      </c>
      <c r="J5953" s="2" t="s">
        <v>13106</v>
      </c>
      <c r="K5953">
        <v>20</v>
      </c>
      <c r="L5953">
        <v>20</v>
      </c>
      <c r="M5953">
        <v>20</v>
      </c>
    </row>
    <row r="5954" spans="1:13" x14ac:dyDescent="0.25">
      <c r="A5954" t="s">
        <v>13107</v>
      </c>
      <c r="B5954" t="s">
        <v>13108</v>
      </c>
      <c r="C5954" t="s">
        <v>540</v>
      </c>
      <c r="G5954" t="s">
        <v>16</v>
      </c>
      <c r="H5954">
        <v>0</v>
      </c>
      <c r="I5954" s="2" t="s">
        <v>4218</v>
      </c>
      <c r="J5954" s="2" t="s">
        <v>13109</v>
      </c>
      <c r="K5954">
        <v>20</v>
      </c>
      <c r="L5954">
        <v>20</v>
      </c>
      <c r="M5954">
        <v>20</v>
      </c>
    </row>
    <row r="5955" spans="1:13" x14ac:dyDescent="0.25">
      <c r="A5955" t="s">
        <v>13110</v>
      </c>
      <c r="B5955" t="s">
        <v>13112</v>
      </c>
      <c r="C5955" t="s">
        <v>540</v>
      </c>
      <c r="F5955">
        <v>0</v>
      </c>
      <c r="G5955" t="s">
        <v>16</v>
      </c>
      <c r="H5955">
        <v>0</v>
      </c>
      <c r="I5955" s="2" t="s">
        <v>4421</v>
      </c>
      <c r="J5955" s="2" t="s">
        <v>13111</v>
      </c>
      <c r="K5955">
        <v>20</v>
      </c>
      <c r="L5955">
        <v>20</v>
      </c>
      <c r="M5955">
        <v>20</v>
      </c>
    </row>
    <row r="5956" spans="1:13" x14ac:dyDescent="0.25">
      <c r="A5956" t="s">
        <v>13113</v>
      </c>
      <c r="B5956" t="s">
        <v>13114</v>
      </c>
      <c r="C5956" t="s">
        <v>540</v>
      </c>
      <c r="F5956">
        <v>1</v>
      </c>
      <c r="G5956" t="s">
        <v>16</v>
      </c>
      <c r="H5956">
        <v>0</v>
      </c>
      <c r="I5956" s="2" t="s">
        <v>64</v>
      </c>
      <c r="J5956" s="2" t="str">
        <f>"09050373"</f>
        <v>09050373</v>
      </c>
      <c r="K5956">
        <v>20</v>
      </c>
      <c r="L5956">
        <v>20</v>
      </c>
      <c r="M5956">
        <v>20</v>
      </c>
    </row>
    <row r="5957" spans="1:13" x14ac:dyDescent="0.25">
      <c r="A5957" t="s">
        <v>13115</v>
      </c>
      <c r="B5957" t="s">
        <v>13116</v>
      </c>
      <c r="C5957" t="s">
        <v>540</v>
      </c>
      <c r="D5957" t="s">
        <v>562</v>
      </c>
      <c r="F5957">
        <v>1</v>
      </c>
      <c r="G5957" t="s">
        <v>16</v>
      </c>
      <c r="H5957">
        <v>0</v>
      </c>
      <c r="I5957" s="2" t="s">
        <v>13117</v>
      </c>
      <c r="J5957" s="2" t="s">
        <v>13118</v>
      </c>
      <c r="K5957">
        <v>20</v>
      </c>
      <c r="L5957">
        <v>20</v>
      </c>
      <c r="M5957">
        <v>20</v>
      </c>
    </row>
    <row r="5958" spans="1:13" x14ac:dyDescent="0.25">
      <c r="A5958" t="s">
        <v>13119</v>
      </c>
      <c r="B5958" t="s">
        <v>13120</v>
      </c>
      <c r="C5958" t="s">
        <v>540</v>
      </c>
      <c r="F5958">
        <v>-1</v>
      </c>
      <c r="G5958" t="s">
        <v>16</v>
      </c>
      <c r="H5958">
        <v>0</v>
      </c>
      <c r="K5958">
        <v>20</v>
      </c>
      <c r="L5958">
        <v>20</v>
      </c>
      <c r="M5958">
        <v>20</v>
      </c>
    </row>
    <row r="5959" spans="1:13" x14ac:dyDescent="0.25">
      <c r="A5959" t="s">
        <v>13121</v>
      </c>
      <c r="B5959" t="s">
        <v>13122</v>
      </c>
      <c r="C5959" t="s">
        <v>540</v>
      </c>
      <c r="G5959" t="s">
        <v>16</v>
      </c>
      <c r="H5959">
        <v>0</v>
      </c>
      <c r="I5959" s="2" t="s">
        <v>541</v>
      </c>
      <c r="J5959" s="2" t="str">
        <f>"00746012"</f>
        <v>00746012</v>
      </c>
      <c r="K5959">
        <v>20</v>
      </c>
      <c r="L5959">
        <v>20</v>
      </c>
      <c r="M5959">
        <v>20</v>
      </c>
    </row>
    <row r="5960" spans="1:13" x14ac:dyDescent="0.25">
      <c r="A5960" t="s">
        <v>13123</v>
      </c>
      <c r="B5960" t="s">
        <v>13124</v>
      </c>
      <c r="C5960" t="s">
        <v>540</v>
      </c>
      <c r="G5960" t="s">
        <v>16</v>
      </c>
      <c r="H5960">
        <v>0</v>
      </c>
      <c r="I5960" s="2" t="s">
        <v>541</v>
      </c>
      <c r="J5960" s="2" t="str">
        <f>"00743012"</f>
        <v>00743012</v>
      </c>
      <c r="K5960">
        <v>20</v>
      </c>
      <c r="L5960">
        <v>20</v>
      </c>
      <c r="M5960">
        <v>20</v>
      </c>
    </row>
    <row r="5961" spans="1:13" x14ac:dyDescent="0.25">
      <c r="A5961" t="s">
        <v>13125</v>
      </c>
      <c r="B5961" t="s">
        <v>13126</v>
      </c>
      <c r="C5961" t="s">
        <v>540</v>
      </c>
      <c r="F5961">
        <v>0</v>
      </c>
      <c r="G5961" t="s">
        <v>16</v>
      </c>
      <c r="H5961">
        <v>0</v>
      </c>
      <c r="I5961" s="2" t="s">
        <v>541</v>
      </c>
      <c r="J5961" s="2" t="str">
        <f>"00745012"</f>
        <v>00745012</v>
      </c>
      <c r="K5961">
        <v>20</v>
      </c>
      <c r="L5961">
        <v>20</v>
      </c>
      <c r="M5961">
        <v>20</v>
      </c>
    </row>
    <row r="5962" spans="1:13" x14ac:dyDescent="0.25">
      <c r="A5962" t="s">
        <v>13127</v>
      </c>
      <c r="B5962" t="s">
        <v>13128</v>
      </c>
      <c r="C5962" t="s">
        <v>540</v>
      </c>
      <c r="F5962">
        <v>1</v>
      </c>
      <c r="G5962" t="s">
        <v>16</v>
      </c>
      <c r="H5962">
        <v>0</v>
      </c>
      <c r="I5962" s="2" t="s">
        <v>13129</v>
      </c>
      <c r="J5962" s="2" t="s">
        <v>13130</v>
      </c>
      <c r="K5962">
        <v>20</v>
      </c>
      <c r="L5962">
        <v>20</v>
      </c>
      <c r="M5962">
        <v>20</v>
      </c>
    </row>
    <row r="5963" spans="1:13" x14ac:dyDescent="0.25">
      <c r="A5963" t="s">
        <v>13131</v>
      </c>
      <c r="B5963" t="s">
        <v>13132</v>
      </c>
      <c r="C5963" t="s">
        <v>20</v>
      </c>
      <c r="G5963" t="s">
        <v>16</v>
      </c>
      <c r="H5963">
        <v>0</v>
      </c>
      <c r="I5963" s="2" t="s">
        <v>13133</v>
      </c>
      <c r="J5963" s="2" t="s">
        <v>13134</v>
      </c>
      <c r="K5963">
        <v>20</v>
      </c>
      <c r="L5963">
        <v>20</v>
      </c>
      <c r="M5963">
        <v>20</v>
      </c>
    </row>
    <row r="5964" spans="1:13" x14ac:dyDescent="0.25">
      <c r="A5964" t="s">
        <v>13135</v>
      </c>
      <c r="B5964" t="s">
        <v>13136</v>
      </c>
      <c r="C5964" t="s">
        <v>20</v>
      </c>
      <c r="G5964" t="s">
        <v>16</v>
      </c>
      <c r="H5964">
        <v>0</v>
      </c>
      <c r="I5964" s="2" t="s">
        <v>13133</v>
      </c>
      <c r="J5964" s="2" t="s">
        <v>13137</v>
      </c>
      <c r="K5964">
        <v>20</v>
      </c>
      <c r="L5964">
        <v>20</v>
      </c>
      <c r="M5964">
        <v>20</v>
      </c>
    </row>
    <row r="5965" spans="1:13" x14ac:dyDescent="0.25">
      <c r="A5965" t="s">
        <v>13138</v>
      </c>
      <c r="B5965" t="s">
        <v>13139</v>
      </c>
      <c r="C5965" t="s">
        <v>20</v>
      </c>
      <c r="D5965" t="s">
        <v>26</v>
      </c>
      <c r="F5965">
        <v>1</v>
      </c>
      <c r="G5965" t="s">
        <v>16</v>
      </c>
      <c r="H5965">
        <v>0</v>
      </c>
      <c r="I5965" s="2" t="s">
        <v>73</v>
      </c>
      <c r="J5965" s="2">
        <v>82033979</v>
      </c>
      <c r="K5965">
        <v>20</v>
      </c>
      <c r="L5965">
        <v>20</v>
      </c>
      <c r="M5965">
        <v>20</v>
      </c>
    </row>
    <row r="5966" spans="1:13" x14ac:dyDescent="0.25">
      <c r="A5966" t="s">
        <v>13140</v>
      </c>
      <c r="B5966" t="s">
        <v>13139</v>
      </c>
      <c r="C5966" t="s">
        <v>20</v>
      </c>
      <c r="D5966" t="s">
        <v>26</v>
      </c>
      <c r="F5966">
        <v>1</v>
      </c>
      <c r="G5966" t="s">
        <v>16</v>
      </c>
      <c r="H5966">
        <v>0</v>
      </c>
      <c r="I5966" s="2" t="s">
        <v>97</v>
      </c>
      <c r="J5966" s="3">
        <v>353840</v>
      </c>
      <c r="K5966">
        <v>20</v>
      </c>
      <c r="L5966">
        <v>20</v>
      </c>
      <c r="M5966">
        <v>20</v>
      </c>
    </row>
    <row r="5967" spans="1:13" x14ac:dyDescent="0.25">
      <c r="A5967" t="s">
        <v>13141</v>
      </c>
      <c r="B5967" t="s">
        <v>13139</v>
      </c>
      <c r="C5967" t="s">
        <v>20</v>
      </c>
      <c r="D5967" t="s">
        <v>26</v>
      </c>
      <c r="G5967" t="s">
        <v>16</v>
      </c>
      <c r="H5967">
        <v>0</v>
      </c>
      <c r="I5967" s="2" t="s">
        <v>80</v>
      </c>
      <c r="J5967" s="2" t="s">
        <v>13142</v>
      </c>
      <c r="K5967">
        <v>20</v>
      </c>
      <c r="L5967">
        <v>20</v>
      </c>
      <c r="M5967">
        <v>20</v>
      </c>
    </row>
    <row r="5968" spans="1:13" x14ac:dyDescent="0.25">
      <c r="A5968" t="s">
        <v>13143</v>
      </c>
      <c r="B5968" t="s">
        <v>13144</v>
      </c>
      <c r="C5968" t="s">
        <v>20</v>
      </c>
      <c r="F5968">
        <v>1</v>
      </c>
      <c r="G5968" t="s">
        <v>16</v>
      </c>
      <c r="H5968">
        <v>0</v>
      </c>
      <c r="I5968" s="2" t="s">
        <v>411</v>
      </c>
      <c r="J5968" s="2" t="s">
        <v>13145</v>
      </c>
      <c r="K5968">
        <v>20</v>
      </c>
      <c r="L5968">
        <v>20</v>
      </c>
      <c r="M5968">
        <v>20</v>
      </c>
    </row>
    <row r="5969" spans="1:13" x14ac:dyDescent="0.25">
      <c r="A5969" t="s">
        <v>13146</v>
      </c>
      <c r="B5969" t="s">
        <v>13147</v>
      </c>
      <c r="C5969" t="s">
        <v>20</v>
      </c>
      <c r="D5969" t="s">
        <v>26</v>
      </c>
      <c r="F5969">
        <v>0</v>
      </c>
      <c r="G5969" t="s">
        <v>16</v>
      </c>
      <c r="H5969">
        <v>0</v>
      </c>
      <c r="I5969" s="2" t="s">
        <v>99</v>
      </c>
      <c r="J5969" s="3">
        <v>595170</v>
      </c>
      <c r="K5969">
        <v>20</v>
      </c>
      <c r="L5969">
        <v>20</v>
      </c>
      <c r="M5969">
        <v>20</v>
      </c>
    </row>
    <row r="5970" spans="1:13" x14ac:dyDescent="0.25">
      <c r="A5970">
        <v>614204</v>
      </c>
      <c r="B5970" t="s">
        <v>13148</v>
      </c>
      <c r="C5970" t="s">
        <v>20</v>
      </c>
      <c r="D5970" t="s">
        <v>26</v>
      </c>
      <c r="F5970">
        <v>2</v>
      </c>
      <c r="G5970" t="s">
        <v>16</v>
      </c>
      <c r="H5970">
        <v>0</v>
      </c>
      <c r="I5970" s="2" t="s">
        <v>497</v>
      </c>
      <c r="J5970" s="2">
        <v>55571582</v>
      </c>
      <c r="K5970">
        <v>20</v>
      </c>
      <c r="L5970">
        <v>20</v>
      </c>
      <c r="M5970">
        <v>20</v>
      </c>
    </row>
    <row r="5971" spans="1:13" x14ac:dyDescent="0.25">
      <c r="A5971" t="s">
        <v>13149</v>
      </c>
      <c r="B5971" t="s">
        <v>13150</v>
      </c>
      <c r="C5971" t="s">
        <v>20</v>
      </c>
      <c r="D5971" t="s">
        <v>26</v>
      </c>
      <c r="F5971">
        <v>-1</v>
      </c>
      <c r="G5971" t="s">
        <v>16</v>
      </c>
      <c r="H5971">
        <v>0</v>
      </c>
      <c r="I5971" s="2" t="s">
        <v>73</v>
      </c>
      <c r="J5971" s="2">
        <v>82037092</v>
      </c>
      <c r="K5971">
        <v>20</v>
      </c>
      <c r="L5971">
        <v>20</v>
      </c>
      <c r="M5971">
        <v>20</v>
      </c>
    </row>
    <row r="5972" spans="1:13" x14ac:dyDescent="0.25">
      <c r="A5972" t="s">
        <v>13151</v>
      </c>
      <c r="B5972" t="s">
        <v>13148</v>
      </c>
      <c r="C5972" t="s">
        <v>20</v>
      </c>
      <c r="D5972" t="s">
        <v>26</v>
      </c>
      <c r="G5972" t="s">
        <v>16</v>
      </c>
      <c r="H5972">
        <v>0</v>
      </c>
      <c r="I5972" s="2" t="s">
        <v>209</v>
      </c>
      <c r="J5972" s="2" t="s">
        <v>13152</v>
      </c>
      <c r="K5972">
        <v>20</v>
      </c>
      <c r="L5972">
        <v>20</v>
      </c>
      <c r="M5972">
        <v>20</v>
      </c>
    </row>
    <row r="5973" spans="1:13" x14ac:dyDescent="0.25">
      <c r="A5973" t="s">
        <v>13153</v>
      </c>
      <c r="B5973" t="s">
        <v>13150</v>
      </c>
      <c r="C5973" t="s">
        <v>20</v>
      </c>
      <c r="D5973" t="s">
        <v>26</v>
      </c>
      <c r="F5973">
        <v>1</v>
      </c>
      <c r="G5973" t="s">
        <v>16</v>
      </c>
      <c r="H5973">
        <v>0</v>
      </c>
      <c r="I5973" s="2" t="s">
        <v>80</v>
      </c>
      <c r="J5973" s="2" t="s">
        <v>13154</v>
      </c>
      <c r="K5973">
        <v>20</v>
      </c>
      <c r="L5973">
        <v>20</v>
      </c>
      <c r="M5973">
        <v>20</v>
      </c>
    </row>
    <row r="5974" spans="1:13" x14ac:dyDescent="0.25">
      <c r="A5974" t="s">
        <v>13155</v>
      </c>
      <c r="B5974" t="s">
        <v>13156</v>
      </c>
      <c r="C5974" t="s">
        <v>20</v>
      </c>
      <c r="G5974" t="s">
        <v>16</v>
      </c>
      <c r="H5974">
        <v>0</v>
      </c>
      <c r="I5974" s="2" t="s">
        <v>3689</v>
      </c>
      <c r="J5974" s="2">
        <v>25309050</v>
      </c>
      <c r="K5974">
        <v>20</v>
      </c>
      <c r="L5974">
        <v>20</v>
      </c>
      <c r="M5974">
        <v>20</v>
      </c>
    </row>
    <row r="5975" spans="1:13" x14ac:dyDescent="0.25">
      <c r="A5975" t="s">
        <v>13157</v>
      </c>
      <c r="B5975" t="s">
        <v>13158</v>
      </c>
      <c r="C5975" t="s">
        <v>20</v>
      </c>
      <c r="G5975" t="s">
        <v>16</v>
      </c>
      <c r="H5975">
        <v>0</v>
      </c>
      <c r="I5975" s="2" t="s">
        <v>3689</v>
      </c>
      <c r="J5975" s="2">
        <v>25302115</v>
      </c>
      <c r="K5975">
        <v>20</v>
      </c>
      <c r="L5975">
        <v>20</v>
      </c>
      <c r="M5975">
        <v>20</v>
      </c>
    </row>
    <row r="5976" spans="1:13" x14ac:dyDescent="0.25">
      <c r="A5976" t="s">
        <v>13159</v>
      </c>
      <c r="B5976" t="s">
        <v>13158</v>
      </c>
      <c r="C5976" t="s">
        <v>20</v>
      </c>
      <c r="F5976">
        <v>2</v>
      </c>
      <c r="G5976" t="s">
        <v>16</v>
      </c>
      <c r="H5976">
        <v>0</v>
      </c>
      <c r="I5976" s="2" t="s">
        <v>759</v>
      </c>
      <c r="J5976" s="2" t="s">
        <v>13160</v>
      </c>
      <c r="K5976">
        <v>20</v>
      </c>
      <c r="L5976">
        <v>20</v>
      </c>
      <c r="M5976">
        <v>20</v>
      </c>
    </row>
    <row r="5977" spans="1:13" x14ac:dyDescent="0.25">
      <c r="A5977" t="s">
        <v>13161</v>
      </c>
      <c r="B5977" t="s">
        <v>13162</v>
      </c>
      <c r="C5977" t="s">
        <v>20</v>
      </c>
      <c r="G5977" t="s">
        <v>16</v>
      </c>
      <c r="H5977">
        <v>0</v>
      </c>
      <c r="K5977">
        <v>20</v>
      </c>
      <c r="L5977">
        <v>20</v>
      </c>
      <c r="M5977">
        <v>20</v>
      </c>
    </row>
    <row r="5978" spans="1:13" x14ac:dyDescent="0.25">
      <c r="A5978" t="s">
        <v>13163</v>
      </c>
      <c r="B5978" t="s">
        <v>13164</v>
      </c>
      <c r="C5978" t="s">
        <v>20</v>
      </c>
      <c r="F5978">
        <v>1</v>
      </c>
      <c r="G5978" t="s">
        <v>16</v>
      </c>
      <c r="H5978">
        <v>0</v>
      </c>
      <c r="I5978" s="2" t="s">
        <v>142</v>
      </c>
      <c r="J5978" s="2" t="s">
        <v>13165</v>
      </c>
      <c r="K5978">
        <v>20</v>
      </c>
      <c r="L5978">
        <v>20</v>
      </c>
      <c r="M5978">
        <v>20</v>
      </c>
    </row>
    <row r="5979" spans="1:13" x14ac:dyDescent="0.25">
      <c r="A5979" t="s">
        <v>13166</v>
      </c>
      <c r="B5979" t="s">
        <v>13167</v>
      </c>
      <c r="C5979" t="s">
        <v>20</v>
      </c>
      <c r="G5979" t="s">
        <v>16</v>
      </c>
      <c r="H5979">
        <v>0</v>
      </c>
      <c r="K5979">
        <v>20</v>
      </c>
      <c r="L5979">
        <v>20</v>
      </c>
      <c r="M5979">
        <v>20</v>
      </c>
    </row>
    <row r="5980" spans="1:13" x14ac:dyDescent="0.25">
      <c r="A5980" t="s">
        <v>13168</v>
      </c>
      <c r="B5980" t="s">
        <v>13169</v>
      </c>
      <c r="C5980" t="s">
        <v>20</v>
      </c>
      <c r="D5980" t="s">
        <v>26</v>
      </c>
      <c r="F5980">
        <v>1</v>
      </c>
      <c r="G5980" t="s">
        <v>16</v>
      </c>
      <c r="H5980">
        <v>0</v>
      </c>
      <c r="I5980" s="2" t="s">
        <v>209</v>
      </c>
      <c r="J5980" s="2" t="str">
        <f>"047817-V"</f>
        <v>047817-V</v>
      </c>
      <c r="K5980">
        <v>20</v>
      </c>
      <c r="L5980">
        <v>20</v>
      </c>
      <c r="M5980">
        <v>20</v>
      </c>
    </row>
    <row r="5981" spans="1:13" x14ac:dyDescent="0.25">
      <c r="A5981" t="s">
        <v>13170</v>
      </c>
      <c r="B5981" t="s">
        <v>13171</v>
      </c>
      <c r="C5981" t="s">
        <v>20</v>
      </c>
      <c r="D5981" t="s">
        <v>26</v>
      </c>
      <c r="F5981">
        <v>3</v>
      </c>
      <c r="G5981" t="s">
        <v>16</v>
      </c>
      <c r="H5981">
        <v>0</v>
      </c>
      <c r="I5981" s="2" t="s">
        <v>73</v>
      </c>
      <c r="J5981" s="2" t="s">
        <v>13172</v>
      </c>
      <c r="K5981">
        <v>20</v>
      </c>
      <c r="L5981">
        <v>20</v>
      </c>
      <c r="M5981">
        <v>20</v>
      </c>
    </row>
    <row r="5982" spans="1:13" x14ac:dyDescent="0.25">
      <c r="A5982" t="s">
        <v>13173</v>
      </c>
      <c r="B5982" t="s">
        <v>13171</v>
      </c>
      <c r="C5982" t="s">
        <v>20</v>
      </c>
      <c r="D5982" t="s">
        <v>26</v>
      </c>
      <c r="F5982">
        <v>3</v>
      </c>
      <c r="G5982" t="s">
        <v>16</v>
      </c>
      <c r="H5982">
        <v>0</v>
      </c>
      <c r="I5982" s="2" t="s">
        <v>99</v>
      </c>
      <c r="J5982" s="3">
        <v>590797</v>
      </c>
      <c r="K5982">
        <v>20</v>
      </c>
      <c r="L5982">
        <v>20</v>
      </c>
      <c r="M5982">
        <v>20</v>
      </c>
    </row>
    <row r="5983" spans="1:13" x14ac:dyDescent="0.25">
      <c r="A5983" t="s">
        <v>13174</v>
      </c>
      <c r="B5983" t="s">
        <v>13171</v>
      </c>
      <c r="C5983" t="s">
        <v>20</v>
      </c>
      <c r="D5983" t="s">
        <v>26</v>
      </c>
      <c r="F5983">
        <v>2</v>
      </c>
      <c r="G5983" t="s">
        <v>16</v>
      </c>
      <c r="H5983">
        <v>0</v>
      </c>
      <c r="K5983">
        <v>20</v>
      </c>
      <c r="L5983">
        <v>20</v>
      </c>
      <c r="M5983">
        <v>20</v>
      </c>
    </row>
    <row r="5984" spans="1:13" x14ac:dyDescent="0.25">
      <c r="A5984" t="s">
        <v>13175</v>
      </c>
      <c r="B5984" t="s">
        <v>13171</v>
      </c>
      <c r="C5984" t="s">
        <v>20</v>
      </c>
      <c r="D5984" t="s">
        <v>26</v>
      </c>
      <c r="F5984">
        <v>4</v>
      </c>
      <c r="G5984" t="s">
        <v>16</v>
      </c>
      <c r="H5984">
        <v>0</v>
      </c>
      <c r="I5984" s="2" t="s">
        <v>209</v>
      </c>
      <c r="J5984" s="2" t="str">
        <f>"047681-V"</f>
        <v>047681-V</v>
      </c>
      <c r="K5984">
        <v>20</v>
      </c>
      <c r="L5984">
        <v>20</v>
      </c>
      <c r="M5984">
        <v>20</v>
      </c>
    </row>
    <row r="5985" spans="1:13" x14ac:dyDescent="0.25">
      <c r="A5985" t="s">
        <v>13176</v>
      </c>
      <c r="B5985" t="s">
        <v>13171</v>
      </c>
      <c r="C5985" t="s">
        <v>20</v>
      </c>
      <c r="D5985" t="s">
        <v>26</v>
      </c>
      <c r="F5985">
        <v>2</v>
      </c>
      <c r="G5985" t="s">
        <v>16</v>
      </c>
      <c r="H5985">
        <v>0</v>
      </c>
      <c r="I5985" s="2" t="s">
        <v>80</v>
      </c>
      <c r="J5985" s="2" t="s">
        <v>13177</v>
      </c>
      <c r="K5985">
        <v>20</v>
      </c>
      <c r="L5985">
        <v>20</v>
      </c>
      <c r="M5985">
        <v>20</v>
      </c>
    </row>
    <row r="5986" spans="1:13" x14ac:dyDescent="0.25">
      <c r="A5986" t="s">
        <v>13178</v>
      </c>
      <c r="B5986" t="s">
        <v>13179</v>
      </c>
      <c r="C5986" t="s">
        <v>20</v>
      </c>
      <c r="D5986" t="s">
        <v>26</v>
      </c>
      <c r="F5986">
        <v>1</v>
      </c>
      <c r="G5986" t="s">
        <v>16</v>
      </c>
      <c r="H5986">
        <v>0</v>
      </c>
      <c r="I5986" s="2" t="s">
        <v>73</v>
      </c>
      <c r="J5986" s="2" t="s">
        <v>13180</v>
      </c>
      <c r="K5986">
        <v>20</v>
      </c>
      <c r="L5986">
        <v>20</v>
      </c>
      <c r="M5986">
        <v>20</v>
      </c>
    </row>
    <row r="5987" spans="1:13" x14ac:dyDescent="0.25">
      <c r="A5987" t="s">
        <v>13181</v>
      </c>
      <c r="B5987" t="s">
        <v>13182</v>
      </c>
      <c r="C5987" t="s">
        <v>20</v>
      </c>
      <c r="D5987" t="s">
        <v>26</v>
      </c>
      <c r="G5987" t="s">
        <v>16</v>
      </c>
      <c r="H5987">
        <v>0</v>
      </c>
      <c r="I5987" s="2" t="s">
        <v>99</v>
      </c>
      <c r="J5987" s="3">
        <v>694770</v>
      </c>
      <c r="K5987">
        <v>20</v>
      </c>
      <c r="L5987">
        <v>20</v>
      </c>
      <c r="M5987">
        <v>20</v>
      </c>
    </row>
    <row r="5988" spans="1:13" x14ac:dyDescent="0.25">
      <c r="A5988" t="s">
        <v>13183</v>
      </c>
      <c r="B5988" t="s">
        <v>13179</v>
      </c>
      <c r="C5988" t="s">
        <v>20</v>
      </c>
      <c r="D5988" t="s">
        <v>26</v>
      </c>
      <c r="F5988">
        <v>3</v>
      </c>
      <c r="G5988" t="s">
        <v>16</v>
      </c>
      <c r="H5988">
        <v>0</v>
      </c>
      <c r="I5988" s="2" t="s">
        <v>57</v>
      </c>
      <c r="J5988" s="2" t="s">
        <v>13184</v>
      </c>
      <c r="K5988">
        <v>20</v>
      </c>
      <c r="L5988">
        <v>20</v>
      </c>
      <c r="M5988">
        <v>20</v>
      </c>
    </row>
    <row r="5989" spans="1:13" x14ac:dyDescent="0.25">
      <c r="A5989" t="s">
        <v>13185</v>
      </c>
      <c r="B5989" t="s">
        <v>13179</v>
      </c>
      <c r="C5989" t="s">
        <v>20</v>
      </c>
      <c r="D5989" t="s">
        <v>26</v>
      </c>
      <c r="G5989" t="s">
        <v>16</v>
      </c>
      <c r="H5989">
        <v>0</v>
      </c>
      <c r="I5989" s="2" t="s">
        <v>80</v>
      </c>
      <c r="J5989" s="2" t="s">
        <v>13186</v>
      </c>
      <c r="K5989">
        <v>20</v>
      </c>
      <c r="L5989">
        <v>20</v>
      </c>
      <c r="M5989">
        <v>20</v>
      </c>
    </row>
    <row r="5990" spans="1:13" x14ac:dyDescent="0.25">
      <c r="A5990" t="s">
        <v>13187</v>
      </c>
      <c r="B5990" t="s">
        <v>13188</v>
      </c>
      <c r="C5990" t="s">
        <v>20</v>
      </c>
      <c r="D5990" t="s">
        <v>26</v>
      </c>
      <c r="F5990">
        <v>11</v>
      </c>
      <c r="G5990" t="s">
        <v>16</v>
      </c>
      <c r="H5990">
        <v>0</v>
      </c>
      <c r="I5990" s="2" t="s">
        <v>57</v>
      </c>
      <c r="J5990" s="2" t="str">
        <f>"047645-V"</f>
        <v>047645-V</v>
      </c>
      <c r="K5990">
        <v>20</v>
      </c>
      <c r="L5990">
        <v>20</v>
      </c>
      <c r="M5990">
        <v>20</v>
      </c>
    </row>
    <row r="5991" spans="1:13" x14ac:dyDescent="0.25">
      <c r="A5991" t="s">
        <v>13189</v>
      </c>
      <c r="B5991" t="s">
        <v>13190</v>
      </c>
      <c r="C5991" t="s">
        <v>20</v>
      </c>
      <c r="G5991" t="s">
        <v>16</v>
      </c>
      <c r="H5991">
        <v>0</v>
      </c>
      <c r="I5991" s="2" t="s">
        <v>35</v>
      </c>
      <c r="J5991" s="2" t="s">
        <v>13191</v>
      </c>
      <c r="K5991">
        <v>20</v>
      </c>
      <c r="L5991">
        <v>20</v>
      </c>
      <c r="M5991">
        <v>20</v>
      </c>
    </row>
    <row r="5992" spans="1:13" x14ac:dyDescent="0.25">
      <c r="A5992" t="s">
        <v>13192</v>
      </c>
      <c r="B5992" t="s">
        <v>13193</v>
      </c>
      <c r="C5992" t="s">
        <v>20</v>
      </c>
      <c r="D5992" t="s">
        <v>26</v>
      </c>
      <c r="F5992">
        <v>2</v>
      </c>
      <c r="G5992" t="s">
        <v>16</v>
      </c>
      <c r="H5992">
        <v>0</v>
      </c>
      <c r="I5992" s="2" t="s">
        <v>209</v>
      </c>
      <c r="J5992" s="2" t="str">
        <f>"045997-V"</f>
        <v>045997-V</v>
      </c>
      <c r="K5992">
        <v>20</v>
      </c>
      <c r="L5992">
        <v>20</v>
      </c>
      <c r="M5992">
        <v>20</v>
      </c>
    </row>
    <row r="5993" spans="1:13" x14ac:dyDescent="0.25">
      <c r="A5993" t="s">
        <v>13194</v>
      </c>
      <c r="B5993" t="s">
        <v>13195</v>
      </c>
      <c r="C5993" t="s">
        <v>540</v>
      </c>
      <c r="F5993">
        <v>1</v>
      </c>
      <c r="G5993" t="s">
        <v>16</v>
      </c>
      <c r="H5993">
        <v>0</v>
      </c>
      <c r="I5993" s="2" t="s">
        <v>5029</v>
      </c>
      <c r="J5993" s="2">
        <v>1324</v>
      </c>
      <c r="K5993">
        <v>20</v>
      </c>
      <c r="L5993">
        <v>20</v>
      </c>
      <c r="M5993">
        <v>20</v>
      </c>
    </row>
    <row r="5994" spans="1:13" x14ac:dyDescent="0.25">
      <c r="A5994" t="s">
        <v>13196</v>
      </c>
      <c r="B5994" t="s">
        <v>13195</v>
      </c>
      <c r="C5994" t="s">
        <v>540</v>
      </c>
      <c r="G5994" t="s">
        <v>16</v>
      </c>
      <c r="H5994">
        <v>0</v>
      </c>
      <c r="I5994" s="2" t="s">
        <v>500</v>
      </c>
      <c r="J5994" s="2" t="s">
        <v>13197</v>
      </c>
      <c r="K5994">
        <v>20</v>
      </c>
      <c r="L5994">
        <v>20</v>
      </c>
      <c r="M5994">
        <v>20</v>
      </c>
    </row>
    <row r="5995" spans="1:13" x14ac:dyDescent="0.25">
      <c r="A5995" t="s">
        <v>13198</v>
      </c>
      <c r="B5995" t="s">
        <v>13199</v>
      </c>
      <c r="C5995" t="s">
        <v>1432</v>
      </c>
      <c r="D5995" t="s">
        <v>6673</v>
      </c>
      <c r="G5995" t="s">
        <v>16</v>
      </c>
      <c r="H5995">
        <v>0</v>
      </c>
      <c r="I5995" s="2" t="s">
        <v>13200</v>
      </c>
      <c r="J5995" s="2" t="s">
        <v>13201</v>
      </c>
      <c r="K5995">
        <v>20</v>
      </c>
      <c r="L5995">
        <v>20</v>
      </c>
      <c r="M5995">
        <v>20</v>
      </c>
    </row>
    <row r="5996" spans="1:13" x14ac:dyDescent="0.25">
      <c r="A5996" t="s">
        <v>13202</v>
      </c>
      <c r="B5996" t="s">
        <v>13199</v>
      </c>
      <c r="C5996" t="s">
        <v>1432</v>
      </c>
      <c r="D5996" t="s">
        <v>6673</v>
      </c>
      <c r="G5996" t="s">
        <v>16</v>
      </c>
      <c r="H5996">
        <v>0</v>
      </c>
      <c r="I5996" s="2" t="s">
        <v>13203</v>
      </c>
      <c r="J5996" s="2" t="str">
        <f>"032065"</f>
        <v>032065</v>
      </c>
      <c r="K5996">
        <v>20</v>
      </c>
      <c r="L5996">
        <v>20</v>
      </c>
      <c r="M5996">
        <v>20</v>
      </c>
    </row>
    <row r="5997" spans="1:13" x14ac:dyDescent="0.25">
      <c r="A5997" t="s">
        <v>13204</v>
      </c>
      <c r="B5997" t="s">
        <v>13205</v>
      </c>
      <c r="C5997" t="s">
        <v>1736</v>
      </c>
      <c r="F5997">
        <v>1</v>
      </c>
      <c r="G5997" t="s">
        <v>16</v>
      </c>
      <c r="H5997">
        <v>0</v>
      </c>
      <c r="I5997" s="2" t="s">
        <v>1748</v>
      </c>
      <c r="J5997" s="2" t="s">
        <v>13206</v>
      </c>
      <c r="K5997">
        <v>20</v>
      </c>
      <c r="L5997">
        <v>20</v>
      </c>
      <c r="M5997">
        <v>20</v>
      </c>
    </row>
    <row r="5998" spans="1:13" x14ac:dyDescent="0.25">
      <c r="A5998">
        <v>616218</v>
      </c>
      <c r="B5998" t="s">
        <v>13207</v>
      </c>
      <c r="C5998" t="s">
        <v>1432</v>
      </c>
      <c r="G5998" t="s">
        <v>16</v>
      </c>
      <c r="H5998">
        <v>0</v>
      </c>
      <c r="I5998" s="2" t="s">
        <v>497</v>
      </c>
      <c r="J5998" s="2">
        <v>55568171</v>
      </c>
      <c r="K5998">
        <v>20</v>
      </c>
      <c r="L5998">
        <v>20</v>
      </c>
      <c r="M5998">
        <v>20</v>
      </c>
    </row>
    <row r="5999" spans="1:13" x14ac:dyDescent="0.25">
      <c r="A5999" t="s">
        <v>13208</v>
      </c>
      <c r="B5999" t="s">
        <v>13209</v>
      </c>
      <c r="C5999" t="s">
        <v>1432</v>
      </c>
      <c r="D5999" t="s">
        <v>6673</v>
      </c>
      <c r="F5999">
        <v>1</v>
      </c>
      <c r="G5999" t="s">
        <v>16</v>
      </c>
      <c r="H5999">
        <v>0</v>
      </c>
      <c r="I5999" s="2" t="s">
        <v>5677</v>
      </c>
      <c r="J5999" s="2">
        <v>415065010</v>
      </c>
      <c r="K5999">
        <v>20</v>
      </c>
      <c r="L5999">
        <v>20</v>
      </c>
      <c r="M5999">
        <v>20</v>
      </c>
    </row>
    <row r="6000" spans="1:13" x14ac:dyDescent="0.25">
      <c r="A6000" t="s">
        <v>13210</v>
      </c>
      <c r="B6000" t="s">
        <v>13211</v>
      </c>
      <c r="C6000" t="s">
        <v>540</v>
      </c>
      <c r="F6000">
        <v>1</v>
      </c>
      <c r="G6000" t="s">
        <v>16</v>
      </c>
      <c r="H6000">
        <v>0</v>
      </c>
      <c r="I6000" s="2" t="s">
        <v>759</v>
      </c>
      <c r="J6000" s="2" t="s">
        <v>13212</v>
      </c>
      <c r="K6000">
        <v>20</v>
      </c>
      <c r="L6000">
        <v>20</v>
      </c>
      <c r="M6000">
        <v>20</v>
      </c>
    </row>
    <row r="6001" spans="1:13" x14ac:dyDescent="0.25">
      <c r="A6001" t="s">
        <v>13213</v>
      </c>
      <c r="B6001" t="s">
        <v>13214</v>
      </c>
      <c r="C6001" t="s">
        <v>20</v>
      </c>
      <c r="F6001">
        <v>4</v>
      </c>
      <c r="G6001" t="s">
        <v>16</v>
      </c>
      <c r="H6001">
        <v>0</v>
      </c>
      <c r="I6001" s="2" t="s">
        <v>35</v>
      </c>
      <c r="J6001" s="2" t="s">
        <v>13215</v>
      </c>
      <c r="K6001">
        <v>20</v>
      </c>
      <c r="L6001">
        <v>20</v>
      </c>
      <c r="M6001">
        <v>20</v>
      </c>
    </row>
    <row r="6002" spans="1:13" x14ac:dyDescent="0.25">
      <c r="A6002" t="s">
        <v>13216</v>
      </c>
      <c r="B6002" t="s">
        <v>13214</v>
      </c>
      <c r="C6002" t="s">
        <v>20</v>
      </c>
      <c r="F6002">
        <v>1</v>
      </c>
      <c r="G6002" t="s">
        <v>16</v>
      </c>
      <c r="H6002">
        <v>0</v>
      </c>
      <c r="I6002" s="2" t="s">
        <v>328</v>
      </c>
      <c r="J6002" s="2" t="s">
        <v>13217</v>
      </c>
      <c r="K6002">
        <v>20</v>
      </c>
      <c r="L6002">
        <v>20</v>
      </c>
      <c r="M6002">
        <v>20</v>
      </c>
    </row>
    <row r="6003" spans="1:13" x14ac:dyDescent="0.25">
      <c r="A6003" t="s">
        <v>13218</v>
      </c>
      <c r="B6003" t="s">
        <v>13219</v>
      </c>
      <c r="C6003" t="s">
        <v>20</v>
      </c>
      <c r="G6003" t="s">
        <v>16</v>
      </c>
      <c r="H6003">
        <v>0</v>
      </c>
      <c r="I6003" s="2" t="s">
        <v>35</v>
      </c>
      <c r="J6003" s="2" t="s">
        <v>13220</v>
      </c>
      <c r="K6003">
        <v>20</v>
      </c>
      <c r="L6003">
        <v>20</v>
      </c>
      <c r="M6003">
        <v>20</v>
      </c>
    </row>
    <row r="6004" spans="1:13" x14ac:dyDescent="0.25">
      <c r="A6004" t="s">
        <v>13221</v>
      </c>
      <c r="B6004" t="s">
        <v>13222</v>
      </c>
      <c r="C6004" t="s">
        <v>20</v>
      </c>
      <c r="G6004" t="s">
        <v>16</v>
      </c>
      <c r="H6004">
        <v>0</v>
      </c>
      <c r="I6004" s="2" t="s">
        <v>32</v>
      </c>
      <c r="J6004" s="2" t="s">
        <v>13223</v>
      </c>
      <c r="K6004">
        <v>20</v>
      </c>
      <c r="L6004">
        <v>20</v>
      </c>
      <c r="M6004">
        <v>20</v>
      </c>
    </row>
    <row r="6005" spans="1:13" x14ac:dyDescent="0.25">
      <c r="A6005" t="s">
        <v>13224</v>
      </c>
      <c r="B6005" t="s">
        <v>13225</v>
      </c>
      <c r="C6005" t="s">
        <v>20</v>
      </c>
      <c r="G6005" t="s">
        <v>16</v>
      </c>
      <c r="H6005">
        <v>0</v>
      </c>
      <c r="I6005" s="2" t="s">
        <v>35</v>
      </c>
      <c r="J6005" s="2" t="s">
        <v>13226</v>
      </c>
      <c r="K6005">
        <v>20</v>
      </c>
      <c r="L6005">
        <v>20</v>
      </c>
      <c r="M6005">
        <v>20</v>
      </c>
    </row>
    <row r="6006" spans="1:13" x14ac:dyDescent="0.25">
      <c r="A6006" t="s">
        <v>13227</v>
      </c>
      <c r="B6006" t="s">
        <v>13228</v>
      </c>
      <c r="C6006" t="s">
        <v>20</v>
      </c>
      <c r="H6006">
        <v>0</v>
      </c>
      <c r="I6006" s="2" t="s">
        <v>13229</v>
      </c>
      <c r="J6006" s="2" t="s">
        <v>13230</v>
      </c>
      <c r="K6006">
        <v>20</v>
      </c>
      <c r="L6006">
        <v>20</v>
      </c>
      <c r="M6006">
        <v>20</v>
      </c>
    </row>
    <row r="6007" spans="1:13" x14ac:dyDescent="0.25">
      <c r="A6007" t="s">
        <v>13231</v>
      </c>
      <c r="B6007" t="s">
        <v>13232</v>
      </c>
      <c r="C6007" t="s">
        <v>20</v>
      </c>
      <c r="F6007">
        <v>1</v>
      </c>
      <c r="G6007" t="s">
        <v>16</v>
      </c>
      <c r="H6007">
        <v>0</v>
      </c>
      <c r="I6007" s="2" t="s">
        <v>29</v>
      </c>
      <c r="J6007" s="2" t="s">
        <v>13233</v>
      </c>
      <c r="K6007">
        <v>20</v>
      </c>
      <c r="L6007">
        <v>20</v>
      </c>
      <c r="M6007">
        <v>20</v>
      </c>
    </row>
    <row r="6008" spans="1:13" x14ac:dyDescent="0.25">
      <c r="A6008" t="s">
        <v>13234</v>
      </c>
      <c r="B6008" t="s">
        <v>13235</v>
      </c>
      <c r="C6008" t="s">
        <v>1432</v>
      </c>
      <c r="G6008" t="s">
        <v>16</v>
      </c>
      <c r="H6008">
        <v>0</v>
      </c>
      <c r="I6008" s="2" t="s">
        <v>5224</v>
      </c>
      <c r="J6008" s="2" t="str">
        <f>"004200000"</f>
        <v>004200000</v>
      </c>
      <c r="K6008">
        <v>20</v>
      </c>
      <c r="L6008">
        <v>20</v>
      </c>
      <c r="M6008">
        <v>20</v>
      </c>
    </row>
    <row r="6009" spans="1:13" x14ac:dyDescent="0.25">
      <c r="A6009" t="s">
        <v>13236</v>
      </c>
      <c r="B6009" t="s">
        <v>13237</v>
      </c>
      <c r="C6009" t="s">
        <v>1432</v>
      </c>
      <c r="G6009" t="s">
        <v>16</v>
      </c>
      <c r="H6009">
        <v>0</v>
      </c>
      <c r="I6009" s="2" t="s">
        <v>5227</v>
      </c>
      <c r="J6009" s="2" t="str">
        <f>"006200709"</f>
        <v>006200709</v>
      </c>
      <c r="K6009">
        <v>20</v>
      </c>
      <c r="L6009">
        <v>20</v>
      </c>
      <c r="M6009">
        <v>20</v>
      </c>
    </row>
    <row r="6010" spans="1:13" x14ac:dyDescent="0.25">
      <c r="A6010" t="s">
        <v>13238</v>
      </c>
      <c r="B6010" t="s">
        <v>13237</v>
      </c>
      <c r="C6010" t="s">
        <v>1432</v>
      </c>
      <c r="F6010">
        <v>3</v>
      </c>
      <c r="G6010" t="s">
        <v>16</v>
      </c>
      <c r="H6010">
        <v>0</v>
      </c>
      <c r="I6010" s="2" t="s">
        <v>5677</v>
      </c>
      <c r="J6010" s="2">
        <v>620209809</v>
      </c>
      <c r="K6010">
        <v>20</v>
      </c>
      <c r="L6010">
        <v>20</v>
      </c>
      <c r="M6010">
        <v>20</v>
      </c>
    </row>
    <row r="6011" spans="1:13" x14ac:dyDescent="0.25">
      <c r="A6011" t="s">
        <v>13239</v>
      </c>
      <c r="B6011" t="s">
        <v>13237</v>
      </c>
      <c r="C6011" t="s">
        <v>1432</v>
      </c>
      <c r="F6011">
        <v>4</v>
      </c>
      <c r="G6011" t="s">
        <v>16</v>
      </c>
      <c r="H6011">
        <v>0</v>
      </c>
      <c r="I6011" s="2" t="s">
        <v>5688</v>
      </c>
      <c r="J6011" s="2">
        <v>3000828201</v>
      </c>
      <c r="K6011">
        <v>20</v>
      </c>
      <c r="L6011">
        <v>20</v>
      </c>
      <c r="M6011">
        <v>20</v>
      </c>
    </row>
    <row r="6012" spans="1:13" x14ac:dyDescent="0.25">
      <c r="A6012" t="s">
        <v>13240</v>
      </c>
      <c r="B6012" t="s">
        <v>13241</v>
      </c>
      <c r="C6012" t="s">
        <v>1432</v>
      </c>
      <c r="G6012" t="s">
        <v>16</v>
      </c>
      <c r="H6012">
        <v>0</v>
      </c>
      <c r="I6012" s="2" t="s">
        <v>842</v>
      </c>
      <c r="J6012" s="2">
        <v>821303</v>
      </c>
      <c r="K6012">
        <v>20</v>
      </c>
      <c r="L6012">
        <v>20</v>
      </c>
      <c r="M6012">
        <v>20</v>
      </c>
    </row>
    <row r="6013" spans="1:13" x14ac:dyDescent="0.25">
      <c r="A6013" t="s">
        <v>13242</v>
      </c>
      <c r="B6013" t="s">
        <v>13243</v>
      </c>
      <c r="C6013" t="s">
        <v>1432</v>
      </c>
      <c r="F6013">
        <v>0</v>
      </c>
      <c r="G6013" t="s">
        <v>16</v>
      </c>
      <c r="H6013">
        <v>0</v>
      </c>
      <c r="I6013" s="2" t="s">
        <v>7399</v>
      </c>
      <c r="J6013" s="2">
        <v>3000990026</v>
      </c>
      <c r="K6013">
        <v>20</v>
      </c>
      <c r="L6013">
        <v>20</v>
      </c>
      <c r="M6013">
        <v>20</v>
      </c>
    </row>
    <row r="6014" spans="1:13" x14ac:dyDescent="0.25">
      <c r="A6014" t="s">
        <v>13244</v>
      </c>
      <c r="B6014" t="s">
        <v>13237</v>
      </c>
      <c r="C6014" t="s">
        <v>1432</v>
      </c>
      <c r="G6014" t="s">
        <v>16</v>
      </c>
      <c r="H6014">
        <v>0</v>
      </c>
      <c r="I6014" s="2" t="s">
        <v>5227</v>
      </c>
      <c r="J6014" s="2" t="str">
        <f>"012200609"</f>
        <v>012200609</v>
      </c>
      <c r="K6014">
        <v>20</v>
      </c>
      <c r="L6014">
        <v>20</v>
      </c>
      <c r="M6014">
        <v>20</v>
      </c>
    </row>
    <row r="6015" spans="1:13" x14ac:dyDescent="0.25">
      <c r="A6015" t="s">
        <v>13245</v>
      </c>
      <c r="B6015" t="s">
        <v>13246</v>
      </c>
      <c r="C6015" t="s">
        <v>1432</v>
      </c>
      <c r="F6015">
        <v>1</v>
      </c>
      <c r="G6015" t="s">
        <v>16</v>
      </c>
      <c r="H6015">
        <v>0</v>
      </c>
      <c r="I6015" s="2" t="s">
        <v>5677</v>
      </c>
      <c r="J6015" s="2">
        <v>620307509</v>
      </c>
      <c r="K6015">
        <v>20</v>
      </c>
      <c r="L6015">
        <v>20</v>
      </c>
      <c r="M6015">
        <v>20</v>
      </c>
    </row>
    <row r="6016" spans="1:13" x14ac:dyDescent="0.25">
      <c r="A6016" t="s">
        <v>13247</v>
      </c>
      <c r="B6016" t="s">
        <v>13248</v>
      </c>
      <c r="C6016" t="s">
        <v>151</v>
      </c>
      <c r="D6016" t="s">
        <v>1092</v>
      </c>
      <c r="F6016">
        <v>1</v>
      </c>
      <c r="G6016" t="s">
        <v>16</v>
      </c>
      <c r="H6016">
        <v>0</v>
      </c>
      <c r="I6016" s="2" t="s">
        <v>13249</v>
      </c>
      <c r="J6016" s="2">
        <v>505642</v>
      </c>
      <c r="K6016">
        <v>20</v>
      </c>
      <c r="L6016">
        <v>20</v>
      </c>
      <c r="M6016">
        <v>20</v>
      </c>
    </row>
    <row r="6017" spans="1:13" x14ac:dyDescent="0.25">
      <c r="A6017" t="s">
        <v>13250</v>
      </c>
      <c r="B6017" t="s">
        <v>13251</v>
      </c>
      <c r="C6017" t="s">
        <v>151</v>
      </c>
      <c r="D6017" t="s">
        <v>1092</v>
      </c>
      <c r="G6017" t="s">
        <v>16</v>
      </c>
      <c r="H6017">
        <v>0</v>
      </c>
      <c r="I6017" s="2" t="s">
        <v>1994</v>
      </c>
      <c r="J6017" s="2" t="s">
        <v>13252</v>
      </c>
      <c r="K6017">
        <v>20</v>
      </c>
      <c r="L6017">
        <v>20</v>
      </c>
      <c r="M6017">
        <v>20</v>
      </c>
    </row>
    <row r="6018" spans="1:13" x14ac:dyDescent="0.25">
      <c r="A6018" t="s">
        <v>13253</v>
      </c>
      <c r="B6018" t="s">
        <v>13254</v>
      </c>
      <c r="C6018" t="s">
        <v>151</v>
      </c>
      <c r="D6018" t="s">
        <v>1092</v>
      </c>
      <c r="F6018">
        <v>0</v>
      </c>
      <c r="G6018" t="s">
        <v>16</v>
      </c>
      <c r="H6018">
        <v>0</v>
      </c>
      <c r="I6018" s="2" t="s">
        <v>13255</v>
      </c>
      <c r="J6018" s="2">
        <v>303331</v>
      </c>
      <c r="K6018">
        <v>20</v>
      </c>
      <c r="L6018">
        <v>20</v>
      </c>
      <c r="M6018">
        <v>20</v>
      </c>
    </row>
    <row r="6019" spans="1:13" x14ac:dyDescent="0.25">
      <c r="A6019" t="s">
        <v>13256</v>
      </c>
      <c r="B6019" t="s">
        <v>13257</v>
      </c>
      <c r="C6019" t="s">
        <v>151</v>
      </c>
      <c r="D6019" t="s">
        <v>1092</v>
      </c>
      <c r="G6019" t="s">
        <v>16</v>
      </c>
      <c r="H6019">
        <v>0</v>
      </c>
      <c r="I6019" s="2" t="s">
        <v>2542</v>
      </c>
      <c r="J6019" s="2" t="s">
        <v>13258</v>
      </c>
      <c r="K6019">
        <v>20</v>
      </c>
      <c r="L6019">
        <v>20</v>
      </c>
      <c r="M6019">
        <v>20</v>
      </c>
    </row>
    <row r="6020" spans="1:13" x14ac:dyDescent="0.25">
      <c r="A6020" t="s">
        <v>13259</v>
      </c>
      <c r="B6020" t="s">
        <v>13260</v>
      </c>
      <c r="C6020" t="s">
        <v>151</v>
      </c>
      <c r="D6020" t="s">
        <v>1092</v>
      </c>
      <c r="F6020">
        <v>1</v>
      </c>
      <c r="G6020" t="s">
        <v>16</v>
      </c>
      <c r="H6020">
        <v>0</v>
      </c>
      <c r="I6020" s="2" t="s">
        <v>1094</v>
      </c>
      <c r="J6020" s="2" t="s">
        <v>13261</v>
      </c>
      <c r="K6020">
        <v>20</v>
      </c>
      <c r="L6020">
        <v>20</v>
      </c>
      <c r="M6020">
        <v>20</v>
      </c>
    </row>
    <row r="6021" spans="1:13" x14ac:dyDescent="0.25">
      <c r="A6021" t="s">
        <v>13262</v>
      </c>
      <c r="B6021" t="s">
        <v>13264</v>
      </c>
      <c r="C6021" t="s">
        <v>151</v>
      </c>
      <c r="F6021">
        <v>1</v>
      </c>
      <c r="G6021" t="s">
        <v>16</v>
      </c>
      <c r="H6021">
        <v>0</v>
      </c>
      <c r="I6021" s="2" t="s">
        <v>288</v>
      </c>
      <c r="J6021" s="2" t="s">
        <v>13263</v>
      </c>
      <c r="K6021">
        <v>20</v>
      </c>
      <c r="L6021">
        <v>20</v>
      </c>
      <c r="M6021">
        <v>20</v>
      </c>
    </row>
    <row r="6022" spans="1:13" x14ac:dyDescent="0.25">
      <c r="A6022" t="s">
        <v>13265</v>
      </c>
      <c r="B6022" t="s">
        <v>13264</v>
      </c>
      <c r="C6022" t="s">
        <v>151</v>
      </c>
      <c r="F6022">
        <v>1</v>
      </c>
      <c r="G6022" t="s">
        <v>16</v>
      </c>
      <c r="H6022">
        <v>0</v>
      </c>
      <c r="I6022" s="2" t="s">
        <v>437</v>
      </c>
      <c r="J6022" s="2">
        <v>535015110</v>
      </c>
      <c r="K6022">
        <v>20</v>
      </c>
      <c r="L6022">
        <v>20</v>
      </c>
      <c r="M6022">
        <v>20</v>
      </c>
    </row>
    <row r="6023" spans="1:13" x14ac:dyDescent="0.25">
      <c r="A6023" t="s">
        <v>13266</v>
      </c>
      <c r="B6023" t="s">
        <v>13267</v>
      </c>
      <c r="C6023" t="s">
        <v>151</v>
      </c>
      <c r="D6023" t="s">
        <v>1092</v>
      </c>
      <c r="F6023">
        <v>1</v>
      </c>
      <c r="G6023" t="s">
        <v>16</v>
      </c>
      <c r="H6023">
        <v>0</v>
      </c>
      <c r="I6023" s="2" t="s">
        <v>13255</v>
      </c>
      <c r="J6023" s="2">
        <v>505641</v>
      </c>
      <c r="K6023">
        <v>20</v>
      </c>
      <c r="L6023">
        <v>20</v>
      </c>
      <c r="M6023">
        <v>20</v>
      </c>
    </row>
    <row r="6024" spans="1:13" x14ac:dyDescent="0.25">
      <c r="A6024" t="s">
        <v>13268</v>
      </c>
      <c r="B6024" t="s">
        <v>13269</v>
      </c>
      <c r="C6024" t="s">
        <v>151</v>
      </c>
      <c r="D6024" t="s">
        <v>1092</v>
      </c>
      <c r="F6024">
        <v>0</v>
      </c>
      <c r="G6024" t="s">
        <v>16</v>
      </c>
      <c r="H6024">
        <v>0</v>
      </c>
      <c r="I6024" s="2" t="s">
        <v>13255</v>
      </c>
      <c r="J6024" s="2">
        <v>303330</v>
      </c>
      <c r="K6024">
        <v>20</v>
      </c>
      <c r="L6024">
        <v>20</v>
      </c>
      <c r="M6024">
        <v>20</v>
      </c>
    </row>
    <row r="6025" spans="1:13" x14ac:dyDescent="0.25">
      <c r="A6025" t="s">
        <v>13270</v>
      </c>
      <c r="B6025" t="s">
        <v>13271</v>
      </c>
      <c r="C6025" t="s">
        <v>151</v>
      </c>
      <c r="D6025" t="s">
        <v>1092</v>
      </c>
      <c r="G6025" t="s">
        <v>16</v>
      </c>
      <c r="H6025">
        <v>0</v>
      </c>
      <c r="I6025" s="2" t="s">
        <v>2542</v>
      </c>
      <c r="J6025" s="2" t="s">
        <v>13272</v>
      </c>
      <c r="K6025">
        <v>20</v>
      </c>
      <c r="L6025">
        <v>20</v>
      </c>
      <c r="M6025">
        <v>20</v>
      </c>
    </row>
    <row r="6026" spans="1:13" x14ac:dyDescent="0.25">
      <c r="A6026" t="s">
        <v>13273</v>
      </c>
      <c r="B6026" t="s">
        <v>13274</v>
      </c>
      <c r="C6026" t="s">
        <v>151</v>
      </c>
      <c r="D6026" t="s">
        <v>1092</v>
      </c>
      <c r="F6026">
        <v>1</v>
      </c>
      <c r="G6026" t="s">
        <v>16</v>
      </c>
      <c r="H6026">
        <v>0</v>
      </c>
      <c r="I6026" s="2" t="s">
        <v>1094</v>
      </c>
      <c r="J6026" s="2" t="s">
        <v>13275</v>
      </c>
      <c r="K6026">
        <v>20</v>
      </c>
      <c r="L6026">
        <v>20</v>
      </c>
      <c r="M6026">
        <v>20</v>
      </c>
    </row>
    <row r="6027" spans="1:13" x14ac:dyDescent="0.25">
      <c r="A6027" t="s">
        <v>13276</v>
      </c>
      <c r="B6027" t="s">
        <v>13277</v>
      </c>
      <c r="C6027" t="s">
        <v>151</v>
      </c>
      <c r="D6027" t="s">
        <v>1092</v>
      </c>
      <c r="F6027">
        <v>1</v>
      </c>
      <c r="G6027" t="s">
        <v>16</v>
      </c>
      <c r="H6027">
        <v>0</v>
      </c>
      <c r="I6027" s="2" t="s">
        <v>854</v>
      </c>
      <c r="J6027" s="2">
        <v>43239</v>
      </c>
      <c r="K6027">
        <v>20</v>
      </c>
      <c r="L6027">
        <v>20</v>
      </c>
      <c r="M6027">
        <v>20</v>
      </c>
    </row>
    <row r="6028" spans="1:13" x14ac:dyDescent="0.25">
      <c r="A6028" t="s">
        <v>13278</v>
      </c>
      <c r="B6028" t="s">
        <v>13280</v>
      </c>
      <c r="C6028" t="s">
        <v>1092</v>
      </c>
      <c r="D6028" t="s">
        <v>13281</v>
      </c>
      <c r="F6028">
        <v>3</v>
      </c>
      <c r="G6028" t="s">
        <v>16</v>
      </c>
      <c r="H6028">
        <v>0</v>
      </c>
      <c r="I6028" s="2" t="s">
        <v>69</v>
      </c>
      <c r="J6028" s="2" t="s">
        <v>13279</v>
      </c>
      <c r="K6028">
        <v>20</v>
      </c>
      <c r="L6028">
        <v>20</v>
      </c>
      <c r="M6028">
        <v>20</v>
      </c>
    </row>
    <row r="6029" spans="1:13" x14ac:dyDescent="0.25">
      <c r="A6029" t="s">
        <v>13282</v>
      </c>
      <c r="B6029" t="s">
        <v>13280</v>
      </c>
      <c r="C6029" t="s">
        <v>151</v>
      </c>
      <c r="D6029" t="s">
        <v>1092</v>
      </c>
      <c r="F6029">
        <v>1</v>
      </c>
      <c r="G6029" t="s">
        <v>16</v>
      </c>
      <c r="H6029">
        <v>0</v>
      </c>
      <c r="I6029" s="2" t="s">
        <v>2382</v>
      </c>
      <c r="J6029" s="2">
        <v>6221</v>
      </c>
      <c r="K6029">
        <v>20</v>
      </c>
      <c r="L6029">
        <v>20</v>
      </c>
      <c r="M6029">
        <v>20</v>
      </c>
    </row>
    <row r="6030" spans="1:13" x14ac:dyDescent="0.25">
      <c r="A6030" t="s">
        <v>13283</v>
      </c>
      <c r="B6030" t="s">
        <v>13284</v>
      </c>
      <c r="C6030" t="s">
        <v>151</v>
      </c>
      <c r="D6030" t="s">
        <v>1092</v>
      </c>
      <c r="F6030">
        <v>4</v>
      </c>
      <c r="G6030" t="s">
        <v>16</v>
      </c>
      <c r="H6030">
        <v>0</v>
      </c>
      <c r="I6030" s="2" t="s">
        <v>1137</v>
      </c>
      <c r="J6030" s="2">
        <v>8200074008</v>
      </c>
      <c r="K6030">
        <v>20</v>
      </c>
      <c r="L6030">
        <v>20</v>
      </c>
      <c r="M6030">
        <v>20</v>
      </c>
    </row>
    <row r="6031" spans="1:13" x14ac:dyDescent="0.25">
      <c r="A6031" t="s">
        <v>13285</v>
      </c>
      <c r="B6031" t="s">
        <v>13286</v>
      </c>
      <c r="C6031" t="s">
        <v>151</v>
      </c>
      <c r="D6031" t="s">
        <v>1092</v>
      </c>
      <c r="F6031">
        <v>0</v>
      </c>
      <c r="G6031" t="s">
        <v>16</v>
      </c>
      <c r="H6031">
        <v>0</v>
      </c>
      <c r="I6031" s="2" t="s">
        <v>1145</v>
      </c>
      <c r="J6031" s="2" t="s">
        <v>13287</v>
      </c>
      <c r="K6031">
        <v>20</v>
      </c>
      <c r="L6031">
        <v>20</v>
      </c>
      <c r="M6031">
        <v>20</v>
      </c>
    </row>
    <row r="6032" spans="1:13" x14ac:dyDescent="0.25">
      <c r="A6032" t="s">
        <v>13288</v>
      </c>
      <c r="B6032" t="s">
        <v>13286</v>
      </c>
      <c r="C6032" t="s">
        <v>151</v>
      </c>
      <c r="D6032" t="s">
        <v>1092</v>
      </c>
      <c r="F6032">
        <v>0</v>
      </c>
      <c r="G6032" t="s">
        <v>16</v>
      </c>
      <c r="H6032">
        <v>0</v>
      </c>
      <c r="I6032" s="2" t="s">
        <v>13289</v>
      </c>
      <c r="J6032" s="2" t="s">
        <v>13290</v>
      </c>
      <c r="K6032">
        <v>20</v>
      </c>
      <c r="L6032">
        <v>20</v>
      </c>
      <c r="M6032">
        <v>20</v>
      </c>
    </row>
    <row r="6033" spans="1:13" x14ac:dyDescent="0.25">
      <c r="A6033" t="s">
        <v>13291</v>
      </c>
      <c r="B6033" t="s">
        <v>13286</v>
      </c>
      <c r="C6033" t="s">
        <v>151</v>
      </c>
      <c r="D6033" t="s">
        <v>1092</v>
      </c>
      <c r="F6033">
        <v>1</v>
      </c>
      <c r="G6033" t="s">
        <v>16</v>
      </c>
      <c r="H6033">
        <v>0</v>
      </c>
      <c r="I6033" s="2" t="s">
        <v>1137</v>
      </c>
      <c r="J6033" s="2" t="s">
        <v>13292</v>
      </c>
      <c r="K6033">
        <v>20</v>
      </c>
      <c r="L6033">
        <v>20</v>
      </c>
      <c r="M6033">
        <v>20</v>
      </c>
    </row>
    <row r="6034" spans="1:13" x14ac:dyDescent="0.25">
      <c r="A6034" t="s">
        <v>13293</v>
      </c>
      <c r="B6034" t="s">
        <v>13294</v>
      </c>
      <c r="C6034" t="s">
        <v>151</v>
      </c>
      <c r="D6034" t="s">
        <v>1092</v>
      </c>
      <c r="F6034">
        <v>1</v>
      </c>
      <c r="G6034" t="s">
        <v>16</v>
      </c>
      <c r="H6034">
        <v>0</v>
      </c>
      <c r="I6034" s="2" t="s">
        <v>842</v>
      </c>
      <c r="J6034" s="2">
        <v>43238</v>
      </c>
      <c r="K6034">
        <v>20</v>
      </c>
      <c r="L6034">
        <v>20</v>
      </c>
      <c r="M6034">
        <v>20</v>
      </c>
    </row>
    <row r="6035" spans="1:13" x14ac:dyDescent="0.25">
      <c r="A6035" t="s">
        <v>13295</v>
      </c>
      <c r="B6035" t="s">
        <v>13294</v>
      </c>
      <c r="C6035" t="s">
        <v>151</v>
      </c>
      <c r="D6035" t="s">
        <v>1092</v>
      </c>
      <c r="F6035">
        <v>1</v>
      </c>
      <c r="G6035" t="s">
        <v>16</v>
      </c>
      <c r="H6035">
        <v>0</v>
      </c>
      <c r="I6035" s="2" t="s">
        <v>1137</v>
      </c>
      <c r="J6035" s="2" t="s">
        <v>13296</v>
      </c>
      <c r="K6035">
        <v>20</v>
      </c>
      <c r="L6035">
        <v>20</v>
      </c>
      <c r="M6035">
        <v>20</v>
      </c>
    </row>
    <row r="6036" spans="1:13" x14ac:dyDescent="0.25">
      <c r="A6036" t="s">
        <v>13297</v>
      </c>
      <c r="B6036" t="s">
        <v>13298</v>
      </c>
      <c r="C6036" t="s">
        <v>151</v>
      </c>
      <c r="D6036" t="s">
        <v>1092</v>
      </c>
      <c r="F6036">
        <v>0</v>
      </c>
      <c r="G6036" t="s">
        <v>16</v>
      </c>
      <c r="H6036">
        <v>0</v>
      </c>
      <c r="I6036" s="2" t="s">
        <v>1145</v>
      </c>
      <c r="J6036" s="2" t="s">
        <v>13299</v>
      </c>
      <c r="K6036">
        <v>20</v>
      </c>
      <c r="L6036">
        <v>20</v>
      </c>
      <c r="M6036">
        <v>20</v>
      </c>
    </row>
    <row r="6037" spans="1:13" x14ac:dyDescent="0.25">
      <c r="A6037" t="s">
        <v>13300</v>
      </c>
      <c r="B6037" t="s">
        <v>13298</v>
      </c>
      <c r="C6037" t="s">
        <v>151</v>
      </c>
      <c r="D6037" t="s">
        <v>1092</v>
      </c>
      <c r="F6037">
        <v>0</v>
      </c>
      <c r="G6037" t="s">
        <v>16</v>
      </c>
      <c r="H6037">
        <v>0</v>
      </c>
      <c r="I6037" s="2" t="s">
        <v>13289</v>
      </c>
      <c r="J6037" s="2" t="s">
        <v>13301</v>
      </c>
      <c r="K6037">
        <v>20</v>
      </c>
      <c r="L6037">
        <v>20</v>
      </c>
      <c r="M6037">
        <v>20</v>
      </c>
    </row>
    <row r="6038" spans="1:13" x14ac:dyDescent="0.25">
      <c r="A6038" t="s">
        <v>13302</v>
      </c>
      <c r="B6038" t="s">
        <v>13304</v>
      </c>
      <c r="C6038" t="s">
        <v>151</v>
      </c>
      <c r="D6038" t="s">
        <v>1092</v>
      </c>
      <c r="F6038">
        <v>1</v>
      </c>
      <c r="G6038" t="s">
        <v>16</v>
      </c>
      <c r="H6038">
        <v>0</v>
      </c>
      <c r="I6038" s="2" t="s">
        <v>2098</v>
      </c>
      <c r="J6038" s="2" t="s">
        <v>13303</v>
      </c>
      <c r="K6038">
        <v>20</v>
      </c>
      <c r="L6038">
        <v>20</v>
      </c>
      <c r="M6038">
        <v>20</v>
      </c>
    </row>
    <row r="6039" spans="1:13" x14ac:dyDescent="0.25">
      <c r="A6039" t="s">
        <v>13305</v>
      </c>
      <c r="B6039" t="s">
        <v>13306</v>
      </c>
      <c r="C6039" t="s">
        <v>20</v>
      </c>
      <c r="D6039" t="s">
        <v>21</v>
      </c>
      <c r="F6039">
        <v>2</v>
      </c>
      <c r="G6039" t="s">
        <v>16</v>
      </c>
      <c r="H6039">
        <v>0</v>
      </c>
      <c r="I6039" s="2" t="s">
        <v>324</v>
      </c>
      <c r="J6039" s="2">
        <v>1501</v>
      </c>
      <c r="K6039">
        <v>20</v>
      </c>
      <c r="L6039">
        <v>20</v>
      </c>
      <c r="M6039">
        <v>20</v>
      </c>
    </row>
    <row r="6040" spans="1:13" x14ac:dyDescent="0.25">
      <c r="A6040" t="s">
        <v>13307</v>
      </c>
      <c r="B6040" t="s">
        <v>13308</v>
      </c>
      <c r="C6040" t="s">
        <v>1432</v>
      </c>
      <c r="G6040" t="s">
        <v>16</v>
      </c>
      <c r="H6040">
        <v>0</v>
      </c>
      <c r="I6040" s="2" t="s">
        <v>5224</v>
      </c>
      <c r="J6040" s="2" t="str">
        <f>"002215800"</f>
        <v>002215800</v>
      </c>
      <c r="K6040">
        <v>20</v>
      </c>
      <c r="L6040">
        <v>20</v>
      </c>
      <c r="M6040">
        <v>20</v>
      </c>
    </row>
    <row r="6041" spans="1:13" x14ac:dyDescent="0.25">
      <c r="A6041">
        <v>622062</v>
      </c>
      <c r="B6041" t="s">
        <v>13309</v>
      </c>
      <c r="C6041" t="s">
        <v>20</v>
      </c>
      <c r="G6041" t="s">
        <v>16</v>
      </c>
      <c r="H6041">
        <v>0</v>
      </c>
      <c r="I6041" s="2" t="s">
        <v>2098</v>
      </c>
      <c r="J6041" s="2" t="s">
        <v>13310</v>
      </c>
      <c r="K6041">
        <v>20</v>
      </c>
      <c r="L6041">
        <v>20</v>
      </c>
      <c r="M6041">
        <v>20</v>
      </c>
    </row>
    <row r="6042" spans="1:13" x14ac:dyDescent="0.25">
      <c r="A6042" t="s">
        <v>13311</v>
      </c>
      <c r="B6042" t="s">
        <v>13312</v>
      </c>
      <c r="C6042" t="s">
        <v>20</v>
      </c>
      <c r="D6042" t="s">
        <v>21</v>
      </c>
      <c r="F6042">
        <v>1</v>
      </c>
      <c r="G6042" t="s">
        <v>16</v>
      </c>
      <c r="H6042">
        <v>0</v>
      </c>
      <c r="I6042" s="2" t="s">
        <v>13313</v>
      </c>
      <c r="J6042" s="2" t="s">
        <v>13314</v>
      </c>
      <c r="K6042">
        <v>20</v>
      </c>
      <c r="L6042">
        <v>20</v>
      </c>
      <c r="M6042">
        <v>20</v>
      </c>
    </row>
    <row r="6043" spans="1:13" x14ac:dyDescent="0.25">
      <c r="A6043" t="s">
        <v>13315</v>
      </c>
      <c r="B6043" t="s">
        <v>13316</v>
      </c>
      <c r="C6043" t="s">
        <v>20</v>
      </c>
      <c r="D6043" t="s">
        <v>21</v>
      </c>
      <c r="F6043">
        <v>2</v>
      </c>
      <c r="G6043" t="s">
        <v>16</v>
      </c>
      <c r="H6043">
        <v>0</v>
      </c>
      <c r="I6043" s="2" t="s">
        <v>324</v>
      </c>
      <c r="J6043" s="2">
        <v>1502</v>
      </c>
      <c r="K6043">
        <v>20</v>
      </c>
      <c r="L6043">
        <v>20</v>
      </c>
      <c r="M6043">
        <v>20</v>
      </c>
    </row>
    <row r="6044" spans="1:13" x14ac:dyDescent="0.25">
      <c r="A6044" t="s">
        <v>13317</v>
      </c>
      <c r="B6044" t="s">
        <v>13318</v>
      </c>
      <c r="C6044" t="s">
        <v>20</v>
      </c>
      <c r="G6044" t="s">
        <v>16</v>
      </c>
      <c r="H6044">
        <v>0</v>
      </c>
      <c r="I6044" s="2" t="s">
        <v>35</v>
      </c>
      <c r="J6044" s="2" t="s">
        <v>13319</v>
      </c>
      <c r="K6044">
        <v>20</v>
      </c>
      <c r="L6044">
        <v>20</v>
      </c>
      <c r="M6044">
        <v>20</v>
      </c>
    </row>
    <row r="6045" spans="1:13" x14ac:dyDescent="0.25">
      <c r="A6045" t="s">
        <v>13320</v>
      </c>
      <c r="B6045" t="s">
        <v>13321</v>
      </c>
      <c r="C6045" t="s">
        <v>20</v>
      </c>
      <c r="G6045" t="s">
        <v>16</v>
      </c>
      <c r="H6045">
        <v>0</v>
      </c>
      <c r="I6045" s="2" t="s">
        <v>35</v>
      </c>
      <c r="J6045" s="2" t="s">
        <v>13322</v>
      </c>
      <c r="K6045">
        <v>20</v>
      </c>
      <c r="L6045">
        <v>20</v>
      </c>
      <c r="M6045">
        <v>20</v>
      </c>
    </row>
    <row r="6046" spans="1:13" x14ac:dyDescent="0.25">
      <c r="A6046" t="s">
        <v>13323</v>
      </c>
      <c r="B6046" t="s">
        <v>13324</v>
      </c>
      <c r="C6046" t="s">
        <v>20</v>
      </c>
      <c r="G6046" t="s">
        <v>16</v>
      </c>
      <c r="H6046">
        <v>0</v>
      </c>
      <c r="I6046" s="2" t="s">
        <v>35</v>
      </c>
      <c r="J6046" s="2" t="s">
        <v>13325</v>
      </c>
      <c r="K6046">
        <v>20</v>
      </c>
      <c r="L6046">
        <v>20</v>
      </c>
      <c r="M6046">
        <v>20</v>
      </c>
    </row>
    <row r="6047" spans="1:13" x14ac:dyDescent="0.25">
      <c r="A6047" t="s">
        <v>13326</v>
      </c>
      <c r="B6047" t="s">
        <v>13327</v>
      </c>
      <c r="C6047" t="s">
        <v>20</v>
      </c>
      <c r="G6047" t="s">
        <v>16</v>
      </c>
      <c r="H6047">
        <v>0</v>
      </c>
      <c r="I6047" s="2" t="s">
        <v>35</v>
      </c>
      <c r="J6047" s="2" t="s">
        <v>13328</v>
      </c>
      <c r="K6047">
        <v>20</v>
      </c>
      <c r="L6047">
        <v>20</v>
      </c>
      <c r="M6047">
        <v>20</v>
      </c>
    </row>
    <row r="6048" spans="1:13" x14ac:dyDescent="0.25">
      <c r="A6048" t="s">
        <v>13329</v>
      </c>
      <c r="B6048" t="s">
        <v>13330</v>
      </c>
      <c r="C6048" t="s">
        <v>1432</v>
      </c>
      <c r="F6048">
        <v>3</v>
      </c>
      <c r="G6048" t="s">
        <v>16</v>
      </c>
      <c r="H6048">
        <v>0</v>
      </c>
      <c r="I6048" s="2" t="s">
        <v>5677</v>
      </c>
      <c r="J6048" s="2">
        <v>622139600</v>
      </c>
      <c r="K6048">
        <v>20</v>
      </c>
      <c r="L6048">
        <v>20</v>
      </c>
      <c r="M6048">
        <v>20</v>
      </c>
    </row>
    <row r="6049" spans="1:13" x14ac:dyDescent="0.25">
      <c r="A6049" t="s">
        <v>13331</v>
      </c>
      <c r="B6049" t="s">
        <v>13332</v>
      </c>
      <c r="C6049" t="s">
        <v>1432</v>
      </c>
      <c r="F6049">
        <v>2</v>
      </c>
      <c r="G6049" t="s">
        <v>16</v>
      </c>
      <c r="H6049">
        <v>0</v>
      </c>
      <c r="I6049" s="2" t="s">
        <v>5688</v>
      </c>
      <c r="J6049" s="2">
        <v>3000638001</v>
      </c>
      <c r="K6049">
        <v>20</v>
      </c>
      <c r="L6049">
        <v>20</v>
      </c>
      <c r="M6049">
        <v>20</v>
      </c>
    </row>
    <row r="6050" spans="1:13" x14ac:dyDescent="0.25">
      <c r="A6050" t="s">
        <v>13333</v>
      </c>
      <c r="B6050" t="s">
        <v>13330</v>
      </c>
      <c r="C6050" t="s">
        <v>1432</v>
      </c>
      <c r="F6050">
        <v>1</v>
      </c>
      <c r="G6050" t="s">
        <v>16</v>
      </c>
      <c r="H6050">
        <v>0</v>
      </c>
      <c r="I6050" s="2" t="s">
        <v>5688</v>
      </c>
      <c r="J6050" s="2">
        <v>3000951403</v>
      </c>
      <c r="K6050">
        <v>20</v>
      </c>
      <c r="L6050">
        <v>20</v>
      </c>
      <c r="M6050">
        <v>20</v>
      </c>
    </row>
    <row r="6051" spans="1:13" x14ac:dyDescent="0.25">
      <c r="A6051" t="s">
        <v>13334</v>
      </c>
      <c r="B6051" t="s">
        <v>13335</v>
      </c>
      <c r="C6051" t="s">
        <v>20</v>
      </c>
      <c r="G6051" t="s">
        <v>16</v>
      </c>
      <c r="H6051">
        <v>0</v>
      </c>
      <c r="I6051" s="2" t="s">
        <v>13336</v>
      </c>
      <c r="J6051" s="2" t="s">
        <v>13337</v>
      </c>
      <c r="K6051">
        <v>20</v>
      </c>
      <c r="L6051">
        <v>20</v>
      </c>
      <c r="M6051">
        <v>20</v>
      </c>
    </row>
    <row r="6052" spans="1:13" x14ac:dyDescent="0.25">
      <c r="A6052" t="s">
        <v>13338</v>
      </c>
      <c r="B6052" t="s">
        <v>13339</v>
      </c>
      <c r="C6052" t="s">
        <v>20</v>
      </c>
      <c r="F6052">
        <v>4</v>
      </c>
      <c r="G6052" t="s">
        <v>16</v>
      </c>
      <c r="H6052">
        <v>0</v>
      </c>
      <c r="I6052" s="2" t="s">
        <v>35</v>
      </c>
      <c r="J6052" s="2" t="s">
        <v>13340</v>
      </c>
      <c r="K6052">
        <v>20</v>
      </c>
      <c r="L6052">
        <v>20</v>
      </c>
      <c r="M6052">
        <v>20</v>
      </c>
    </row>
    <row r="6053" spans="1:13" x14ac:dyDescent="0.25">
      <c r="A6053" t="s">
        <v>13341</v>
      </c>
      <c r="B6053" t="s">
        <v>13342</v>
      </c>
      <c r="C6053" t="s">
        <v>20</v>
      </c>
      <c r="F6053">
        <v>2</v>
      </c>
      <c r="G6053" t="s">
        <v>16</v>
      </c>
      <c r="H6053">
        <v>0</v>
      </c>
      <c r="I6053" s="2" t="s">
        <v>328</v>
      </c>
      <c r="J6053" s="2" t="s">
        <v>13343</v>
      </c>
      <c r="K6053">
        <v>20</v>
      </c>
      <c r="L6053">
        <v>20</v>
      </c>
      <c r="M6053">
        <v>20</v>
      </c>
    </row>
    <row r="6054" spans="1:13" x14ac:dyDescent="0.25">
      <c r="A6054" t="s">
        <v>13344</v>
      </c>
      <c r="B6054" t="s">
        <v>13345</v>
      </c>
      <c r="C6054" t="s">
        <v>20</v>
      </c>
      <c r="G6054" t="s">
        <v>16</v>
      </c>
      <c r="H6054">
        <v>0</v>
      </c>
      <c r="I6054" s="2" t="s">
        <v>35</v>
      </c>
      <c r="J6054" s="2" t="s">
        <v>13346</v>
      </c>
      <c r="K6054">
        <v>20</v>
      </c>
      <c r="L6054">
        <v>20</v>
      </c>
      <c r="M6054">
        <v>20</v>
      </c>
    </row>
    <row r="6055" spans="1:13" x14ac:dyDescent="0.25">
      <c r="A6055" t="s">
        <v>13347</v>
      </c>
      <c r="B6055" t="s">
        <v>13348</v>
      </c>
      <c r="C6055" t="s">
        <v>20</v>
      </c>
      <c r="F6055">
        <v>0</v>
      </c>
      <c r="G6055" t="s">
        <v>16</v>
      </c>
      <c r="H6055">
        <v>0</v>
      </c>
      <c r="I6055" s="2" t="s">
        <v>35</v>
      </c>
      <c r="J6055" s="2" t="s">
        <v>13349</v>
      </c>
      <c r="K6055">
        <v>20</v>
      </c>
      <c r="L6055">
        <v>20</v>
      </c>
      <c r="M6055">
        <v>20</v>
      </c>
    </row>
    <row r="6056" spans="1:13" x14ac:dyDescent="0.25">
      <c r="A6056" t="s">
        <v>13350</v>
      </c>
      <c r="B6056" t="s">
        <v>13351</v>
      </c>
      <c r="C6056" t="s">
        <v>151</v>
      </c>
      <c r="D6056" t="s">
        <v>1092</v>
      </c>
      <c r="F6056">
        <v>1</v>
      </c>
      <c r="G6056" t="s">
        <v>16</v>
      </c>
      <c r="H6056">
        <v>0</v>
      </c>
      <c r="I6056" s="2" t="s">
        <v>1094</v>
      </c>
      <c r="J6056" s="2" t="s">
        <v>13352</v>
      </c>
      <c r="K6056">
        <v>20</v>
      </c>
      <c r="L6056">
        <v>20</v>
      </c>
      <c r="M6056">
        <v>20</v>
      </c>
    </row>
    <row r="6057" spans="1:13" x14ac:dyDescent="0.25">
      <c r="A6057" t="s">
        <v>13353</v>
      </c>
      <c r="B6057" t="s">
        <v>13354</v>
      </c>
      <c r="C6057" t="s">
        <v>151</v>
      </c>
      <c r="D6057" t="s">
        <v>1092</v>
      </c>
      <c r="F6057">
        <v>1</v>
      </c>
      <c r="G6057" t="s">
        <v>16</v>
      </c>
      <c r="H6057">
        <v>0</v>
      </c>
      <c r="I6057" s="2" t="s">
        <v>1094</v>
      </c>
      <c r="J6057" s="2" t="s">
        <v>13355</v>
      </c>
      <c r="K6057">
        <v>20</v>
      </c>
      <c r="L6057">
        <v>20</v>
      </c>
      <c r="M6057">
        <v>20</v>
      </c>
    </row>
    <row r="6058" spans="1:13" x14ac:dyDescent="0.25">
      <c r="A6058" t="s">
        <v>13356</v>
      </c>
      <c r="B6058" t="s">
        <v>13357</v>
      </c>
      <c r="C6058" t="s">
        <v>151</v>
      </c>
      <c r="D6058" t="s">
        <v>1092</v>
      </c>
      <c r="F6058">
        <v>0</v>
      </c>
      <c r="G6058" t="s">
        <v>16</v>
      </c>
      <c r="H6058">
        <v>0</v>
      </c>
      <c r="I6058" s="2" t="s">
        <v>491</v>
      </c>
      <c r="J6058" s="2">
        <v>714029051801</v>
      </c>
      <c r="K6058">
        <v>20</v>
      </c>
      <c r="L6058">
        <v>20</v>
      </c>
      <c r="M6058">
        <v>20</v>
      </c>
    </row>
    <row r="6059" spans="1:13" x14ac:dyDescent="0.25">
      <c r="A6059" t="s">
        <v>13358</v>
      </c>
      <c r="B6059" t="s">
        <v>13359</v>
      </c>
      <c r="C6059" t="s">
        <v>151</v>
      </c>
      <c r="D6059" t="s">
        <v>1092</v>
      </c>
      <c r="G6059" t="s">
        <v>16</v>
      </c>
      <c r="H6059">
        <v>0</v>
      </c>
      <c r="K6059">
        <v>20</v>
      </c>
      <c r="L6059">
        <v>20</v>
      </c>
      <c r="M6059">
        <v>20</v>
      </c>
    </row>
    <row r="6060" spans="1:13" x14ac:dyDescent="0.25">
      <c r="A6060" t="s">
        <v>13360</v>
      </c>
      <c r="B6060" t="s">
        <v>13361</v>
      </c>
      <c r="C6060" t="s">
        <v>151</v>
      </c>
      <c r="D6060" t="s">
        <v>1092</v>
      </c>
      <c r="F6060">
        <v>0</v>
      </c>
      <c r="G6060" t="s">
        <v>16</v>
      </c>
      <c r="H6060">
        <v>0</v>
      </c>
      <c r="I6060" s="2" t="s">
        <v>491</v>
      </c>
      <c r="J6060" s="2">
        <v>714029051701</v>
      </c>
      <c r="K6060">
        <v>20</v>
      </c>
      <c r="L6060">
        <v>20</v>
      </c>
      <c r="M6060">
        <v>20</v>
      </c>
    </row>
    <row r="6061" spans="1:13" x14ac:dyDescent="0.25">
      <c r="A6061" t="s">
        <v>13362</v>
      </c>
      <c r="B6061" t="s">
        <v>13363</v>
      </c>
      <c r="C6061" t="s">
        <v>151</v>
      </c>
      <c r="D6061" t="s">
        <v>1092</v>
      </c>
      <c r="G6061" t="s">
        <v>16</v>
      </c>
      <c r="H6061">
        <v>0</v>
      </c>
      <c r="K6061">
        <v>20</v>
      </c>
      <c r="L6061">
        <v>20</v>
      </c>
      <c r="M6061">
        <v>20</v>
      </c>
    </row>
    <row r="6062" spans="1:13" x14ac:dyDescent="0.25">
      <c r="A6062" t="s">
        <v>13364</v>
      </c>
      <c r="B6062" t="s">
        <v>13365</v>
      </c>
      <c r="C6062" t="s">
        <v>151</v>
      </c>
      <c r="D6062" t="s">
        <v>1092</v>
      </c>
      <c r="F6062">
        <v>1</v>
      </c>
      <c r="G6062" t="s">
        <v>16</v>
      </c>
      <c r="H6062">
        <v>0</v>
      </c>
      <c r="I6062" s="2" t="s">
        <v>1145</v>
      </c>
      <c r="J6062" s="2" t="s">
        <v>13366</v>
      </c>
      <c r="K6062">
        <v>20</v>
      </c>
      <c r="L6062">
        <v>20</v>
      </c>
      <c r="M6062">
        <v>20</v>
      </c>
    </row>
    <row r="6063" spans="1:13" x14ac:dyDescent="0.25">
      <c r="A6063" t="s">
        <v>13367</v>
      </c>
      <c r="B6063" t="s">
        <v>13365</v>
      </c>
      <c r="C6063" t="s">
        <v>151</v>
      </c>
      <c r="D6063" t="s">
        <v>1092</v>
      </c>
      <c r="F6063">
        <v>1</v>
      </c>
      <c r="G6063" t="s">
        <v>16</v>
      </c>
      <c r="H6063">
        <v>0</v>
      </c>
      <c r="I6063" s="2" t="s">
        <v>491</v>
      </c>
      <c r="J6063" s="2">
        <v>714028771701</v>
      </c>
      <c r="K6063">
        <v>20</v>
      </c>
      <c r="L6063">
        <v>20</v>
      </c>
      <c r="M6063">
        <v>20</v>
      </c>
    </row>
    <row r="6064" spans="1:13" x14ac:dyDescent="0.25">
      <c r="A6064" t="s">
        <v>13368</v>
      </c>
      <c r="B6064" t="s">
        <v>13369</v>
      </c>
      <c r="C6064" t="s">
        <v>151</v>
      </c>
      <c r="D6064" t="s">
        <v>1092</v>
      </c>
      <c r="F6064">
        <v>1</v>
      </c>
      <c r="G6064" t="s">
        <v>16</v>
      </c>
      <c r="H6064">
        <v>0</v>
      </c>
      <c r="I6064" s="2" t="s">
        <v>1145</v>
      </c>
      <c r="J6064" s="2" t="s">
        <v>13370</v>
      </c>
      <c r="K6064">
        <v>20</v>
      </c>
      <c r="L6064">
        <v>20</v>
      </c>
      <c r="M6064">
        <v>20</v>
      </c>
    </row>
    <row r="6065" spans="1:13" x14ac:dyDescent="0.25">
      <c r="A6065" t="s">
        <v>13371</v>
      </c>
      <c r="B6065" t="s">
        <v>13372</v>
      </c>
      <c r="C6065" t="s">
        <v>151</v>
      </c>
      <c r="D6065" t="s">
        <v>1092</v>
      </c>
      <c r="G6065" t="s">
        <v>16</v>
      </c>
      <c r="H6065">
        <v>0</v>
      </c>
      <c r="I6065" s="2" t="s">
        <v>1145</v>
      </c>
      <c r="J6065" s="2" t="s">
        <v>13373</v>
      </c>
      <c r="K6065">
        <v>20</v>
      </c>
      <c r="L6065">
        <v>20</v>
      </c>
      <c r="M6065">
        <v>20</v>
      </c>
    </row>
    <row r="6066" spans="1:13" x14ac:dyDescent="0.25">
      <c r="A6066" t="s">
        <v>13374</v>
      </c>
      <c r="B6066" t="s">
        <v>13375</v>
      </c>
      <c r="C6066" t="s">
        <v>151</v>
      </c>
      <c r="D6066" t="s">
        <v>1092</v>
      </c>
      <c r="F6066">
        <v>1</v>
      </c>
      <c r="G6066" t="s">
        <v>16</v>
      </c>
      <c r="H6066">
        <v>0</v>
      </c>
      <c r="I6066" s="2" t="s">
        <v>1145</v>
      </c>
      <c r="J6066" s="2" t="s">
        <v>13376</v>
      </c>
      <c r="K6066">
        <v>20</v>
      </c>
      <c r="L6066">
        <v>20</v>
      </c>
      <c r="M6066">
        <v>20</v>
      </c>
    </row>
    <row r="6067" spans="1:13" x14ac:dyDescent="0.25">
      <c r="A6067" t="s">
        <v>13377</v>
      </c>
      <c r="B6067" t="s">
        <v>13378</v>
      </c>
      <c r="C6067" t="s">
        <v>1432</v>
      </c>
      <c r="F6067">
        <v>1</v>
      </c>
      <c r="G6067" t="s">
        <v>16</v>
      </c>
      <c r="H6067">
        <v>0</v>
      </c>
      <c r="I6067" s="2" t="s">
        <v>5221</v>
      </c>
      <c r="J6067" s="2">
        <v>622309509</v>
      </c>
      <c r="K6067">
        <v>20</v>
      </c>
      <c r="L6067">
        <v>20</v>
      </c>
      <c r="M6067">
        <v>20</v>
      </c>
    </row>
    <row r="6068" spans="1:13" x14ac:dyDescent="0.25">
      <c r="A6068" t="s">
        <v>13379</v>
      </c>
      <c r="B6068" t="s">
        <v>13378</v>
      </c>
      <c r="C6068" t="s">
        <v>1432</v>
      </c>
      <c r="G6068" t="s">
        <v>16</v>
      </c>
      <c r="H6068">
        <v>0</v>
      </c>
      <c r="I6068" s="2" t="s">
        <v>842</v>
      </c>
      <c r="J6068" s="2">
        <v>833526</v>
      </c>
      <c r="K6068">
        <v>20</v>
      </c>
      <c r="L6068">
        <v>20</v>
      </c>
      <c r="M6068">
        <v>20</v>
      </c>
    </row>
    <row r="6069" spans="1:13" x14ac:dyDescent="0.25">
      <c r="A6069" t="s">
        <v>13380</v>
      </c>
      <c r="B6069" t="s">
        <v>13381</v>
      </c>
      <c r="C6069" t="s">
        <v>1432</v>
      </c>
      <c r="G6069" t="s">
        <v>16</v>
      </c>
      <c r="H6069">
        <v>0</v>
      </c>
      <c r="I6069" s="2" t="s">
        <v>514</v>
      </c>
      <c r="J6069" s="2" t="s">
        <v>13382</v>
      </c>
      <c r="K6069">
        <v>20</v>
      </c>
      <c r="L6069">
        <v>20</v>
      </c>
      <c r="M6069">
        <v>20</v>
      </c>
    </row>
    <row r="6070" spans="1:13" x14ac:dyDescent="0.25">
      <c r="A6070" t="s">
        <v>13383</v>
      </c>
      <c r="B6070" t="s">
        <v>13381</v>
      </c>
      <c r="C6070" t="s">
        <v>1432</v>
      </c>
      <c r="G6070" t="s">
        <v>16</v>
      </c>
      <c r="H6070">
        <v>0</v>
      </c>
      <c r="I6070" s="2" t="s">
        <v>5677</v>
      </c>
      <c r="J6070" s="2">
        <v>622314609</v>
      </c>
      <c r="K6070">
        <v>20</v>
      </c>
      <c r="L6070">
        <v>20</v>
      </c>
      <c r="M6070">
        <v>20</v>
      </c>
    </row>
    <row r="6071" spans="1:13" x14ac:dyDescent="0.25">
      <c r="A6071">
        <v>6223513</v>
      </c>
      <c r="B6071" t="s">
        <v>13384</v>
      </c>
      <c r="C6071" t="s">
        <v>1092</v>
      </c>
      <c r="G6071" t="s">
        <v>16</v>
      </c>
      <c r="H6071">
        <v>0</v>
      </c>
      <c r="I6071" s="2" t="s">
        <v>497</v>
      </c>
      <c r="J6071" s="2">
        <v>13251936</v>
      </c>
      <c r="K6071">
        <v>20</v>
      </c>
      <c r="L6071">
        <v>20</v>
      </c>
      <c r="M6071">
        <v>20</v>
      </c>
    </row>
    <row r="6072" spans="1:13" x14ac:dyDescent="0.25">
      <c r="A6072" t="s">
        <v>13385</v>
      </c>
      <c r="B6072" t="s">
        <v>13386</v>
      </c>
      <c r="C6072" t="s">
        <v>20</v>
      </c>
      <c r="D6072" t="s">
        <v>21</v>
      </c>
      <c r="G6072" t="s">
        <v>16</v>
      </c>
      <c r="H6072">
        <v>0</v>
      </c>
      <c r="I6072" s="2" t="s">
        <v>29</v>
      </c>
      <c r="J6072" s="2" t="s">
        <v>13387</v>
      </c>
      <c r="K6072">
        <v>20</v>
      </c>
      <c r="L6072">
        <v>20</v>
      </c>
      <c r="M6072">
        <v>20</v>
      </c>
    </row>
    <row r="6073" spans="1:13" x14ac:dyDescent="0.25">
      <c r="A6073" t="s">
        <v>13388</v>
      </c>
      <c r="B6073" t="s">
        <v>13389</v>
      </c>
      <c r="C6073" t="s">
        <v>20</v>
      </c>
      <c r="F6073">
        <v>2</v>
      </c>
      <c r="G6073" t="s">
        <v>16</v>
      </c>
      <c r="H6073">
        <v>0</v>
      </c>
      <c r="I6073" s="2" t="s">
        <v>328</v>
      </c>
      <c r="J6073" s="2" t="s">
        <v>13390</v>
      </c>
      <c r="K6073">
        <v>20</v>
      </c>
      <c r="L6073">
        <v>20</v>
      </c>
      <c r="M6073">
        <v>20</v>
      </c>
    </row>
    <row r="6074" spans="1:13" x14ac:dyDescent="0.25">
      <c r="A6074" t="s">
        <v>13391</v>
      </c>
      <c r="B6074" t="s">
        <v>13392</v>
      </c>
      <c r="C6074" t="s">
        <v>20</v>
      </c>
      <c r="D6074" t="s">
        <v>21</v>
      </c>
      <c r="G6074" t="s">
        <v>22</v>
      </c>
      <c r="H6074">
        <v>0</v>
      </c>
      <c r="I6074" s="2" t="s">
        <v>13393</v>
      </c>
      <c r="J6074" s="2" t="s">
        <v>13394</v>
      </c>
      <c r="K6074">
        <v>20</v>
      </c>
      <c r="L6074">
        <v>20</v>
      </c>
      <c r="M6074">
        <v>20</v>
      </c>
    </row>
    <row r="6075" spans="1:13" x14ac:dyDescent="0.25">
      <c r="A6075" t="s">
        <v>13395</v>
      </c>
      <c r="B6075" t="s">
        <v>13396</v>
      </c>
      <c r="C6075" t="s">
        <v>20</v>
      </c>
      <c r="G6075" t="s">
        <v>16</v>
      </c>
      <c r="H6075">
        <v>0</v>
      </c>
      <c r="I6075" s="2" t="s">
        <v>32</v>
      </c>
      <c r="J6075" s="2" t="s">
        <v>13397</v>
      </c>
      <c r="K6075">
        <v>20</v>
      </c>
      <c r="L6075">
        <v>20</v>
      </c>
      <c r="M6075">
        <v>20</v>
      </c>
    </row>
    <row r="6076" spans="1:13" x14ac:dyDescent="0.25">
      <c r="A6076" t="s">
        <v>13398</v>
      </c>
      <c r="B6076" t="s">
        <v>13399</v>
      </c>
      <c r="C6076" t="s">
        <v>20</v>
      </c>
      <c r="F6076">
        <v>1</v>
      </c>
      <c r="G6076" t="s">
        <v>16</v>
      </c>
      <c r="H6076">
        <v>0</v>
      </c>
      <c r="I6076" s="2" t="s">
        <v>35</v>
      </c>
      <c r="J6076" s="2" t="s">
        <v>13400</v>
      </c>
      <c r="K6076">
        <v>20</v>
      </c>
      <c r="L6076">
        <v>20</v>
      </c>
      <c r="M6076">
        <v>20</v>
      </c>
    </row>
    <row r="6077" spans="1:13" x14ac:dyDescent="0.25">
      <c r="A6077" t="s">
        <v>13401</v>
      </c>
      <c r="B6077" t="s">
        <v>13402</v>
      </c>
      <c r="C6077" t="s">
        <v>20</v>
      </c>
      <c r="F6077">
        <v>0</v>
      </c>
      <c r="G6077" t="s">
        <v>16</v>
      </c>
      <c r="H6077">
        <v>0</v>
      </c>
      <c r="I6077" s="2" t="s">
        <v>35</v>
      </c>
      <c r="J6077" s="2" t="s">
        <v>13403</v>
      </c>
      <c r="K6077">
        <v>20</v>
      </c>
      <c r="L6077">
        <v>20</v>
      </c>
      <c r="M6077">
        <v>20</v>
      </c>
    </row>
    <row r="6078" spans="1:13" x14ac:dyDescent="0.25">
      <c r="A6078" t="s">
        <v>13404</v>
      </c>
      <c r="B6078" t="s">
        <v>13405</v>
      </c>
      <c r="C6078" t="s">
        <v>20</v>
      </c>
      <c r="G6078" t="s">
        <v>16</v>
      </c>
      <c r="H6078">
        <v>0</v>
      </c>
      <c r="I6078" s="2" t="s">
        <v>35</v>
      </c>
      <c r="J6078" s="2" t="s">
        <v>13406</v>
      </c>
      <c r="K6078">
        <v>20</v>
      </c>
      <c r="L6078">
        <v>20</v>
      </c>
      <c r="M6078">
        <v>20</v>
      </c>
    </row>
    <row r="6079" spans="1:13" x14ac:dyDescent="0.25">
      <c r="A6079" t="s">
        <v>13407</v>
      </c>
      <c r="B6079" t="s">
        <v>13408</v>
      </c>
      <c r="C6079" t="s">
        <v>20</v>
      </c>
      <c r="G6079" t="s">
        <v>16</v>
      </c>
      <c r="H6079">
        <v>0</v>
      </c>
      <c r="I6079" s="2" t="s">
        <v>29</v>
      </c>
      <c r="J6079" s="2" t="str">
        <f>"01-4872/4STD"</f>
        <v>01-4872/4STD</v>
      </c>
      <c r="K6079">
        <v>20</v>
      </c>
      <c r="L6079">
        <v>20</v>
      </c>
      <c r="M6079">
        <v>20</v>
      </c>
    </row>
    <row r="6080" spans="1:13" x14ac:dyDescent="0.25">
      <c r="A6080" t="s">
        <v>13409</v>
      </c>
      <c r="B6080" t="s">
        <v>13410</v>
      </c>
      <c r="C6080" t="s">
        <v>20</v>
      </c>
      <c r="D6080" t="s">
        <v>21</v>
      </c>
      <c r="G6080" t="s">
        <v>16</v>
      </c>
      <c r="H6080">
        <v>0</v>
      </c>
      <c r="I6080" s="2" t="s">
        <v>13411</v>
      </c>
      <c r="J6080" s="2" t="s">
        <v>13412</v>
      </c>
      <c r="K6080">
        <v>20</v>
      </c>
      <c r="L6080">
        <v>20</v>
      </c>
      <c r="M6080">
        <v>20</v>
      </c>
    </row>
    <row r="6081" spans="1:13" x14ac:dyDescent="0.25">
      <c r="A6081" t="s">
        <v>13413</v>
      </c>
      <c r="B6081" t="s">
        <v>13414</v>
      </c>
      <c r="C6081" t="s">
        <v>151</v>
      </c>
      <c r="F6081">
        <v>2</v>
      </c>
      <c r="G6081" t="s">
        <v>16</v>
      </c>
      <c r="H6081">
        <v>0</v>
      </c>
      <c r="I6081" s="2" t="s">
        <v>13415</v>
      </c>
      <c r="J6081" s="2">
        <v>132048</v>
      </c>
      <c r="K6081">
        <v>20</v>
      </c>
      <c r="L6081">
        <v>20</v>
      </c>
      <c r="M6081">
        <v>20</v>
      </c>
    </row>
    <row r="6082" spans="1:13" x14ac:dyDescent="0.25">
      <c r="A6082" t="s">
        <v>13416</v>
      </c>
      <c r="B6082" t="s">
        <v>13417</v>
      </c>
      <c r="C6082" t="s">
        <v>151</v>
      </c>
      <c r="F6082">
        <v>1</v>
      </c>
      <c r="G6082" t="s">
        <v>16</v>
      </c>
      <c r="H6082">
        <v>0</v>
      </c>
      <c r="I6082" s="2" t="s">
        <v>13415</v>
      </c>
      <c r="J6082" s="2">
        <v>132049</v>
      </c>
      <c r="K6082">
        <v>20</v>
      </c>
      <c r="L6082">
        <v>20</v>
      </c>
      <c r="M6082">
        <v>20</v>
      </c>
    </row>
    <row r="6083" spans="1:13" x14ac:dyDescent="0.25">
      <c r="A6083" t="s">
        <v>13418</v>
      </c>
      <c r="B6083" t="s">
        <v>13419</v>
      </c>
      <c r="C6083" t="s">
        <v>151</v>
      </c>
      <c r="F6083">
        <v>1</v>
      </c>
      <c r="G6083" t="s">
        <v>16</v>
      </c>
      <c r="H6083">
        <v>0</v>
      </c>
      <c r="I6083" s="2" t="s">
        <v>707</v>
      </c>
      <c r="J6083" s="2" t="s">
        <v>13420</v>
      </c>
      <c r="K6083">
        <v>20</v>
      </c>
      <c r="L6083">
        <v>20</v>
      </c>
      <c r="M6083">
        <v>20</v>
      </c>
    </row>
    <row r="6084" spans="1:13" x14ac:dyDescent="0.25">
      <c r="A6084" t="s">
        <v>13421</v>
      </c>
      <c r="B6084" t="s">
        <v>13422</v>
      </c>
      <c r="C6084" t="s">
        <v>151</v>
      </c>
      <c r="F6084">
        <v>1</v>
      </c>
      <c r="G6084" t="s">
        <v>16</v>
      </c>
      <c r="H6084">
        <v>0</v>
      </c>
      <c r="I6084" s="2" t="s">
        <v>383</v>
      </c>
      <c r="J6084" s="2" t="str">
        <f>"0261230284"</f>
        <v>0261230284</v>
      </c>
      <c r="K6084">
        <v>20</v>
      </c>
      <c r="L6084">
        <v>20</v>
      </c>
      <c r="M6084">
        <v>20</v>
      </c>
    </row>
    <row r="6085" spans="1:13" x14ac:dyDescent="0.25">
      <c r="A6085" t="s">
        <v>13423</v>
      </c>
      <c r="B6085" t="s">
        <v>13424</v>
      </c>
      <c r="C6085" t="s">
        <v>362</v>
      </c>
      <c r="D6085" t="s">
        <v>1511</v>
      </c>
      <c r="G6085" t="s">
        <v>16</v>
      </c>
      <c r="H6085">
        <v>0</v>
      </c>
      <c r="I6085" s="2" t="s">
        <v>993</v>
      </c>
      <c r="J6085" s="2">
        <v>207453</v>
      </c>
      <c r="K6085">
        <v>20</v>
      </c>
      <c r="L6085">
        <v>20</v>
      </c>
      <c r="M6085">
        <v>20</v>
      </c>
    </row>
    <row r="6086" spans="1:13" x14ac:dyDescent="0.25">
      <c r="A6086" t="s">
        <v>13425</v>
      </c>
      <c r="B6086" t="s">
        <v>13426</v>
      </c>
      <c r="C6086" t="s">
        <v>151</v>
      </c>
      <c r="D6086" t="s">
        <v>1476</v>
      </c>
      <c r="G6086" t="s">
        <v>16</v>
      </c>
      <c r="H6086">
        <v>0</v>
      </c>
      <c r="I6086" s="2" t="s">
        <v>953</v>
      </c>
      <c r="J6086" s="2">
        <v>79194</v>
      </c>
      <c r="K6086">
        <v>20</v>
      </c>
      <c r="L6086">
        <v>20</v>
      </c>
      <c r="M6086">
        <v>20</v>
      </c>
    </row>
    <row r="6087" spans="1:13" x14ac:dyDescent="0.25">
      <c r="A6087" t="s">
        <v>13427</v>
      </c>
      <c r="B6087" t="s">
        <v>13428</v>
      </c>
      <c r="C6087" t="s">
        <v>151</v>
      </c>
      <c r="D6087" t="s">
        <v>1476</v>
      </c>
      <c r="F6087">
        <v>1</v>
      </c>
      <c r="G6087" t="s">
        <v>16</v>
      </c>
      <c r="H6087">
        <v>0</v>
      </c>
      <c r="I6087" s="2" t="s">
        <v>707</v>
      </c>
      <c r="J6087" s="2" t="s">
        <v>13429</v>
      </c>
      <c r="K6087">
        <v>20</v>
      </c>
      <c r="L6087">
        <v>20</v>
      </c>
      <c r="M6087">
        <v>20</v>
      </c>
    </row>
    <row r="6088" spans="1:13" x14ac:dyDescent="0.25">
      <c r="A6088" t="s">
        <v>13430</v>
      </c>
      <c r="B6088" t="s">
        <v>13431</v>
      </c>
      <c r="C6088" t="s">
        <v>151</v>
      </c>
      <c r="D6088" t="s">
        <v>1524</v>
      </c>
      <c r="G6088" t="s">
        <v>16</v>
      </c>
      <c r="H6088">
        <v>0</v>
      </c>
      <c r="I6088" s="2" t="s">
        <v>953</v>
      </c>
      <c r="J6088" s="2">
        <v>79106</v>
      </c>
      <c r="K6088">
        <v>20</v>
      </c>
      <c r="L6088">
        <v>20</v>
      </c>
      <c r="M6088">
        <v>20</v>
      </c>
    </row>
    <row r="6089" spans="1:13" x14ac:dyDescent="0.25">
      <c r="A6089" t="s">
        <v>13432</v>
      </c>
      <c r="B6089" t="s">
        <v>13433</v>
      </c>
      <c r="C6089" t="s">
        <v>151</v>
      </c>
      <c r="D6089" t="s">
        <v>1524</v>
      </c>
      <c r="F6089">
        <v>1</v>
      </c>
      <c r="G6089" t="s">
        <v>16</v>
      </c>
      <c r="H6089">
        <v>0</v>
      </c>
      <c r="I6089" s="2" t="s">
        <v>685</v>
      </c>
      <c r="J6089" s="2" t="str">
        <f>"0232103052"</f>
        <v>0232103052</v>
      </c>
      <c r="K6089">
        <v>20</v>
      </c>
      <c r="L6089">
        <v>20</v>
      </c>
      <c r="M6089">
        <v>20</v>
      </c>
    </row>
    <row r="6090" spans="1:13" x14ac:dyDescent="0.25">
      <c r="A6090" t="s">
        <v>13434</v>
      </c>
      <c r="B6090" t="s">
        <v>13435</v>
      </c>
      <c r="C6090" t="s">
        <v>151</v>
      </c>
      <c r="D6090" t="s">
        <v>1524</v>
      </c>
      <c r="F6090">
        <v>1</v>
      </c>
      <c r="G6090" t="s">
        <v>16</v>
      </c>
      <c r="H6090">
        <v>0</v>
      </c>
      <c r="I6090" s="2" t="s">
        <v>941</v>
      </c>
      <c r="J6090" s="2" t="s">
        <v>13436</v>
      </c>
      <c r="K6090">
        <v>20</v>
      </c>
      <c r="L6090">
        <v>20</v>
      </c>
      <c r="M6090">
        <v>20</v>
      </c>
    </row>
    <row r="6091" spans="1:13" x14ac:dyDescent="0.25">
      <c r="A6091" t="s">
        <v>13437</v>
      </c>
      <c r="B6091" t="s">
        <v>13438</v>
      </c>
      <c r="C6091" t="s">
        <v>151</v>
      </c>
      <c r="F6091">
        <v>1</v>
      </c>
      <c r="G6091" t="s">
        <v>16</v>
      </c>
      <c r="H6091">
        <v>0</v>
      </c>
      <c r="I6091" s="2" t="s">
        <v>953</v>
      </c>
      <c r="J6091" s="2">
        <v>60161</v>
      </c>
      <c r="K6091">
        <v>20</v>
      </c>
      <c r="L6091">
        <v>20</v>
      </c>
      <c r="M6091">
        <v>20</v>
      </c>
    </row>
    <row r="6092" spans="1:13" x14ac:dyDescent="0.25">
      <c r="A6092" t="s">
        <v>13439</v>
      </c>
      <c r="B6092" t="s">
        <v>13440</v>
      </c>
      <c r="C6092" t="s">
        <v>151</v>
      </c>
      <c r="D6092" t="s">
        <v>1476</v>
      </c>
      <c r="F6092">
        <v>2</v>
      </c>
      <c r="G6092" t="s">
        <v>16</v>
      </c>
      <c r="H6092">
        <v>0</v>
      </c>
      <c r="I6092" s="2" t="s">
        <v>707</v>
      </c>
      <c r="J6092" s="2" t="s">
        <v>13441</v>
      </c>
      <c r="K6092">
        <v>20</v>
      </c>
      <c r="L6092">
        <v>20</v>
      </c>
      <c r="M6092">
        <v>20</v>
      </c>
    </row>
    <row r="6093" spans="1:13" x14ac:dyDescent="0.25">
      <c r="A6093" t="s">
        <v>13442</v>
      </c>
      <c r="B6093" t="s">
        <v>13444</v>
      </c>
      <c r="C6093" t="s">
        <v>151</v>
      </c>
      <c r="D6093" t="s">
        <v>1524</v>
      </c>
      <c r="F6093">
        <v>2</v>
      </c>
      <c r="G6093" t="s">
        <v>16</v>
      </c>
      <c r="H6093">
        <v>0</v>
      </c>
      <c r="I6093" s="2" t="s">
        <v>13445</v>
      </c>
      <c r="J6093" s="2" t="s">
        <v>13443</v>
      </c>
      <c r="K6093">
        <v>20</v>
      </c>
      <c r="L6093">
        <v>20</v>
      </c>
      <c r="M6093">
        <v>20</v>
      </c>
    </row>
    <row r="6094" spans="1:13" x14ac:dyDescent="0.25">
      <c r="A6094" t="s">
        <v>13446</v>
      </c>
      <c r="B6094" t="s">
        <v>13447</v>
      </c>
      <c r="C6094" t="s">
        <v>151</v>
      </c>
      <c r="D6094" t="s">
        <v>1524</v>
      </c>
      <c r="F6094">
        <v>1</v>
      </c>
      <c r="G6094" t="s">
        <v>16</v>
      </c>
      <c r="H6094">
        <v>0</v>
      </c>
      <c r="I6094" s="2" t="s">
        <v>1477</v>
      </c>
      <c r="J6094" s="2">
        <v>79394</v>
      </c>
      <c r="K6094">
        <v>20</v>
      </c>
      <c r="L6094">
        <v>20</v>
      </c>
      <c r="M6094">
        <v>20</v>
      </c>
    </row>
    <row r="6095" spans="1:13" x14ac:dyDescent="0.25">
      <c r="A6095" t="s">
        <v>13448</v>
      </c>
      <c r="B6095" t="s">
        <v>13450</v>
      </c>
      <c r="C6095" t="s">
        <v>151</v>
      </c>
      <c r="D6095" t="s">
        <v>1524</v>
      </c>
      <c r="F6095">
        <v>1</v>
      </c>
      <c r="G6095" t="s">
        <v>16</v>
      </c>
      <c r="H6095">
        <v>0</v>
      </c>
      <c r="I6095" s="2" t="s">
        <v>13445</v>
      </c>
      <c r="J6095" s="2" t="s">
        <v>13449</v>
      </c>
      <c r="K6095">
        <v>20</v>
      </c>
      <c r="L6095">
        <v>20</v>
      </c>
      <c r="M6095">
        <v>20</v>
      </c>
    </row>
    <row r="6096" spans="1:13" x14ac:dyDescent="0.25">
      <c r="A6096">
        <v>6237008</v>
      </c>
      <c r="B6096" t="s">
        <v>13451</v>
      </c>
      <c r="C6096" t="s">
        <v>151</v>
      </c>
      <c r="G6096" t="s">
        <v>16</v>
      </c>
      <c r="H6096">
        <v>0</v>
      </c>
      <c r="I6096" s="2" t="s">
        <v>497</v>
      </c>
      <c r="J6096" s="2">
        <v>13403357</v>
      </c>
      <c r="K6096">
        <v>20</v>
      </c>
      <c r="L6096">
        <v>20</v>
      </c>
      <c r="M6096">
        <v>20</v>
      </c>
    </row>
    <row r="6097" spans="1:13" x14ac:dyDescent="0.25">
      <c r="A6097" t="s">
        <v>13452</v>
      </c>
      <c r="B6097" t="s">
        <v>13453</v>
      </c>
      <c r="C6097" t="s">
        <v>151</v>
      </c>
      <c r="D6097" t="s">
        <v>1524</v>
      </c>
      <c r="F6097">
        <v>1</v>
      </c>
      <c r="G6097" t="s">
        <v>16</v>
      </c>
      <c r="H6097">
        <v>0</v>
      </c>
      <c r="I6097" s="2" t="s">
        <v>707</v>
      </c>
      <c r="J6097" s="2" t="s">
        <v>13454</v>
      </c>
      <c r="K6097">
        <v>20</v>
      </c>
      <c r="L6097">
        <v>20</v>
      </c>
      <c r="M6097">
        <v>20</v>
      </c>
    </row>
    <row r="6098" spans="1:13" x14ac:dyDescent="0.25">
      <c r="A6098" t="s">
        <v>13455</v>
      </c>
      <c r="B6098" t="s">
        <v>13456</v>
      </c>
      <c r="C6098" t="s">
        <v>151</v>
      </c>
      <c r="D6098" t="s">
        <v>1476</v>
      </c>
      <c r="G6098" t="s">
        <v>16</v>
      </c>
      <c r="H6098">
        <v>0</v>
      </c>
      <c r="I6098" s="2" t="s">
        <v>953</v>
      </c>
      <c r="J6098" s="2">
        <v>79075</v>
      </c>
      <c r="K6098">
        <v>20</v>
      </c>
      <c r="L6098">
        <v>20</v>
      </c>
      <c r="M6098">
        <v>20</v>
      </c>
    </row>
    <row r="6099" spans="1:13" x14ac:dyDescent="0.25">
      <c r="A6099" t="s">
        <v>13457</v>
      </c>
      <c r="B6099" t="s">
        <v>13458</v>
      </c>
      <c r="C6099" t="s">
        <v>151</v>
      </c>
      <c r="G6099" t="s">
        <v>16</v>
      </c>
      <c r="H6099">
        <v>0</v>
      </c>
      <c r="I6099" s="2" t="s">
        <v>953</v>
      </c>
      <c r="J6099" s="2">
        <v>60104</v>
      </c>
      <c r="K6099">
        <v>20</v>
      </c>
      <c r="L6099">
        <v>20</v>
      </c>
      <c r="M6099">
        <v>20</v>
      </c>
    </row>
    <row r="6100" spans="1:13" x14ac:dyDescent="0.25">
      <c r="A6100" t="s">
        <v>13459</v>
      </c>
      <c r="B6100" t="s">
        <v>13460</v>
      </c>
      <c r="C6100" t="s">
        <v>151</v>
      </c>
      <c r="D6100" t="s">
        <v>1476</v>
      </c>
      <c r="F6100">
        <v>1</v>
      </c>
      <c r="G6100" t="s">
        <v>16</v>
      </c>
      <c r="H6100">
        <v>0</v>
      </c>
      <c r="I6100" s="2" t="s">
        <v>383</v>
      </c>
      <c r="J6100" s="2" t="str">
        <f>"0261210151"</f>
        <v>0261210151</v>
      </c>
      <c r="K6100">
        <v>20</v>
      </c>
      <c r="L6100">
        <v>20</v>
      </c>
      <c r="M6100">
        <v>20</v>
      </c>
    </row>
    <row r="6101" spans="1:13" x14ac:dyDescent="0.25">
      <c r="A6101" t="s">
        <v>13461</v>
      </c>
      <c r="B6101" t="s">
        <v>13460</v>
      </c>
      <c r="C6101" t="s">
        <v>151</v>
      </c>
      <c r="D6101" t="s">
        <v>1476</v>
      </c>
      <c r="F6101">
        <v>2</v>
      </c>
      <c r="G6101" t="s">
        <v>16</v>
      </c>
      <c r="H6101">
        <v>0</v>
      </c>
      <c r="I6101" s="2" t="s">
        <v>941</v>
      </c>
      <c r="J6101" s="2" t="s">
        <v>13462</v>
      </c>
      <c r="K6101">
        <v>20</v>
      </c>
      <c r="L6101">
        <v>20</v>
      </c>
      <c r="M6101">
        <v>20</v>
      </c>
    </row>
    <row r="6102" spans="1:13" x14ac:dyDescent="0.25">
      <c r="A6102" t="s">
        <v>13463</v>
      </c>
      <c r="B6102" t="s">
        <v>13460</v>
      </c>
      <c r="C6102" t="s">
        <v>151</v>
      </c>
      <c r="D6102" t="s">
        <v>1476</v>
      </c>
      <c r="G6102" t="s">
        <v>16</v>
      </c>
      <c r="H6102">
        <v>0</v>
      </c>
      <c r="I6102" s="2" t="s">
        <v>953</v>
      </c>
      <c r="J6102" s="2">
        <v>79093</v>
      </c>
      <c r="K6102">
        <v>20</v>
      </c>
      <c r="L6102">
        <v>20</v>
      </c>
      <c r="M6102">
        <v>20</v>
      </c>
    </row>
    <row r="6103" spans="1:13" x14ac:dyDescent="0.25">
      <c r="A6103" t="s">
        <v>13464</v>
      </c>
      <c r="B6103" t="s">
        <v>13465</v>
      </c>
      <c r="C6103" t="s">
        <v>151</v>
      </c>
      <c r="D6103" t="s">
        <v>1524</v>
      </c>
      <c r="F6103">
        <v>1</v>
      </c>
      <c r="G6103" t="s">
        <v>16</v>
      </c>
      <c r="H6103">
        <v>0</v>
      </c>
      <c r="I6103" s="2" t="s">
        <v>950</v>
      </c>
      <c r="J6103" s="2">
        <v>60065</v>
      </c>
      <c r="K6103">
        <v>20</v>
      </c>
      <c r="L6103">
        <v>20</v>
      </c>
      <c r="M6103">
        <v>20</v>
      </c>
    </row>
    <row r="6104" spans="1:13" x14ac:dyDescent="0.25">
      <c r="A6104" t="s">
        <v>13466</v>
      </c>
      <c r="B6104" t="s">
        <v>13465</v>
      </c>
      <c r="C6104" t="s">
        <v>151</v>
      </c>
      <c r="D6104" t="s">
        <v>1524</v>
      </c>
      <c r="F6104">
        <v>1</v>
      </c>
      <c r="G6104" t="s">
        <v>16</v>
      </c>
      <c r="H6104">
        <v>0</v>
      </c>
      <c r="I6104" s="2" t="s">
        <v>906</v>
      </c>
      <c r="J6104" s="2" t="s">
        <v>13467</v>
      </c>
      <c r="K6104">
        <v>20</v>
      </c>
      <c r="L6104">
        <v>20</v>
      </c>
      <c r="M6104">
        <v>20</v>
      </c>
    </row>
    <row r="6105" spans="1:13" x14ac:dyDescent="0.25">
      <c r="A6105" t="s">
        <v>13468</v>
      </c>
      <c r="B6105" t="s">
        <v>13469</v>
      </c>
      <c r="C6105" t="s">
        <v>151</v>
      </c>
      <c r="F6105">
        <v>1</v>
      </c>
      <c r="G6105" t="s">
        <v>16</v>
      </c>
      <c r="H6105">
        <v>0</v>
      </c>
      <c r="I6105" s="2" t="s">
        <v>1488</v>
      </c>
      <c r="J6105" s="3">
        <v>103011</v>
      </c>
      <c r="K6105">
        <v>20</v>
      </c>
      <c r="L6105">
        <v>20</v>
      </c>
      <c r="M6105">
        <v>20</v>
      </c>
    </row>
    <row r="6106" spans="1:13" x14ac:dyDescent="0.25">
      <c r="A6106" t="s">
        <v>13470</v>
      </c>
      <c r="B6106" t="s">
        <v>13471</v>
      </c>
      <c r="C6106" t="s">
        <v>151</v>
      </c>
      <c r="F6106">
        <v>1</v>
      </c>
      <c r="G6106" t="s">
        <v>16</v>
      </c>
      <c r="H6106">
        <v>0</v>
      </c>
      <c r="I6106" s="2" t="s">
        <v>712</v>
      </c>
      <c r="J6106" s="2" t="s">
        <v>13472</v>
      </c>
      <c r="K6106">
        <v>20</v>
      </c>
      <c r="L6106">
        <v>20</v>
      </c>
      <c r="M6106">
        <v>20</v>
      </c>
    </row>
    <row r="6107" spans="1:13" x14ac:dyDescent="0.25">
      <c r="A6107" t="s">
        <v>13473</v>
      </c>
      <c r="B6107" t="s">
        <v>13474</v>
      </c>
      <c r="C6107" t="s">
        <v>151</v>
      </c>
      <c r="D6107" t="s">
        <v>1476</v>
      </c>
      <c r="F6107">
        <v>1</v>
      </c>
      <c r="G6107" t="s">
        <v>16</v>
      </c>
      <c r="H6107">
        <v>0</v>
      </c>
      <c r="I6107" s="2" t="s">
        <v>950</v>
      </c>
      <c r="J6107" s="2">
        <v>60295</v>
      </c>
      <c r="K6107">
        <v>20</v>
      </c>
      <c r="L6107">
        <v>20</v>
      </c>
      <c r="M6107">
        <v>20</v>
      </c>
    </row>
    <row r="6108" spans="1:13" x14ac:dyDescent="0.25">
      <c r="A6108" t="s">
        <v>13475</v>
      </c>
      <c r="B6108" t="s">
        <v>13476</v>
      </c>
      <c r="C6108" t="s">
        <v>151</v>
      </c>
      <c r="D6108" t="s">
        <v>1524</v>
      </c>
      <c r="F6108">
        <v>1</v>
      </c>
      <c r="G6108" t="s">
        <v>16</v>
      </c>
      <c r="H6108">
        <v>0</v>
      </c>
      <c r="I6108" s="2" t="s">
        <v>710</v>
      </c>
      <c r="J6108" s="3">
        <v>90449</v>
      </c>
      <c r="K6108">
        <v>20</v>
      </c>
      <c r="L6108">
        <v>20</v>
      </c>
      <c r="M6108">
        <v>20</v>
      </c>
    </row>
    <row r="6109" spans="1:13" x14ac:dyDescent="0.25">
      <c r="A6109" t="s">
        <v>13477</v>
      </c>
      <c r="B6109" t="s">
        <v>13478</v>
      </c>
      <c r="C6109" t="s">
        <v>151</v>
      </c>
      <c r="D6109" t="s">
        <v>1524</v>
      </c>
      <c r="F6109">
        <v>1</v>
      </c>
      <c r="G6109" t="s">
        <v>16</v>
      </c>
      <c r="H6109">
        <v>0</v>
      </c>
      <c r="I6109" s="2" t="s">
        <v>1477</v>
      </c>
      <c r="J6109" s="2">
        <v>79193</v>
      </c>
      <c r="K6109">
        <v>20</v>
      </c>
      <c r="L6109">
        <v>20</v>
      </c>
      <c r="M6109">
        <v>20</v>
      </c>
    </row>
    <row r="6110" spans="1:13" x14ac:dyDescent="0.25">
      <c r="A6110" t="s">
        <v>13479</v>
      </c>
      <c r="B6110" t="s">
        <v>13478</v>
      </c>
      <c r="C6110" t="s">
        <v>151</v>
      </c>
      <c r="D6110" t="s">
        <v>1524</v>
      </c>
      <c r="F6110">
        <v>1</v>
      </c>
      <c r="G6110" t="s">
        <v>16</v>
      </c>
      <c r="H6110">
        <v>0</v>
      </c>
      <c r="I6110" s="2" t="s">
        <v>854</v>
      </c>
      <c r="J6110" s="2">
        <v>253818</v>
      </c>
      <c r="K6110">
        <v>20</v>
      </c>
      <c r="L6110">
        <v>20</v>
      </c>
      <c r="M6110">
        <v>20</v>
      </c>
    </row>
    <row r="6111" spans="1:13" x14ac:dyDescent="0.25">
      <c r="A6111" t="s">
        <v>13480</v>
      </c>
      <c r="B6111" t="s">
        <v>13481</v>
      </c>
      <c r="C6111" t="s">
        <v>151</v>
      </c>
      <c r="D6111" t="s">
        <v>1476</v>
      </c>
      <c r="G6111" t="s">
        <v>16</v>
      </c>
      <c r="H6111">
        <v>0</v>
      </c>
      <c r="I6111" s="2" t="s">
        <v>941</v>
      </c>
      <c r="J6111" s="2" t="s">
        <v>13482</v>
      </c>
      <c r="K6111">
        <v>20</v>
      </c>
      <c r="L6111">
        <v>20</v>
      </c>
      <c r="M6111">
        <v>20</v>
      </c>
    </row>
    <row r="6112" spans="1:13" x14ac:dyDescent="0.25">
      <c r="A6112" t="s">
        <v>13483</v>
      </c>
      <c r="B6112" t="s">
        <v>13484</v>
      </c>
      <c r="C6112" t="s">
        <v>151</v>
      </c>
      <c r="D6112" t="s">
        <v>1476</v>
      </c>
      <c r="F6112">
        <v>2</v>
      </c>
      <c r="G6112" t="s">
        <v>16</v>
      </c>
      <c r="H6112">
        <v>0</v>
      </c>
      <c r="I6112" s="2" t="s">
        <v>953</v>
      </c>
      <c r="J6112" s="2">
        <v>79044</v>
      </c>
      <c r="K6112">
        <v>20</v>
      </c>
      <c r="L6112">
        <v>20</v>
      </c>
      <c r="M6112">
        <v>20</v>
      </c>
    </row>
    <row r="6113" spans="1:13" x14ac:dyDescent="0.25">
      <c r="A6113" t="s">
        <v>13485</v>
      </c>
      <c r="B6113" t="s">
        <v>13484</v>
      </c>
      <c r="C6113" t="s">
        <v>151</v>
      </c>
      <c r="D6113" t="s">
        <v>1476</v>
      </c>
      <c r="G6113" t="s">
        <v>16</v>
      </c>
      <c r="H6113">
        <v>0</v>
      </c>
      <c r="I6113" s="2" t="s">
        <v>937</v>
      </c>
      <c r="J6113" s="2" t="s">
        <v>13486</v>
      </c>
      <c r="K6113">
        <v>20</v>
      </c>
      <c r="L6113">
        <v>20</v>
      </c>
      <c r="M6113">
        <v>20</v>
      </c>
    </row>
    <row r="6114" spans="1:13" x14ac:dyDescent="0.25">
      <c r="A6114" t="s">
        <v>13487</v>
      </c>
      <c r="B6114" t="s">
        <v>13488</v>
      </c>
      <c r="C6114" t="s">
        <v>151</v>
      </c>
      <c r="G6114" t="s">
        <v>16</v>
      </c>
      <c r="H6114">
        <v>0</v>
      </c>
      <c r="I6114" s="2" t="s">
        <v>707</v>
      </c>
      <c r="J6114" s="2" t="s">
        <v>13489</v>
      </c>
      <c r="K6114">
        <v>20</v>
      </c>
      <c r="L6114">
        <v>20</v>
      </c>
      <c r="M6114">
        <v>20</v>
      </c>
    </row>
    <row r="6115" spans="1:13" x14ac:dyDescent="0.25">
      <c r="A6115" t="s">
        <v>13490</v>
      </c>
      <c r="B6115" t="s">
        <v>13488</v>
      </c>
      <c r="C6115" t="s">
        <v>151</v>
      </c>
      <c r="D6115" t="s">
        <v>1476</v>
      </c>
      <c r="F6115">
        <v>1</v>
      </c>
      <c r="G6115" t="s">
        <v>16</v>
      </c>
      <c r="H6115">
        <v>0</v>
      </c>
      <c r="I6115" s="2" t="s">
        <v>1477</v>
      </c>
      <c r="J6115" s="2">
        <v>79070</v>
      </c>
      <c r="K6115">
        <v>20</v>
      </c>
      <c r="L6115">
        <v>20</v>
      </c>
      <c r="M6115">
        <v>20</v>
      </c>
    </row>
    <row r="6116" spans="1:13" x14ac:dyDescent="0.25">
      <c r="A6116" t="s">
        <v>13491</v>
      </c>
      <c r="B6116" t="s">
        <v>13492</v>
      </c>
      <c r="C6116" t="s">
        <v>151</v>
      </c>
      <c r="F6116">
        <v>1</v>
      </c>
      <c r="G6116" t="s">
        <v>16</v>
      </c>
      <c r="H6116">
        <v>0</v>
      </c>
      <c r="I6116" s="2" t="s">
        <v>1477</v>
      </c>
      <c r="J6116" s="2">
        <v>33505</v>
      </c>
      <c r="K6116">
        <v>20</v>
      </c>
      <c r="L6116">
        <v>20</v>
      </c>
      <c r="M6116">
        <v>20</v>
      </c>
    </row>
    <row r="6117" spans="1:13" x14ac:dyDescent="0.25">
      <c r="A6117" t="s">
        <v>13493</v>
      </c>
      <c r="B6117" t="s">
        <v>13494</v>
      </c>
      <c r="C6117" t="s">
        <v>362</v>
      </c>
      <c r="F6117">
        <v>2</v>
      </c>
      <c r="G6117" t="s">
        <v>16</v>
      </c>
      <c r="H6117">
        <v>0</v>
      </c>
      <c r="I6117" s="2" t="s">
        <v>988</v>
      </c>
      <c r="J6117" s="2" t="s">
        <v>13495</v>
      </c>
      <c r="K6117">
        <v>20</v>
      </c>
      <c r="L6117">
        <v>20</v>
      </c>
      <c r="M6117">
        <v>20</v>
      </c>
    </row>
    <row r="6118" spans="1:13" x14ac:dyDescent="0.25">
      <c r="A6118" t="s">
        <v>13496</v>
      </c>
      <c r="B6118" t="s">
        <v>13497</v>
      </c>
      <c r="C6118" t="s">
        <v>151</v>
      </c>
      <c r="D6118" t="s">
        <v>1476</v>
      </c>
      <c r="G6118" t="s">
        <v>16</v>
      </c>
      <c r="H6118">
        <v>0</v>
      </c>
      <c r="I6118" s="2" t="s">
        <v>941</v>
      </c>
      <c r="J6118" s="2" t="s">
        <v>13498</v>
      </c>
      <c r="K6118">
        <v>20</v>
      </c>
      <c r="L6118">
        <v>20</v>
      </c>
      <c r="M6118">
        <v>20</v>
      </c>
    </row>
    <row r="6119" spans="1:13" x14ac:dyDescent="0.25">
      <c r="A6119" t="s">
        <v>13499</v>
      </c>
      <c r="B6119" t="s">
        <v>13497</v>
      </c>
      <c r="C6119" t="s">
        <v>151</v>
      </c>
      <c r="D6119" t="s">
        <v>1476</v>
      </c>
      <c r="F6119">
        <v>1</v>
      </c>
      <c r="G6119" t="s">
        <v>16</v>
      </c>
      <c r="H6119">
        <v>0</v>
      </c>
      <c r="I6119" s="2" t="s">
        <v>953</v>
      </c>
      <c r="J6119" s="2">
        <v>79078</v>
      </c>
      <c r="K6119">
        <v>20</v>
      </c>
      <c r="L6119">
        <v>20</v>
      </c>
      <c r="M6119">
        <v>20</v>
      </c>
    </row>
    <row r="6120" spans="1:13" x14ac:dyDescent="0.25">
      <c r="A6120" t="s">
        <v>13500</v>
      </c>
      <c r="B6120" t="s">
        <v>13501</v>
      </c>
      <c r="C6120" t="s">
        <v>151</v>
      </c>
      <c r="D6120" t="s">
        <v>1476</v>
      </c>
      <c r="F6120">
        <v>1</v>
      </c>
      <c r="G6120" t="s">
        <v>16</v>
      </c>
      <c r="H6120">
        <v>0</v>
      </c>
      <c r="I6120" s="2" t="s">
        <v>685</v>
      </c>
      <c r="J6120" s="2" t="str">
        <f>"0281002138"</f>
        <v>0281002138</v>
      </c>
      <c r="K6120">
        <v>20</v>
      </c>
      <c r="L6120">
        <v>20</v>
      </c>
      <c r="M6120">
        <v>20</v>
      </c>
    </row>
    <row r="6121" spans="1:13" x14ac:dyDescent="0.25">
      <c r="A6121" t="s">
        <v>13502</v>
      </c>
      <c r="B6121" t="s">
        <v>13503</v>
      </c>
      <c r="C6121" t="s">
        <v>151</v>
      </c>
      <c r="D6121" t="s">
        <v>1476</v>
      </c>
      <c r="F6121">
        <v>1</v>
      </c>
      <c r="G6121" t="s">
        <v>16</v>
      </c>
      <c r="H6121">
        <v>0</v>
      </c>
      <c r="I6121" s="2" t="s">
        <v>953</v>
      </c>
      <c r="J6121" s="2">
        <v>79074</v>
      </c>
      <c r="K6121">
        <v>20</v>
      </c>
      <c r="L6121">
        <v>20</v>
      </c>
      <c r="M6121">
        <v>20</v>
      </c>
    </row>
    <row r="6122" spans="1:13" x14ac:dyDescent="0.25">
      <c r="A6122" t="s">
        <v>13504</v>
      </c>
      <c r="B6122" t="s">
        <v>13505</v>
      </c>
      <c r="C6122" t="s">
        <v>151</v>
      </c>
      <c r="D6122" t="s">
        <v>1381</v>
      </c>
      <c r="G6122" t="s">
        <v>16</v>
      </c>
      <c r="H6122">
        <v>0</v>
      </c>
      <c r="I6122" s="2" t="s">
        <v>2752</v>
      </c>
      <c r="J6122" s="2" t="s">
        <v>13506</v>
      </c>
      <c r="K6122">
        <v>20</v>
      </c>
      <c r="L6122">
        <v>20</v>
      </c>
      <c r="M6122">
        <v>20</v>
      </c>
    </row>
    <row r="6123" spans="1:13" x14ac:dyDescent="0.25">
      <c r="A6123" t="s">
        <v>13507</v>
      </c>
      <c r="B6123" t="s">
        <v>13508</v>
      </c>
      <c r="C6123" t="s">
        <v>151</v>
      </c>
      <c r="D6123" t="s">
        <v>152</v>
      </c>
      <c r="G6123" t="s">
        <v>16</v>
      </c>
      <c r="H6123">
        <v>0</v>
      </c>
      <c r="I6123" s="2" t="s">
        <v>953</v>
      </c>
      <c r="J6123" s="2">
        <v>33485</v>
      </c>
      <c r="K6123">
        <v>20</v>
      </c>
      <c r="L6123">
        <v>20</v>
      </c>
      <c r="M6123">
        <v>20</v>
      </c>
    </row>
    <row r="6124" spans="1:13" x14ac:dyDescent="0.25">
      <c r="A6124" t="s">
        <v>13509</v>
      </c>
      <c r="B6124" t="s">
        <v>13510</v>
      </c>
      <c r="C6124" t="s">
        <v>151</v>
      </c>
      <c r="D6124" t="s">
        <v>1381</v>
      </c>
      <c r="G6124" t="s">
        <v>16</v>
      </c>
      <c r="H6124">
        <v>0</v>
      </c>
      <c r="I6124" s="2" t="s">
        <v>937</v>
      </c>
      <c r="J6124" s="2" t="s">
        <v>13511</v>
      </c>
      <c r="K6124">
        <v>20</v>
      </c>
      <c r="L6124">
        <v>20</v>
      </c>
      <c r="M6124">
        <v>20</v>
      </c>
    </row>
    <row r="6125" spans="1:13" x14ac:dyDescent="0.25">
      <c r="A6125" t="s">
        <v>13512</v>
      </c>
      <c r="B6125" t="s">
        <v>13513</v>
      </c>
      <c r="C6125" t="s">
        <v>151</v>
      </c>
      <c r="D6125" t="s">
        <v>1381</v>
      </c>
      <c r="F6125">
        <v>2</v>
      </c>
      <c r="G6125" t="s">
        <v>16</v>
      </c>
      <c r="H6125">
        <v>0</v>
      </c>
      <c r="I6125" s="2" t="s">
        <v>1538</v>
      </c>
      <c r="J6125" s="2">
        <v>6148990045</v>
      </c>
      <c r="K6125">
        <v>20</v>
      </c>
      <c r="L6125">
        <v>20</v>
      </c>
      <c r="M6125">
        <v>20</v>
      </c>
    </row>
    <row r="6126" spans="1:13" x14ac:dyDescent="0.25">
      <c r="A6126" t="s">
        <v>13514</v>
      </c>
      <c r="B6126" t="s">
        <v>13515</v>
      </c>
      <c r="C6126" t="s">
        <v>151</v>
      </c>
      <c r="D6126" t="s">
        <v>1524</v>
      </c>
      <c r="F6126">
        <v>0</v>
      </c>
      <c r="G6126" t="s">
        <v>16</v>
      </c>
      <c r="H6126">
        <v>0</v>
      </c>
      <c r="I6126" s="2" t="s">
        <v>707</v>
      </c>
      <c r="J6126" s="2" t="s">
        <v>13516</v>
      </c>
      <c r="K6126">
        <v>20</v>
      </c>
      <c r="L6126">
        <v>20</v>
      </c>
      <c r="M6126">
        <v>20</v>
      </c>
    </row>
    <row r="6127" spans="1:13" x14ac:dyDescent="0.25">
      <c r="A6127" t="s">
        <v>13517</v>
      </c>
      <c r="B6127" t="s">
        <v>13518</v>
      </c>
      <c r="C6127" t="s">
        <v>151</v>
      </c>
      <c r="D6127" t="s">
        <v>1476</v>
      </c>
      <c r="F6127">
        <v>4</v>
      </c>
      <c r="G6127" t="s">
        <v>16</v>
      </c>
      <c r="H6127">
        <v>0</v>
      </c>
      <c r="I6127" s="2" t="s">
        <v>707</v>
      </c>
      <c r="J6127" s="2" t="s">
        <v>13519</v>
      </c>
      <c r="K6127">
        <v>20</v>
      </c>
      <c r="L6127">
        <v>20</v>
      </c>
      <c r="M6127">
        <v>20</v>
      </c>
    </row>
    <row r="6128" spans="1:13" x14ac:dyDescent="0.25">
      <c r="A6128" t="s">
        <v>13520</v>
      </c>
      <c r="B6128" t="s">
        <v>13521</v>
      </c>
      <c r="C6128" t="s">
        <v>151</v>
      </c>
      <c r="F6128">
        <v>1</v>
      </c>
      <c r="G6128" t="s">
        <v>16</v>
      </c>
      <c r="H6128">
        <v>0</v>
      </c>
      <c r="I6128" s="2" t="s">
        <v>383</v>
      </c>
      <c r="J6128" s="2" t="s">
        <v>13522</v>
      </c>
      <c r="K6128">
        <v>20</v>
      </c>
      <c r="L6128">
        <v>20</v>
      </c>
      <c r="M6128">
        <v>20</v>
      </c>
    </row>
    <row r="6129" spans="1:13" x14ac:dyDescent="0.25">
      <c r="A6129" t="s">
        <v>13523</v>
      </c>
      <c r="B6129" t="s">
        <v>13524</v>
      </c>
      <c r="C6129" t="s">
        <v>151</v>
      </c>
      <c r="F6129">
        <v>1</v>
      </c>
      <c r="G6129" t="s">
        <v>16</v>
      </c>
      <c r="H6129">
        <v>0</v>
      </c>
      <c r="I6129" s="2" t="s">
        <v>707</v>
      </c>
      <c r="J6129" s="2" t="s">
        <v>13525</v>
      </c>
      <c r="K6129">
        <v>20</v>
      </c>
      <c r="L6129">
        <v>20</v>
      </c>
      <c r="M6129">
        <v>20</v>
      </c>
    </row>
    <row r="6130" spans="1:13" x14ac:dyDescent="0.25">
      <c r="A6130" t="s">
        <v>13526</v>
      </c>
      <c r="B6130" t="s">
        <v>13527</v>
      </c>
      <c r="C6130" t="s">
        <v>151</v>
      </c>
      <c r="F6130">
        <v>1</v>
      </c>
      <c r="G6130" t="s">
        <v>16</v>
      </c>
      <c r="H6130">
        <v>0</v>
      </c>
      <c r="I6130" s="2" t="s">
        <v>1488</v>
      </c>
      <c r="J6130" s="3">
        <v>103001</v>
      </c>
      <c r="K6130">
        <v>20</v>
      </c>
      <c r="L6130">
        <v>20</v>
      </c>
      <c r="M6130">
        <v>20</v>
      </c>
    </row>
    <row r="6131" spans="1:13" x14ac:dyDescent="0.25">
      <c r="A6131" t="s">
        <v>13528</v>
      </c>
      <c r="B6131" t="s">
        <v>13524</v>
      </c>
      <c r="C6131" t="s">
        <v>151</v>
      </c>
      <c r="F6131">
        <v>1</v>
      </c>
      <c r="G6131" t="s">
        <v>16</v>
      </c>
      <c r="H6131">
        <v>0</v>
      </c>
      <c r="I6131" s="2" t="s">
        <v>64</v>
      </c>
      <c r="J6131" s="2" t="str">
        <f>"05060216"</f>
        <v>05060216</v>
      </c>
      <c r="K6131">
        <v>20</v>
      </c>
      <c r="L6131">
        <v>20</v>
      </c>
      <c r="M6131">
        <v>20</v>
      </c>
    </row>
    <row r="6132" spans="1:13" x14ac:dyDescent="0.25">
      <c r="A6132" t="s">
        <v>13529</v>
      </c>
      <c r="B6132" t="s">
        <v>13530</v>
      </c>
      <c r="C6132" t="s">
        <v>151</v>
      </c>
      <c r="G6132" t="s">
        <v>16</v>
      </c>
      <c r="H6132">
        <v>0</v>
      </c>
      <c r="I6132" s="2" t="s">
        <v>953</v>
      </c>
      <c r="J6132" s="2">
        <v>24790</v>
      </c>
      <c r="K6132">
        <v>20</v>
      </c>
      <c r="L6132">
        <v>20</v>
      </c>
      <c r="M6132">
        <v>20</v>
      </c>
    </row>
    <row r="6133" spans="1:13" x14ac:dyDescent="0.25">
      <c r="A6133" t="s">
        <v>13531</v>
      </c>
      <c r="B6133" t="s">
        <v>13532</v>
      </c>
      <c r="C6133" t="s">
        <v>151</v>
      </c>
      <c r="F6133">
        <v>1</v>
      </c>
      <c r="G6133" t="s">
        <v>16</v>
      </c>
      <c r="H6133">
        <v>0</v>
      </c>
      <c r="I6133" s="2" t="s">
        <v>165</v>
      </c>
      <c r="J6133" s="2">
        <v>205900</v>
      </c>
      <c r="K6133">
        <v>20</v>
      </c>
      <c r="L6133">
        <v>20</v>
      </c>
      <c r="M6133">
        <v>20</v>
      </c>
    </row>
    <row r="6134" spans="1:13" x14ac:dyDescent="0.25">
      <c r="A6134" t="s">
        <v>13533</v>
      </c>
      <c r="B6134" t="s">
        <v>13534</v>
      </c>
      <c r="C6134" t="s">
        <v>151</v>
      </c>
      <c r="F6134">
        <v>2</v>
      </c>
      <c r="G6134" t="s">
        <v>16</v>
      </c>
      <c r="H6134">
        <v>0</v>
      </c>
      <c r="I6134" s="2" t="s">
        <v>64</v>
      </c>
      <c r="J6134" s="2" t="str">
        <f>"04050083"</f>
        <v>04050083</v>
      </c>
      <c r="K6134">
        <v>20</v>
      </c>
      <c r="L6134">
        <v>20</v>
      </c>
      <c r="M6134">
        <v>20</v>
      </c>
    </row>
    <row r="6135" spans="1:13" x14ac:dyDescent="0.25">
      <c r="A6135">
        <v>6240119</v>
      </c>
      <c r="B6135" t="s">
        <v>13535</v>
      </c>
      <c r="C6135" t="s">
        <v>151</v>
      </c>
      <c r="F6135">
        <v>1</v>
      </c>
      <c r="G6135" t="s">
        <v>16</v>
      </c>
      <c r="H6135">
        <v>0</v>
      </c>
      <c r="I6135" s="2" t="s">
        <v>497</v>
      </c>
      <c r="J6135" s="2">
        <v>97167335</v>
      </c>
      <c r="K6135">
        <v>20</v>
      </c>
      <c r="L6135">
        <v>20</v>
      </c>
      <c r="M6135">
        <v>20</v>
      </c>
    </row>
    <row r="6136" spans="1:13" x14ac:dyDescent="0.25">
      <c r="A6136" t="s">
        <v>13536</v>
      </c>
      <c r="B6136" t="s">
        <v>13537</v>
      </c>
      <c r="C6136" t="s">
        <v>151</v>
      </c>
      <c r="F6136">
        <v>1</v>
      </c>
      <c r="G6136" t="s">
        <v>16</v>
      </c>
      <c r="H6136">
        <v>0</v>
      </c>
      <c r="I6136" s="2" t="s">
        <v>988</v>
      </c>
      <c r="J6136" s="2" t="s">
        <v>13538</v>
      </c>
      <c r="K6136">
        <v>20</v>
      </c>
      <c r="L6136">
        <v>20</v>
      </c>
      <c r="M6136">
        <v>20</v>
      </c>
    </row>
    <row r="6137" spans="1:13" x14ac:dyDescent="0.25">
      <c r="A6137" t="s">
        <v>13539</v>
      </c>
      <c r="B6137" t="s">
        <v>13537</v>
      </c>
      <c r="C6137" t="s">
        <v>151</v>
      </c>
      <c r="F6137">
        <v>1</v>
      </c>
      <c r="G6137" t="s">
        <v>16</v>
      </c>
      <c r="H6137">
        <v>0</v>
      </c>
      <c r="I6137" s="2" t="s">
        <v>1543</v>
      </c>
      <c r="J6137" s="2" t="s">
        <v>13540</v>
      </c>
      <c r="K6137">
        <v>20</v>
      </c>
      <c r="L6137">
        <v>20</v>
      </c>
      <c r="M6137">
        <v>20</v>
      </c>
    </row>
    <row r="6138" spans="1:13" x14ac:dyDescent="0.25">
      <c r="A6138" t="s">
        <v>13541</v>
      </c>
      <c r="B6138" t="s">
        <v>13542</v>
      </c>
      <c r="C6138" t="s">
        <v>151</v>
      </c>
      <c r="G6138" t="s">
        <v>16</v>
      </c>
      <c r="H6138">
        <v>0</v>
      </c>
      <c r="K6138">
        <v>20</v>
      </c>
      <c r="L6138">
        <v>20</v>
      </c>
      <c r="M6138">
        <v>20</v>
      </c>
    </row>
    <row r="6139" spans="1:13" x14ac:dyDescent="0.25">
      <c r="A6139" t="s">
        <v>13543</v>
      </c>
      <c r="B6139" t="s">
        <v>13544</v>
      </c>
      <c r="C6139" t="s">
        <v>151</v>
      </c>
      <c r="F6139">
        <v>1</v>
      </c>
      <c r="G6139" t="s">
        <v>16</v>
      </c>
      <c r="H6139">
        <v>0</v>
      </c>
      <c r="I6139" s="2" t="s">
        <v>165</v>
      </c>
      <c r="J6139" s="2">
        <v>206683</v>
      </c>
      <c r="K6139">
        <v>20</v>
      </c>
      <c r="L6139">
        <v>20</v>
      </c>
      <c r="M6139">
        <v>20</v>
      </c>
    </row>
    <row r="6140" spans="1:13" x14ac:dyDescent="0.25">
      <c r="A6140" t="s">
        <v>13545</v>
      </c>
      <c r="B6140" t="s">
        <v>13546</v>
      </c>
      <c r="C6140" t="s">
        <v>151</v>
      </c>
      <c r="F6140">
        <v>2</v>
      </c>
      <c r="G6140" t="s">
        <v>16</v>
      </c>
      <c r="H6140">
        <v>0</v>
      </c>
      <c r="I6140" s="2" t="s">
        <v>142</v>
      </c>
      <c r="J6140" s="2" t="s">
        <v>13547</v>
      </c>
      <c r="K6140">
        <v>20</v>
      </c>
      <c r="L6140">
        <v>20</v>
      </c>
      <c r="M6140">
        <v>20</v>
      </c>
    </row>
    <row r="6141" spans="1:13" x14ac:dyDescent="0.25">
      <c r="A6141" t="s">
        <v>13548</v>
      </c>
      <c r="B6141" t="s">
        <v>13546</v>
      </c>
      <c r="C6141" t="s">
        <v>151</v>
      </c>
      <c r="G6141" t="s">
        <v>16</v>
      </c>
      <c r="H6141">
        <v>0</v>
      </c>
      <c r="I6141" s="2" t="s">
        <v>13549</v>
      </c>
      <c r="J6141" s="2">
        <v>18807241</v>
      </c>
      <c r="K6141">
        <v>20</v>
      </c>
      <c r="L6141">
        <v>20</v>
      </c>
      <c r="M6141">
        <v>20</v>
      </c>
    </row>
    <row r="6142" spans="1:13" x14ac:dyDescent="0.25">
      <c r="A6142" t="s">
        <v>13550</v>
      </c>
      <c r="B6142" t="s">
        <v>13551</v>
      </c>
      <c r="C6142" t="s">
        <v>151</v>
      </c>
      <c r="D6142" t="s">
        <v>1547</v>
      </c>
      <c r="F6142">
        <v>4</v>
      </c>
      <c r="G6142" t="s">
        <v>16</v>
      </c>
      <c r="H6142">
        <v>0</v>
      </c>
      <c r="I6142" s="2" t="s">
        <v>165</v>
      </c>
      <c r="J6142" s="2">
        <v>206844</v>
      </c>
      <c r="K6142">
        <v>20</v>
      </c>
      <c r="L6142">
        <v>20</v>
      </c>
      <c r="M6142">
        <v>20</v>
      </c>
    </row>
    <row r="6143" spans="1:13" x14ac:dyDescent="0.25">
      <c r="A6143">
        <v>6240415</v>
      </c>
      <c r="B6143" t="s">
        <v>13552</v>
      </c>
      <c r="C6143" t="s">
        <v>151</v>
      </c>
      <c r="D6143" t="s">
        <v>706</v>
      </c>
      <c r="G6143" t="s">
        <v>16</v>
      </c>
      <c r="H6143">
        <v>0</v>
      </c>
      <c r="I6143" s="2" t="s">
        <v>1444</v>
      </c>
      <c r="J6143" s="2">
        <v>55202374</v>
      </c>
      <c r="K6143">
        <v>20</v>
      </c>
      <c r="L6143">
        <v>20</v>
      </c>
      <c r="M6143">
        <v>20</v>
      </c>
    </row>
    <row r="6144" spans="1:13" x14ac:dyDescent="0.25">
      <c r="A6144" t="s">
        <v>13553</v>
      </c>
      <c r="B6144" t="s">
        <v>13552</v>
      </c>
      <c r="C6144" t="s">
        <v>151</v>
      </c>
      <c r="D6144" t="s">
        <v>706</v>
      </c>
      <c r="F6144">
        <v>1</v>
      </c>
      <c r="G6144" t="s">
        <v>16</v>
      </c>
      <c r="H6144">
        <v>0</v>
      </c>
      <c r="I6144" s="2" t="s">
        <v>707</v>
      </c>
      <c r="J6144" s="2" t="s">
        <v>13554</v>
      </c>
      <c r="K6144">
        <v>20</v>
      </c>
      <c r="L6144">
        <v>20</v>
      </c>
      <c r="M6144">
        <v>20</v>
      </c>
    </row>
    <row r="6145" spans="1:13" x14ac:dyDescent="0.25">
      <c r="A6145">
        <v>6240434</v>
      </c>
      <c r="B6145" t="s">
        <v>13555</v>
      </c>
      <c r="C6145" t="s">
        <v>151</v>
      </c>
      <c r="F6145">
        <v>3</v>
      </c>
      <c r="G6145" t="s">
        <v>16</v>
      </c>
      <c r="H6145">
        <v>0</v>
      </c>
      <c r="I6145" s="2" t="s">
        <v>497</v>
      </c>
      <c r="J6145" s="2">
        <v>13142258</v>
      </c>
      <c r="K6145">
        <v>20</v>
      </c>
      <c r="L6145">
        <v>20</v>
      </c>
      <c r="M6145">
        <v>20</v>
      </c>
    </row>
    <row r="6146" spans="1:13" x14ac:dyDescent="0.25">
      <c r="A6146" t="s">
        <v>13556</v>
      </c>
      <c r="B6146" t="s">
        <v>13557</v>
      </c>
      <c r="C6146" t="s">
        <v>151</v>
      </c>
      <c r="F6146">
        <v>1</v>
      </c>
      <c r="G6146" t="s">
        <v>16</v>
      </c>
      <c r="H6146">
        <v>0</v>
      </c>
      <c r="I6146" s="2" t="s">
        <v>162</v>
      </c>
      <c r="J6146" s="2">
        <v>31390</v>
      </c>
      <c r="K6146">
        <v>20</v>
      </c>
      <c r="L6146">
        <v>20</v>
      </c>
      <c r="M6146">
        <v>20</v>
      </c>
    </row>
    <row r="6147" spans="1:13" x14ac:dyDescent="0.25">
      <c r="A6147" t="s">
        <v>13558</v>
      </c>
      <c r="B6147" t="s">
        <v>13559</v>
      </c>
      <c r="C6147" t="s">
        <v>151</v>
      </c>
      <c r="F6147">
        <v>3</v>
      </c>
      <c r="G6147" t="s">
        <v>16</v>
      </c>
      <c r="H6147">
        <v>0</v>
      </c>
      <c r="I6147" s="2" t="s">
        <v>64</v>
      </c>
      <c r="J6147" s="2" t="str">
        <f>"04050051"</f>
        <v>04050051</v>
      </c>
      <c r="K6147">
        <v>20</v>
      </c>
      <c r="L6147">
        <v>20</v>
      </c>
      <c r="M6147">
        <v>20</v>
      </c>
    </row>
    <row r="6148" spans="1:13" x14ac:dyDescent="0.25">
      <c r="A6148" t="s">
        <v>13560</v>
      </c>
      <c r="B6148" t="s">
        <v>13559</v>
      </c>
      <c r="C6148" t="s">
        <v>151</v>
      </c>
      <c r="G6148" t="s">
        <v>16</v>
      </c>
      <c r="H6148">
        <v>0</v>
      </c>
      <c r="I6148" s="2" t="s">
        <v>500</v>
      </c>
      <c r="J6148" s="2" t="s">
        <v>13561</v>
      </c>
      <c r="K6148">
        <v>20</v>
      </c>
      <c r="L6148">
        <v>20</v>
      </c>
      <c r="M6148">
        <v>20</v>
      </c>
    </row>
    <row r="6149" spans="1:13" x14ac:dyDescent="0.25">
      <c r="A6149" t="s">
        <v>13562</v>
      </c>
      <c r="B6149" t="s">
        <v>13563</v>
      </c>
      <c r="C6149" t="s">
        <v>151</v>
      </c>
      <c r="F6149">
        <v>1</v>
      </c>
      <c r="G6149" t="s">
        <v>16</v>
      </c>
      <c r="H6149">
        <v>0</v>
      </c>
      <c r="I6149" s="2" t="s">
        <v>1543</v>
      </c>
      <c r="J6149" s="2" t="s">
        <v>13564</v>
      </c>
      <c r="K6149">
        <v>20</v>
      </c>
      <c r="L6149">
        <v>20</v>
      </c>
      <c r="M6149">
        <v>20</v>
      </c>
    </row>
    <row r="6150" spans="1:13" x14ac:dyDescent="0.25">
      <c r="A6150" t="s">
        <v>13565</v>
      </c>
      <c r="B6150" t="s">
        <v>13566</v>
      </c>
      <c r="C6150" t="s">
        <v>151</v>
      </c>
      <c r="F6150">
        <v>1</v>
      </c>
      <c r="G6150" t="s">
        <v>16</v>
      </c>
      <c r="H6150">
        <v>0</v>
      </c>
      <c r="I6150" s="2" t="s">
        <v>64</v>
      </c>
      <c r="J6150" s="2" t="str">
        <f>"04050050"</f>
        <v>04050050</v>
      </c>
      <c r="K6150">
        <v>20</v>
      </c>
      <c r="L6150">
        <v>20</v>
      </c>
      <c r="M6150">
        <v>20</v>
      </c>
    </row>
    <row r="6151" spans="1:13" x14ac:dyDescent="0.25">
      <c r="A6151" t="s">
        <v>13567</v>
      </c>
      <c r="B6151" t="s">
        <v>13568</v>
      </c>
      <c r="C6151" t="s">
        <v>151</v>
      </c>
      <c r="D6151" t="s">
        <v>1547</v>
      </c>
      <c r="G6151" t="s">
        <v>16</v>
      </c>
      <c r="H6151">
        <v>0</v>
      </c>
      <c r="I6151" s="2" t="s">
        <v>1488</v>
      </c>
      <c r="J6151" s="3">
        <v>71208</v>
      </c>
      <c r="K6151">
        <v>20</v>
      </c>
      <c r="L6151">
        <v>20</v>
      </c>
      <c r="M6151">
        <v>20</v>
      </c>
    </row>
    <row r="6152" spans="1:13" x14ac:dyDescent="0.25">
      <c r="A6152" t="s">
        <v>13569</v>
      </c>
      <c r="B6152" t="s">
        <v>13568</v>
      </c>
      <c r="C6152" t="s">
        <v>151</v>
      </c>
      <c r="D6152" t="s">
        <v>1547</v>
      </c>
      <c r="G6152" t="s">
        <v>16</v>
      </c>
      <c r="H6152">
        <v>0</v>
      </c>
      <c r="I6152" s="2" t="s">
        <v>953</v>
      </c>
      <c r="J6152" s="2">
        <v>24795</v>
      </c>
      <c r="K6152">
        <v>20</v>
      </c>
      <c r="L6152">
        <v>20</v>
      </c>
      <c r="M6152">
        <v>20</v>
      </c>
    </row>
    <row r="6153" spans="1:13" x14ac:dyDescent="0.25">
      <c r="A6153" t="s">
        <v>13570</v>
      </c>
      <c r="B6153" t="s">
        <v>13571</v>
      </c>
      <c r="C6153" t="s">
        <v>151</v>
      </c>
      <c r="F6153">
        <v>1</v>
      </c>
      <c r="G6153" t="s">
        <v>16</v>
      </c>
      <c r="H6153">
        <v>0</v>
      </c>
      <c r="I6153" s="2" t="s">
        <v>64</v>
      </c>
      <c r="J6153" s="2" t="str">
        <f>"04050016"</f>
        <v>04050016</v>
      </c>
      <c r="K6153">
        <v>20</v>
      </c>
      <c r="L6153">
        <v>20</v>
      </c>
      <c r="M6153">
        <v>20</v>
      </c>
    </row>
    <row r="6154" spans="1:13" x14ac:dyDescent="0.25">
      <c r="A6154" t="s">
        <v>13572</v>
      </c>
      <c r="B6154" t="s">
        <v>13573</v>
      </c>
      <c r="C6154" t="s">
        <v>151</v>
      </c>
      <c r="F6154">
        <v>2</v>
      </c>
      <c r="G6154" t="s">
        <v>16</v>
      </c>
      <c r="H6154">
        <v>0</v>
      </c>
      <c r="I6154" s="2" t="s">
        <v>1745</v>
      </c>
      <c r="J6154" s="2">
        <v>16607487</v>
      </c>
      <c r="K6154">
        <v>20</v>
      </c>
      <c r="L6154">
        <v>20</v>
      </c>
      <c r="M6154">
        <v>20</v>
      </c>
    </row>
    <row r="6155" spans="1:13" x14ac:dyDescent="0.25">
      <c r="A6155" t="s">
        <v>13574</v>
      </c>
      <c r="B6155" t="s">
        <v>13575</v>
      </c>
      <c r="C6155" t="s">
        <v>151</v>
      </c>
      <c r="F6155">
        <v>1</v>
      </c>
      <c r="G6155" t="s">
        <v>16</v>
      </c>
      <c r="H6155">
        <v>0</v>
      </c>
      <c r="I6155" s="2" t="s">
        <v>1543</v>
      </c>
      <c r="J6155" s="2" t="s">
        <v>13576</v>
      </c>
      <c r="K6155">
        <v>20</v>
      </c>
      <c r="L6155">
        <v>20</v>
      </c>
      <c r="M6155">
        <v>20</v>
      </c>
    </row>
    <row r="6156" spans="1:13" x14ac:dyDescent="0.25">
      <c r="A6156" t="s">
        <v>13577</v>
      </c>
      <c r="B6156" t="s">
        <v>13578</v>
      </c>
      <c r="C6156" t="s">
        <v>151</v>
      </c>
      <c r="F6156">
        <v>1</v>
      </c>
      <c r="G6156" t="s">
        <v>16</v>
      </c>
      <c r="H6156">
        <v>0</v>
      </c>
      <c r="I6156" s="2" t="s">
        <v>64</v>
      </c>
      <c r="J6156" s="2" t="str">
        <f>"04050047"</f>
        <v>04050047</v>
      </c>
      <c r="K6156">
        <v>20</v>
      </c>
      <c r="L6156">
        <v>20</v>
      </c>
      <c r="M6156">
        <v>20</v>
      </c>
    </row>
    <row r="6157" spans="1:13" x14ac:dyDescent="0.25">
      <c r="A6157" t="s">
        <v>13579</v>
      </c>
      <c r="B6157" t="s">
        <v>13580</v>
      </c>
      <c r="C6157" t="s">
        <v>20</v>
      </c>
      <c r="D6157" t="s">
        <v>21</v>
      </c>
      <c r="F6157">
        <v>4</v>
      </c>
      <c r="G6157" t="s">
        <v>16</v>
      </c>
      <c r="H6157">
        <v>0</v>
      </c>
      <c r="I6157" s="2" t="s">
        <v>40</v>
      </c>
      <c r="J6157" s="2">
        <v>99741610</v>
      </c>
      <c r="K6157">
        <v>20</v>
      </c>
      <c r="L6157">
        <v>20</v>
      </c>
      <c r="M6157">
        <v>20</v>
      </c>
    </row>
    <row r="6158" spans="1:13" x14ac:dyDescent="0.25">
      <c r="A6158" t="s">
        <v>13581</v>
      </c>
      <c r="B6158" t="s">
        <v>13582</v>
      </c>
      <c r="C6158" t="s">
        <v>151</v>
      </c>
      <c r="F6158">
        <v>6</v>
      </c>
      <c r="G6158" t="s">
        <v>16</v>
      </c>
      <c r="H6158">
        <v>0</v>
      </c>
      <c r="I6158" s="2" t="s">
        <v>142</v>
      </c>
      <c r="J6158" s="2" t="s">
        <v>13583</v>
      </c>
      <c r="K6158">
        <v>20</v>
      </c>
      <c r="L6158">
        <v>20</v>
      </c>
      <c r="M6158">
        <v>20</v>
      </c>
    </row>
    <row r="6159" spans="1:13" x14ac:dyDescent="0.25">
      <c r="A6159" t="s">
        <v>13584</v>
      </c>
      <c r="B6159" t="s">
        <v>13585</v>
      </c>
      <c r="C6159" t="s">
        <v>1736</v>
      </c>
      <c r="F6159">
        <v>1</v>
      </c>
      <c r="G6159" t="s">
        <v>16</v>
      </c>
      <c r="H6159">
        <v>0</v>
      </c>
      <c r="I6159" s="2" t="s">
        <v>685</v>
      </c>
      <c r="J6159" s="2">
        <v>3397004990</v>
      </c>
      <c r="K6159">
        <v>20</v>
      </c>
      <c r="L6159">
        <v>20</v>
      </c>
      <c r="M6159">
        <v>20</v>
      </c>
    </row>
    <row r="6160" spans="1:13" x14ac:dyDescent="0.25">
      <c r="A6160" t="s">
        <v>13586</v>
      </c>
      <c r="B6160" t="s">
        <v>13585</v>
      </c>
      <c r="C6160" t="s">
        <v>1736</v>
      </c>
      <c r="F6160">
        <v>2</v>
      </c>
      <c r="G6160" t="s">
        <v>16</v>
      </c>
      <c r="H6160">
        <v>0</v>
      </c>
      <c r="I6160" s="2" t="s">
        <v>500</v>
      </c>
      <c r="J6160" s="2" t="s">
        <v>13587</v>
      </c>
      <c r="K6160">
        <v>20</v>
      </c>
      <c r="L6160">
        <v>20</v>
      </c>
      <c r="M6160">
        <v>20</v>
      </c>
    </row>
    <row r="6161" spans="1:13" x14ac:dyDescent="0.25">
      <c r="A6161" t="s">
        <v>13588</v>
      </c>
      <c r="B6161" t="s">
        <v>13589</v>
      </c>
      <c r="C6161" t="s">
        <v>1736</v>
      </c>
      <c r="G6161" t="s">
        <v>16</v>
      </c>
      <c r="H6161">
        <v>0</v>
      </c>
      <c r="I6161" s="2" t="s">
        <v>1807</v>
      </c>
      <c r="J6161" s="2" t="s">
        <v>13590</v>
      </c>
      <c r="K6161">
        <v>20</v>
      </c>
      <c r="L6161">
        <v>20</v>
      </c>
      <c r="M6161">
        <v>20</v>
      </c>
    </row>
    <row r="6162" spans="1:13" x14ac:dyDescent="0.25">
      <c r="A6162" t="s">
        <v>13591</v>
      </c>
      <c r="B6162" t="s">
        <v>13592</v>
      </c>
      <c r="C6162" t="s">
        <v>1736</v>
      </c>
      <c r="F6162">
        <v>0</v>
      </c>
      <c r="G6162" t="s">
        <v>16</v>
      </c>
      <c r="H6162">
        <v>0</v>
      </c>
      <c r="I6162" s="2" t="s">
        <v>383</v>
      </c>
      <c r="J6162" s="2">
        <v>3397007466</v>
      </c>
      <c r="K6162">
        <v>20</v>
      </c>
      <c r="L6162">
        <v>20</v>
      </c>
      <c r="M6162">
        <v>20</v>
      </c>
    </row>
    <row r="6163" spans="1:13" x14ac:dyDescent="0.25">
      <c r="A6163" t="s">
        <v>13593</v>
      </c>
      <c r="B6163" t="s">
        <v>13594</v>
      </c>
      <c r="C6163" t="s">
        <v>1736</v>
      </c>
      <c r="F6163">
        <v>7</v>
      </c>
      <c r="G6163" t="s">
        <v>16</v>
      </c>
      <c r="H6163">
        <v>0</v>
      </c>
      <c r="I6163" s="2" t="s">
        <v>1741</v>
      </c>
      <c r="J6163" s="2" t="s">
        <v>13595</v>
      </c>
      <c r="K6163">
        <v>20</v>
      </c>
      <c r="L6163">
        <v>20</v>
      </c>
      <c r="M6163">
        <v>20</v>
      </c>
    </row>
    <row r="6164" spans="1:13" x14ac:dyDescent="0.25">
      <c r="A6164" t="s">
        <v>13596</v>
      </c>
      <c r="B6164" t="s">
        <v>13592</v>
      </c>
      <c r="C6164" t="s">
        <v>1736</v>
      </c>
      <c r="G6164" t="s">
        <v>16</v>
      </c>
      <c r="H6164">
        <v>0</v>
      </c>
      <c r="I6164" s="2" t="s">
        <v>1748</v>
      </c>
      <c r="J6164" s="2" t="s">
        <v>13597</v>
      </c>
      <c r="K6164">
        <v>20</v>
      </c>
      <c r="L6164">
        <v>20</v>
      </c>
      <c r="M6164">
        <v>20</v>
      </c>
    </row>
    <row r="6165" spans="1:13" x14ac:dyDescent="0.25">
      <c r="A6165" t="s">
        <v>13598</v>
      </c>
      <c r="B6165" t="s">
        <v>13599</v>
      </c>
      <c r="C6165" t="s">
        <v>540</v>
      </c>
      <c r="D6165" t="s">
        <v>1736</v>
      </c>
      <c r="G6165" t="s">
        <v>16</v>
      </c>
      <c r="H6165">
        <v>0</v>
      </c>
      <c r="I6165" s="2" t="s">
        <v>2896</v>
      </c>
      <c r="J6165" s="2">
        <v>26546</v>
      </c>
      <c r="K6165">
        <v>20</v>
      </c>
      <c r="L6165">
        <v>20</v>
      </c>
      <c r="M6165">
        <v>20</v>
      </c>
    </row>
    <row r="6166" spans="1:13" x14ac:dyDescent="0.25">
      <c r="A6166" t="s">
        <v>13600</v>
      </c>
      <c r="B6166" t="s">
        <v>13599</v>
      </c>
      <c r="C6166" t="s">
        <v>540</v>
      </c>
      <c r="D6166" t="s">
        <v>1736</v>
      </c>
      <c r="G6166" t="s">
        <v>16</v>
      </c>
      <c r="H6166">
        <v>0</v>
      </c>
      <c r="I6166" s="2" t="s">
        <v>1200</v>
      </c>
      <c r="J6166" s="2" t="s">
        <v>13601</v>
      </c>
      <c r="K6166">
        <v>20</v>
      </c>
      <c r="L6166">
        <v>20</v>
      </c>
      <c r="M6166">
        <v>20</v>
      </c>
    </row>
    <row r="6167" spans="1:13" x14ac:dyDescent="0.25">
      <c r="A6167" t="s">
        <v>13602</v>
      </c>
      <c r="B6167" t="s">
        <v>13599</v>
      </c>
      <c r="C6167" t="s">
        <v>1736</v>
      </c>
      <c r="F6167">
        <v>1</v>
      </c>
      <c r="G6167" t="s">
        <v>16</v>
      </c>
      <c r="H6167">
        <v>0</v>
      </c>
      <c r="I6167" s="2" t="s">
        <v>1807</v>
      </c>
      <c r="J6167" s="2" t="s">
        <v>13603</v>
      </c>
      <c r="K6167">
        <v>20</v>
      </c>
      <c r="L6167">
        <v>20</v>
      </c>
      <c r="M6167">
        <v>20</v>
      </c>
    </row>
    <row r="6168" spans="1:13" x14ac:dyDescent="0.25">
      <c r="A6168" t="s">
        <v>13604</v>
      </c>
      <c r="B6168" t="s">
        <v>13599</v>
      </c>
      <c r="C6168" t="s">
        <v>1736</v>
      </c>
      <c r="G6168" t="s">
        <v>16</v>
      </c>
      <c r="H6168">
        <v>0</v>
      </c>
      <c r="K6168">
        <v>20</v>
      </c>
      <c r="L6168">
        <v>20</v>
      </c>
      <c r="M6168">
        <v>20</v>
      </c>
    </row>
    <row r="6169" spans="1:13" x14ac:dyDescent="0.25">
      <c r="A6169" t="s">
        <v>13605</v>
      </c>
      <c r="B6169" t="s">
        <v>13606</v>
      </c>
      <c r="C6169" t="s">
        <v>1736</v>
      </c>
      <c r="G6169" t="s">
        <v>16</v>
      </c>
      <c r="H6169">
        <v>0</v>
      </c>
      <c r="I6169" s="2" t="s">
        <v>1463</v>
      </c>
      <c r="J6169" s="2">
        <v>26553</v>
      </c>
      <c r="K6169">
        <v>20</v>
      </c>
      <c r="L6169">
        <v>20</v>
      </c>
      <c r="M6169">
        <v>20</v>
      </c>
    </row>
    <row r="6170" spans="1:13" x14ac:dyDescent="0.25">
      <c r="A6170" t="s">
        <v>13607</v>
      </c>
      <c r="B6170" t="s">
        <v>13608</v>
      </c>
      <c r="C6170" t="s">
        <v>1736</v>
      </c>
      <c r="F6170">
        <v>2</v>
      </c>
      <c r="G6170" t="s">
        <v>16</v>
      </c>
      <c r="H6170">
        <v>0</v>
      </c>
      <c r="I6170" s="2" t="s">
        <v>500</v>
      </c>
      <c r="J6170" s="2" t="s">
        <v>13609</v>
      </c>
      <c r="K6170">
        <v>20</v>
      </c>
      <c r="L6170">
        <v>20</v>
      </c>
      <c r="M6170">
        <v>20</v>
      </c>
    </row>
    <row r="6171" spans="1:13" x14ac:dyDescent="0.25">
      <c r="A6171" t="s">
        <v>13610</v>
      </c>
      <c r="B6171" t="s">
        <v>13608</v>
      </c>
      <c r="C6171" t="s">
        <v>1736</v>
      </c>
      <c r="F6171">
        <v>1</v>
      </c>
      <c r="G6171" t="s">
        <v>16</v>
      </c>
      <c r="H6171">
        <v>0</v>
      </c>
      <c r="I6171" s="2" t="s">
        <v>1737</v>
      </c>
      <c r="J6171" s="2" t="s">
        <v>13611</v>
      </c>
      <c r="K6171">
        <v>20</v>
      </c>
      <c r="L6171">
        <v>20</v>
      </c>
      <c r="M6171">
        <v>20</v>
      </c>
    </row>
    <row r="6172" spans="1:13" x14ac:dyDescent="0.25">
      <c r="A6172" t="s">
        <v>13612</v>
      </c>
      <c r="B6172" t="s">
        <v>13613</v>
      </c>
      <c r="C6172" t="s">
        <v>1736</v>
      </c>
      <c r="F6172">
        <v>2</v>
      </c>
      <c r="G6172" t="s">
        <v>16</v>
      </c>
      <c r="H6172">
        <v>0</v>
      </c>
      <c r="I6172" s="2" t="s">
        <v>383</v>
      </c>
      <c r="J6172" s="2">
        <v>3397004560</v>
      </c>
      <c r="K6172">
        <v>20</v>
      </c>
      <c r="L6172">
        <v>20</v>
      </c>
      <c r="M6172">
        <v>20</v>
      </c>
    </row>
    <row r="6173" spans="1:13" x14ac:dyDescent="0.25">
      <c r="A6173" t="s">
        <v>13614</v>
      </c>
      <c r="B6173" t="s">
        <v>13613</v>
      </c>
      <c r="C6173" t="s">
        <v>1736</v>
      </c>
      <c r="F6173">
        <v>2</v>
      </c>
      <c r="G6173" t="s">
        <v>16</v>
      </c>
      <c r="H6173">
        <v>0</v>
      </c>
      <c r="I6173" s="2" t="s">
        <v>1741</v>
      </c>
      <c r="J6173" s="2" t="s">
        <v>13615</v>
      </c>
      <c r="K6173">
        <v>20</v>
      </c>
      <c r="L6173">
        <v>20</v>
      </c>
      <c r="M6173">
        <v>20</v>
      </c>
    </row>
    <row r="6174" spans="1:13" x14ac:dyDescent="0.25">
      <c r="A6174" t="s">
        <v>13616</v>
      </c>
      <c r="B6174" t="s">
        <v>13617</v>
      </c>
      <c r="C6174" t="s">
        <v>540</v>
      </c>
      <c r="G6174" t="s">
        <v>16</v>
      </c>
      <c r="H6174">
        <v>0</v>
      </c>
      <c r="I6174" s="2" t="s">
        <v>165</v>
      </c>
      <c r="J6174" s="2">
        <v>207135</v>
      </c>
      <c r="K6174">
        <v>20</v>
      </c>
      <c r="L6174">
        <v>20</v>
      </c>
      <c r="M6174">
        <v>20</v>
      </c>
    </row>
    <row r="6175" spans="1:13" x14ac:dyDescent="0.25">
      <c r="A6175" t="s">
        <v>13618</v>
      </c>
      <c r="B6175" t="s">
        <v>13599</v>
      </c>
      <c r="C6175" t="s">
        <v>1736</v>
      </c>
      <c r="F6175">
        <v>1</v>
      </c>
      <c r="G6175" t="s">
        <v>16</v>
      </c>
      <c r="H6175">
        <v>0</v>
      </c>
      <c r="I6175" s="2" t="s">
        <v>500</v>
      </c>
      <c r="J6175" s="2" t="s">
        <v>13619</v>
      </c>
      <c r="K6175">
        <v>20</v>
      </c>
      <c r="L6175">
        <v>20</v>
      </c>
      <c r="M6175">
        <v>20</v>
      </c>
    </row>
    <row r="6176" spans="1:13" x14ac:dyDescent="0.25">
      <c r="A6176" t="s">
        <v>13620</v>
      </c>
      <c r="B6176" t="s">
        <v>13621</v>
      </c>
      <c r="C6176" t="s">
        <v>151</v>
      </c>
      <c r="F6176">
        <v>1</v>
      </c>
      <c r="G6176" t="s">
        <v>16</v>
      </c>
      <c r="H6176">
        <v>0</v>
      </c>
      <c r="I6176" s="2" t="s">
        <v>1175</v>
      </c>
      <c r="J6176" s="2" t="s">
        <v>13622</v>
      </c>
      <c r="K6176">
        <v>20</v>
      </c>
      <c r="L6176">
        <v>20</v>
      </c>
      <c r="M6176">
        <v>20</v>
      </c>
    </row>
    <row r="6177" spans="1:13" x14ac:dyDescent="0.25">
      <c r="A6177" t="s">
        <v>13623</v>
      </c>
      <c r="B6177" t="s">
        <v>13625</v>
      </c>
      <c r="C6177" t="s">
        <v>20</v>
      </c>
      <c r="F6177">
        <v>2</v>
      </c>
      <c r="G6177" t="s">
        <v>16</v>
      </c>
      <c r="H6177">
        <v>0</v>
      </c>
      <c r="I6177" s="2" t="s">
        <v>288</v>
      </c>
      <c r="J6177" s="2" t="s">
        <v>13624</v>
      </c>
      <c r="K6177">
        <v>20</v>
      </c>
      <c r="L6177">
        <v>20</v>
      </c>
      <c r="M6177">
        <v>20</v>
      </c>
    </row>
    <row r="6178" spans="1:13" x14ac:dyDescent="0.25">
      <c r="A6178" t="s">
        <v>13626</v>
      </c>
      <c r="B6178" t="s">
        <v>13627</v>
      </c>
      <c r="C6178" t="s">
        <v>20</v>
      </c>
      <c r="G6178" t="s">
        <v>16</v>
      </c>
      <c r="H6178">
        <v>0</v>
      </c>
      <c r="I6178" s="2" t="s">
        <v>598</v>
      </c>
      <c r="J6178" s="2">
        <v>348400</v>
      </c>
      <c r="K6178">
        <v>20</v>
      </c>
      <c r="L6178">
        <v>20</v>
      </c>
      <c r="M6178">
        <v>20</v>
      </c>
    </row>
    <row r="6179" spans="1:13" x14ac:dyDescent="0.25">
      <c r="A6179" t="s">
        <v>13628</v>
      </c>
      <c r="B6179" t="s">
        <v>13630</v>
      </c>
      <c r="C6179" t="s">
        <v>20</v>
      </c>
      <c r="F6179">
        <v>1</v>
      </c>
      <c r="G6179" t="s">
        <v>16</v>
      </c>
      <c r="H6179">
        <v>0</v>
      </c>
      <c r="I6179" s="2" t="s">
        <v>765</v>
      </c>
      <c r="J6179" s="2" t="s">
        <v>13629</v>
      </c>
      <c r="K6179">
        <v>20</v>
      </c>
      <c r="L6179">
        <v>20</v>
      </c>
      <c r="M6179">
        <v>20</v>
      </c>
    </row>
    <row r="6180" spans="1:13" x14ac:dyDescent="0.25">
      <c r="A6180" t="s">
        <v>13631</v>
      </c>
      <c r="B6180" t="s">
        <v>13633</v>
      </c>
      <c r="C6180" t="s">
        <v>241</v>
      </c>
      <c r="D6180" t="s">
        <v>242</v>
      </c>
      <c r="F6180">
        <v>2</v>
      </c>
      <c r="G6180" t="s">
        <v>16</v>
      </c>
      <c r="H6180">
        <v>0</v>
      </c>
      <c r="I6180" s="2" t="s">
        <v>288</v>
      </c>
      <c r="J6180" s="2" t="s">
        <v>13632</v>
      </c>
      <c r="K6180">
        <v>20</v>
      </c>
      <c r="L6180">
        <v>20</v>
      </c>
      <c r="M6180">
        <v>20</v>
      </c>
    </row>
    <row r="6181" spans="1:13" x14ac:dyDescent="0.25">
      <c r="A6181" t="s">
        <v>13634</v>
      </c>
      <c r="B6181" t="s">
        <v>13635</v>
      </c>
      <c r="C6181" t="s">
        <v>241</v>
      </c>
      <c r="D6181" t="s">
        <v>242</v>
      </c>
      <c r="G6181" t="s">
        <v>16</v>
      </c>
      <c r="H6181">
        <v>0</v>
      </c>
      <c r="I6181" s="2" t="s">
        <v>243</v>
      </c>
      <c r="J6181" s="2">
        <v>21278</v>
      </c>
      <c r="K6181">
        <v>20</v>
      </c>
      <c r="L6181">
        <v>20</v>
      </c>
      <c r="M6181">
        <v>20</v>
      </c>
    </row>
    <row r="6182" spans="1:13" x14ac:dyDescent="0.25">
      <c r="A6182" t="s">
        <v>13636</v>
      </c>
      <c r="B6182" t="s">
        <v>13635</v>
      </c>
      <c r="C6182" t="s">
        <v>241</v>
      </c>
      <c r="D6182" t="s">
        <v>242</v>
      </c>
      <c r="F6182">
        <v>1</v>
      </c>
      <c r="G6182" t="s">
        <v>16</v>
      </c>
      <c r="H6182">
        <v>0</v>
      </c>
      <c r="I6182" s="2" t="s">
        <v>737</v>
      </c>
      <c r="J6182" s="2" t="s">
        <v>13637</v>
      </c>
      <c r="K6182">
        <v>20</v>
      </c>
      <c r="L6182">
        <v>20</v>
      </c>
      <c r="M6182">
        <v>20</v>
      </c>
    </row>
    <row r="6183" spans="1:13" x14ac:dyDescent="0.25">
      <c r="A6183" t="s">
        <v>13638</v>
      </c>
      <c r="B6183" t="s">
        <v>13639</v>
      </c>
      <c r="C6183" t="s">
        <v>151</v>
      </c>
      <c r="D6183" t="s">
        <v>1092</v>
      </c>
      <c r="F6183">
        <v>1</v>
      </c>
      <c r="G6183" t="s">
        <v>16</v>
      </c>
      <c r="H6183">
        <v>0</v>
      </c>
      <c r="I6183" s="2" t="s">
        <v>1222</v>
      </c>
      <c r="J6183" s="2" t="s">
        <v>13640</v>
      </c>
      <c r="K6183">
        <v>20</v>
      </c>
      <c r="L6183">
        <v>20</v>
      </c>
      <c r="M6183">
        <v>20</v>
      </c>
    </row>
    <row r="6184" spans="1:13" x14ac:dyDescent="0.25">
      <c r="A6184" t="s">
        <v>13641</v>
      </c>
      <c r="B6184" t="s">
        <v>13642</v>
      </c>
      <c r="C6184" t="s">
        <v>151</v>
      </c>
      <c r="D6184" t="s">
        <v>1092</v>
      </c>
      <c r="F6184">
        <v>0</v>
      </c>
      <c r="G6184" t="s">
        <v>16</v>
      </c>
      <c r="H6184">
        <v>0</v>
      </c>
      <c r="I6184" s="2" t="s">
        <v>1222</v>
      </c>
      <c r="J6184" s="2" t="s">
        <v>13643</v>
      </c>
      <c r="K6184">
        <v>20</v>
      </c>
      <c r="L6184">
        <v>20</v>
      </c>
      <c r="M6184">
        <v>20</v>
      </c>
    </row>
    <row r="6185" spans="1:13" x14ac:dyDescent="0.25">
      <c r="A6185" t="s">
        <v>13644</v>
      </c>
      <c r="B6185" t="s">
        <v>13645</v>
      </c>
      <c r="C6185" t="s">
        <v>20</v>
      </c>
      <c r="D6185" t="s">
        <v>21</v>
      </c>
      <c r="F6185">
        <v>4</v>
      </c>
      <c r="G6185" t="s">
        <v>16</v>
      </c>
      <c r="H6185">
        <v>0</v>
      </c>
      <c r="I6185" s="2" t="s">
        <v>82</v>
      </c>
      <c r="J6185" s="2" t="str">
        <f>"06-306800-20"</f>
        <v>06-306800-20</v>
      </c>
      <c r="K6185">
        <v>20</v>
      </c>
      <c r="L6185">
        <v>20</v>
      </c>
      <c r="M6185">
        <v>20</v>
      </c>
    </row>
    <row r="6186" spans="1:13" x14ac:dyDescent="0.25">
      <c r="A6186" t="s">
        <v>13646</v>
      </c>
      <c r="B6186" t="s">
        <v>13647</v>
      </c>
      <c r="C6186" t="s">
        <v>20</v>
      </c>
      <c r="D6186" t="s">
        <v>21</v>
      </c>
      <c r="F6186">
        <v>4</v>
      </c>
      <c r="G6186" t="s">
        <v>16</v>
      </c>
      <c r="H6186">
        <v>0</v>
      </c>
      <c r="I6186" s="2" t="s">
        <v>346</v>
      </c>
      <c r="J6186" s="2" t="str">
        <f>"06-307100-20"</f>
        <v>06-307100-20</v>
      </c>
      <c r="K6186">
        <v>20</v>
      </c>
      <c r="L6186">
        <v>20</v>
      </c>
      <c r="M6186">
        <v>20</v>
      </c>
    </row>
    <row r="6187" spans="1:13" x14ac:dyDescent="0.25">
      <c r="A6187" t="s">
        <v>13648</v>
      </c>
      <c r="B6187" t="s">
        <v>13650</v>
      </c>
      <c r="C6187" t="s">
        <v>357</v>
      </c>
      <c r="D6187" t="s">
        <v>1836</v>
      </c>
      <c r="F6187">
        <v>1</v>
      </c>
      <c r="G6187" t="s">
        <v>16</v>
      </c>
      <c r="H6187">
        <v>0</v>
      </c>
      <c r="I6187" s="2" t="s">
        <v>288</v>
      </c>
      <c r="J6187" s="2" t="s">
        <v>13649</v>
      </c>
      <c r="K6187">
        <v>20</v>
      </c>
      <c r="L6187">
        <v>20</v>
      </c>
      <c r="M6187">
        <v>20</v>
      </c>
    </row>
    <row r="6188" spans="1:13" x14ac:dyDescent="0.25">
      <c r="A6188" t="s">
        <v>13651</v>
      </c>
      <c r="B6188" t="s">
        <v>13650</v>
      </c>
      <c r="C6188" t="s">
        <v>357</v>
      </c>
      <c r="D6188" t="s">
        <v>1836</v>
      </c>
      <c r="G6188" t="s">
        <v>16</v>
      </c>
      <c r="H6188">
        <v>0</v>
      </c>
      <c r="I6188" s="2" t="s">
        <v>734</v>
      </c>
      <c r="J6188" s="2">
        <v>111301</v>
      </c>
      <c r="K6188">
        <v>20</v>
      </c>
      <c r="L6188">
        <v>20</v>
      </c>
      <c r="M6188">
        <v>20</v>
      </c>
    </row>
    <row r="6189" spans="1:13" x14ac:dyDescent="0.25">
      <c r="A6189" t="s">
        <v>13652</v>
      </c>
      <c r="B6189" t="s">
        <v>13650</v>
      </c>
      <c r="C6189" t="s">
        <v>357</v>
      </c>
      <c r="D6189" t="s">
        <v>1836</v>
      </c>
      <c r="F6189">
        <v>2</v>
      </c>
      <c r="G6189" t="s">
        <v>16</v>
      </c>
      <c r="H6189">
        <v>0</v>
      </c>
      <c r="I6189" s="2" t="s">
        <v>737</v>
      </c>
      <c r="J6189" s="2" t="s">
        <v>13653</v>
      </c>
      <c r="K6189">
        <v>20</v>
      </c>
      <c r="L6189">
        <v>20</v>
      </c>
      <c r="M6189">
        <v>20</v>
      </c>
    </row>
    <row r="6190" spans="1:13" x14ac:dyDescent="0.25">
      <c r="A6190" t="s">
        <v>13654</v>
      </c>
      <c r="B6190" t="s">
        <v>13655</v>
      </c>
      <c r="C6190" t="s">
        <v>357</v>
      </c>
      <c r="D6190" t="s">
        <v>1836</v>
      </c>
      <c r="G6190" t="s">
        <v>16</v>
      </c>
      <c r="H6190">
        <v>0</v>
      </c>
      <c r="I6190" s="2" t="s">
        <v>737</v>
      </c>
      <c r="J6190" s="2" t="s">
        <v>13656</v>
      </c>
      <c r="K6190">
        <v>20</v>
      </c>
      <c r="L6190">
        <v>20</v>
      </c>
      <c r="M6190">
        <v>20</v>
      </c>
    </row>
    <row r="6191" spans="1:13" x14ac:dyDescent="0.25">
      <c r="A6191" t="s">
        <v>13657</v>
      </c>
      <c r="B6191" t="s">
        <v>13658</v>
      </c>
      <c r="C6191" t="s">
        <v>540</v>
      </c>
      <c r="F6191">
        <v>2</v>
      </c>
      <c r="G6191" t="s">
        <v>16</v>
      </c>
      <c r="H6191">
        <v>0</v>
      </c>
      <c r="I6191" s="2" t="s">
        <v>64</v>
      </c>
      <c r="J6191" s="2">
        <v>10010312</v>
      </c>
      <c r="K6191">
        <v>20</v>
      </c>
      <c r="L6191">
        <v>20</v>
      </c>
      <c r="M6191">
        <v>20</v>
      </c>
    </row>
    <row r="6192" spans="1:13" x14ac:dyDescent="0.25">
      <c r="A6192" t="s">
        <v>13659</v>
      </c>
      <c r="B6192" t="s">
        <v>13658</v>
      </c>
      <c r="C6192" t="s">
        <v>540</v>
      </c>
      <c r="F6192">
        <v>2</v>
      </c>
      <c r="G6192" t="s">
        <v>16</v>
      </c>
      <c r="H6192">
        <v>0</v>
      </c>
      <c r="I6192" s="2" t="s">
        <v>1175</v>
      </c>
      <c r="J6192" s="2" t="s">
        <v>13660</v>
      </c>
      <c r="K6192">
        <v>20</v>
      </c>
      <c r="L6192">
        <v>20</v>
      </c>
      <c r="M6192">
        <v>20</v>
      </c>
    </row>
    <row r="6193" spans="1:13" x14ac:dyDescent="0.25">
      <c r="A6193" t="s">
        <v>13661</v>
      </c>
      <c r="B6193" t="s">
        <v>13662</v>
      </c>
      <c r="C6193" t="s">
        <v>540</v>
      </c>
      <c r="G6193" t="s">
        <v>16</v>
      </c>
      <c r="H6193">
        <v>0</v>
      </c>
      <c r="I6193" s="2" t="s">
        <v>3228</v>
      </c>
      <c r="J6193" s="2" t="s">
        <v>13663</v>
      </c>
      <c r="K6193">
        <v>20</v>
      </c>
      <c r="L6193">
        <v>20</v>
      </c>
      <c r="M6193">
        <v>20</v>
      </c>
    </row>
    <row r="6194" spans="1:13" x14ac:dyDescent="0.25">
      <c r="A6194" t="s">
        <v>13664</v>
      </c>
      <c r="B6194" t="s">
        <v>13665</v>
      </c>
      <c r="C6194" t="s">
        <v>540</v>
      </c>
      <c r="G6194" t="s">
        <v>16</v>
      </c>
      <c r="H6194">
        <v>0</v>
      </c>
      <c r="I6194" s="2" t="s">
        <v>2345</v>
      </c>
      <c r="J6194" s="2" t="s">
        <v>13666</v>
      </c>
      <c r="K6194">
        <v>20</v>
      </c>
      <c r="L6194">
        <v>20</v>
      </c>
      <c r="M6194">
        <v>20</v>
      </c>
    </row>
    <row r="6195" spans="1:13" x14ac:dyDescent="0.25">
      <c r="A6195" t="s">
        <v>13667</v>
      </c>
      <c r="B6195" t="s">
        <v>13668</v>
      </c>
      <c r="C6195" t="s">
        <v>540</v>
      </c>
      <c r="F6195">
        <v>1</v>
      </c>
      <c r="G6195" t="s">
        <v>16</v>
      </c>
      <c r="H6195">
        <v>0</v>
      </c>
      <c r="I6195" s="2" t="s">
        <v>13669</v>
      </c>
      <c r="J6195" s="2" t="s">
        <v>13670</v>
      </c>
      <c r="K6195">
        <v>20</v>
      </c>
      <c r="L6195">
        <v>20</v>
      </c>
      <c r="M6195">
        <v>20</v>
      </c>
    </row>
    <row r="6196" spans="1:13" x14ac:dyDescent="0.25">
      <c r="A6196" t="s">
        <v>13671</v>
      </c>
      <c r="B6196" t="s">
        <v>13672</v>
      </c>
      <c r="C6196" t="s">
        <v>540</v>
      </c>
      <c r="F6196">
        <v>1</v>
      </c>
      <c r="G6196" t="s">
        <v>16</v>
      </c>
      <c r="H6196">
        <v>0</v>
      </c>
      <c r="I6196" s="2" t="s">
        <v>2345</v>
      </c>
      <c r="J6196" s="2" t="s">
        <v>13673</v>
      </c>
      <c r="K6196">
        <v>20</v>
      </c>
      <c r="L6196">
        <v>20</v>
      </c>
      <c r="M6196">
        <v>20</v>
      </c>
    </row>
    <row r="6197" spans="1:13" x14ac:dyDescent="0.25">
      <c r="A6197" t="s">
        <v>13674</v>
      </c>
      <c r="B6197" t="s">
        <v>13675</v>
      </c>
      <c r="C6197" t="s">
        <v>540</v>
      </c>
      <c r="F6197">
        <v>1</v>
      </c>
      <c r="G6197" t="s">
        <v>16</v>
      </c>
      <c r="H6197">
        <v>0</v>
      </c>
      <c r="I6197" s="2" t="s">
        <v>2331</v>
      </c>
      <c r="J6197" s="2" t="s">
        <v>13676</v>
      </c>
      <c r="K6197">
        <v>20</v>
      </c>
      <c r="L6197">
        <v>20</v>
      </c>
      <c r="M6197">
        <v>20</v>
      </c>
    </row>
    <row r="6198" spans="1:13" x14ac:dyDescent="0.25">
      <c r="A6198" t="s">
        <v>13677</v>
      </c>
      <c r="B6198" t="s">
        <v>13678</v>
      </c>
      <c r="C6198" t="s">
        <v>540</v>
      </c>
      <c r="F6198">
        <v>2</v>
      </c>
      <c r="G6198" t="s">
        <v>16</v>
      </c>
      <c r="H6198">
        <v>0</v>
      </c>
      <c r="K6198">
        <v>20</v>
      </c>
      <c r="L6198">
        <v>20</v>
      </c>
      <c r="M6198">
        <v>20</v>
      </c>
    </row>
    <row r="6199" spans="1:13" x14ac:dyDescent="0.25">
      <c r="A6199" t="s">
        <v>13679</v>
      </c>
      <c r="B6199" t="s">
        <v>13680</v>
      </c>
      <c r="C6199" t="s">
        <v>151</v>
      </c>
      <c r="D6199" t="s">
        <v>1092</v>
      </c>
      <c r="F6199">
        <v>2</v>
      </c>
      <c r="G6199" t="s">
        <v>16</v>
      </c>
      <c r="H6199">
        <v>0</v>
      </c>
      <c r="I6199" s="2" t="s">
        <v>1145</v>
      </c>
      <c r="J6199" s="2" t="s">
        <v>13681</v>
      </c>
      <c r="K6199">
        <v>20</v>
      </c>
      <c r="L6199">
        <v>20</v>
      </c>
      <c r="M6199">
        <v>20</v>
      </c>
    </row>
    <row r="6200" spans="1:13" x14ac:dyDescent="0.25">
      <c r="A6200" t="s">
        <v>13682</v>
      </c>
      <c r="B6200" t="s">
        <v>13684</v>
      </c>
      <c r="C6200" t="s">
        <v>151</v>
      </c>
      <c r="D6200" t="s">
        <v>1092</v>
      </c>
      <c r="F6200">
        <v>3</v>
      </c>
      <c r="G6200" t="s">
        <v>16</v>
      </c>
      <c r="H6200">
        <v>0</v>
      </c>
      <c r="I6200" s="2" t="s">
        <v>2098</v>
      </c>
      <c r="J6200" s="2" t="s">
        <v>13683</v>
      </c>
      <c r="K6200">
        <v>20</v>
      </c>
      <c r="L6200">
        <v>20</v>
      </c>
      <c r="M6200">
        <v>20</v>
      </c>
    </row>
    <row r="6201" spans="1:13" x14ac:dyDescent="0.25">
      <c r="A6201" t="s">
        <v>13685</v>
      </c>
      <c r="B6201" t="s">
        <v>13687</v>
      </c>
      <c r="C6201" t="s">
        <v>151</v>
      </c>
      <c r="D6201" t="s">
        <v>1092</v>
      </c>
      <c r="F6201">
        <v>2</v>
      </c>
      <c r="G6201" t="s">
        <v>16</v>
      </c>
      <c r="H6201">
        <v>0</v>
      </c>
      <c r="I6201" s="2" t="s">
        <v>69</v>
      </c>
      <c r="J6201" s="2" t="s">
        <v>13686</v>
      </c>
      <c r="K6201">
        <v>20</v>
      </c>
      <c r="L6201">
        <v>20</v>
      </c>
      <c r="M6201">
        <v>20</v>
      </c>
    </row>
    <row r="6202" spans="1:13" x14ac:dyDescent="0.25">
      <c r="A6202" t="s">
        <v>13688</v>
      </c>
      <c r="B6202" t="s">
        <v>13690</v>
      </c>
      <c r="C6202" t="s">
        <v>151</v>
      </c>
      <c r="D6202" t="s">
        <v>1092</v>
      </c>
      <c r="F6202">
        <v>2</v>
      </c>
      <c r="G6202" t="s">
        <v>16</v>
      </c>
      <c r="H6202">
        <v>0</v>
      </c>
      <c r="I6202" s="2" t="s">
        <v>2098</v>
      </c>
      <c r="J6202" s="2" t="s">
        <v>13689</v>
      </c>
      <c r="K6202">
        <v>20</v>
      </c>
      <c r="L6202">
        <v>20</v>
      </c>
      <c r="M6202">
        <v>20</v>
      </c>
    </row>
    <row r="6203" spans="1:13" x14ac:dyDescent="0.25">
      <c r="A6203" t="s">
        <v>13691</v>
      </c>
      <c r="B6203" t="s">
        <v>13692</v>
      </c>
      <c r="C6203" t="s">
        <v>151</v>
      </c>
      <c r="D6203" t="s">
        <v>1092</v>
      </c>
      <c r="F6203">
        <v>8</v>
      </c>
      <c r="G6203" t="s">
        <v>16</v>
      </c>
      <c r="H6203">
        <v>0</v>
      </c>
      <c r="I6203" s="2" t="s">
        <v>7344</v>
      </c>
      <c r="J6203" s="2" t="s">
        <v>13693</v>
      </c>
      <c r="K6203">
        <v>20</v>
      </c>
      <c r="L6203">
        <v>20</v>
      </c>
      <c r="M6203">
        <v>20</v>
      </c>
    </row>
    <row r="6204" spans="1:13" x14ac:dyDescent="0.25">
      <c r="A6204" t="s">
        <v>13694</v>
      </c>
      <c r="B6204" t="s">
        <v>13692</v>
      </c>
      <c r="C6204" t="s">
        <v>151</v>
      </c>
      <c r="D6204" t="s">
        <v>1092</v>
      </c>
      <c r="F6204">
        <v>2</v>
      </c>
      <c r="G6204" t="s">
        <v>16</v>
      </c>
      <c r="H6204">
        <v>0</v>
      </c>
      <c r="I6204" s="2" t="s">
        <v>64</v>
      </c>
      <c r="J6204" s="2">
        <v>10080114</v>
      </c>
      <c r="K6204">
        <v>20</v>
      </c>
      <c r="L6204">
        <v>20</v>
      </c>
      <c r="M6204">
        <v>20</v>
      </c>
    </row>
    <row r="6205" spans="1:13" x14ac:dyDescent="0.25">
      <c r="A6205" t="s">
        <v>13695</v>
      </c>
      <c r="B6205" t="s">
        <v>13696</v>
      </c>
      <c r="C6205" t="s">
        <v>151</v>
      </c>
      <c r="D6205" t="s">
        <v>1092</v>
      </c>
      <c r="G6205" t="s">
        <v>16</v>
      </c>
      <c r="H6205">
        <v>0</v>
      </c>
      <c r="I6205" s="2" t="s">
        <v>737</v>
      </c>
      <c r="J6205" s="2" t="s">
        <v>13697</v>
      </c>
      <c r="K6205">
        <v>20</v>
      </c>
      <c r="L6205">
        <v>20</v>
      </c>
      <c r="M6205">
        <v>20</v>
      </c>
    </row>
    <row r="6206" spans="1:13" x14ac:dyDescent="0.25">
      <c r="A6206" t="s">
        <v>13698</v>
      </c>
      <c r="B6206" t="s">
        <v>13699</v>
      </c>
      <c r="C6206" t="s">
        <v>357</v>
      </c>
      <c r="D6206" t="s">
        <v>792</v>
      </c>
      <c r="F6206">
        <v>0</v>
      </c>
      <c r="G6206" t="s">
        <v>16</v>
      </c>
      <c r="H6206">
        <v>0</v>
      </c>
      <c r="I6206" s="2" t="s">
        <v>759</v>
      </c>
      <c r="J6206" s="2" t="s">
        <v>13700</v>
      </c>
      <c r="K6206">
        <v>20</v>
      </c>
      <c r="L6206">
        <v>20</v>
      </c>
      <c r="M6206">
        <v>20</v>
      </c>
    </row>
    <row r="6207" spans="1:13" x14ac:dyDescent="0.25">
      <c r="A6207" t="s">
        <v>13701</v>
      </c>
      <c r="B6207" t="s">
        <v>13703</v>
      </c>
      <c r="C6207" t="s">
        <v>357</v>
      </c>
      <c r="D6207" t="s">
        <v>792</v>
      </c>
      <c r="F6207">
        <v>5</v>
      </c>
      <c r="G6207" t="s">
        <v>16</v>
      </c>
      <c r="H6207">
        <v>0</v>
      </c>
      <c r="I6207" s="2" t="s">
        <v>288</v>
      </c>
      <c r="J6207" s="2" t="s">
        <v>13702</v>
      </c>
      <c r="K6207">
        <v>20</v>
      </c>
      <c r="L6207">
        <v>20</v>
      </c>
      <c r="M6207">
        <v>20</v>
      </c>
    </row>
    <row r="6208" spans="1:13" x14ac:dyDescent="0.25">
      <c r="A6208" t="s">
        <v>13704</v>
      </c>
      <c r="B6208" t="s">
        <v>13703</v>
      </c>
      <c r="C6208" t="s">
        <v>357</v>
      </c>
      <c r="D6208" t="s">
        <v>792</v>
      </c>
      <c r="G6208" t="s">
        <v>16</v>
      </c>
      <c r="H6208">
        <v>0</v>
      </c>
      <c r="I6208" s="2" t="s">
        <v>2634</v>
      </c>
      <c r="J6208" s="2" t="s">
        <v>13705</v>
      </c>
      <c r="K6208">
        <v>20</v>
      </c>
      <c r="L6208">
        <v>20</v>
      </c>
      <c r="M6208">
        <v>20</v>
      </c>
    </row>
    <row r="6209" spans="1:13" x14ac:dyDescent="0.25">
      <c r="A6209" t="s">
        <v>13706</v>
      </c>
      <c r="B6209" t="s">
        <v>13699</v>
      </c>
      <c r="C6209" t="s">
        <v>357</v>
      </c>
      <c r="D6209" t="s">
        <v>792</v>
      </c>
      <c r="F6209">
        <v>1</v>
      </c>
      <c r="G6209" t="s">
        <v>16</v>
      </c>
      <c r="H6209">
        <v>0</v>
      </c>
      <c r="I6209" s="2" t="s">
        <v>814</v>
      </c>
      <c r="J6209" s="2" t="s">
        <v>13707</v>
      </c>
      <c r="K6209">
        <v>20</v>
      </c>
      <c r="L6209">
        <v>20</v>
      </c>
      <c r="M6209">
        <v>20</v>
      </c>
    </row>
    <row r="6210" spans="1:13" x14ac:dyDescent="0.25">
      <c r="A6210" t="s">
        <v>13708</v>
      </c>
      <c r="B6210" t="s">
        <v>13699</v>
      </c>
      <c r="C6210" t="s">
        <v>1736</v>
      </c>
      <c r="D6210" t="s">
        <v>792</v>
      </c>
      <c r="G6210" t="s">
        <v>16</v>
      </c>
      <c r="H6210">
        <v>0</v>
      </c>
      <c r="I6210" s="2" t="s">
        <v>848</v>
      </c>
      <c r="J6210" s="2" t="s">
        <v>13709</v>
      </c>
      <c r="K6210">
        <v>20</v>
      </c>
      <c r="L6210">
        <v>20</v>
      </c>
      <c r="M6210">
        <v>20</v>
      </c>
    </row>
    <row r="6211" spans="1:13" x14ac:dyDescent="0.25">
      <c r="A6211" t="s">
        <v>13710</v>
      </c>
      <c r="B6211" t="s">
        <v>13699</v>
      </c>
      <c r="C6211" t="s">
        <v>357</v>
      </c>
      <c r="D6211" t="s">
        <v>792</v>
      </c>
      <c r="G6211" t="s">
        <v>16</v>
      </c>
      <c r="H6211">
        <v>0</v>
      </c>
      <c r="I6211" s="2" t="s">
        <v>2639</v>
      </c>
      <c r="J6211" s="2" t="s">
        <v>13711</v>
      </c>
      <c r="K6211">
        <v>20</v>
      </c>
      <c r="L6211">
        <v>20</v>
      </c>
      <c r="M6211">
        <v>20</v>
      </c>
    </row>
    <row r="6212" spans="1:13" x14ac:dyDescent="0.25">
      <c r="A6212" t="s">
        <v>13712</v>
      </c>
      <c r="B6212" t="s">
        <v>13699</v>
      </c>
      <c r="C6212" t="s">
        <v>357</v>
      </c>
      <c r="D6212" t="s">
        <v>792</v>
      </c>
      <c r="F6212">
        <v>0</v>
      </c>
      <c r="G6212" t="s">
        <v>16</v>
      </c>
      <c r="H6212">
        <v>0</v>
      </c>
      <c r="I6212" s="2" t="s">
        <v>108</v>
      </c>
      <c r="J6212" s="3">
        <v>1691502002</v>
      </c>
      <c r="K6212">
        <v>20</v>
      </c>
      <c r="L6212">
        <v>20</v>
      </c>
      <c r="M6212">
        <v>20</v>
      </c>
    </row>
    <row r="6213" spans="1:13" x14ac:dyDescent="0.25">
      <c r="A6213" t="s">
        <v>13713</v>
      </c>
      <c r="B6213" t="s">
        <v>13703</v>
      </c>
      <c r="C6213" t="s">
        <v>357</v>
      </c>
      <c r="D6213" t="s">
        <v>792</v>
      </c>
      <c r="G6213" t="s">
        <v>16</v>
      </c>
      <c r="H6213">
        <v>0</v>
      </c>
      <c r="I6213" s="2" t="s">
        <v>797</v>
      </c>
      <c r="J6213" s="2" t="s">
        <v>13714</v>
      </c>
      <c r="K6213">
        <v>20</v>
      </c>
      <c r="L6213">
        <v>20</v>
      </c>
      <c r="M6213">
        <v>20</v>
      </c>
    </row>
    <row r="6214" spans="1:13" x14ac:dyDescent="0.25">
      <c r="A6214" t="s">
        <v>13715</v>
      </c>
      <c r="B6214" t="s">
        <v>13703</v>
      </c>
      <c r="C6214" t="s">
        <v>357</v>
      </c>
      <c r="D6214" t="s">
        <v>792</v>
      </c>
      <c r="F6214">
        <v>1</v>
      </c>
      <c r="G6214" t="s">
        <v>16</v>
      </c>
      <c r="H6214">
        <v>0</v>
      </c>
      <c r="I6214" s="2" t="s">
        <v>598</v>
      </c>
      <c r="J6214" s="2">
        <v>367905</v>
      </c>
      <c r="K6214">
        <v>20</v>
      </c>
      <c r="L6214">
        <v>20</v>
      </c>
      <c r="M6214">
        <v>20</v>
      </c>
    </row>
    <row r="6215" spans="1:13" x14ac:dyDescent="0.25">
      <c r="A6215" t="s">
        <v>13716</v>
      </c>
      <c r="B6215" t="s">
        <v>13699</v>
      </c>
      <c r="C6215" t="s">
        <v>357</v>
      </c>
      <c r="D6215" t="s">
        <v>792</v>
      </c>
      <c r="F6215">
        <v>1</v>
      </c>
      <c r="G6215" t="s">
        <v>16</v>
      </c>
      <c r="H6215">
        <v>0</v>
      </c>
      <c r="I6215" s="2" t="s">
        <v>2786</v>
      </c>
      <c r="J6215" s="2" t="s">
        <v>13717</v>
      </c>
      <c r="K6215">
        <v>20</v>
      </c>
      <c r="L6215">
        <v>20</v>
      </c>
      <c r="M6215">
        <v>20</v>
      </c>
    </row>
    <row r="6216" spans="1:13" x14ac:dyDescent="0.25">
      <c r="A6216" t="s">
        <v>13718</v>
      </c>
      <c r="B6216" t="s">
        <v>13699</v>
      </c>
      <c r="C6216" t="s">
        <v>357</v>
      </c>
      <c r="D6216" t="s">
        <v>792</v>
      </c>
      <c r="F6216">
        <v>3</v>
      </c>
      <c r="G6216" t="s">
        <v>16</v>
      </c>
      <c r="H6216">
        <v>0</v>
      </c>
      <c r="I6216" s="2" t="s">
        <v>639</v>
      </c>
      <c r="J6216" s="2" t="s">
        <v>13719</v>
      </c>
      <c r="K6216">
        <v>20</v>
      </c>
      <c r="L6216">
        <v>20</v>
      </c>
      <c r="M6216">
        <v>20</v>
      </c>
    </row>
    <row r="6217" spans="1:13" x14ac:dyDescent="0.25">
      <c r="A6217" t="s">
        <v>13720</v>
      </c>
      <c r="B6217" t="s">
        <v>13699</v>
      </c>
      <c r="C6217" t="s">
        <v>357</v>
      </c>
      <c r="D6217" t="s">
        <v>792</v>
      </c>
      <c r="F6217">
        <v>3</v>
      </c>
      <c r="G6217" t="s">
        <v>16</v>
      </c>
      <c r="H6217">
        <v>0</v>
      </c>
      <c r="I6217" s="2" t="s">
        <v>400</v>
      </c>
      <c r="J6217" s="2" t="s">
        <v>13721</v>
      </c>
      <c r="K6217">
        <v>20</v>
      </c>
      <c r="L6217">
        <v>20</v>
      </c>
      <c r="M6217">
        <v>20</v>
      </c>
    </row>
    <row r="6218" spans="1:13" x14ac:dyDescent="0.25">
      <c r="A6218" t="s">
        <v>13722</v>
      </c>
      <c r="B6218" t="s">
        <v>13699</v>
      </c>
      <c r="C6218" t="s">
        <v>357</v>
      </c>
      <c r="D6218" t="s">
        <v>792</v>
      </c>
      <c r="F6218">
        <v>1</v>
      </c>
      <c r="G6218" t="s">
        <v>16</v>
      </c>
      <c r="H6218">
        <v>0</v>
      </c>
      <c r="I6218" s="2" t="s">
        <v>266</v>
      </c>
      <c r="J6218" s="2">
        <v>60006</v>
      </c>
      <c r="K6218">
        <v>20</v>
      </c>
      <c r="L6218">
        <v>20</v>
      </c>
      <c r="M6218">
        <v>20</v>
      </c>
    </row>
    <row r="6219" spans="1:13" x14ac:dyDescent="0.25">
      <c r="A6219" t="s">
        <v>13723</v>
      </c>
      <c r="B6219" t="s">
        <v>13699</v>
      </c>
      <c r="C6219" t="s">
        <v>357</v>
      </c>
      <c r="D6219" t="s">
        <v>792</v>
      </c>
      <c r="G6219" t="s">
        <v>16</v>
      </c>
      <c r="H6219">
        <v>0</v>
      </c>
      <c r="I6219" s="2" t="s">
        <v>822</v>
      </c>
      <c r="J6219" s="2" t="s">
        <v>13724</v>
      </c>
      <c r="K6219">
        <v>20</v>
      </c>
      <c r="L6219">
        <v>20</v>
      </c>
      <c r="M6219">
        <v>20</v>
      </c>
    </row>
    <row r="6220" spans="1:13" x14ac:dyDescent="0.25">
      <c r="A6220" t="s">
        <v>13725</v>
      </c>
      <c r="B6220" t="s">
        <v>13699</v>
      </c>
      <c r="C6220" t="s">
        <v>357</v>
      </c>
      <c r="D6220" t="s">
        <v>792</v>
      </c>
      <c r="G6220" t="s">
        <v>16</v>
      </c>
      <c r="H6220">
        <v>0</v>
      </c>
      <c r="I6220" s="2" t="s">
        <v>1200</v>
      </c>
      <c r="J6220" s="2" t="s">
        <v>13726</v>
      </c>
      <c r="K6220">
        <v>20</v>
      </c>
      <c r="L6220">
        <v>20</v>
      </c>
      <c r="M6220">
        <v>20</v>
      </c>
    </row>
    <row r="6221" spans="1:13" x14ac:dyDescent="0.25">
      <c r="A6221" t="s">
        <v>13727</v>
      </c>
      <c r="B6221" t="s">
        <v>13728</v>
      </c>
      <c r="C6221" t="s">
        <v>357</v>
      </c>
      <c r="D6221" t="s">
        <v>792</v>
      </c>
      <c r="F6221">
        <v>0</v>
      </c>
      <c r="G6221" t="s">
        <v>16</v>
      </c>
      <c r="H6221">
        <v>0</v>
      </c>
      <c r="I6221" s="2" t="s">
        <v>2634</v>
      </c>
      <c r="J6221" s="2" t="s">
        <v>13729</v>
      </c>
      <c r="K6221">
        <v>20</v>
      </c>
      <c r="L6221">
        <v>20</v>
      </c>
      <c r="M6221">
        <v>20</v>
      </c>
    </row>
    <row r="6222" spans="1:13" x14ac:dyDescent="0.25">
      <c r="A6222" t="s">
        <v>13730</v>
      </c>
      <c r="B6222" t="s">
        <v>13731</v>
      </c>
      <c r="C6222" t="s">
        <v>357</v>
      </c>
      <c r="D6222" t="s">
        <v>792</v>
      </c>
      <c r="G6222" t="s">
        <v>16</v>
      </c>
      <c r="H6222">
        <v>0</v>
      </c>
      <c r="I6222" s="2" t="s">
        <v>5297</v>
      </c>
      <c r="J6222" s="2" t="s">
        <v>13732</v>
      </c>
      <c r="K6222">
        <v>20</v>
      </c>
      <c r="L6222">
        <v>20</v>
      </c>
      <c r="M6222">
        <v>20</v>
      </c>
    </row>
    <row r="6223" spans="1:13" x14ac:dyDescent="0.25">
      <c r="A6223" t="s">
        <v>13733</v>
      </c>
      <c r="B6223" t="s">
        <v>13734</v>
      </c>
      <c r="C6223" t="s">
        <v>357</v>
      </c>
      <c r="D6223" t="s">
        <v>792</v>
      </c>
      <c r="G6223" t="s">
        <v>16</v>
      </c>
      <c r="H6223">
        <v>0</v>
      </c>
      <c r="I6223" s="2" t="s">
        <v>848</v>
      </c>
      <c r="J6223" s="2" t="s">
        <v>13735</v>
      </c>
      <c r="K6223">
        <v>20</v>
      </c>
      <c r="L6223">
        <v>20</v>
      </c>
      <c r="M6223">
        <v>20</v>
      </c>
    </row>
    <row r="6224" spans="1:13" x14ac:dyDescent="0.25">
      <c r="A6224" t="s">
        <v>13736</v>
      </c>
      <c r="B6224" t="s">
        <v>13737</v>
      </c>
      <c r="C6224" t="s">
        <v>357</v>
      </c>
      <c r="D6224" t="s">
        <v>792</v>
      </c>
      <c r="G6224" t="s">
        <v>16</v>
      </c>
      <c r="H6224">
        <v>0</v>
      </c>
      <c r="I6224" s="2" t="s">
        <v>139</v>
      </c>
      <c r="J6224" s="2" t="s">
        <v>13738</v>
      </c>
      <c r="K6224">
        <v>20</v>
      </c>
      <c r="L6224">
        <v>20</v>
      </c>
      <c r="M6224">
        <v>20</v>
      </c>
    </row>
    <row r="6225" spans="1:13" x14ac:dyDescent="0.25">
      <c r="A6225" t="s">
        <v>13739</v>
      </c>
      <c r="B6225" t="s">
        <v>13740</v>
      </c>
      <c r="C6225" t="s">
        <v>357</v>
      </c>
      <c r="D6225" t="s">
        <v>792</v>
      </c>
      <c r="G6225" t="s">
        <v>16</v>
      </c>
      <c r="H6225">
        <v>0</v>
      </c>
      <c r="I6225" s="2" t="s">
        <v>854</v>
      </c>
      <c r="J6225" s="2">
        <v>506601</v>
      </c>
      <c r="K6225">
        <v>20</v>
      </c>
      <c r="L6225">
        <v>20</v>
      </c>
      <c r="M6225">
        <v>20</v>
      </c>
    </row>
    <row r="6226" spans="1:13" x14ac:dyDescent="0.25">
      <c r="A6226" t="s">
        <v>13741</v>
      </c>
      <c r="B6226" t="s">
        <v>13743</v>
      </c>
      <c r="C6226" t="s">
        <v>357</v>
      </c>
      <c r="D6226" t="s">
        <v>792</v>
      </c>
      <c r="F6226">
        <v>0</v>
      </c>
      <c r="G6226" t="s">
        <v>16</v>
      </c>
      <c r="H6226">
        <v>0</v>
      </c>
      <c r="I6226" s="2" t="s">
        <v>288</v>
      </c>
      <c r="J6226" s="2" t="s">
        <v>13742</v>
      </c>
      <c r="K6226">
        <v>20</v>
      </c>
      <c r="L6226">
        <v>20</v>
      </c>
      <c r="M6226">
        <v>20</v>
      </c>
    </row>
    <row r="6227" spans="1:13" x14ac:dyDescent="0.25">
      <c r="A6227" t="s">
        <v>13744</v>
      </c>
      <c r="B6227" t="s">
        <v>13743</v>
      </c>
      <c r="C6227" t="s">
        <v>357</v>
      </c>
      <c r="D6227" t="s">
        <v>792</v>
      </c>
      <c r="G6227" t="s">
        <v>16</v>
      </c>
      <c r="H6227">
        <v>0</v>
      </c>
      <c r="I6227" s="2" t="s">
        <v>2634</v>
      </c>
      <c r="J6227" s="2" t="s">
        <v>13745</v>
      </c>
      <c r="K6227">
        <v>20</v>
      </c>
      <c r="L6227">
        <v>20</v>
      </c>
      <c r="M6227">
        <v>20</v>
      </c>
    </row>
    <row r="6228" spans="1:13" x14ac:dyDescent="0.25">
      <c r="A6228" t="s">
        <v>13746</v>
      </c>
      <c r="B6228" t="s">
        <v>13743</v>
      </c>
      <c r="C6228" t="s">
        <v>357</v>
      </c>
      <c r="D6228" t="s">
        <v>792</v>
      </c>
      <c r="G6228" t="s">
        <v>16</v>
      </c>
      <c r="H6228">
        <v>0</v>
      </c>
      <c r="I6228" s="2" t="s">
        <v>848</v>
      </c>
      <c r="J6228" s="2" t="s">
        <v>13747</v>
      </c>
      <c r="K6228">
        <v>20</v>
      </c>
      <c r="L6228">
        <v>20</v>
      </c>
      <c r="M6228">
        <v>20</v>
      </c>
    </row>
    <row r="6229" spans="1:13" x14ac:dyDescent="0.25">
      <c r="A6229" t="s">
        <v>13748</v>
      </c>
      <c r="B6229" t="s">
        <v>13743</v>
      </c>
      <c r="C6229" t="s">
        <v>357</v>
      </c>
      <c r="D6229" t="s">
        <v>792</v>
      </c>
      <c r="F6229">
        <v>0</v>
      </c>
      <c r="G6229" t="s">
        <v>16</v>
      </c>
      <c r="H6229">
        <v>0</v>
      </c>
      <c r="I6229" s="2" t="s">
        <v>797</v>
      </c>
      <c r="J6229" s="2" t="s">
        <v>13749</v>
      </c>
      <c r="K6229">
        <v>20</v>
      </c>
      <c r="L6229">
        <v>20</v>
      </c>
      <c r="M6229">
        <v>20</v>
      </c>
    </row>
    <row r="6230" spans="1:13" x14ac:dyDescent="0.25">
      <c r="A6230" t="s">
        <v>13750</v>
      </c>
      <c r="B6230" t="s">
        <v>13743</v>
      </c>
      <c r="C6230" t="s">
        <v>357</v>
      </c>
      <c r="D6230" t="s">
        <v>792</v>
      </c>
      <c r="F6230">
        <v>1</v>
      </c>
      <c r="G6230" t="s">
        <v>16</v>
      </c>
      <c r="H6230">
        <v>0</v>
      </c>
      <c r="I6230" s="2" t="s">
        <v>851</v>
      </c>
      <c r="J6230" s="2" t="s">
        <v>13751</v>
      </c>
      <c r="K6230">
        <v>20</v>
      </c>
      <c r="L6230">
        <v>20</v>
      </c>
      <c r="M6230">
        <v>20</v>
      </c>
    </row>
    <row r="6231" spans="1:13" x14ac:dyDescent="0.25">
      <c r="A6231" t="s">
        <v>13752</v>
      </c>
      <c r="B6231" t="s">
        <v>13743</v>
      </c>
      <c r="C6231" t="s">
        <v>357</v>
      </c>
      <c r="D6231" t="s">
        <v>792</v>
      </c>
      <c r="F6231">
        <v>2</v>
      </c>
      <c r="G6231" t="s">
        <v>16</v>
      </c>
      <c r="H6231">
        <v>0</v>
      </c>
      <c r="I6231" s="2" t="s">
        <v>2786</v>
      </c>
      <c r="J6231" s="2" t="s">
        <v>13753</v>
      </c>
      <c r="K6231">
        <v>20</v>
      </c>
      <c r="L6231">
        <v>20</v>
      </c>
      <c r="M6231">
        <v>20</v>
      </c>
    </row>
    <row r="6232" spans="1:13" x14ac:dyDescent="0.25">
      <c r="A6232" t="s">
        <v>13754</v>
      </c>
      <c r="B6232" t="s">
        <v>13743</v>
      </c>
      <c r="C6232" t="s">
        <v>357</v>
      </c>
      <c r="D6232" t="s">
        <v>792</v>
      </c>
      <c r="G6232" t="s">
        <v>16</v>
      </c>
      <c r="H6232">
        <v>0</v>
      </c>
      <c r="I6232" s="2" t="s">
        <v>5750</v>
      </c>
      <c r="J6232" s="2" t="s">
        <v>13755</v>
      </c>
      <c r="K6232">
        <v>20</v>
      </c>
      <c r="L6232">
        <v>20</v>
      </c>
      <c r="M6232">
        <v>20</v>
      </c>
    </row>
    <row r="6233" spans="1:13" x14ac:dyDescent="0.25">
      <c r="A6233" t="s">
        <v>13756</v>
      </c>
      <c r="B6233" t="s">
        <v>13743</v>
      </c>
      <c r="C6233" t="s">
        <v>357</v>
      </c>
      <c r="D6233" t="s">
        <v>792</v>
      </c>
      <c r="G6233" t="s">
        <v>16</v>
      </c>
      <c r="H6233">
        <v>0</v>
      </c>
      <c r="I6233" s="2" t="s">
        <v>472</v>
      </c>
      <c r="J6233" s="2" t="s">
        <v>13757</v>
      </c>
      <c r="K6233">
        <v>20</v>
      </c>
      <c r="L6233">
        <v>20</v>
      </c>
      <c r="M6233">
        <v>20</v>
      </c>
    </row>
    <row r="6234" spans="1:13" x14ac:dyDescent="0.25">
      <c r="A6234" t="s">
        <v>13758</v>
      </c>
      <c r="B6234" t="s">
        <v>13759</v>
      </c>
      <c r="C6234" t="s">
        <v>357</v>
      </c>
      <c r="D6234" t="s">
        <v>792</v>
      </c>
      <c r="F6234">
        <v>1</v>
      </c>
      <c r="G6234" t="s">
        <v>16</v>
      </c>
      <c r="H6234">
        <v>0</v>
      </c>
      <c r="I6234" s="2" t="s">
        <v>5297</v>
      </c>
      <c r="J6234" s="2" t="s">
        <v>13760</v>
      </c>
      <c r="K6234">
        <v>20</v>
      </c>
      <c r="L6234">
        <v>20</v>
      </c>
      <c r="M6234">
        <v>20</v>
      </c>
    </row>
    <row r="6235" spans="1:13" x14ac:dyDescent="0.25">
      <c r="A6235" t="s">
        <v>13761</v>
      </c>
      <c r="B6235" t="s">
        <v>13743</v>
      </c>
      <c r="C6235" t="s">
        <v>357</v>
      </c>
      <c r="D6235" t="s">
        <v>792</v>
      </c>
      <c r="F6235">
        <v>1</v>
      </c>
      <c r="G6235" t="s">
        <v>16</v>
      </c>
      <c r="H6235">
        <v>0</v>
      </c>
      <c r="I6235" s="2" t="s">
        <v>139</v>
      </c>
      <c r="J6235" s="2" t="s">
        <v>13762</v>
      </c>
      <c r="K6235">
        <v>20</v>
      </c>
      <c r="L6235">
        <v>20</v>
      </c>
      <c r="M6235">
        <v>20</v>
      </c>
    </row>
    <row r="6236" spans="1:13" x14ac:dyDescent="0.25">
      <c r="A6236" t="s">
        <v>13763</v>
      </c>
      <c r="B6236" t="s">
        <v>13759</v>
      </c>
      <c r="C6236" t="s">
        <v>357</v>
      </c>
      <c r="D6236" t="s">
        <v>792</v>
      </c>
      <c r="G6236" t="s">
        <v>16</v>
      </c>
      <c r="H6236">
        <v>0</v>
      </c>
      <c r="I6236" s="2" t="s">
        <v>822</v>
      </c>
      <c r="J6236" s="2" t="s">
        <v>13764</v>
      </c>
      <c r="K6236">
        <v>20</v>
      </c>
      <c r="L6236">
        <v>20</v>
      </c>
      <c r="M6236">
        <v>20</v>
      </c>
    </row>
    <row r="6237" spans="1:13" x14ac:dyDescent="0.25">
      <c r="A6237" t="s">
        <v>13765</v>
      </c>
      <c r="B6237" t="s">
        <v>13743</v>
      </c>
      <c r="C6237" t="s">
        <v>357</v>
      </c>
      <c r="D6237" t="s">
        <v>792</v>
      </c>
      <c r="F6237">
        <v>0</v>
      </c>
      <c r="G6237" t="s">
        <v>16</v>
      </c>
      <c r="H6237">
        <v>0</v>
      </c>
      <c r="I6237" s="2" t="s">
        <v>854</v>
      </c>
      <c r="J6237" s="2">
        <v>506703</v>
      </c>
      <c r="K6237">
        <v>20</v>
      </c>
      <c r="L6237">
        <v>20</v>
      </c>
      <c r="M6237">
        <v>20</v>
      </c>
    </row>
    <row r="6238" spans="1:13" x14ac:dyDescent="0.25">
      <c r="A6238" t="s">
        <v>13766</v>
      </c>
      <c r="B6238" t="s">
        <v>13767</v>
      </c>
      <c r="C6238" t="s">
        <v>151</v>
      </c>
      <c r="G6238" t="s">
        <v>16</v>
      </c>
      <c r="H6238">
        <v>0</v>
      </c>
      <c r="I6238" s="2" t="s">
        <v>13768</v>
      </c>
      <c r="J6238" s="2" t="s">
        <v>13769</v>
      </c>
      <c r="K6238">
        <v>20</v>
      </c>
      <c r="L6238">
        <v>20</v>
      </c>
      <c r="M6238">
        <v>20</v>
      </c>
    </row>
    <row r="6239" spans="1:13" x14ac:dyDescent="0.25">
      <c r="A6239" t="s">
        <v>13770</v>
      </c>
      <c r="B6239" t="s">
        <v>13771</v>
      </c>
      <c r="C6239" t="s">
        <v>357</v>
      </c>
      <c r="D6239" t="s">
        <v>241</v>
      </c>
      <c r="F6239">
        <v>2</v>
      </c>
      <c r="G6239" t="s">
        <v>16</v>
      </c>
      <c r="H6239">
        <v>0</v>
      </c>
      <c r="I6239" s="2" t="s">
        <v>643</v>
      </c>
      <c r="J6239" s="2">
        <v>111058</v>
      </c>
      <c r="K6239">
        <v>20</v>
      </c>
      <c r="L6239">
        <v>20</v>
      </c>
      <c r="M6239">
        <v>20</v>
      </c>
    </row>
    <row r="6240" spans="1:13" x14ac:dyDescent="0.25">
      <c r="A6240" t="s">
        <v>13772</v>
      </c>
      <c r="B6240" t="s">
        <v>13771</v>
      </c>
      <c r="C6240" t="s">
        <v>357</v>
      </c>
      <c r="D6240" t="s">
        <v>241</v>
      </c>
      <c r="F6240">
        <v>3</v>
      </c>
      <c r="G6240" t="s">
        <v>16</v>
      </c>
      <c r="H6240">
        <v>0</v>
      </c>
      <c r="I6240" s="2" t="s">
        <v>245</v>
      </c>
      <c r="J6240" s="2" t="s">
        <v>13773</v>
      </c>
      <c r="K6240">
        <v>20</v>
      </c>
      <c r="L6240">
        <v>20</v>
      </c>
      <c r="M6240">
        <v>20</v>
      </c>
    </row>
    <row r="6241" spans="1:13" x14ac:dyDescent="0.25">
      <c r="A6241" t="s">
        <v>13774</v>
      </c>
      <c r="B6241" t="s">
        <v>13771</v>
      </c>
      <c r="C6241" t="s">
        <v>357</v>
      </c>
      <c r="D6241" t="s">
        <v>241</v>
      </c>
      <c r="F6241">
        <v>4</v>
      </c>
      <c r="G6241" t="s">
        <v>16</v>
      </c>
      <c r="H6241">
        <v>0</v>
      </c>
      <c r="I6241" s="2" t="s">
        <v>504</v>
      </c>
      <c r="J6241" s="2" t="s">
        <v>13775</v>
      </c>
      <c r="K6241">
        <v>20</v>
      </c>
      <c r="L6241">
        <v>20</v>
      </c>
      <c r="M6241">
        <v>20</v>
      </c>
    </row>
    <row r="6242" spans="1:13" x14ac:dyDescent="0.25">
      <c r="A6242" t="s">
        <v>13776</v>
      </c>
      <c r="B6242" t="s">
        <v>13771</v>
      </c>
      <c r="C6242" t="s">
        <v>357</v>
      </c>
      <c r="D6242" t="s">
        <v>241</v>
      </c>
      <c r="G6242" t="s">
        <v>16</v>
      </c>
      <c r="H6242">
        <v>0</v>
      </c>
      <c r="K6242">
        <v>20</v>
      </c>
      <c r="L6242">
        <v>20</v>
      </c>
      <c r="M6242">
        <v>20</v>
      </c>
    </row>
    <row r="6243" spans="1:13" x14ac:dyDescent="0.25">
      <c r="A6243" t="s">
        <v>13777</v>
      </c>
      <c r="B6243" t="s">
        <v>13778</v>
      </c>
      <c r="C6243" t="s">
        <v>241</v>
      </c>
      <c r="D6243" t="s">
        <v>2216</v>
      </c>
      <c r="G6243" t="s">
        <v>16</v>
      </c>
      <c r="H6243">
        <v>0</v>
      </c>
      <c r="I6243" s="2" t="s">
        <v>245</v>
      </c>
      <c r="J6243" s="2" t="s">
        <v>13779</v>
      </c>
      <c r="K6243">
        <v>20</v>
      </c>
      <c r="L6243">
        <v>20</v>
      </c>
      <c r="M6243">
        <v>20</v>
      </c>
    </row>
    <row r="6244" spans="1:13" x14ac:dyDescent="0.25">
      <c r="A6244" t="s">
        <v>13780</v>
      </c>
      <c r="B6244" t="s">
        <v>13778</v>
      </c>
      <c r="C6244" t="s">
        <v>241</v>
      </c>
      <c r="D6244" t="s">
        <v>2216</v>
      </c>
      <c r="F6244">
        <v>6</v>
      </c>
      <c r="G6244" t="s">
        <v>16</v>
      </c>
      <c r="H6244">
        <v>0</v>
      </c>
      <c r="I6244" s="2" t="s">
        <v>996</v>
      </c>
      <c r="J6244" s="2" t="s">
        <v>13781</v>
      </c>
      <c r="K6244">
        <v>20</v>
      </c>
      <c r="L6244">
        <v>20</v>
      </c>
      <c r="M6244">
        <v>20</v>
      </c>
    </row>
    <row r="6245" spans="1:13" x14ac:dyDescent="0.25">
      <c r="A6245" t="s">
        <v>13782</v>
      </c>
      <c r="B6245" t="s">
        <v>13783</v>
      </c>
      <c r="C6245" t="s">
        <v>357</v>
      </c>
      <c r="D6245" t="s">
        <v>241</v>
      </c>
      <c r="F6245">
        <v>6</v>
      </c>
      <c r="G6245" t="s">
        <v>16</v>
      </c>
      <c r="H6245">
        <v>0</v>
      </c>
      <c r="I6245" s="2" t="s">
        <v>64</v>
      </c>
      <c r="J6245" s="2">
        <v>10030474</v>
      </c>
      <c r="K6245">
        <v>20</v>
      </c>
      <c r="L6245">
        <v>20</v>
      </c>
      <c r="M6245">
        <v>20</v>
      </c>
    </row>
    <row r="6246" spans="1:13" x14ac:dyDescent="0.25">
      <c r="A6246" t="s">
        <v>13784</v>
      </c>
      <c r="B6246" t="s">
        <v>13783</v>
      </c>
      <c r="C6246" t="s">
        <v>357</v>
      </c>
      <c r="D6246" t="s">
        <v>241</v>
      </c>
      <c r="F6246">
        <v>1</v>
      </c>
      <c r="G6246" t="s">
        <v>16</v>
      </c>
      <c r="H6246">
        <v>0</v>
      </c>
      <c r="I6246" s="2" t="s">
        <v>737</v>
      </c>
      <c r="J6246" s="2" t="s">
        <v>13785</v>
      </c>
      <c r="K6246">
        <v>20</v>
      </c>
      <c r="L6246">
        <v>20</v>
      </c>
      <c r="M6246">
        <v>20</v>
      </c>
    </row>
    <row r="6247" spans="1:13" x14ac:dyDescent="0.25">
      <c r="A6247" t="s">
        <v>13786</v>
      </c>
      <c r="B6247" t="s">
        <v>13788</v>
      </c>
      <c r="C6247" t="s">
        <v>357</v>
      </c>
      <c r="D6247" t="s">
        <v>241</v>
      </c>
      <c r="F6247">
        <v>1</v>
      </c>
      <c r="G6247" t="s">
        <v>16</v>
      </c>
      <c r="H6247">
        <v>0</v>
      </c>
      <c r="I6247" s="2" t="s">
        <v>3088</v>
      </c>
      <c r="J6247" s="2" t="s">
        <v>13787</v>
      </c>
      <c r="K6247">
        <v>20</v>
      </c>
      <c r="L6247">
        <v>20</v>
      </c>
      <c r="M6247">
        <v>20</v>
      </c>
    </row>
    <row r="6248" spans="1:13" x14ac:dyDescent="0.25">
      <c r="A6248" t="s">
        <v>13789</v>
      </c>
      <c r="B6248" t="s">
        <v>13790</v>
      </c>
      <c r="C6248" t="s">
        <v>357</v>
      </c>
      <c r="D6248" t="s">
        <v>241</v>
      </c>
      <c r="G6248" t="s">
        <v>16</v>
      </c>
      <c r="H6248">
        <v>0</v>
      </c>
      <c r="I6248" s="2" t="s">
        <v>243</v>
      </c>
      <c r="J6248" s="2">
        <v>21489</v>
      </c>
      <c r="K6248">
        <v>20</v>
      </c>
      <c r="L6248">
        <v>20</v>
      </c>
      <c r="M6248">
        <v>20</v>
      </c>
    </row>
    <row r="6249" spans="1:13" x14ac:dyDescent="0.25">
      <c r="A6249" t="s">
        <v>13791</v>
      </c>
      <c r="B6249" t="s">
        <v>13790</v>
      </c>
      <c r="C6249" t="s">
        <v>241</v>
      </c>
      <c r="D6249" t="s">
        <v>2216</v>
      </c>
      <c r="F6249">
        <v>3</v>
      </c>
      <c r="G6249" t="s">
        <v>16</v>
      </c>
      <c r="H6249">
        <v>0</v>
      </c>
      <c r="I6249" s="2" t="s">
        <v>13792</v>
      </c>
      <c r="J6249" s="2">
        <v>21489</v>
      </c>
      <c r="K6249">
        <v>20</v>
      </c>
      <c r="L6249">
        <v>20</v>
      </c>
      <c r="M6249">
        <v>20</v>
      </c>
    </row>
    <row r="6250" spans="1:13" x14ac:dyDescent="0.25">
      <c r="A6250" t="s">
        <v>13793</v>
      </c>
      <c r="B6250" t="s">
        <v>13790</v>
      </c>
      <c r="C6250" t="s">
        <v>241</v>
      </c>
      <c r="D6250" t="s">
        <v>2216</v>
      </c>
      <c r="G6250" t="s">
        <v>16</v>
      </c>
      <c r="H6250">
        <v>0</v>
      </c>
      <c r="I6250" s="2" t="s">
        <v>245</v>
      </c>
      <c r="J6250" s="2" t="s">
        <v>13794</v>
      </c>
      <c r="K6250">
        <v>20</v>
      </c>
      <c r="L6250">
        <v>20</v>
      </c>
      <c r="M6250">
        <v>20</v>
      </c>
    </row>
    <row r="6251" spans="1:13" x14ac:dyDescent="0.25">
      <c r="A6251" t="s">
        <v>13795</v>
      </c>
      <c r="B6251" t="s">
        <v>13796</v>
      </c>
      <c r="C6251" t="s">
        <v>357</v>
      </c>
      <c r="D6251" t="s">
        <v>241</v>
      </c>
      <c r="F6251">
        <v>2</v>
      </c>
      <c r="G6251" t="s">
        <v>16</v>
      </c>
      <c r="H6251">
        <v>0</v>
      </c>
      <c r="I6251" s="2" t="s">
        <v>64</v>
      </c>
      <c r="J6251" s="2">
        <v>10030434</v>
      </c>
      <c r="K6251">
        <v>20</v>
      </c>
      <c r="L6251">
        <v>20</v>
      </c>
      <c r="M6251">
        <v>20</v>
      </c>
    </row>
    <row r="6252" spans="1:13" x14ac:dyDescent="0.25">
      <c r="A6252" t="s">
        <v>13797</v>
      </c>
      <c r="B6252" t="s">
        <v>13796</v>
      </c>
      <c r="C6252" t="s">
        <v>357</v>
      </c>
      <c r="D6252" t="s">
        <v>241</v>
      </c>
      <c r="F6252">
        <v>1</v>
      </c>
      <c r="G6252" t="s">
        <v>16</v>
      </c>
      <c r="H6252">
        <v>0</v>
      </c>
      <c r="I6252" s="2" t="s">
        <v>8578</v>
      </c>
      <c r="J6252" s="2" t="s">
        <v>13798</v>
      </c>
      <c r="K6252">
        <v>20</v>
      </c>
      <c r="L6252">
        <v>20</v>
      </c>
      <c r="M6252">
        <v>20</v>
      </c>
    </row>
    <row r="6253" spans="1:13" x14ac:dyDescent="0.25">
      <c r="A6253" t="s">
        <v>13799</v>
      </c>
      <c r="B6253" t="s">
        <v>13796</v>
      </c>
      <c r="C6253" t="s">
        <v>357</v>
      </c>
      <c r="D6253" t="s">
        <v>241</v>
      </c>
      <c r="G6253" t="s">
        <v>16</v>
      </c>
      <c r="H6253">
        <v>0</v>
      </c>
      <c r="I6253" s="2" t="s">
        <v>737</v>
      </c>
      <c r="J6253" s="2" t="s">
        <v>13800</v>
      </c>
      <c r="K6253">
        <v>20</v>
      </c>
      <c r="L6253">
        <v>20</v>
      </c>
      <c r="M6253">
        <v>20</v>
      </c>
    </row>
    <row r="6254" spans="1:13" x14ac:dyDescent="0.25">
      <c r="A6254" t="s">
        <v>13801</v>
      </c>
      <c r="B6254" t="s">
        <v>13802</v>
      </c>
      <c r="C6254" t="s">
        <v>357</v>
      </c>
      <c r="D6254" t="s">
        <v>241</v>
      </c>
      <c r="F6254">
        <v>1</v>
      </c>
      <c r="G6254" t="s">
        <v>16</v>
      </c>
      <c r="H6254">
        <v>0</v>
      </c>
      <c r="I6254" s="2" t="s">
        <v>243</v>
      </c>
      <c r="J6254" s="2">
        <v>21629</v>
      </c>
      <c r="K6254">
        <v>20</v>
      </c>
      <c r="L6254">
        <v>20</v>
      </c>
      <c r="M6254">
        <v>20</v>
      </c>
    </row>
    <row r="6255" spans="1:13" x14ac:dyDescent="0.25">
      <c r="A6255" t="s">
        <v>13803</v>
      </c>
      <c r="B6255" t="s">
        <v>13802</v>
      </c>
      <c r="C6255" t="s">
        <v>357</v>
      </c>
      <c r="D6255" t="s">
        <v>241</v>
      </c>
      <c r="F6255">
        <v>1</v>
      </c>
      <c r="G6255" t="s">
        <v>16</v>
      </c>
      <c r="H6255">
        <v>0</v>
      </c>
      <c r="I6255" s="2" t="s">
        <v>737</v>
      </c>
      <c r="J6255" s="2" t="s">
        <v>13804</v>
      </c>
      <c r="K6255">
        <v>20</v>
      </c>
      <c r="L6255">
        <v>20</v>
      </c>
      <c r="M6255">
        <v>20</v>
      </c>
    </row>
    <row r="6256" spans="1:13" x14ac:dyDescent="0.25">
      <c r="A6256" t="s">
        <v>13805</v>
      </c>
      <c r="B6256" t="s">
        <v>13806</v>
      </c>
      <c r="C6256" t="s">
        <v>357</v>
      </c>
      <c r="D6256" t="s">
        <v>241</v>
      </c>
      <c r="F6256">
        <v>1</v>
      </c>
      <c r="G6256" t="s">
        <v>16</v>
      </c>
      <c r="H6256">
        <v>0</v>
      </c>
      <c r="I6256" s="2" t="s">
        <v>243</v>
      </c>
      <c r="J6256" s="2">
        <v>21144</v>
      </c>
      <c r="K6256">
        <v>20</v>
      </c>
      <c r="L6256">
        <v>20</v>
      </c>
      <c r="M6256">
        <v>20</v>
      </c>
    </row>
    <row r="6257" spans="1:13" x14ac:dyDescent="0.25">
      <c r="A6257" t="s">
        <v>13807</v>
      </c>
      <c r="B6257" t="s">
        <v>13808</v>
      </c>
      <c r="C6257" t="s">
        <v>357</v>
      </c>
      <c r="D6257" t="s">
        <v>241</v>
      </c>
      <c r="F6257">
        <v>1</v>
      </c>
      <c r="G6257" t="s">
        <v>16</v>
      </c>
      <c r="H6257">
        <v>0</v>
      </c>
      <c r="I6257" s="2" t="s">
        <v>243</v>
      </c>
      <c r="J6257" s="2">
        <v>21307</v>
      </c>
      <c r="K6257">
        <v>20</v>
      </c>
      <c r="L6257">
        <v>20</v>
      </c>
      <c r="M6257">
        <v>20</v>
      </c>
    </row>
    <row r="6258" spans="1:13" x14ac:dyDescent="0.25">
      <c r="A6258" t="s">
        <v>13809</v>
      </c>
      <c r="B6258" t="s">
        <v>13808</v>
      </c>
      <c r="C6258" t="s">
        <v>357</v>
      </c>
      <c r="D6258" t="s">
        <v>241</v>
      </c>
      <c r="G6258" t="s">
        <v>16</v>
      </c>
      <c r="H6258">
        <v>0</v>
      </c>
      <c r="I6258" s="2" t="s">
        <v>245</v>
      </c>
      <c r="J6258" s="2" t="s">
        <v>13810</v>
      </c>
      <c r="K6258">
        <v>20</v>
      </c>
      <c r="L6258">
        <v>20</v>
      </c>
      <c r="M6258">
        <v>20</v>
      </c>
    </row>
    <row r="6259" spans="1:13" x14ac:dyDescent="0.25">
      <c r="A6259" t="s">
        <v>13811</v>
      </c>
      <c r="B6259" t="s">
        <v>13808</v>
      </c>
      <c r="C6259" t="s">
        <v>357</v>
      </c>
      <c r="D6259" t="s">
        <v>241</v>
      </c>
      <c r="G6259" t="s">
        <v>16</v>
      </c>
      <c r="H6259">
        <v>0</v>
      </c>
      <c r="I6259" s="2" t="s">
        <v>737</v>
      </c>
      <c r="J6259" s="2" t="s">
        <v>13812</v>
      </c>
      <c r="K6259">
        <v>20</v>
      </c>
      <c r="L6259">
        <v>20</v>
      </c>
      <c r="M6259">
        <v>20</v>
      </c>
    </row>
    <row r="6260" spans="1:13" x14ac:dyDescent="0.25">
      <c r="A6260" t="s">
        <v>13813</v>
      </c>
      <c r="B6260" t="s">
        <v>13815</v>
      </c>
      <c r="C6260" t="s">
        <v>357</v>
      </c>
      <c r="D6260" t="s">
        <v>241</v>
      </c>
      <c r="F6260">
        <v>4</v>
      </c>
      <c r="G6260" t="s">
        <v>16</v>
      </c>
      <c r="H6260">
        <v>0</v>
      </c>
      <c r="I6260" s="2" t="s">
        <v>288</v>
      </c>
      <c r="J6260" s="2" t="s">
        <v>13814</v>
      </c>
      <c r="K6260">
        <v>20</v>
      </c>
      <c r="L6260">
        <v>20</v>
      </c>
      <c r="M6260">
        <v>20</v>
      </c>
    </row>
    <row r="6261" spans="1:13" x14ac:dyDescent="0.25">
      <c r="A6261" t="s">
        <v>13816</v>
      </c>
      <c r="B6261" t="s">
        <v>13815</v>
      </c>
      <c r="C6261" t="s">
        <v>357</v>
      </c>
      <c r="D6261" t="s">
        <v>241</v>
      </c>
      <c r="G6261" t="s">
        <v>16</v>
      </c>
      <c r="H6261">
        <v>0</v>
      </c>
      <c r="I6261" s="2" t="s">
        <v>8700</v>
      </c>
      <c r="J6261" s="2" t="s">
        <v>13817</v>
      </c>
      <c r="K6261">
        <v>20</v>
      </c>
      <c r="L6261">
        <v>20</v>
      </c>
      <c r="M6261">
        <v>20</v>
      </c>
    </row>
    <row r="6262" spans="1:13" x14ac:dyDescent="0.25">
      <c r="A6262" t="s">
        <v>13818</v>
      </c>
      <c r="B6262" t="s">
        <v>13815</v>
      </c>
      <c r="C6262" t="s">
        <v>357</v>
      </c>
      <c r="D6262" t="s">
        <v>241</v>
      </c>
      <c r="F6262">
        <v>1</v>
      </c>
      <c r="G6262" t="s">
        <v>16</v>
      </c>
      <c r="H6262">
        <v>0</v>
      </c>
      <c r="I6262" s="2" t="s">
        <v>243</v>
      </c>
      <c r="J6262" s="2">
        <v>21306</v>
      </c>
      <c r="K6262">
        <v>20</v>
      </c>
      <c r="L6262">
        <v>20</v>
      </c>
      <c r="M6262">
        <v>20</v>
      </c>
    </row>
    <row r="6263" spans="1:13" x14ac:dyDescent="0.25">
      <c r="A6263" t="s">
        <v>13819</v>
      </c>
      <c r="B6263" t="s">
        <v>13815</v>
      </c>
      <c r="C6263" t="s">
        <v>357</v>
      </c>
      <c r="D6263" t="s">
        <v>241</v>
      </c>
      <c r="F6263">
        <v>3</v>
      </c>
      <c r="G6263" t="s">
        <v>16</v>
      </c>
      <c r="H6263">
        <v>0</v>
      </c>
      <c r="I6263" s="2" t="s">
        <v>221</v>
      </c>
      <c r="J6263" s="2">
        <v>21306</v>
      </c>
      <c r="K6263">
        <v>20</v>
      </c>
      <c r="L6263">
        <v>20</v>
      </c>
      <c r="M6263">
        <v>20</v>
      </c>
    </row>
    <row r="6264" spans="1:13" x14ac:dyDescent="0.25">
      <c r="A6264" t="s">
        <v>13820</v>
      </c>
      <c r="B6264" t="s">
        <v>13815</v>
      </c>
      <c r="C6264" t="s">
        <v>241</v>
      </c>
      <c r="D6264" t="s">
        <v>2216</v>
      </c>
      <c r="F6264">
        <v>1</v>
      </c>
      <c r="G6264" t="s">
        <v>16</v>
      </c>
      <c r="H6264">
        <v>0</v>
      </c>
      <c r="I6264" s="2" t="s">
        <v>245</v>
      </c>
      <c r="J6264" s="2" t="s">
        <v>13821</v>
      </c>
      <c r="K6264">
        <v>20</v>
      </c>
      <c r="L6264">
        <v>20</v>
      </c>
      <c r="M6264">
        <v>20</v>
      </c>
    </row>
    <row r="6265" spans="1:13" x14ac:dyDescent="0.25">
      <c r="A6265" t="s">
        <v>13822</v>
      </c>
      <c r="B6265" t="s">
        <v>13815</v>
      </c>
      <c r="C6265" t="s">
        <v>357</v>
      </c>
      <c r="D6265" t="s">
        <v>241</v>
      </c>
      <c r="F6265">
        <v>1</v>
      </c>
      <c r="G6265" t="s">
        <v>16</v>
      </c>
      <c r="H6265">
        <v>0</v>
      </c>
      <c r="I6265" s="2" t="s">
        <v>737</v>
      </c>
      <c r="J6265" s="2" t="s">
        <v>13823</v>
      </c>
      <c r="K6265">
        <v>20</v>
      </c>
      <c r="L6265">
        <v>20</v>
      </c>
      <c r="M6265">
        <v>20</v>
      </c>
    </row>
    <row r="6266" spans="1:13" x14ac:dyDescent="0.25">
      <c r="A6266" t="s">
        <v>13824</v>
      </c>
      <c r="B6266" t="s">
        <v>13826</v>
      </c>
      <c r="C6266" t="s">
        <v>357</v>
      </c>
      <c r="D6266" t="s">
        <v>241</v>
      </c>
      <c r="F6266">
        <v>2</v>
      </c>
      <c r="G6266" t="s">
        <v>16</v>
      </c>
      <c r="H6266">
        <v>0</v>
      </c>
      <c r="I6266" s="2" t="s">
        <v>288</v>
      </c>
      <c r="J6266" s="2" t="s">
        <v>13825</v>
      </c>
      <c r="K6266">
        <v>20</v>
      </c>
      <c r="L6266">
        <v>20</v>
      </c>
      <c r="M6266">
        <v>20</v>
      </c>
    </row>
    <row r="6267" spans="1:13" x14ac:dyDescent="0.25">
      <c r="A6267" t="s">
        <v>13827</v>
      </c>
      <c r="B6267" t="s">
        <v>13826</v>
      </c>
      <c r="C6267" t="s">
        <v>357</v>
      </c>
      <c r="D6267" t="s">
        <v>241</v>
      </c>
      <c r="F6267">
        <v>2</v>
      </c>
      <c r="G6267" t="s">
        <v>16</v>
      </c>
      <c r="H6267">
        <v>0</v>
      </c>
      <c r="I6267" s="2" t="s">
        <v>221</v>
      </c>
      <c r="J6267" s="2">
        <v>21328</v>
      </c>
      <c r="K6267">
        <v>20</v>
      </c>
      <c r="L6267">
        <v>20</v>
      </c>
      <c r="M6267">
        <v>20</v>
      </c>
    </row>
    <row r="6268" spans="1:13" x14ac:dyDescent="0.25">
      <c r="A6268" t="s">
        <v>13828</v>
      </c>
      <c r="B6268" t="s">
        <v>13826</v>
      </c>
      <c r="C6268" t="s">
        <v>357</v>
      </c>
      <c r="D6268" t="s">
        <v>241</v>
      </c>
      <c r="G6268" t="s">
        <v>16</v>
      </c>
      <c r="H6268">
        <v>0</v>
      </c>
      <c r="I6268" s="2" t="s">
        <v>245</v>
      </c>
      <c r="J6268" s="2" t="s">
        <v>13829</v>
      </c>
      <c r="K6268">
        <v>20</v>
      </c>
      <c r="L6268">
        <v>20</v>
      </c>
      <c r="M6268">
        <v>20</v>
      </c>
    </row>
    <row r="6269" spans="1:13" x14ac:dyDescent="0.25">
      <c r="A6269" t="s">
        <v>13830</v>
      </c>
      <c r="B6269" t="s">
        <v>13826</v>
      </c>
      <c r="C6269" t="s">
        <v>357</v>
      </c>
      <c r="D6269" t="s">
        <v>241</v>
      </c>
      <c r="G6269" t="s">
        <v>16</v>
      </c>
      <c r="H6269">
        <v>0</v>
      </c>
      <c r="I6269" s="2" t="s">
        <v>737</v>
      </c>
      <c r="J6269" s="2" t="s">
        <v>13831</v>
      </c>
      <c r="K6269">
        <v>20</v>
      </c>
      <c r="L6269">
        <v>20</v>
      </c>
      <c r="M6269">
        <v>20</v>
      </c>
    </row>
    <row r="6270" spans="1:13" x14ac:dyDescent="0.25">
      <c r="A6270">
        <v>6336123</v>
      </c>
      <c r="B6270" t="s">
        <v>13832</v>
      </c>
      <c r="C6270" t="s">
        <v>357</v>
      </c>
      <c r="D6270" t="s">
        <v>241</v>
      </c>
      <c r="G6270" t="s">
        <v>16</v>
      </c>
      <c r="H6270">
        <v>0</v>
      </c>
      <c r="I6270" s="2" t="s">
        <v>497</v>
      </c>
      <c r="J6270" s="2">
        <v>13197669</v>
      </c>
      <c r="K6270">
        <v>20</v>
      </c>
      <c r="L6270">
        <v>20</v>
      </c>
      <c r="M6270">
        <v>20</v>
      </c>
    </row>
    <row r="6271" spans="1:13" x14ac:dyDescent="0.25">
      <c r="A6271" t="s">
        <v>13833</v>
      </c>
      <c r="B6271" t="s">
        <v>13834</v>
      </c>
      <c r="C6271" t="s">
        <v>357</v>
      </c>
      <c r="D6271" t="s">
        <v>241</v>
      </c>
      <c r="F6271">
        <v>2</v>
      </c>
      <c r="G6271" t="s">
        <v>16</v>
      </c>
      <c r="H6271">
        <v>0</v>
      </c>
      <c r="I6271" s="2" t="s">
        <v>64</v>
      </c>
      <c r="J6271" s="2">
        <v>10031567</v>
      </c>
      <c r="K6271">
        <v>20</v>
      </c>
      <c r="L6271">
        <v>20</v>
      </c>
      <c r="M6271">
        <v>20</v>
      </c>
    </row>
    <row r="6272" spans="1:13" x14ac:dyDescent="0.25">
      <c r="A6272" t="s">
        <v>13835</v>
      </c>
      <c r="B6272" t="s">
        <v>13836</v>
      </c>
      <c r="C6272" t="s">
        <v>357</v>
      </c>
      <c r="D6272" t="s">
        <v>241</v>
      </c>
      <c r="F6272">
        <v>3</v>
      </c>
      <c r="G6272" t="s">
        <v>16</v>
      </c>
      <c r="H6272">
        <v>0</v>
      </c>
      <c r="I6272" s="2" t="s">
        <v>243</v>
      </c>
      <c r="J6272" s="2">
        <v>21354</v>
      </c>
      <c r="K6272">
        <v>20</v>
      </c>
      <c r="L6272">
        <v>20</v>
      </c>
      <c r="M6272">
        <v>20</v>
      </c>
    </row>
    <row r="6273" spans="1:13" x14ac:dyDescent="0.25">
      <c r="A6273" t="s">
        <v>13837</v>
      </c>
      <c r="B6273" t="s">
        <v>13836</v>
      </c>
      <c r="C6273" t="s">
        <v>357</v>
      </c>
      <c r="D6273" t="s">
        <v>241</v>
      </c>
      <c r="G6273" t="s">
        <v>16</v>
      </c>
      <c r="H6273">
        <v>0</v>
      </c>
      <c r="I6273" s="2" t="s">
        <v>245</v>
      </c>
      <c r="J6273" s="2" t="s">
        <v>13838</v>
      </c>
      <c r="K6273">
        <v>20</v>
      </c>
      <c r="L6273">
        <v>20</v>
      </c>
      <c r="M6273">
        <v>20</v>
      </c>
    </row>
    <row r="6274" spans="1:13" x14ac:dyDescent="0.25">
      <c r="A6274" t="s">
        <v>13839</v>
      </c>
      <c r="B6274" t="s">
        <v>13840</v>
      </c>
      <c r="C6274" t="s">
        <v>357</v>
      </c>
      <c r="D6274" t="s">
        <v>241</v>
      </c>
      <c r="F6274">
        <v>5</v>
      </c>
      <c r="G6274" t="s">
        <v>16</v>
      </c>
      <c r="H6274">
        <v>0</v>
      </c>
      <c r="I6274" s="2" t="s">
        <v>243</v>
      </c>
      <c r="J6274" s="2">
        <v>21375</v>
      </c>
      <c r="K6274">
        <v>20</v>
      </c>
      <c r="L6274">
        <v>20</v>
      </c>
      <c r="M6274">
        <v>20</v>
      </c>
    </row>
    <row r="6275" spans="1:13" x14ac:dyDescent="0.25">
      <c r="A6275" t="s">
        <v>13841</v>
      </c>
      <c r="B6275" t="s">
        <v>13840</v>
      </c>
      <c r="C6275" t="s">
        <v>357</v>
      </c>
      <c r="D6275" t="s">
        <v>241</v>
      </c>
      <c r="G6275" t="s">
        <v>16</v>
      </c>
      <c r="H6275">
        <v>0</v>
      </c>
      <c r="I6275" s="2" t="s">
        <v>245</v>
      </c>
      <c r="J6275" s="2" t="s">
        <v>13842</v>
      </c>
      <c r="K6275">
        <v>20</v>
      </c>
      <c r="L6275">
        <v>20</v>
      </c>
      <c r="M6275">
        <v>20</v>
      </c>
    </row>
    <row r="6276" spans="1:13" x14ac:dyDescent="0.25">
      <c r="A6276" t="s">
        <v>13843</v>
      </c>
      <c r="B6276" t="s">
        <v>13844</v>
      </c>
      <c r="C6276" t="s">
        <v>357</v>
      </c>
      <c r="D6276" t="s">
        <v>241</v>
      </c>
      <c r="F6276">
        <v>2</v>
      </c>
      <c r="G6276" t="s">
        <v>16</v>
      </c>
      <c r="H6276">
        <v>0</v>
      </c>
      <c r="I6276" s="2" t="s">
        <v>243</v>
      </c>
      <c r="J6276" s="2">
        <v>21229</v>
      </c>
      <c r="K6276">
        <v>20</v>
      </c>
      <c r="L6276">
        <v>20</v>
      </c>
      <c r="M6276">
        <v>20</v>
      </c>
    </row>
    <row r="6277" spans="1:13" x14ac:dyDescent="0.25">
      <c r="A6277" t="s">
        <v>13845</v>
      </c>
      <c r="B6277" t="s">
        <v>13847</v>
      </c>
      <c r="C6277" t="s">
        <v>357</v>
      </c>
      <c r="D6277" t="s">
        <v>241</v>
      </c>
      <c r="F6277">
        <v>1</v>
      </c>
      <c r="G6277" t="s">
        <v>16</v>
      </c>
      <c r="H6277">
        <v>0</v>
      </c>
      <c r="I6277" s="2" t="s">
        <v>288</v>
      </c>
      <c r="J6277" s="2" t="s">
        <v>13846</v>
      </c>
      <c r="K6277">
        <v>20</v>
      </c>
      <c r="L6277">
        <v>20</v>
      </c>
      <c r="M6277">
        <v>20</v>
      </c>
    </row>
    <row r="6278" spans="1:13" x14ac:dyDescent="0.25">
      <c r="A6278" t="s">
        <v>13848</v>
      </c>
      <c r="B6278" t="s">
        <v>13850</v>
      </c>
      <c r="C6278" t="s">
        <v>357</v>
      </c>
      <c r="D6278" t="s">
        <v>241</v>
      </c>
      <c r="F6278">
        <v>2</v>
      </c>
      <c r="G6278" t="s">
        <v>16</v>
      </c>
      <c r="H6278">
        <v>0</v>
      </c>
      <c r="I6278" s="2" t="s">
        <v>784</v>
      </c>
      <c r="J6278" s="2" t="s">
        <v>13849</v>
      </c>
      <c r="K6278">
        <v>20</v>
      </c>
      <c r="L6278">
        <v>20</v>
      </c>
      <c r="M6278">
        <v>20</v>
      </c>
    </row>
    <row r="6279" spans="1:13" x14ac:dyDescent="0.25">
      <c r="A6279" t="s">
        <v>13851</v>
      </c>
      <c r="B6279" t="s">
        <v>13853</v>
      </c>
      <c r="C6279" t="s">
        <v>357</v>
      </c>
      <c r="D6279" t="s">
        <v>358</v>
      </c>
      <c r="F6279">
        <v>3</v>
      </c>
      <c r="G6279" t="s">
        <v>16</v>
      </c>
      <c r="H6279">
        <v>0</v>
      </c>
      <c r="I6279" s="2" t="s">
        <v>288</v>
      </c>
      <c r="J6279" s="2" t="s">
        <v>13852</v>
      </c>
      <c r="K6279">
        <v>20</v>
      </c>
      <c r="L6279">
        <v>20</v>
      </c>
      <c r="M6279">
        <v>20</v>
      </c>
    </row>
    <row r="6280" spans="1:13" x14ac:dyDescent="0.25">
      <c r="A6280" t="s">
        <v>13854</v>
      </c>
      <c r="B6280" t="s">
        <v>13853</v>
      </c>
      <c r="C6280" t="s">
        <v>357</v>
      </c>
      <c r="D6280" t="s">
        <v>358</v>
      </c>
      <c r="F6280">
        <v>1</v>
      </c>
      <c r="G6280" t="s">
        <v>16</v>
      </c>
      <c r="H6280">
        <v>0</v>
      </c>
      <c r="I6280" s="2" t="s">
        <v>491</v>
      </c>
      <c r="J6280" s="2">
        <v>359001200250</v>
      </c>
      <c r="K6280">
        <v>20</v>
      </c>
      <c r="L6280">
        <v>20</v>
      </c>
      <c r="M6280">
        <v>20</v>
      </c>
    </row>
    <row r="6281" spans="1:13" x14ac:dyDescent="0.25">
      <c r="A6281" t="s">
        <v>13855</v>
      </c>
      <c r="B6281" t="s">
        <v>13856</v>
      </c>
      <c r="C6281" t="s">
        <v>20</v>
      </c>
      <c r="D6281" t="s">
        <v>26</v>
      </c>
      <c r="F6281">
        <v>5</v>
      </c>
      <c r="G6281" t="s">
        <v>16</v>
      </c>
      <c r="H6281">
        <v>0</v>
      </c>
      <c r="I6281" s="2" t="s">
        <v>97</v>
      </c>
      <c r="J6281" s="3">
        <v>808340</v>
      </c>
      <c r="K6281">
        <v>20</v>
      </c>
      <c r="L6281">
        <v>20</v>
      </c>
      <c r="M6281">
        <v>20</v>
      </c>
    </row>
    <row r="6282" spans="1:13" x14ac:dyDescent="0.25">
      <c r="A6282" t="s">
        <v>13857</v>
      </c>
      <c r="B6282" t="s">
        <v>13859</v>
      </c>
      <c r="C6282" t="s">
        <v>357</v>
      </c>
      <c r="D6282" t="s">
        <v>358</v>
      </c>
      <c r="F6282">
        <v>3</v>
      </c>
      <c r="G6282" t="s">
        <v>16</v>
      </c>
      <c r="H6282">
        <v>0</v>
      </c>
      <c r="I6282" s="2" t="s">
        <v>288</v>
      </c>
      <c r="J6282" s="2" t="s">
        <v>13858</v>
      </c>
      <c r="K6282">
        <v>20</v>
      </c>
      <c r="L6282">
        <v>20</v>
      </c>
      <c r="M6282">
        <v>20</v>
      </c>
    </row>
    <row r="6283" spans="1:13" x14ac:dyDescent="0.25">
      <c r="A6283" t="s">
        <v>13860</v>
      </c>
      <c r="B6283" t="s">
        <v>13859</v>
      </c>
      <c r="C6283" t="s">
        <v>357</v>
      </c>
      <c r="D6283" t="s">
        <v>358</v>
      </c>
      <c r="G6283" t="s">
        <v>16</v>
      </c>
      <c r="H6283">
        <v>0</v>
      </c>
      <c r="I6283" s="2" t="s">
        <v>3421</v>
      </c>
      <c r="J6283" s="2" t="s">
        <v>13861</v>
      </c>
      <c r="K6283">
        <v>20</v>
      </c>
      <c r="L6283">
        <v>20</v>
      </c>
      <c r="M6283">
        <v>20</v>
      </c>
    </row>
    <row r="6284" spans="1:13" x14ac:dyDescent="0.25">
      <c r="A6284" t="s">
        <v>13862</v>
      </c>
      <c r="B6284" t="s">
        <v>13859</v>
      </c>
      <c r="C6284" t="s">
        <v>357</v>
      </c>
      <c r="D6284" t="s">
        <v>358</v>
      </c>
      <c r="G6284" t="s">
        <v>16</v>
      </c>
      <c r="H6284">
        <v>0</v>
      </c>
      <c r="I6284" s="2" t="s">
        <v>3481</v>
      </c>
      <c r="J6284" s="2" t="s">
        <v>13863</v>
      </c>
      <c r="K6284">
        <v>20</v>
      </c>
      <c r="L6284">
        <v>20</v>
      </c>
      <c r="M6284">
        <v>20</v>
      </c>
    </row>
    <row r="6285" spans="1:13" x14ac:dyDescent="0.25">
      <c r="A6285" t="s">
        <v>13864</v>
      </c>
      <c r="B6285" t="s">
        <v>13859</v>
      </c>
      <c r="C6285" t="s">
        <v>357</v>
      </c>
      <c r="D6285" t="s">
        <v>358</v>
      </c>
      <c r="G6285" t="s">
        <v>16</v>
      </c>
      <c r="H6285">
        <v>0</v>
      </c>
      <c r="I6285" s="2" t="s">
        <v>2896</v>
      </c>
      <c r="J6285" s="2">
        <v>131132</v>
      </c>
      <c r="K6285">
        <v>20</v>
      </c>
      <c r="L6285">
        <v>20</v>
      </c>
      <c r="M6285">
        <v>20</v>
      </c>
    </row>
    <row r="6286" spans="1:13" x14ac:dyDescent="0.25">
      <c r="A6286" t="s">
        <v>13865</v>
      </c>
      <c r="B6286" t="s">
        <v>13866</v>
      </c>
      <c r="C6286" t="s">
        <v>357</v>
      </c>
      <c r="D6286" t="s">
        <v>358</v>
      </c>
      <c r="F6286">
        <v>3</v>
      </c>
      <c r="G6286" t="s">
        <v>16</v>
      </c>
      <c r="H6286">
        <v>0</v>
      </c>
      <c r="I6286" s="2" t="s">
        <v>11897</v>
      </c>
      <c r="J6286" s="2" t="s">
        <v>13867</v>
      </c>
      <c r="K6286">
        <v>20</v>
      </c>
      <c r="L6286">
        <v>20</v>
      </c>
      <c r="M6286">
        <v>20</v>
      </c>
    </row>
    <row r="6287" spans="1:13" x14ac:dyDescent="0.25">
      <c r="A6287" t="s">
        <v>13868</v>
      </c>
      <c r="B6287" t="s">
        <v>13869</v>
      </c>
      <c r="C6287" t="s">
        <v>357</v>
      </c>
      <c r="D6287" t="s">
        <v>358</v>
      </c>
      <c r="F6287">
        <v>1</v>
      </c>
      <c r="G6287" t="s">
        <v>16</v>
      </c>
      <c r="H6287">
        <v>0</v>
      </c>
      <c r="I6287" s="2" t="s">
        <v>142</v>
      </c>
      <c r="J6287" s="2" t="s">
        <v>13870</v>
      </c>
      <c r="K6287">
        <v>20</v>
      </c>
      <c r="L6287">
        <v>20</v>
      </c>
      <c r="M6287">
        <v>20</v>
      </c>
    </row>
    <row r="6288" spans="1:13" x14ac:dyDescent="0.25">
      <c r="A6288" t="s">
        <v>13871</v>
      </c>
      <c r="B6288" t="s">
        <v>13869</v>
      </c>
      <c r="C6288" t="s">
        <v>357</v>
      </c>
      <c r="D6288" t="s">
        <v>358</v>
      </c>
      <c r="F6288">
        <v>5</v>
      </c>
      <c r="G6288" t="s">
        <v>16</v>
      </c>
      <c r="H6288">
        <v>0</v>
      </c>
      <c r="I6288" s="2" t="s">
        <v>288</v>
      </c>
      <c r="J6288" s="2" t="s">
        <v>13872</v>
      </c>
      <c r="K6288">
        <v>20</v>
      </c>
      <c r="L6288">
        <v>20</v>
      </c>
      <c r="M6288">
        <v>20</v>
      </c>
    </row>
    <row r="6289" spans="1:13" x14ac:dyDescent="0.25">
      <c r="A6289" t="s">
        <v>13873</v>
      </c>
      <c r="B6289" t="s">
        <v>13869</v>
      </c>
      <c r="C6289" t="s">
        <v>357</v>
      </c>
      <c r="D6289" t="s">
        <v>358</v>
      </c>
      <c r="G6289" t="s">
        <v>16</v>
      </c>
      <c r="H6289">
        <v>0</v>
      </c>
      <c r="I6289" s="2" t="s">
        <v>3421</v>
      </c>
      <c r="J6289" s="2" t="s">
        <v>13874</v>
      </c>
      <c r="K6289">
        <v>20</v>
      </c>
      <c r="L6289">
        <v>20</v>
      </c>
      <c r="M6289">
        <v>20</v>
      </c>
    </row>
    <row r="6290" spans="1:13" x14ac:dyDescent="0.25">
      <c r="A6290" t="s">
        <v>13875</v>
      </c>
      <c r="B6290" t="s">
        <v>13869</v>
      </c>
      <c r="C6290" t="s">
        <v>357</v>
      </c>
      <c r="D6290" t="s">
        <v>358</v>
      </c>
      <c r="G6290" t="s">
        <v>16</v>
      </c>
      <c r="H6290">
        <v>0</v>
      </c>
      <c r="I6290" s="2" t="s">
        <v>319</v>
      </c>
      <c r="J6290" s="2" t="s">
        <v>13876</v>
      </c>
      <c r="K6290">
        <v>20</v>
      </c>
      <c r="L6290">
        <v>20</v>
      </c>
      <c r="M6290">
        <v>20</v>
      </c>
    </row>
    <row r="6291" spans="1:13" x14ac:dyDescent="0.25">
      <c r="A6291" t="s">
        <v>13877</v>
      </c>
      <c r="B6291" t="s">
        <v>13869</v>
      </c>
      <c r="C6291" t="s">
        <v>357</v>
      </c>
      <c r="D6291" t="s">
        <v>358</v>
      </c>
      <c r="G6291" t="s">
        <v>16</v>
      </c>
      <c r="H6291">
        <v>0</v>
      </c>
      <c r="I6291" s="2" t="s">
        <v>715</v>
      </c>
      <c r="J6291" s="2" t="s">
        <v>13878</v>
      </c>
      <c r="K6291">
        <v>20</v>
      </c>
      <c r="L6291">
        <v>20</v>
      </c>
      <c r="M6291">
        <v>20</v>
      </c>
    </row>
    <row r="6292" spans="1:13" x14ac:dyDescent="0.25">
      <c r="A6292" t="s">
        <v>13879</v>
      </c>
      <c r="B6292" t="s">
        <v>13880</v>
      </c>
      <c r="C6292" t="s">
        <v>151</v>
      </c>
      <c r="D6292" t="s">
        <v>152</v>
      </c>
      <c r="F6292">
        <v>2</v>
      </c>
      <c r="G6292" t="s">
        <v>16</v>
      </c>
      <c r="H6292">
        <v>0</v>
      </c>
      <c r="I6292" s="2" t="s">
        <v>953</v>
      </c>
      <c r="J6292" s="2">
        <v>33700</v>
      </c>
      <c r="K6292">
        <v>20</v>
      </c>
      <c r="L6292">
        <v>20</v>
      </c>
      <c r="M6292">
        <v>20</v>
      </c>
    </row>
    <row r="6293" spans="1:13" x14ac:dyDescent="0.25">
      <c r="A6293" t="s">
        <v>13881</v>
      </c>
      <c r="B6293" t="s">
        <v>13883</v>
      </c>
      <c r="C6293" t="s">
        <v>357</v>
      </c>
      <c r="D6293" t="s">
        <v>358</v>
      </c>
      <c r="F6293">
        <v>2</v>
      </c>
      <c r="G6293" t="s">
        <v>16</v>
      </c>
      <c r="H6293">
        <v>0</v>
      </c>
      <c r="I6293" s="2" t="s">
        <v>288</v>
      </c>
      <c r="J6293" s="2" t="s">
        <v>13882</v>
      </c>
      <c r="K6293">
        <v>20</v>
      </c>
      <c r="L6293">
        <v>20</v>
      </c>
      <c r="M6293">
        <v>20</v>
      </c>
    </row>
    <row r="6294" spans="1:13" x14ac:dyDescent="0.25">
      <c r="A6294" t="s">
        <v>13884</v>
      </c>
      <c r="B6294" t="s">
        <v>13885</v>
      </c>
      <c r="C6294" t="s">
        <v>357</v>
      </c>
      <c r="D6294" t="s">
        <v>358</v>
      </c>
      <c r="F6294">
        <v>1</v>
      </c>
      <c r="G6294" t="s">
        <v>16</v>
      </c>
      <c r="H6294">
        <v>0</v>
      </c>
      <c r="I6294" s="2" t="s">
        <v>988</v>
      </c>
      <c r="J6294" s="2" t="s">
        <v>13886</v>
      </c>
      <c r="K6294">
        <v>20</v>
      </c>
      <c r="L6294">
        <v>20</v>
      </c>
      <c r="M6294">
        <v>20</v>
      </c>
    </row>
    <row r="6295" spans="1:13" x14ac:dyDescent="0.25">
      <c r="A6295" t="s">
        <v>13887</v>
      </c>
      <c r="B6295" t="s">
        <v>13883</v>
      </c>
      <c r="C6295" t="s">
        <v>357</v>
      </c>
      <c r="D6295" t="s">
        <v>358</v>
      </c>
      <c r="F6295">
        <v>1</v>
      </c>
      <c r="G6295" t="s">
        <v>16</v>
      </c>
      <c r="H6295">
        <v>0</v>
      </c>
      <c r="I6295" s="2" t="s">
        <v>598</v>
      </c>
      <c r="J6295" s="2">
        <v>572365</v>
      </c>
      <c r="K6295">
        <v>20</v>
      </c>
      <c r="L6295">
        <v>20</v>
      </c>
      <c r="M6295">
        <v>20</v>
      </c>
    </row>
    <row r="6296" spans="1:13" x14ac:dyDescent="0.25">
      <c r="A6296" t="s">
        <v>13888</v>
      </c>
      <c r="B6296" t="s">
        <v>13883</v>
      </c>
      <c r="C6296" t="s">
        <v>357</v>
      </c>
      <c r="D6296" t="s">
        <v>358</v>
      </c>
      <c r="G6296" t="s">
        <v>16</v>
      </c>
      <c r="H6296">
        <v>0</v>
      </c>
      <c r="I6296" s="2" t="s">
        <v>491</v>
      </c>
      <c r="J6296" s="2">
        <v>359001202350</v>
      </c>
      <c r="K6296">
        <v>20</v>
      </c>
      <c r="L6296">
        <v>20</v>
      </c>
      <c r="M6296">
        <v>20</v>
      </c>
    </row>
    <row r="6297" spans="1:13" x14ac:dyDescent="0.25">
      <c r="A6297" t="s">
        <v>13889</v>
      </c>
      <c r="B6297" t="s">
        <v>13883</v>
      </c>
      <c r="C6297" t="s">
        <v>357</v>
      </c>
      <c r="D6297" t="s">
        <v>358</v>
      </c>
      <c r="F6297">
        <v>1</v>
      </c>
      <c r="G6297" t="s">
        <v>16</v>
      </c>
      <c r="H6297">
        <v>0</v>
      </c>
      <c r="I6297" s="2" t="s">
        <v>162</v>
      </c>
      <c r="J6297" s="2">
        <v>85110</v>
      </c>
      <c r="K6297">
        <v>20</v>
      </c>
      <c r="L6297">
        <v>20</v>
      </c>
      <c r="M6297">
        <v>20</v>
      </c>
    </row>
    <row r="6298" spans="1:13" x14ac:dyDescent="0.25">
      <c r="A6298" t="s">
        <v>13890</v>
      </c>
      <c r="B6298" t="s">
        <v>13885</v>
      </c>
      <c r="C6298" t="s">
        <v>357</v>
      </c>
      <c r="D6298" t="s">
        <v>358</v>
      </c>
      <c r="G6298" t="s">
        <v>16</v>
      </c>
      <c r="H6298">
        <v>0</v>
      </c>
      <c r="I6298" s="2" t="s">
        <v>1463</v>
      </c>
      <c r="J6298" s="2" t="s">
        <v>13891</v>
      </c>
      <c r="K6298">
        <v>20</v>
      </c>
      <c r="L6298">
        <v>20</v>
      </c>
      <c r="M6298">
        <v>20</v>
      </c>
    </row>
    <row r="6299" spans="1:13" x14ac:dyDescent="0.25">
      <c r="A6299" t="s">
        <v>13892</v>
      </c>
      <c r="B6299" t="s">
        <v>13885</v>
      </c>
      <c r="C6299" t="s">
        <v>357</v>
      </c>
      <c r="D6299" t="s">
        <v>358</v>
      </c>
      <c r="G6299" t="s">
        <v>16</v>
      </c>
      <c r="H6299">
        <v>0</v>
      </c>
      <c r="I6299" s="2" t="s">
        <v>2039</v>
      </c>
      <c r="J6299" s="2">
        <v>13486</v>
      </c>
      <c r="K6299">
        <v>20</v>
      </c>
      <c r="L6299">
        <v>20</v>
      </c>
      <c r="M6299">
        <v>20</v>
      </c>
    </row>
    <row r="6300" spans="1:13" x14ac:dyDescent="0.25">
      <c r="A6300" t="s">
        <v>13893</v>
      </c>
      <c r="B6300" t="s">
        <v>13894</v>
      </c>
      <c r="C6300" t="s">
        <v>357</v>
      </c>
      <c r="D6300" t="s">
        <v>358</v>
      </c>
      <c r="F6300">
        <v>1</v>
      </c>
      <c r="G6300" t="s">
        <v>16</v>
      </c>
      <c r="H6300">
        <v>0</v>
      </c>
      <c r="I6300" s="2" t="s">
        <v>491</v>
      </c>
      <c r="J6300" s="2">
        <v>359001202920</v>
      </c>
      <c r="K6300">
        <v>20</v>
      </c>
      <c r="L6300">
        <v>20</v>
      </c>
      <c r="M6300">
        <v>20</v>
      </c>
    </row>
    <row r="6301" spans="1:13" x14ac:dyDescent="0.25">
      <c r="A6301" t="s">
        <v>13895</v>
      </c>
      <c r="B6301" t="s">
        <v>13896</v>
      </c>
      <c r="C6301" t="s">
        <v>357</v>
      </c>
      <c r="D6301" t="s">
        <v>358</v>
      </c>
      <c r="G6301" t="s">
        <v>16</v>
      </c>
      <c r="H6301">
        <v>0</v>
      </c>
      <c r="I6301" s="2" t="s">
        <v>3286</v>
      </c>
      <c r="J6301" s="2" t="s">
        <v>13897</v>
      </c>
      <c r="K6301">
        <v>20</v>
      </c>
      <c r="L6301">
        <v>20</v>
      </c>
      <c r="M6301">
        <v>20</v>
      </c>
    </row>
    <row r="6302" spans="1:13" x14ac:dyDescent="0.25">
      <c r="A6302" t="s">
        <v>13898</v>
      </c>
      <c r="B6302" t="s">
        <v>13896</v>
      </c>
      <c r="C6302" t="s">
        <v>357</v>
      </c>
      <c r="D6302" t="s">
        <v>358</v>
      </c>
      <c r="G6302" t="s">
        <v>16</v>
      </c>
      <c r="H6302">
        <v>0</v>
      </c>
      <c r="I6302" s="2" t="s">
        <v>715</v>
      </c>
      <c r="J6302" s="2" t="s">
        <v>13899</v>
      </c>
      <c r="K6302">
        <v>20</v>
      </c>
      <c r="L6302">
        <v>20</v>
      </c>
      <c r="M6302">
        <v>20</v>
      </c>
    </row>
    <row r="6303" spans="1:13" x14ac:dyDescent="0.25">
      <c r="A6303" t="s">
        <v>13900</v>
      </c>
      <c r="B6303" t="s">
        <v>13901</v>
      </c>
      <c r="C6303" t="s">
        <v>151</v>
      </c>
      <c r="D6303" t="s">
        <v>1092</v>
      </c>
      <c r="F6303">
        <v>4</v>
      </c>
      <c r="G6303" t="s">
        <v>16</v>
      </c>
      <c r="H6303">
        <v>0</v>
      </c>
      <c r="I6303" s="2" t="s">
        <v>51</v>
      </c>
      <c r="J6303" s="2" t="s">
        <v>13900</v>
      </c>
      <c r="K6303">
        <v>20</v>
      </c>
      <c r="L6303">
        <v>20</v>
      </c>
      <c r="M6303">
        <v>20</v>
      </c>
    </row>
    <row r="6304" spans="1:13" x14ac:dyDescent="0.25">
      <c r="A6304" t="s">
        <v>13902</v>
      </c>
      <c r="B6304" t="s">
        <v>13903</v>
      </c>
      <c r="C6304" t="s">
        <v>20</v>
      </c>
      <c r="D6304" t="s">
        <v>894</v>
      </c>
      <c r="G6304" t="s">
        <v>16</v>
      </c>
      <c r="H6304">
        <v>0</v>
      </c>
      <c r="I6304" s="2" t="s">
        <v>3689</v>
      </c>
      <c r="J6304" s="2">
        <v>25305345</v>
      </c>
      <c r="K6304">
        <v>20</v>
      </c>
      <c r="L6304">
        <v>20</v>
      </c>
      <c r="M6304">
        <v>20</v>
      </c>
    </row>
    <row r="6305" spans="1:13" x14ac:dyDescent="0.25">
      <c r="A6305" t="s">
        <v>13904</v>
      </c>
      <c r="B6305" t="s">
        <v>13906</v>
      </c>
      <c r="C6305" t="s">
        <v>20</v>
      </c>
      <c r="D6305" t="s">
        <v>894</v>
      </c>
      <c r="F6305">
        <v>5</v>
      </c>
      <c r="G6305" t="s">
        <v>16</v>
      </c>
      <c r="H6305">
        <v>0</v>
      </c>
      <c r="I6305" s="2" t="s">
        <v>142</v>
      </c>
      <c r="J6305" s="2" t="s">
        <v>13905</v>
      </c>
      <c r="K6305">
        <v>20</v>
      </c>
      <c r="L6305">
        <v>20</v>
      </c>
      <c r="M6305">
        <v>20</v>
      </c>
    </row>
    <row r="6306" spans="1:13" x14ac:dyDescent="0.25">
      <c r="A6306" t="s">
        <v>13907</v>
      </c>
      <c r="B6306" t="s">
        <v>13903</v>
      </c>
      <c r="C6306" t="s">
        <v>20</v>
      </c>
      <c r="D6306" t="s">
        <v>894</v>
      </c>
      <c r="F6306">
        <v>1</v>
      </c>
      <c r="G6306" t="s">
        <v>16</v>
      </c>
      <c r="H6306">
        <v>0</v>
      </c>
      <c r="I6306" s="2" t="s">
        <v>288</v>
      </c>
      <c r="J6306" s="2">
        <v>200375116</v>
      </c>
      <c r="K6306">
        <v>20</v>
      </c>
      <c r="L6306">
        <v>20</v>
      </c>
      <c r="M6306">
        <v>20</v>
      </c>
    </row>
    <row r="6307" spans="1:13" x14ac:dyDescent="0.25">
      <c r="A6307" t="s">
        <v>13908</v>
      </c>
      <c r="B6307" t="s">
        <v>13906</v>
      </c>
      <c r="C6307" t="s">
        <v>20</v>
      </c>
      <c r="D6307" t="s">
        <v>894</v>
      </c>
      <c r="G6307" t="s">
        <v>16</v>
      </c>
      <c r="H6307">
        <v>0</v>
      </c>
      <c r="I6307" s="2" t="s">
        <v>3421</v>
      </c>
      <c r="J6307" s="2" t="s">
        <v>13909</v>
      </c>
      <c r="K6307">
        <v>20</v>
      </c>
      <c r="L6307">
        <v>20</v>
      </c>
      <c r="M6307">
        <v>20</v>
      </c>
    </row>
    <row r="6308" spans="1:13" x14ac:dyDescent="0.25">
      <c r="A6308" t="s">
        <v>13910</v>
      </c>
      <c r="B6308" t="s">
        <v>13903</v>
      </c>
      <c r="C6308" t="s">
        <v>20</v>
      </c>
      <c r="D6308" t="s">
        <v>894</v>
      </c>
      <c r="F6308">
        <v>1</v>
      </c>
      <c r="G6308" t="s">
        <v>16</v>
      </c>
      <c r="H6308">
        <v>0</v>
      </c>
      <c r="I6308" s="2" t="s">
        <v>479</v>
      </c>
      <c r="J6308" s="2" t="s">
        <v>13911</v>
      </c>
      <c r="K6308">
        <v>20</v>
      </c>
      <c r="L6308">
        <v>20</v>
      </c>
      <c r="M6308">
        <v>20</v>
      </c>
    </row>
    <row r="6309" spans="1:13" x14ac:dyDescent="0.25">
      <c r="A6309" t="s">
        <v>13912</v>
      </c>
      <c r="B6309" t="s">
        <v>13906</v>
      </c>
      <c r="C6309" t="s">
        <v>20</v>
      </c>
      <c r="D6309" t="s">
        <v>894</v>
      </c>
      <c r="F6309">
        <v>1</v>
      </c>
      <c r="G6309" t="s">
        <v>16</v>
      </c>
      <c r="H6309">
        <v>0</v>
      </c>
      <c r="I6309" s="2" t="s">
        <v>3724</v>
      </c>
      <c r="J6309" s="2" t="s">
        <v>13913</v>
      </c>
      <c r="K6309">
        <v>20</v>
      </c>
      <c r="L6309">
        <v>20</v>
      </c>
      <c r="M6309">
        <v>20</v>
      </c>
    </row>
    <row r="6310" spans="1:13" x14ac:dyDescent="0.25">
      <c r="A6310" t="s">
        <v>13914</v>
      </c>
      <c r="B6310" t="s">
        <v>13915</v>
      </c>
      <c r="C6310" t="s">
        <v>20</v>
      </c>
      <c r="D6310" t="s">
        <v>894</v>
      </c>
      <c r="F6310">
        <v>1</v>
      </c>
      <c r="G6310" t="s">
        <v>16</v>
      </c>
      <c r="H6310">
        <v>0</v>
      </c>
      <c r="I6310" s="2" t="s">
        <v>64</v>
      </c>
      <c r="J6310" s="2">
        <v>14030199</v>
      </c>
      <c r="K6310">
        <v>20</v>
      </c>
      <c r="L6310">
        <v>20</v>
      </c>
      <c r="M6310">
        <v>20</v>
      </c>
    </row>
    <row r="6311" spans="1:13" x14ac:dyDescent="0.25">
      <c r="A6311" t="s">
        <v>13916</v>
      </c>
      <c r="B6311" t="s">
        <v>13917</v>
      </c>
      <c r="C6311" t="s">
        <v>20</v>
      </c>
      <c r="D6311" t="s">
        <v>894</v>
      </c>
      <c r="F6311">
        <v>10</v>
      </c>
      <c r="G6311" t="s">
        <v>16</v>
      </c>
      <c r="H6311">
        <v>0</v>
      </c>
      <c r="I6311" s="2" t="s">
        <v>3689</v>
      </c>
      <c r="J6311" s="2">
        <v>25109146</v>
      </c>
      <c r="K6311">
        <v>20</v>
      </c>
      <c r="L6311">
        <v>20</v>
      </c>
      <c r="M6311">
        <v>20</v>
      </c>
    </row>
    <row r="6312" spans="1:13" x14ac:dyDescent="0.25">
      <c r="A6312" t="s">
        <v>13918</v>
      </c>
      <c r="B6312" t="s">
        <v>13919</v>
      </c>
      <c r="C6312" t="s">
        <v>20</v>
      </c>
      <c r="D6312" t="s">
        <v>894</v>
      </c>
      <c r="F6312">
        <v>1</v>
      </c>
      <c r="G6312" t="s">
        <v>16</v>
      </c>
      <c r="H6312">
        <v>0</v>
      </c>
      <c r="I6312" s="2" t="s">
        <v>759</v>
      </c>
      <c r="J6312" s="2" t="s">
        <v>13920</v>
      </c>
      <c r="K6312">
        <v>20</v>
      </c>
      <c r="L6312">
        <v>20</v>
      </c>
      <c r="M6312">
        <v>20</v>
      </c>
    </row>
    <row r="6313" spans="1:13" x14ac:dyDescent="0.25">
      <c r="A6313" t="s">
        <v>13921</v>
      </c>
      <c r="B6313" t="s">
        <v>13919</v>
      </c>
      <c r="C6313" t="s">
        <v>20</v>
      </c>
      <c r="D6313" t="s">
        <v>894</v>
      </c>
      <c r="F6313">
        <v>5</v>
      </c>
      <c r="G6313" t="s">
        <v>16</v>
      </c>
      <c r="H6313">
        <v>0</v>
      </c>
      <c r="I6313" s="2" t="s">
        <v>288</v>
      </c>
      <c r="J6313" s="2" t="s">
        <v>13922</v>
      </c>
      <c r="K6313">
        <v>20</v>
      </c>
      <c r="L6313">
        <v>20</v>
      </c>
      <c r="M6313">
        <v>20</v>
      </c>
    </row>
    <row r="6314" spans="1:13" x14ac:dyDescent="0.25">
      <c r="A6314" t="s">
        <v>13923</v>
      </c>
      <c r="B6314" t="s">
        <v>13924</v>
      </c>
      <c r="C6314" t="s">
        <v>20</v>
      </c>
      <c r="D6314" t="s">
        <v>894</v>
      </c>
      <c r="G6314" t="s">
        <v>16</v>
      </c>
      <c r="H6314">
        <v>0</v>
      </c>
      <c r="I6314" s="2" t="s">
        <v>404</v>
      </c>
      <c r="J6314" s="2" t="s">
        <v>13925</v>
      </c>
      <c r="K6314">
        <v>20</v>
      </c>
      <c r="L6314">
        <v>20</v>
      </c>
      <c r="M6314">
        <v>20</v>
      </c>
    </row>
    <row r="6315" spans="1:13" x14ac:dyDescent="0.25">
      <c r="A6315" t="s">
        <v>13926</v>
      </c>
      <c r="B6315" t="s">
        <v>13919</v>
      </c>
      <c r="C6315" t="s">
        <v>20</v>
      </c>
      <c r="D6315" t="s">
        <v>894</v>
      </c>
      <c r="F6315">
        <v>1</v>
      </c>
      <c r="G6315" t="s">
        <v>16</v>
      </c>
      <c r="H6315">
        <v>0</v>
      </c>
      <c r="I6315" s="2" t="s">
        <v>479</v>
      </c>
      <c r="J6315" s="2" t="s">
        <v>13927</v>
      </c>
      <c r="K6315">
        <v>20</v>
      </c>
      <c r="L6315">
        <v>20</v>
      </c>
      <c r="M6315">
        <v>20</v>
      </c>
    </row>
    <row r="6316" spans="1:13" x14ac:dyDescent="0.25">
      <c r="A6316" t="s">
        <v>13928</v>
      </c>
      <c r="B6316" t="s">
        <v>13929</v>
      </c>
      <c r="C6316" t="s">
        <v>20</v>
      </c>
      <c r="D6316" t="s">
        <v>894</v>
      </c>
      <c r="F6316">
        <v>2</v>
      </c>
      <c r="G6316" t="s">
        <v>16</v>
      </c>
      <c r="H6316">
        <v>0</v>
      </c>
      <c r="I6316" s="2" t="s">
        <v>1463</v>
      </c>
      <c r="J6316" s="2" t="s">
        <v>13930</v>
      </c>
      <c r="K6316">
        <v>20</v>
      </c>
      <c r="L6316">
        <v>20</v>
      </c>
      <c r="M6316">
        <v>20</v>
      </c>
    </row>
    <row r="6317" spans="1:13" x14ac:dyDescent="0.25">
      <c r="A6317" t="s">
        <v>13931</v>
      </c>
      <c r="B6317" t="s">
        <v>13919</v>
      </c>
      <c r="C6317" t="s">
        <v>20</v>
      </c>
      <c r="D6317" t="s">
        <v>894</v>
      </c>
      <c r="F6317">
        <v>1</v>
      </c>
      <c r="G6317" t="s">
        <v>16</v>
      </c>
      <c r="H6317">
        <v>0</v>
      </c>
      <c r="I6317" s="2" t="s">
        <v>408</v>
      </c>
      <c r="J6317" s="2" t="s">
        <v>13932</v>
      </c>
      <c r="K6317">
        <v>20</v>
      </c>
      <c r="L6317">
        <v>20</v>
      </c>
      <c r="M6317">
        <v>20</v>
      </c>
    </row>
    <row r="6318" spans="1:13" x14ac:dyDescent="0.25">
      <c r="A6318" t="s">
        <v>13933</v>
      </c>
      <c r="B6318" t="s">
        <v>13935</v>
      </c>
      <c r="C6318" t="s">
        <v>20</v>
      </c>
      <c r="D6318" t="s">
        <v>894</v>
      </c>
      <c r="F6318">
        <v>1</v>
      </c>
      <c r="G6318" t="s">
        <v>16</v>
      </c>
      <c r="H6318">
        <v>0</v>
      </c>
      <c r="I6318" s="2" t="s">
        <v>765</v>
      </c>
      <c r="J6318" s="2" t="s">
        <v>13934</v>
      </c>
      <c r="K6318">
        <v>20</v>
      </c>
      <c r="L6318">
        <v>20</v>
      </c>
      <c r="M6318">
        <v>20</v>
      </c>
    </row>
    <row r="6319" spans="1:13" x14ac:dyDescent="0.25">
      <c r="A6319" t="s">
        <v>13936</v>
      </c>
      <c r="B6319" t="s">
        <v>13935</v>
      </c>
      <c r="C6319" t="s">
        <v>20</v>
      </c>
      <c r="D6319" t="s">
        <v>894</v>
      </c>
      <c r="G6319" t="s">
        <v>16</v>
      </c>
      <c r="H6319">
        <v>0</v>
      </c>
      <c r="I6319" s="2" t="s">
        <v>3783</v>
      </c>
      <c r="J6319" s="2" t="s">
        <v>13937</v>
      </c>
      <c r="K6319">
        <v>20</v>
      </c>
      <c r="L6319">
        <v>20</v>
      </c>
      <c r="M6319">
        <v>20</v>
      </c>
    </row>
    <row r="6320" spans="1:13" x14ac:dyDescent="0.25">
      <c r="A6320" t="s">
        <v>13938</v>
      </c>
      <c r="B6320" t="s">
        <v>13935</v>
      </c>
      <c r="C6320" t="s">
        <v>20</v>
      </c>
      <c r="D6320" t="s">
        <v>894</v>
      </c>
      <c r="F6320">
        <v>0</v>
      </c>
      <c r="G6320" t="s">
        <v>16</v>
      </c>
      <c r="H6320">
        <v>0</v>
      </c>
      <c r="I6320" s="2" t="s">
        <v>3724</v>
      </c>
      <c r="J6320" s="2" t="s">
        <v>13939</v>
      </c>
      <c r="K6320">
        <v>20</v>
      </c>
      <c r="L6320">
        <v>20</v>
      </c>
      <c r="M6320">
        <v>20</v>
      </c>
    </row>
    <row r="6321" spans="1:13" x14ac:dyDescent="0.25">
      <c r="A6321" t="s">
        <v>13940</v>
      </c>
      <c r="B6321" t="s">
        <v>13941</v>
      </c>
      <c r="C6321" t="s">
        <v>20</v>
      </c>
      <c r="D6321" t="s">
        <v>899</v>
      </c>
      <c r="F6321">
        <v>1</v>
      </c>
      <c r="G6321" t="s">
        <v>16</v>
      </c>
      <c r="H6321">
        <v>0</v>
      </c>
      <c r="I6321" s="2" t="s">
        <v>3710</v>
      </c>
      <c r="J6321" s="2" t="s">
        <v>13942</v>
      </c>
      <c r="K6321">
        <v>20</v>
      </c>
      <c r="L6321">
        <v>20</v>
      </c>
      <c r="M6321">
        <v>20</v>
      </c>
    </row>
    <row r="6322" spans="1:13" x14ac:dyDescent="0.25">
      <c r="A6322" t="s">
        <v>13943</v>
      </c>
      <c r="B6322" t="s">
        <v>13941</v>
      </c>
      <c r="C6322" t="s">
        <v>20</v>
      </c>
      <c r="D6322" t="s">
        <v>899</v>
      </c>
      <c r="G6322" t="s">
        <v>16</v>
      </c>
      <c r="H6322">
        <v>0</v>
      </c>
      <c r="I6322" s="2" t="s">
        <v>383</v>
      </c>
      <c r="J6322" s="2">
        <v>1987948415</v>
      </c>
      <c r="K6322">
        <v>20</v>
      </c>
      <c r="L6322">
        <v>20</v>
      </c>
      <c r="M6322">
        <v>20</v>
      </c>
    </row>
    <row r="6323" spans="1:13" x14ac:dyDescent="0.25">
      <c r="A6323" t="s">
        <v>13944</v>
      </c>
      <c r="B6323" t="s">
        <v>13941</v>
      </c>
      <c r="C6323" t="s">
        <v>20</v>
      </c>
      <c r="D6323" t="s">
        <v>899</v>
      </c>
      <c r="G6323" t="s">
        <v>16</v>
      </c>
      <c r="H6323">
        <v>0</v>
      </c>
      <c r="I6323" s="2" t="s">
        <v>7250</v>
      </c>
      <c r="J6323" s="2" t="s">
        <v>13945</v>
      </c>
      <c r="K6323">
        <v>20</v>
      </c>
      <c r="L6323">
        <v>20</v>
      </c>
      <c r="M6323">
        <v>20</v>
      </c>
    </row>
    <row r="6324" spans="1:13" x14ac:dyDescent="0.25">
      <c r="A6324" t="s">
        <v>13946</v>
      </c>
      <c r="B6324" t="s">
        <v>13947</v>
      </c>
      <c r="C6324" t="s">
        <v>20</v>
      </c>
      <c r="D6324" t="s">
        <v>899</v>
      </c>
      <c r="G6324" t="s">
        <v>16</v>
      </c>
      <c r="H6324">
        <v>0</v>
      </c>
      <c r="I6324" s="2" t="s">
        <v>3731</v>
      </c>
      <c r="J6324" s="2" t="s">
        <v>13948</v>
      </c>
      <c r="K6324">
        <v>20</v>
      </c>
      <c r="L6324">
        <v>20</v>
      </c>
      <c r="M6324">
        <v>20</v>
      </c>
    </row>
    <row r="6325" spans="1:13" x14ac:dyDescent="0.25">
      <c r="A6325" t="s">
        <v>13949</v>
      </c>
      <c r="B6325" t="s">
        <v>13950</v>
      </c>
      <c r="C6325" t="s">
        <v>20</v>
      </c>
      <c r="D6325" t="s">
        <v>899</v>
      </c>
      <c r="F6325">
        <v>7</v>
      </c>
      <c r="G6325" t="s">
        <v>16</v>
      </c>
      <c r="H6325">
        <v>0</v>
      </c>
      <c r="I6325" s="2" t="s">
        <v>3689</v>
      </c>
      <c r="J6325" s="2" t="s">
        <v>13951</v>
      </c>
      <c r="K6325">
        <v>20</v>
      </c>
      <c r="L6325">
        <v>20</v>
      </c>
      <c r="M6325">
        <v>20</v>
      </c>
    </row>
    <row r="6326" spans="1:13" x14ac:dyDescent="0.25">
      <c r="A6326" t="s">
        <v>13952</v>
      </c>
      <c r="B6326" t="s">
        <v>13950</v>
      </c>
      <c r="C6326" t="s">
        <v>20</v>
      </c>
      <c r="D6326" t="s">
        <v>899</v>
      </c>
      <c r="G6326" t="s">
        <v>16</v>
      </c>
      <c r="H6326">
        <v>0</v>
      </c>
      <c r="I6326" s="2" t="s">
        <v>3701</v>
      </c>
      <c r="J6326" s="2" t="s">
        <v>13953</v>
      </c>
      <c r="K6326">
        <v>20</v>
      </c>
      <c r="L6326">
        <v>20</v>
      </c>
      <c r="M6326">
        <v>20</v>
      </c>
    </row>
    <row r="6327" spans="1:13" x14ac:dyDescent="0.25">
      <c r="A6327" t="s">
        <v>13954</v>
      </c>
      <c r="B6327" t="s">
        <v>13950</v>
      </c>
      <c r="C6327" t="s">
        <v>20</v>
      </c>
      <c r="D6327" t="s">
        <v>899</v>
      </c>
      <c r="F6327">
        <v>5</v>
      </c>
      <c r="G6327" t="s">
        <v>16</v>
      </c>
      <c r="H6327">
        <v>0</v>
      </c>
      <c r="I6327" s="2" t="s">
        <v>383</v>
      </c>
      <c r="J6327" s="2">
        <v>1987946236</v>
      </c>
      <c r="K6327">
        <v>20</v>
      </c>
      <c r="L6327">
        <v>20</v>
      </c>
      <c r="M6327">
        <v>20</v>
      </c>
    </row>
    <row r="6328" spans="1:13" x14ac:dyDescent="0.25">
      <c r="A6328" t="s">
        <v>13955</v>
      </c>
      <c r="B6328" t="s">
        <v>13950</v>
      </c>
      <c r="C6328" t="s">
        <v>20</v>
      </c>
      <c r="D6328" t="s">
        <v>899</v>
      </c>
      <c r="G6328" t="s">
        <v>16</v>
      </c>
      <c r="H6328">
        <v>0</v>
      </c>
      <c r="I6328" s="2" t="s">
        <v>13956</v>
      </c>
      <c r="J6328" s="2" t="s">
        <v>13951</v>
      </c>
      <c r="K6328">
        <v>20</v>
      </c>
      <c r="L6328">
        <v>20</v>
      </c>
      <c r="M6328">
        <v>20</v>
      </c>
    </row>
    <row r="6329" spans="1:13" x14ac:dyDescent="0.25">
      <c r="A6329" t="s">
        <v>13957</v>
      </c>
      <c r="B6329" t="s">
        <v>13958</v>
      </c>
      <c r="C6329" t="s">
        <v>20</v>
      </c>
      <c r="D6329" t="s">
        <v>899</v>
      </c>
      <c r="G6329" t="s">
        <v>16</v>
      </c>
      <c r="H6329">
        <v>0</v>
      </c>
      <c r="I6329" s="2" t="s">
        <v>685</v>
      </c>
      <c r="J6329" s="2">
        <v>1987947923</v>
      </c>
      <c r="K6329">
        <v>20</v>
      </c>
      <c r="L6329">
        <v>20</v>
      </c>
      <c r="M6329">
        <v>20</v>
      </c>
    </row>
    <row r="6330" spans="1:13" x14ac:dyDescent="0.25">
      <c r="A6330" t="s">
        <v>13959</v>
      </c>
      <c r="B6330" t="s">
        <v>13960</v>
      </c>
      <c r="C6330" t="s">
        <v>20</v>
      </c>
      <c r="D6330" t="s">
        <v>899</v>
      </c>
      <c r="F6330">
        <v>1</v>
      </c>
      <c r="G6330" t="s">
        <v>16</v>
      </c>
      <c r="H6330">
        <v>0</v>
      </c>
      <c r="I6330" s="2" t="s">
        <v>3689</v>
      </c>
      <c r="J6330" s="2" t="s">
        <v>13961</v>
      </c>
      <c r="K6330">
        <v>20</v>
      </c>
      <c r="L6330">
        <v>20</v>
      </c>
      <c r="M6330">
        <v>20</v>
      </c>
    </row>
    <row r="6331" spans="1:13" x14ac:dyDescent="0.25">
      <c r="A6331" t="s">
        <v>13962</v>
      </c>
      <c r="B6331" t="s">
        <v>13963</v>
      </c>
      <c r="C6331" t="s">
        <v>20</v>
      </c>
      <c r="D6331" t="s">
        <v>899</v>
      </c>
      <c r="F6331">
        <v>15</v>
      </c>
      <c r="G6331" t="s">
        <v>16</v>
      </c>
      <c r="H6331">
        <v>0</v>
      </c>
      <c r="I6331" s="2" t="s">
        <v>3689</v>
      </c>
      <c r="J6331" s="2" t="s">
        <v>13964</v>
      </c>
      <c r="K6331">
        <v>20</v>
      </c>
      <c r="L6331">
        <v>20</v>
      </c>
      <c r="M6331">
        <v>20</v>
      </c>
    </row>
    <row r="6332" spans="1:13" x14ac:dyDescent="0.25">
      <c r="A6332" t="s">
        <v>13965</v>
      </c>
      <c r="B6332" t="s">
        <v>13967</v>
      </c>
      <c r="C6332" t="s">
        <v>20</v>
      </c>
      <c r="D6332" t="s">
        <v>899</v>
      </c>
      <c r="G6332" t="s">
        <v>16</v>
      </c>
      <c r="H6332">
        <v>0</v>
      </c>
      <c r="I6332" s="2" t="s">
        <v>3689</v>
      </c>
      <c r="J6332" s="2" t="s">
        <v>13966</v>
      </c>
      <c r="K6332">
        <v>20</v>
      </c>
      <c r="L6332">
        <v>20</v>
      </c>
      <c r="M6332">
        <v>20</v>
      </c>
    </row>
    <row r="6333" spans="1:13" x14ac:dyDescent="0.25">
      <c r="A6333" t="s">
        <v>13968</v>
      </c>
      <c r="B6333" t="s">
        <v>13963</v>
      </c>
      <c r="C6333" t="s">
        <v>20</v>
      </c>
      <c r="D6333" t="s">
        <v>899</v>
      </c>
      <c r="G6333" t="s">
        <v>16</v>
      </c>
      <c r="H6333">
        <v>0</v>
      </c>
      <c r="I6333" s="2" t="s">
        <v>3701</v>
      </c>
      <c r="J6333" s="2" t="s">
        <v>13969</v>
      </c>
      <c r="K6333">
        <v>20</v>
      </c>
      <c r="L6333">
        <v>20</v>
      </c>
      <c r="M6333">
        <v>20</v>
      </c>
    </row>
    <row r="6334" spans="1:13" x14ac:dyDescent="0.25">
      <c r="A6334" t="s">
        <v>13970</v>
      </c>
      <c r="B6334" t="s">
        <v>13963</v>
      </c>
      <c r="C6334" t="s">
        <v>20</v>
      </c>
      <c r="D6334" t="s">
        <v>899</v>
      </c>
      <c r="G6334" t="s">
        <v>16</v>
      </c>
      <c r="H6334">
        <v>0</v>
      </c>
      <c r="I6334" s="2" t="s">
        <v>383</v>
      </c>
      <c r="J6334" s="2">
        <v>1987948498</v>
      </c>
      <c r="K6334">
        <v>20</v>
      </c>
      <c r="L6334">
        <v>20</v>
      </c>
      <c r="M6334">
        <v>20</v>
      </c>
    </row>
    <row r="6335" spans="1:13" x14ac:dyDescent="0.25">
      <c r="A6335" t="s">
        <v>13971</v>
      </c>
      <c r="B6335" t="s">
        <v>13963</v>
      </c>
      <c r="C6335" t="s">
        <v>20</v>
      </c>
      <c r="D6335" t="s">
        <v>899</v>
      </c>
      <c r="F6335">
        <v>2</v>
      </c>
      <c r="G6335" t="s">
        <v>16</v>
      </c>
      <c r="H6335">
        <v>0</v>
      </c>
      <c r="I6335" s="2" t="s">
        <v>3697</v>
      </c>
      <c r="J6335" s="2" t="s">
        <v>13964</v>
      </c>
      <c r="K6335">
        <v>20</v>
      </c>
      <c r="L6335">
        <v>20</v>
      </c>
      <c r="M6335">
        <v>20</v>
      </c>
    </row>
    <row r="6336" spans="1:13" x14ac:dyDescent="0.25">
      <c r="A6336" t="s">
        <v>13972</v>
      </c>
      <c r="B6336" t="s">
        <v>13973</v>
      </c>
      <c r="C6336" t="s">
        <v>20</v>
      </c>
      <c r="D6336" t="s">
        <v>899</v>
      </c>
      <c r="F6336">
        <v>12</v>
      </c>
      <c r="G6336" t="s">
        <v>16</v>
      </c>
      <c r="H6336">
        <v>0</v>
      </c>
      <c r="I6336" s="2" t="s">
        <v>3689</v>
      </c>
      <c r="J6336" s="2" t="s">
        <v>13974</v>
      </c>
      <c r="K6336">
        <v>20</v>
      </c>
      <c r="L6336">
        <v>20</v>
      </c>
      <c r="M6336">
        <v>20</v>
      </c>
    </row>
    <row r="6337" spans="1:13" x14ac:dyDescent="0.25">
      <c r="A6337" t="s">
        <v>13975</v>
      </c>
      <c r="B6337" t="s">
        <v>13973</v>
      </c>
      <c r="C6337" t="s">
        <v>20</v>
      </c>
      <c r="D6337" t="s">
        <v>899</v>
      </c>
      <c r="F6337">
        <v>4</v>
      </c>
      <c r="G6337" t="s">
        <v>16</v>
      </c>
      <c r="H6337">
        <v>0</v>
      </c>
      <c r="I6337" s="2" t="s">
        <v>3710</v>
      </c>
      <c r="J6337" s="2" t="s">
        <v>13976</v>
      </c>
      <c r="K6337">
        <v>20</v>
      </c>
      <c r="L6337">
        <v>20</v>
      </c>
      <c r="M6337">
        <v>20</v>
      </c>
    </row>
    <row r="6338" spans="1:13" x14ac:dyDescent="0.25">
      <c r="A6338" t="s">
        <v>13977</v>
      </c>
      <c r="B6338" t="s">
        <v>13973</v>
      </c>
      <c r="C6338" t="s">
        <v>20</v>
      </c>
      <c r="D6338" t="s">
        <v>899</v>
      </c>
      <c r="G6338" t="s">
        <v>16</v>
      </c>
      <c r="H6338">
        <v>0</v>
      </c>
      <c r="I6338" s="2" t="s">
        <v>685</v>
      </c>
      <c r="J6338" s="2">
        <v>1987948494</v>
      </c>
      <c r="K6338">
        <v>20</v>
      </c>
      <c r="L6338">
        <v>20</v>
      </c>
      <c r="M6338">
        <v>20</v>
      </c>
    </row>
    <row r="6339" spans="1:13" x14ac:dyDescent="0.25">
      <c r="A6339" t="s">
        <v>13978</v>
      </c>
      <c r="B6339" t="s">
        <v>13979</v>
      </c>
      <c r="C6339" t="s">
        <v>20</v>
      </c>
      <c r="D6339" t="s">
        <v>899</v>
      </c>
      <c r="G6339" t="s">
        <v>16</v>
      </c>
      <c r="H6339">
        <v>0</v>
      </c>
      <c r="I6339" s="2" t="s">
        <v>7250</v>
      </c>
      <c r="J6339" s="2" t="s">
        <v>13980</v>
      </c>
      <c r="K6339">
        <v>20</v>
      </c>
      <c r="L6339">
        <v>20</v>
      </c>
      <c r="M6339">
        <v>20</v>
      </c>
    </row>
    <row r="6340" spans="1:13" x14ac:dyDescent="0.25">
      <c r="A6340" t="s">
        <v>13981</v>
      </c>
      <c r="B6340" t="s">
        <v>13982</v>
      </c>
      <c r="C6340" t="s">
        <v>20</v>
      </c>
      <c r="D6340" t="s">
        <v>899</v>
      </c>
      <c r="G6340" t="s">
        <v>16</v>
      </c>
      <c r="H6340">
        <v>0</v>
      </c>
      <c r="I6340" s="2" t="s">
        <v>3830</v>
      </c>
      <c r="J6340" s="2" t="s">
        <v>13983</v>
      </c>
      <c r="K6340">
        <v>20</v>
      </c>
      <c r="L6340">
        <v>20</v>
      </c>
      <c r="M6340">
        <v>20</v>
      </c>
    </row>
    <row r="6341" spans="1:13" x14ac:dyDescent="0.25">
      <c r="A6341" t="s">
        <v>13984</v>
      </c>
      <c r="B6341" t="s">
        <v>13973</v>
      </c>
      <c r="C6341" t="s">
        <v>20</v>
      </c>
      <c r="D6341" t="s">
        <v>899</v>
      </c>
      <c r="G6341" t="s">
        <v>16</v>
      </c>
      <c r="H6341">
        <v>0</v>
      </c>
      <c r="I6341" s="2" t="s">
        <v>3731</v>
      </c>
      <c r="J6341" s="3">
        <v>36051212</v>
      </c>
      <c r="K6341">
        <v>20</v>
      </c>
      <c r="L6341">
        <v>20</v>
      </c>
      <c r="M6341">
        <v>20</v>
      </c>
    </row>
    <row r="6342" spans="1:13" x14ac:dyDescent="0.25">
      <c r="A6342" t="s">
        <v>13985</v>
      </c>
      <c r="B6342" t="s">
        <v>13986</v>
      </c>
      <c r="C6342" t="s">
        <v>20</v>
      </c>
      <c r="D6342" t="s">
        <v>899</v>
      </c>
      <c r="G6342" t="s">
        <v>16</v>
      </c>
      <c r="H6342">
        <v>0</v>
      </c>
      <c r="I6342" s="2" t="s">
        <v>685</v>
      </c>
      <c r="J6342" s="2">
        <v>1987947638</v>
      </c>
      <c r="K6342">
        <v>20</v>
      </c>
      <c r="L6342">
        <v>20</v>
      </c>
      <c r="M6342">
        <v>20</v>
      </c>
    </row>
    <row r="6343" spans="1:13" x14ac:dyDescent="0.25">
      <c r="A6343" t="s">
        <v>13987</v>
      </c>
      <c r="B6343" t="s">
        <v>13988</v>
      </c>
      <c r="C6343" t="s">
        <v>20</v>
      </c>
      <c r="D6343" t="s">
        <v>899</v>
      </c>
      <c r="F6343">
        <v>3</v>
      </c>
      <c r="G6343" t="s">
        <v>16</v>
      </c>
      <c r="H6343">
        <v>0</v>
      </c>
      <c r="I6343" s="2" t="s">
        <v>3689</v>
      </c>
      <c r="J6343" s="2" t="s">
        <v>13989</v>
      </c>
      <c r="K6343">
        <v>20</v>
      </c>
      <c r="L6343">
        <v>20</v>
      </c>
      <c r="M6343">
        <v>20</v>
      </c>
    </row>
    <row r="6344" spans="1:13" x14ac:dyDescent="0.25">
      <c r="A6344" t="s">
        <v>13990</v>
      </c>
      <c r="B6344" t="s">
        <v>13991</v>
      </c>
      <c r="C6344" t="s">
        <v>20</v>
      </c>
      <c r="D6344" t="s">
        <v>899</v>
      </c>
      <c r="G6344" t="s">
        <v>16</v>
      </c>
      <c r="H6344">
        <v>0</v>
      </c>
      <c r="I6344" s="2" t="s">
        <v>3710</v>
      </c>
      <c r="J6344" s="2" t="s">
        <v>13992</v>
      </c>
      <c r="K6344">
        <v>20</v>
      </c>
      <c r="L6344">
        <v>20</v>
      </c>
      <c r="M6344">
        <v>20</v>
      </c>
    </row>
    <row r="6345" spans="1:13" x14ac:dyDescent="0.25">
      <c r="A6345" t="s">
        <v>13993</v>
      </c>
      <c r="B6345" t="s">
        <v>13994</v>
      </c>
      <c r="C6345" t="s">
        <v>20</v>
      </c>
      <c r="D6345" t="s">
        <v>899</v>
      </c>
      <c r="F6345">
        <v>1</v>
      </c>
      <c r="G6345" t="s">
        <v>16</v>
      </c>
      <c r="H6345">
        <v>0</v>
      </c>
      <c r="I6345" s="2" t="s">
        <v>685</v>
      </c>
      <c r="J6345" s="2">
        <v>1987947953</v>
      </c>
      <c r="K6345">
        <v>20</v>
      </c>
      <c r="L6345">
        <v>20</v>
      </c>
      <c r="M6345">
        <v>20</v>
      </c>
    </row>
    <row r="6346" spans="1:13" x14ac:dyDescent="0.25">
      <c r="A6346" t="s">
        <v>13995</v>
      </c>
      <c r="B6346" t="s">
        <v>13991</v>
      </c>
      <c r="C6346" t="s">
        <v>20</v>
      </c>
      <c r="D6346" t="s">
        <v>899</v>
      </c>
      <c r="G6346" t="s">
        <v>16</v>
      </c>
      <c r="H6346">
        <v>0</v>
      </c>
      <c r="I6346" s="2" t="s">
        <v>3783</v>
      </c>
      <c r="J6346" s="2" t="s">
        <v>13989</v>
      </c>
      <c r="K6346">
        <v>20</v>
      </c>
      <c r="L6346">
        <v>20</v>
      </c>
      <c r="M6346">
        <v>20</v>
      </c>
    </row>
    <row r="6347" spans="1:13" x14ac:dyDescent="0.25">
      <c r="A6347" t="s">
        <v>13996</v>
      </c>
      <c r="B6347" t="s">
        <v>13994</v>
      </c>
      <c r="C6347" t="s">
        <v>20</v>
      </c>
      <c r="D6347" t="s">
        <v>899</v>
      </c>
      <c r="G6347" t="s">
        <v>16</v>
      </c>
      <c r="H6347">
        <v>0</v>
      </c>
      <c r="I6347" s="2" t="s">
        <v>3830</v>
      </c>
      <c r="J6347" s="2" t="s">
        <v>13997</v>
      </c>
      <c r="K6347">
        <v>20</v>
      </c>
      <c r="L6347">
        <v>20</v>
      </c>
      <c r="M6347">
        <v>20</v>
      </c>
    </row>
    <row r="6348" spans="1:13" x14ac:dyDescent="0.25">
      <c r="A6348" t="s">
        <v>13998</v>
      </c>
      <c r="B6348" t="s">
        <v>13999</v>
      </c>
      <c r="C6348" t="s">
        <v>20</v>
      </c>
      <c r="D6348" t="s">
        <v>899</v>
      </c>
      <c r="G6348" t="s">
        <v>16</v>
      </c>
      <c r="H6348">
        <v>0</v>
      </c>
      <c r="I6348" s="2" t="s">
        <v>3731</v>
      </c>
      <c r="J6348" s="2" t="s">
        <v>14000</v>
      </c>
      <c r="K6348">
        <v>20</v>
      </c>
      <c r="L6348">
        <v>20</v>
      </c>
      <c r="M6348">
        <v>20</v>
      </c>
    </row>
    <row r="6349" spans="1:13" x14ac:dyDescent="0.25">
      <c r="A6349" t="s">
        <v>14001</v>
      </c>
      <c r="B6349" t="s">
        <v>14002</v>
      </c>
      <c r="C6349" t="s">
        <v>20</v>
      </c>
      <c r="D6349" t="s">
        <v>899</v>
      </c>
      <c r="F6349">
        <v>4</v>
      </c>
      <c r="G6349" t="s">
        <v>16</v>
      </c>
      <c r="H6349">
        <v>0</v>
      </c>
      <c r="I6349" s="2" t="s">
        <v>3689</v>
      </c>
      <c r="J6349" s="2" t="s">
        <v>14003</v>
      </c>
      <c r="K6349">
        <v>20</v>
      </c>
      <c r="L6349">
        <v>20</v>
      </c>
      <c r="M6349">
        <v>20</v>
      </c>
    </row>
    <row r="6350" spans="1:13" x14ac:dyDescent="0.25">
      <c r="A6350" t="s">
        <v>14004</v>
      </c>
      <c r="B6350" t="s">
        <v>14002</v>
      </c>
      <c r="C6350" t="s">
        <v>20</v>
      </c>
      <c r="D6350" t="s">
        <v>899</v>
      </c>
      <c r="F6350">
        <v>1</v>
      </c>
      <c r="G6350" t="s">
        <v>16</v>
      </c>
      <c r="H6350">
        <v>0</v>
      </c>
      <c r="I6350" s="2" t="s">
        <v>3701</v>
      </c>
      <c r="J6350" s="2" t="s">
        <v>14005</v>
      </c>
      <c r="K6350">
        <v>20</v>
      </c>
      <c r="L6350">
        <v>20</v>
      </c>
      <c r="M6350">
        <v>20</v>
      </c>
    </row>
    <row r="6351" spans="1:13" x14ac:dyDescent="0.25">
      <c r="A6351" t="s">
        <v>14006</v>
      </c>
      <c r="B6351" t="s">
        <v>14007</v>
      </c>
      <c r="C6351" t="s">
        <v>20</v>
      </c>
      <c r="D6351" t="s">
        <v>899</v>
      </c>
      <c r="G6351" t="s">
        <v>16</v>
      </c>
      <c r="H6351">
        <v>0</v>
      </c>
      <c r="K6351">
        <v>20</v>
      </c>
      <c r="L6351">
        <v>20</v>
      </c>
      <c r="M6351">
        <v>20</v>
      </c>
    </row>
    <row r="6352" spans="1:13" x14ac:dyDescent="0.25">
      <c r="A6352" t="s">
        <v>14008</v>
      </c>
      <c r="B6352" t="s">
        <v>14002</v>
      </c>
      <c r="C6352" t="s">
        <v>20</v>
      </c>
      <c r="D6352" t="s">
        <v>899</v>
      </c>
      <c r="G6352" t="s">
        <v>16</v>
      </c>
      <c r="H6352">
        <v>0</v>
      </c>
      <c r="I6352" s="2" t="s">
        <v>3731</v>
      </c>
      <c r="J6352" s="2" t="s">
        <v>14009</v>
      </c>
      <c r="K6352">
        <v>20</v>
      </c>
      <c r="L6352">
        <v>20</v>
      </c>
      <c r="M6352">
        <v>20</v>
      </c>
    </row>
    <row r="6353" spans="1:13" x14ac:dyDescent="0.25">
      <c r="A6353" t="s">
        <v>14010</v>
      </c>
      <c r="B6353" t="s">
        <v>14011</v>
      </c>
      <c r="C6353" t="s">
        <v>20</v>
      </c>
      <c r="D6353" t="s">
        <v>899</v>
      </c>
      <c r="F6353">
        <v>1</v>
      </c>
      <c r="G6353" t="s">
        <v>16</v>
      </c>
      <c r="H6353">
        <v>0</v>
      </c>
      <c r="I6353" s="2" t="s">
        <v>3830</v>
      </c>
      <c r="J6353" s="2" t="s">
        <v>14012</v>
      </c>
      <c r="K6353">
        <v>20</v>
      </c>
      <c r="L6353">
        <v>20</v>
      </c>
      <c r="M6353">
        <v>20</v>
      </c>
    </row>
    <row r="6354" spans="1:13" x14ac:dyDescent="0.25">
      <c r="A6354" t="s">
        <v>14013</v>
      </c>
      <c r="B6354" t="s">
        <v>14014</v>
      </c>
      <c r="C6354" t="s">
        <v>151</v>
      </c>
      <c r="D6354" t="s">
        <v>1670</v>
      </c>
      <c r="F6354">
        <v>1</v>
      </c>
      <c r="G6354" t="s">
        <v>16</v>
      </c>
      <c r="H6354">
        <v>0</v>
      </c>
      <c r="I6354" s="2" t="s">
        <v>162</v>
      </c>
      <c r="J6354" s="2">
        <v>83662</v>
      </c>
      <c r="K6354">
        <v>20</v>
      </c>
      <c r="L6354">
        <v>20</v>
      </c>
      <c r="M6354">
        <v>20</v>
      </c>
    </row>
    <row r="6355" spans="1:13" x14ac:dyDescent="0.25">
      <c r="A6355" t="s">
        <v>14015</v>
      </c>
      <c r="B6355" t="s">
        <v>14016</v>
      </c>
      <c r="C6355" t="s">
        <v>151</v>
      </c>
      <c r="D6355" t="s">
        <v>1670</v>
      </c>
      <c r="G6355" t="s">
        <v>16</v>
      </c>
      <c r="H6355">
        <v>0</v>
      </c>
      <c r="I6355" s="2" t="s">
        <v>108</v>
      </c>
      <c r="J6355" s="3">
        <v>3531409004</v>
      </c>
      <c r="K6355">
        <v>20</v>
      </c>
      <c r="L6355">
        <v>20</v>
      </c>
      <c r="M6355">
        <v>20</v>
      </c>
    </row>
    <row r="6356" spans="1:13" x14ac:dyDescent="0.25">
      <c r="A6356" t="s">
        <v>14017</v>
      </c>
      <c r="B6356" t="s">
        <v>14016</v>
      </c>
      <c r="C6356" t="s">
        <v>151</v>
      </c>
      <c r="D6356" t="s">
        <v>1670</v>
      </c>
      <c r="G6356" t="s">
        <v>16</v>
      </c>
      <c r="H6356">
        <v>0</v>
      </c>
      <c r="I6356" s="2" t="s">
        <v>598</v>
      </c>
      <c r="J6356" s="2">
        <v>418500</v>
      </c>
      <c r="K6356">
        <v>20</v>
      </c>
      <c r="L6356">
        <v>20</v>
      </c>
      <c r="M6356">
        <v>20</v>
      </c>
    </row>
    <row r="6357" spans="1:13" x14ac:dyDescent="0.25">
      <c r="A6357" t="s">
        <v>14018</v>
      </c>
      <c r="B6357" t="s">
        <v>14019</v>
      </c>
      <c r="C6357" t="s">
        <v>151</v>
      </c>
      <c r="D6357" t="s">
        <v>1670</v>
      </c>
      <c r="F6357">
        <v>1</v>
      </c>
      <c r="G6357" t="s">
        <v>16</v>
      </c>
      <c r="H6357">
        <v>0</v>
      </c>
      <c r="I6357" s="2" t="s">
        <v>266</v>
      </c>
      <c r="J6357" s="2">
        <v>86015</v>
      </c>
      <c r="K6357">
        <v>20</v>
      </c>
      <c r="L6357">
        <v>20</v>
      </c>
      <c r="M6357">
        <v>20</v>
      </c>
    </row>
    <row r="6358" spans="1:13" x14ac:dyDescent="0.25">
      <c r="A6358" t="s">
        <v>14020</v>
      </c>
      <c r="B6358" t="s">
        <v>14019</v>
      </c>
      <c r="C6358" t="s">
        <v>151</v>
      </c>
      <c r="D6358" t="s">
        <v>1670</v>
      </c>
      <c r="F6358">
        <v>1</v>
      </c>
      <c r="G6358" t="s">
        <v>16</v>
      </c>
      <c r="H6358">
        <v>0</v>
      </c>
      <c r="I6358" s="2" t="s">
        <v>1107</v>
      </c>
      <c r="J6358" s="2" t="s">
        <v>14021</v>
      </c>
      <c r="K6358">
        <v>20</v>
      </c>
      <c r="L6358">
        <v>20</v>
      </c>
      <c r="M6358">
        <v>20</v>
      </c>
    </row>
    <row r="6359" spans="1:13" x14ac:dyDescent="0.25">
      <c r="A6359" t="s">
        <v>14022</v>
      </c>
      <c r="B6359" t="s">
        <v>14024</v>
      </c>
      <c r="C6359" t="s">
        <v>151</v>
      </c>
      <c r="D6359" t="s">
        <v>1092</v>
      </c>
      <c r="F6359">
        <v>2</v>
      </c>
      <c r="G6359" t="s">
        <v>16</v>
      </c>
      <c r="H6359">
        <v>0</v>
      </c>
      <c r="I6359" s="2" t="s">
        <v>69</v>
      </c>
      <c r="J6359" s="2" t="s">
        <v>14023</v>
      </c>
      <c r="K6359">
        <v>20</v>
      </c>
      <c r="L6359">
        <v>20</v>
      </c>
      <c r="M6359">
        <v>20</v>
      </c>
    </row>
    <row r="6360" spans="1:13" x14ac:dyDescent="0.25">
      <c r="A6360" t="s">
        <v>14025</v>
      </c>
      <c r="B6360" t="s">
        <v>14026</v>
      </c>
      <c r="C6360" t="s">
        <v>151</v>
      </c>
      <c r="D6360" t="s">
        <v>1092</v>
      </c>
      <c r="F6360">
        <v>1</v>
      </c>
      <c r="G6360" t="s">
        <v>16</v>
      </c>
      <c r="H6360">
        <v>0</v>
      </c>
      <c r="I6360" s="2" t="s">
        <v>1222</v>
      </c>
      <c r="J6360" s="2" t="s">
        <v>14027</v>
      </c>
      <c r="K6360">
        <v>20</v>
      </c>
      <c r="L6360">
        <v>20</v>
      </c>
      <c r="M6360">
        <v>20</v>
      </c>
    </row>
    <row r="6361" spans="1:13" x14ac:dyDescent="0.25">
      <c r="A6361" t="s">
        <v>14028</v>
      </c>
      <c r="B6361" t="s">
        <v>14029</v>
      </c>
      <c r="C6361" t="s">
        <v>151</v>
      </c>
      <c r="D6361" t="s">
        <v>1092</v>
      </c>
      <c r="F6361">
        <v>1</v>
      </c>
      <c r="G6361" t="s">
        <v>16</v>
      </c>
      <c r="H6361">
        <v>0</v>
      </c>
      <c r="I6361" s="2" t="s">
        <v>2341</v>
      </c>
      <c r="J6361" s="2">
        <v>4201</v>
      </c>
      <c r="K6361">
        <v>20</v>
      </c>
      <c r="L6361">
        <v>20</v>
      </c>
      <c r="M6361">
        <v>20</v>
      </c>
    </row>
    <row r="6362" spans="1:13" x14ac:dyDescent="0.25">
      <c r="A6362" t="s">
        <v>14030</v>
      </c>
      <c r="B6362" t="s">
        <v>14031</v>
      </c>
      <c r="C6362" t="s">
        <v>151</v>
      </c>
      <c r="D6362" t="s">
        <v>1092</v>
      </c>
      <c r="G6362" t="s">
        <v>16</v>
      </c>
      <c r="H6362">
        <v>0</v>
      </c>
      <c r="I6362" s="2" t="s">
        <v>1280</v>
      </c>
      <c r="J6362" s="2" t="s">
        <v>14032</v>
      </c>
      <c r="K6362">
        <v>20</v>
      </c>
      <c r="L6362">
        <v>20</v>
      </c>
      <c r="M6362">
        <v>20</v>
      </c>
    </row>
    <row r="6363" spans="1:13" x14ac:dyDescent="0.25">
      <c r="A6363" t="s">
        <v>14033</v>
      </c>
      <c r="B6363" t="s">
        <v>14031</v>
      </c>
      <c r="C6363" t="s">
        <v>151</v>
      </c>
      <c r="D6363" t="s">
        <v>1092</v>
      </c>
      <c r="F6363">
        <v>1</v>
      </c>
      <c r="G6363" t="s">
        <v>16</v>
      </c>
      <c r="H6363">
        <v>0</v>
      </c>
      <c r="I6363" s="2" t="s">
        <v>2341</v>
      </c>
      <c r="J6363" s="2">
        <v>6950</v>
      </c>
      <c r="K6363">
        <v>20</v>
      </c>
      <c r="L6363">
        <v>20</v>
      </c>
      <c r="M6363">
        <v>20</v>
      </c>
    </row>
    <row r="6364" spans="1:13" x14ac:dyDescent="0.25">
      <c r="A6364" t="s">
        <v>14034</v>
      </c>
      <c r="B6364" t="s">
        <v>14035</v>
      </c>
      <c r="C6364" t="s">
        <v>151</v>
      </c>
      <c r="D6364" t="s">
        <v>1092</v>
      </c>
      <c r="G6364" t="s">
        <v>16</v>
      </c>
      <c r="H6364">
        <v>0</v>
      </c>
      <c r="I6364" s="2" t="s">
        <v>1280</v>
      </c>
      <c r="J6364" s="2" t="s">
        <v>14036</v>
      </c>
      <c r="K6364">
        <v>20</v>
      </c>
      <c r="L6364">
        <v>20</v>
      </c>
      <c r="M6364">
        <v>20</v>
      </c>
    </row>
    <row r="6365" spans="1:13" x14ac:dyDescent="0.25">
      <c r="A6365" t="s">
        <v>14037</v>
      </c>
      <c r="B6365" t="s">
        <v>14035</v>
      </c>
      <c r="C6365" t="s">
        <v>151</v>
      </c>
      <c r="D6365" t="s">
        <v>1092</v>
      </c>
      <c r="F6365">
        <v>1</v>
      </c>
      <c r="G6365" t="s">
        <v>16</v>
      </c>
      <c r="H6365">
        <v>0</v>
      </c>
      <c r="I6365" s="2" t="s">
        <v>2341</v>
      </c>
      <c r="J6365" s="2">
        <v>6951</v>
      </c>
      <c r="K6365">
        <v>20</v>
      </c>
      <c r="L6365">
        <v>20</v>
      </c>
      <c r="M6365">
        <v>20</v>
      </c>
    </row>
    <row r="6366" spans="1:13" x14ac:dyDescent="0.25">
      <c r="A6366" t="s">
        <v>14038</v>
      </c>
      <c r="B6366" t="s">
        <v>14039</v>
      </c>
      <c r="C6366" t="s">
        <v>151</v>
      </c>
      <c r="D6366" t="s">
        <v>1092</v>
      </c>
      <c r="F6366">
        <v>1</v>
      </c>
      <c r="G6366" t="s">
        <v>16</v>
      </c>
      <c r="H6366">
        <v>0</v>
      </c>
      <c r="I6366" s="2" t="s">
        <v>1280</v>
      </c>
      <c r="J6366" s="2">
        <v>511152</v>
      </c>
      <c r="K6366">
        <v>20</v>
      </c>
      <c r="L6366">
        <v>20</v>
      </c>
      <c r="M6366">
        <v>20</v>
      </c>
    </row>
    <row r="6367" spans="1:13" x14ac:dyDescent="0.25">
      <c r="A6367" t="s">
        <v>14040</v>
      </c>
      <c r="B6367" t="s">
        <v>14041</v>
      </c>
      <c r="C6367" t="s">
        <v>151</v>
      </c>
      <c r="D6367" t="s">
        <v>1092</v>
      </c>
      <c r="F6367">
        <v>1</v>
      </c>
      <c r="G6367" t="s">
        <v>16</v>
      </c>
      <c r="H6367">
        <v>0</v>
      </c>
      <c r="I6367" s="2" t="s">
        <v>1222</v>
      </c>
      <c r="J6367" s="2" t="s">
        <v>14042</v>
      </c>
      <c r="K6367">
        <v>20</v>
      </c>
      <c r="L6367">
        <v>20</v>
      </c>
      <c r="M6367">
        <v>20</v>
      </c>
    </row>
    <row r="6368" spans="1:13" x14ac:dyDescent="0.25">
      <c r="A6368" t="s">
        <v>14043</v>
      </c>
      <c r="B6368" t="s">
        <v>14044</v>
      </c>
      <c r="C6368" t="s">
        <v>151</v>
      </c>
      <c r="D6368" t="s">
        <v>1092</v>
      </c>
      <c r="F6368">
        <v>1</v>
      </c>
      <c r="G6368" t="s">
        <v>16</v>
      </c>
      <c r="H6368">
        <v>0</v>
      </c>
      <c r="I6368" s="2" t="s">
        <v>1145</v>
      </c>
      <c r="J6368" s="2" t="s">
        <v>14045</v>
      </c>
      <c r="K6368">
        <v>20</v>
      </c>
      <c r="L6368">
        <v>20</v>
      </c>
      <c r="M6368">
        <v>20</v>
      </c>
    </row>
    <row r="6369" spans="1:13" x14ac:dyDescent="0.25">
      <c r="A6369" t="s">
        <v>14046</v>
      </c>
      <c r="B6369" t="s">
        <v>14047</v>
      </c>
      <c r="C6369" t="s">
        <v>151</v>
      </c>
      <c r="D6369" t="s">
        <v>1092</v>
      </c>
      <c r="F6369">
        <v>1</v>
      </c>
      <c r="G6369" t="s">
        <v>16</v>
      </c>
      <c r="H6369">
        <v>0</v>
      </c>
      <c r="I6369" s="2" t="s">
        <v>2341</v>
      </c>
      <c r="J6369" s="2">
        <v>4400</v>
      </c>
      <c r="K6369">
        <v>20</v>
      </c>
      <c r="L6369">
        <v>20</v>
      </c>
      <c r="M6369">
        <v>20</v>
      </c>
    </row>
    <row r="6370" spans="1:13" x14ac:dyDescent="0.25">
      <c r="A6370" t="s">
        <v>14048</v>
      </c>
      <c r="B6370" t="s">
        <v>14050</v>
      </c>
      <c r="C6370" t="s">
        <v>151</v>
      </c>
      <c r="D6370" t="s">
        <v>1092</v>
      </c>
      <c r="F6370">
        <v>2</v>
      </c>
      <c r="G6370" t="s">
        <v>16</v>
      </c>
      <c r="H6370">
        <v>0</v>
      </c>
      <c r="I6370" s="2" t="s">
        <v>69</v>
      </c>
      <c r="J6370" s="2" t="s">
        <v>14049</v>
      </c>
      <c r="K6370">
        <v>20</v>
      </c>
      <c r="L6370">
        <v>20</v>
      </c>
      <c r="M6370">
        <v>20</v>
      </c>
    </row>
    <row r="6371" spans="1:13" x14ac:dyDescent="0.25">
      <c r="A6371" t="s">
        <v>14051</v>
      </c>
      <c r="B6371" t="s">
        <v>14052</v>
      </c>
      <c r="C6371" t="s">
        <v>151</v>
      </c>
      <c r="D6371" t="s">
        <v>1092</v>
      </c>
      <c r="F6371">
        <v>0</v>
      </c>
      <c r="G6371" t="s">
        <v>16</v>
      </c>
      <c r="H6371">
        <v>0</v>
      </c>
      <c r="I6371" s="2" t="s">
        <v>1094</v>
      </c>
      <c r="J6371" s="2" t="s">
        <v>14053</v>
      </c>
      <c r="K6371">
        <v>20</v>
      </c>
      <c r="L6371">
        <v>20</v>
      </c>
      <c r="M6371">
        <v>20</v>
      </c>
    </row>
    <row r="6372" spans="1:13" x14ac:dyDescent="0.25">
      <c r="A6372" t="s">
        <v>14054</v>
      </c>
      <c r="B6372" t="s">
        <v>14055</v>
      </c>
      <c r="C6372" t="s">
        <v>151</v>
      </c>
      <c r="D6372" t="s">
        <v>1092</v>
      </c>
      <c r="F6372">
        <v>1</v>
      </c>
      <c r="G6372" t="s">
        <v>16</v>
      </c>
      <c r="H6372">
        <v>0</v>
      </c>
      <c r="I6372" s="2" t="s">
        <v>1222</v>
      </c>
      <c r="J6372" s="2" t="s">
        <v>14056</v>
      </c>
      <c r="K6372">
        <v>20</v>
      </c>
      <c r="L6372">
        <v>20</v>
      </c>
      <c r="M6372">
        <v>20</v>
      </c>
    </row>
    <row r="6373" spans="1:13" x14ac:dyDescent="0.25">
      <c r="A6373" t="s">
        <v>14057</v>
      </c>
      <c r="B6373" t="s">
        <v>14058</v>
      </c>
      <c r="C6373" t="s">
        <v>151</v>
      </c>
      <c r="D6373" t="s">
        <v>1092</v>
      </c>
      <c r="F6373">
        <v>1</v>
      </c>
      <c r="G6373" t="s">
        <v>16</v>
      </c>
      <c r="H6373">
        <v>0</v>
      </c>
      <c r="I6373" s="2" t="s">
        <v>14059</v>
      </c>
      <c r="J6373" s="2">
        <v>4200</v>
      </c>
      <c r="K6373">
        <v>20</v>
      </c>
      <c r="L6373">
        <v>20</v>
      </c>
      <c r="M6373">
        <v>20</v>
      </c>
    </row>
    <row r="6374" spans="1:13" x14ac:dyDescent="0.25">
      <c r="A6374" t="s">
        <v>14060</v>
      </c>
      <c r="B6374" t="s">
        <v>14061</v>
      </c>
      <c r="C6374" t="s">
        <v>151</v>
      </c>
      <c r="D6374" t="s">
        <v>1092</v>
      </c>
      <c r="F6374">
        <v>1</v>
      </c>
      <c r="G6374" t="s">
        <v>16</v>
      </c>
      <c r="H6374">
        <v>0</v>
      </c>
      <c r="I6374" s="2" t="s">
        <v>1222</v>
      </c>
      <c r="J6374" s="2" t="s">
        <v>14062</v>
      </c>
      <c r="K6374">
        <v>20</v>
      </c>
      <c r="L6374">
        <v>20</v>
      </c>
      <c r="M6374">
        <v>20</v>
      </c>
    </row>
    <row r="6375" spans="1:13" x14ac:dyDescent="0.25">
      <c r="A6375" t="s">
        <v>14063</v>
      </c>
      <c r="B6375" t="s">
        <v>14064</v>
      </c>
      <c r="C6375" t="s">
        <v>151</v>
      </c>
      <c r="D6375" t="s">
        <v>1092</v>
      </c>
      <c r="F6375">
        <v>1</v>
      </c>
      <c r="G6375" t="s">
        <v>16</v>
      </c>
      <c r="H6375">
        <v>0</v>
      </c>
      <c r="I6375" s="2" t="s">
        <v>1222</v>
      </c>
      <c r="J6375" s="2" t="s">
        <v>14065</v>
      </c>
      <c r="K6375">
        <v>20</v>
      </c>
      <c r="L6375">
        <v>20</v>
      </c>
      <c r="M6375">
        <v>20</v>
      </c>
    </row>
    <row r="6376" spans="1:13" x14ac:dyDescent="0.25">
      <c r="A6376" t="s">
        <v>14066</v>
      </c>
      <c r="B6376" t="s">
        <v>14067</v>
      </c>
      <c r="C6376" t="s">
        <v>151</v>
      </c>
      <c r="D6376" t="s">
        <v>1092</v>
      </c>
      <c r="F6376">
        <v>1</v>
      </c>
      <c r="G6376" t="s">
        <v>16</v>
      </c>
      <c r="H6376">
        <v>0</v>
      </c>
      <c r="I6376" s="2" t="s">
        <v>14059</v>
      </c>
      <c r="J6376" s="2">
        <v>4206</v>
      </c>
      <c r="K6376">
        <v>20</v>
      </c>
      <c r="L6376">
        <v>20</v>
      </c>
      <c r="M6376">
        <v>20</v>
      </c>
    </row>
    <row r="6377" spans="1:13" x14ac:dyDescent="0.25">
      <c r="A6377" t="s">
        <v>14068</v>
      </c>
      <c r="B6377" t="s">
        <v>14069</v>
      </c>
      <c r="C6377" t="s">
        <v>151</v>
      </c>
      <c r="D6377" t="s">
        <v>1092</v>
      </c>
      <c r="F6377">
        <v>1</v>
      </c>
      <c r="G6377" t="s">
        <v>16</v>
      </c>
      <c r="H6377">
        <v>0</v>
      </c>
      <c r="I6377" s="2" t="s">
        <v>1145</v>
      </c>
      <c r="J6377" s="2" t="s">
        <v>14070</v>
      </c>
      <c r="K6377">
        <v>20</v>
      </c>
      <c r="L6377">
        <v>20</v>
      </c>
      <c r="M6377">
        <v>20</v>
      </c>
    </row>
    <row r="6378" spans="1:13" x14ac:dyDescent="0.25">
      <c r="A6378" t="s">
        <v>14071</v>
      </c>
      <c r="B6378" t="s">
        <v>14072</v>
      </c>
      <c r="C6378" t="s">
        <v>20</v>
      </c>
      <c r="D6378" t="s">
        <v>161</v>
      </c>
      <c r="G6378" t="s">
        <v>16</v>
      </c>
      <c r="H6378">
        <v>0</v>
      </c>
      <c r="I6378" s="2" t="s">
        <v>14073</v>
      </c>
      <c r="J6378" s="2" t="s">
        <v>14074</v>
      </c>
      <c r="K6378">
        <v>20</v>
      </c>
      <c r="L6378">
        <v>20</v>
      </c>
      <c r="M6378">
        <v>20</v>
      </c>
    </row>
    <row r="6379" spans="1:13" x14ac:dyDescent="0.25">
      <c r="A6379" t="s">
        <v>14075</v>
      </c>
      <c r="B6379" t="s">
        <v>14076</v>
      </c>
      <c r="C6379" t="s">
        <v>20</v>
      </c>
      <c r="D6379" t="s">
        <v>385</v>
      </c>
      <c r="G6379" t="s">
        <v>16</v>
      </c>
      <c r="H6379">
        <v>0</v>
      </c>
      <c r="I6379" s="2" t="s">
        <v>3421</v>
      </c>
      <c r="J6379" s="2" t="s">
        <v>14077</v>
      </c>
      <c r="K6379">
        <v>20</v>
      </c>
      <c r="L6379">
        <v>20</v>
      </c>
      <c r="M6379">
        <v>20</v>
      </c>
    </row>
    <row r="6380" spans="1:13" x14ac:dyDescent="0.25">
      <c r="A6380" t="s">
        <v>14078</v>
      </c>
      <c r="B6380" t="s">
        <v>14079</v>
      </c>
      <c r="C6380" t="s">
        <v>20</v>
      </c>
      <c r="D6380" t="s">
        <v>161</v>
      </c>
      <c r="G6380" t="s">
        <v>16</v>
      </c>
      <c r="H6380">
        <v>0</v>
      </c>
      <c r="I6380" s="2" t="s">
        <v>297</v>
      </c>
      <c r="J6380" s="2">
        <v>428017710</v>
      </c>
      <c r="K6380">
        <v>20</v>
      </c>
      <c r="L6380">
        <v>20</v>
      </c>
      <c r="M6380">
        <v>20</v>
      </c>
    </row>
    <row r="6381" spans="1:13" x14ac:dyDescent="0.25">
      <c r="A6381" t="s">
        <v>14080</v>
      </c>
      <c r="B6381" t="s">
        <v>14081</v>
      </c>
      <c r="C6381" t="s">
        <v>20</v>
      </c>
      <c r="D6381" t="s">
        <v>161</v>
      </c>
      <c r="G6381" t="s">
        <v>16</v>
      </c>
      <c r="H6381">
        <v>0</v>
      </c>
      <c r="I6381" s="2" t="s">
        <v>437</v>
      </c>
      <c r="J6381" s="2">
        <v>428017810</v>
      </c>
      <c r="K6381">
        <v>20</v>
      </c>
      <c r="L6381">
        <v>20</v>
      </c>
      <c r="M6381">
        <v>20</v>
      </c>
    </row>
    <row r="6382" spans="1:13" x14ac:dyDescent="0.25">
      <c r="A6382" t="s">
        <v>14082</v>
      </c>
      <c r="B6382" t="s">
        <v>14083</v>
      </c>
      <c r="C6382" t="s">
        <v>20</v>
      </c>
      <c r="D6382" t="s">
        <v>894</v>
      </c>
      <c r="F6382">
        <v>1</v>
      </c>
      <c r="G6382" t="s">
        <v>16</v>
      </c>
      <c r="H6382">
        <v>0</v>
      </c>
      <c r="I6382" s="2" t="s">
        <v>12607</v>
      </c>
      <c r="J6382" s="2" t="s">
        <v>14084</v>
      </c>
      <c r="K6382">
        <v>20</v>
      </c>
      <c r="L6382">
        <v>20</v>
      </c>
      <c r="M6382">
        <v>20</v>
      </c>
    </row>
    <row r="6383" spans="1:13" x14ac:dyDescent="0.25">
      <c r="A6383" t="s">
        <v>14085</v>
      </c>
      <c r="B6383" t="s">
        <v>14086</v>
      </c>
      <c r="C6383" t="s">
        <v>20</v>
      </c>
      <c r="D6383" t="s">
        <v>894</v>
      </c>
      <c r="G6383" t="s">
        <v>16</v>
      </c>
      <c r="H6383">
        <v>0</v>
      </c>
      <c r="I6383" s="2" t="s">
        <v>14087</v>
      </c>
      <c r="J6383" s="2">
        <v>6026024</v>
      </c>
      <c r="K6383">
        <v>20</v>
      </c>
      <c r="L6383">
        <v>20</v>
      </c>
      <c r="M6383">
        <v>20</v>
      </c>
    </row>
    <row r="6384" spans="1:13" x14ac:dyDescent="0.25">
      <c r="A6384" t="s">
        <v>14088</v>
      </c>
      <c r="B6384" t="s">
        <v>14086</v>
      </c>
      <c r="C6384" t="s">
        <v>20</v>
      </c>
      <c r="D6384" t="s">
        <v>894</v>
      </c>
      <c r="G6384" t="s">
        <v>16</v>
      </c>
      <c r="H6384">
        <v>0</v>
      </c>
      <c r="I6384" s="2" t="s">
        <v>14089</v>
      </c>
      <c r="J6384" s="2" t="s">
        <v>14090</v>
      </c>
      <c r="K6384">
        <v>20</v>
      </c>
      <c r="L6384">
        <v>20</v>
      </c>
      <c r="M6384">
        <v>20</v>
      </c>
    </row>
    <row r="6385" spans="1:13" x14ac:dyDescent="0.25">
      <c r="A6385" t="s">
        <v>14091</v>
      </c>
      <c r="B6385" t="s">
        <v>14092</v>
      </c>
      <c r="C6385" t="s">
        <v>20</v>
      </c>
      <c r="D6385" t="s">
        <v>300</v>
      </c>
      <c r="G6385" t="s">
        <v>16</v>
      </c>
      <c r="H6385">
        <v>0</v>
      </c>
      <c r="I6385" s="2" t="s">
        <v>383</v>
      </c>
      <c r="J6385" s="2">
        <v>1987949139</v>
      </c>
      <c r="K6385">
        <v>20</v>
      </c>
      <c r="L6385">
        <v>20</v>
      </c>
      <c r="M6385">
        <v>20</v>
      </c>
    </row>
    <row r="6386" spans="1:13" x14ac:dyDescent="0.25">
      <c r="A6386" t="s">
        <v>14093</v>
      </c>
      <c r="B6386" t="s">
        <v>14094</v>
      </c>
      <c r="C6386" t="s">
        <v>151</v>
      </c>
      <c r="F6386">
        <v>1</v>
      </c>
      <c r="G6386" t="s">
        <v>16</v>
      </c>
      <c r="H6386">
        <v>0</v>
      </c>
      <c r="I6386" s="2" t="s">
        <v>87</v>
      </c>
      <c r="J6386" s="2" t="s">
        <v>14095</v>
      </c>
      <c r="K6386">
        <v>20</v>
      </c>
      <c r="L6386">
        <v>20</v>
      </c>
      <c r="M6386">
        <v>20</v>
      </c>
    </row>
    <row r="6387" spans="1:13" x14ac:dyDescent="0.25">
      <c r="A6387" t="s">
        <v>14096</v>
      </c>
      <c r="B6387" t="s">
        <v>14097</v>
      </c>
      <c r="C6387" t="s">
        <v>241</v>
      </c>
      <c r="D6387" t="s">
        <v>244</v>
      </c>
      <c r="F6387">
        <v>3</v>
      </c>
      <c r="G6387" t="s">
        <v>16</v>
      </c>
      <c r="H6387">
        <v>0</v>
      </c>
      <c r="I6387" s="2" t="s">
        <v>737</v>
      </c>
      <c r="J6387" s="2">
        <v>30602</v>
      </c>
      <c r="K6387">
        <v>20</v>
      </c>
      <c r="L6387">
        <v>20</v>
      </c>
      <c r="M6387">
        <v>20</v>
      </c>
    </row>
    <row r="6388" spans="1:13" x14ac:dyDescent="0.25">
      <c r="A6388" t="s">
        <v>14098</v>
      </c>
      <c r="B6388" t="s">
        <v>14099</v>
      </c>
      <c r="C6388" t="s">
        <v>20</v>
      </c>
      <c r="F6388">
        <v>1</v>
      </c>
      <c r="G6388" t="s">
        <v>16</v>
      </c>
      <c r="H6388">
        <v>0</v>
      </c>
      <c r="I6388" s="2" t="s">
        <v>504</v>
      </c>
      <c r="J6388" s="2" t="s">
        <v>14100</v>
      </c>
      <c r="K6388">
        <v>20</v>
      </c>
      <c r="L6388">
        <v>20</v>
      </c>
      <c r="M6388">
        <v>20</v>
      </c>
    </row>
    <row r="6389" spans="1:13" x14ac:dyDescent="0.25">
      <c r="A6389" t="s">
        <v>14101</v>
      </c>
      <c r="B6389" t="s">
        <v>14102</v>
      </c>
      <c r="C6389" t="s">
        <v>20</v>
      </c>
      <c r="F6389">
        <v>1</v>
      </c>
      <c r="G6389" t="s">
        <v>16</v>
      </c>
      <c r="H6389">
        <v>0</v>
      </c>
      <c r="I6389" s="2" t="s">
        <v>1107</v>
      </c>
      <c r="J6389" s="2" t="s">
        <v>14103</v>
      </c>
      <c r="K6389">
        <v>20</v>
      </c>
      <c r="L6389">
        <v>20</v>
      </c>
      <c r="M6389">
        <v>20</v>
      </c>
    </row>
    <row r="6390" spans="1:13" x14ac:dyDescent="0.25">
      <c r="A6390">
        <v>638130</v>
      </c>
      <c r="B6390" t="s">
        <v>14104</v>
      </c>
      <c r="C6390" t="s">
        <v>20</v>
      </c>
      <c r="D6390" t="s">
        <v>26</v>
      </c>
      <c r="G6390" t="s">
        <v>16</v>
      </c>
      <c r="H6390">
        <v>0</v>
      </c>
      <c r="I6390" s="2" t="s">
        <v>497</v>
      </c>
      <c r="J6390" s="2">
        <v>55562793</v>
      </c>
      <c r="K6390">
        <v>20</v>
      </c>
      <c r="L6390">
        <v>20</v>
      </c>
      <c r="M6390">
        <v>20</v>
      </c>
    </row>
    <row r="6391" spans="1:13" x14ac:dyDescent="0.25">
      <c r="A6391" t="s">
        <v>14105</v>
      </c>
      <c r="B6391" t="s">
        <v>14104</v>
      </c>
      <c r="C6391" t="s">
        <v>20</v>
      </c>
      <c r="D6391" t="s">
        <v>26</v>
      </c>
      <c r="F6391">
        <v>0</v>
      </c>
      <c r="G6391" t="s">
        <v>16</v>
      </c>
      <c r="H6391">
        <v>0</v>
      </c>
      <c r="I6391" s="2" t="s">
        <v>97</v>
      </c>
      <c r="J6391" s="3">
        <v>503241</v>
      </c>
      <c r="K6391">
        <v>20</v>
      </c>
      <c r="L6391">
        <v>20</v>
      </c>
      <c r="M6391">
        <v>20</v>
      </c>
    </row>
    <row r="6392" spans="1:13" x14ac:dyDescent="0.25">
      <c r="A6392" t="s">
        <v>14106</v>
      </c>
      <c r="B6392" t="s">
        <v>14104</v>
      </c>
      <c r="C6392" t="s">
        <v>20</v>
      </c>
      <c r="D6392" t="s">
        <v>26</v>
      </c>
      <c r="F6392">
        <v>0</v>
      </c>
      <c r="G6392" t="s">
        <v>16</v>
      </c>
      <c r="H6392">
        <v>0</v>
      </c>
      <c r="I6392" s="2" t="s">
        <v>1175</v>
      </c>
      <c r="J6392" s="2" t="s">
        <v>14107</v>
      </c>
      <c r="K6392">
        <v>20</v>
      </c>
      <c r="L6392">
        <v>20</v>
      </c>
      <c r="M6392">
        <v>20</v>
      </c>
    </row>
    <row r="6393" spans="1:13" x14ac:dyDescent="0.25">
      <c r="A6393" t="s">
        <v>14108</v>
      </c>
      <c r="B6393" t="s">
        <v>14104</v>
      </c>
      <c r="C6393" t="s">
        <v>20</v>
      </c>
      <c r="D6393" t="s">
        <v>26</v>
      </c>
      <c r="F6393">
        <v>1</v>
      </c>
      <c r="G6393" t="s">
        <v>16</v>
      </c>
      <c r="H6393">
        <v>0</v>
      </c>
      <c r="I6393" s="2" t="s">
        <v>80</v>
      </c>
      <c r="J6393" s="2" t="s">
        <v>14109</v>
      </c>
      <c r="K6393">
        <v>20</v>
      </c>
      <c r="L6393">
        <v>20</v>
      </c>
      <c r="M6393">
        <v>20</v>
      </c>
    </row>
    <row r="6394" spans="1:13" x14ac:dyDescent="0.25">
      <c r="A6394" t="s">
        <v>14110</v>
      </c>
      <c r="B6394" t="s">
        <v>14112</v>
      </c>
      <c r="C6394" t="s">
        <v>20</v>
      </c>
      <c r="F6394">
        <v>2</v>
      </c>
      <c r="G6394" t="s">
        <v>16</v>
      </c>
      <c r="H6394">
        <v>0</v>
      </c>
      <c r="I6394" s="2" t="s">
        <v>765</v>
      </c>
      <c r="J6394" s="2" t="s">
        <v>14111</v>
      </c>
      <c r="K6394">
        <v>20</v>
      </c>
      <c r="L6394">
        <v>20</v>
      </c>
      <c r="M6394">
        <v>20</v>
      </c>
    </row>
    <row r="6395" spans="1:13" x14ac:dyDescent="0.25">
      <c r="A6395" t="s">
        <v>14113</v>
      </c>
      <c r="B6395" t="s">
        <v>14115</v>
      </c>
      <c r="C6395" t="s">
        <v>20</v>
      </c>
      <c r="F6395">
        <v>1</v>
      </c>
      <c r="G6395" t="s">
        <v>16</v>
      </c>
      <c r="H6395">
        <v>0</v>
      </c>
      <c r="I6395" s="2" t="s">
        <v>69</v>
      </c>
      <c r="J6395" s="2" t="s">
        <v>14114</v>
      </c>
      <c r="K6395">
        <v>20</v>
      </c>
      <c r="L6395">
        <v>20</v>
      </c>
      <c r="M6395">
        <v>20</v>
      </c>
    </row>
    <row r="6396" spans="1:13" x14ac:dyDescent="0.25">
      <c r="A6396">
        <v>638156</v>
      </c>
      <c r="B6396" t="s">
        <v>14116</v>
      </c>
      <c r="C6396" t="s">
        <v>20</v>
      </c>
      <c r="D6396" t="s">
        <v>26</v>
      </c>
      <c r="F6396">
        <v>11</v>
      </c>
      <c r="G6396" t="s">
        <v>16</v>
      </c>
      <c r="H6396">
        <v>0</v>
      </c>
      <c r="I6396" s="2" t="s">
        <v>1444</v>
      </c>
      <c r="J6396" s="2">
        <v>55573747</v>
      </c>
      <c r="K6396">
        <v>20</v>
      </c>
      <c r="L6396">
        <v>20</v>
      </c>
      <c r="M6396">
        <v>20</v>
      </c>
    </row>
    <row r="6397" spans="1:13" x14ac:dyDescent="0.25">
      <c r="A6397" t="s">
        <v>14117</v>
      </c>
      <c r="B6397" t="s">
        <v>14116</v>
      </c>
      <c r="C6397" t="s">
        <v>20</v>
      </c>
      <c r="D6397" t="s">
        <v>26</v>
      </c>
      <c r="F6397">
        <v>1</v>
      </c>
      <c r="G6397" t="s">
        <v>16</v>
      </c>
      <c r="H6397">
        <v>0</v>
      </c>
      <c r="I6397" s="2" t="s">
        <v>142</v>
      </c>
      <c r="J6397" s="2">
        <v>638156</v>
      </c>
      <c r="K6397">
        <v>20</v>
      </c>
      <c r="L6397">
        <v>20</v>
      </c>
      <c r="M6397">
        <v>20</v>
      </c>
    </row>
    <row r="6398" spans="1:13" x14ac:dyDescent="0.25">
      <c r="A6398" t="s">
        <v>14118</v>
      </c>
      <c r="B6398" t="s">
        <v>14116</v>
      </c>
      <c r="C6398" t="s">
        <v>20</v>
      </c>
      <c r="D6398" t="s">
        <v>26</v>
      </c>
      <c r="F6398">
        <v>1</v>
      </c>
      <c r="G6398" t="s">
        <v>16</v>
      </c>
      <c r="H6398">
        <v>0</v>
      </c>
      <c r="I6398" s="2" t="s">
        <v>3286</v>
      </c>
      <c r="J6398" s="2" t="s">
        <v>14119</v>
      </c>
      <c r="K6398">
        <v>20</v>
      </c>
      <c r="L6398">
        <v>20</v>
      </c>
      <c r="M6398">
        <v>20</v>
      </c>
    </row>
    <row r="6399" spans="1:13" x14ac:dyDescent="0.25">
      <c r="A6399" t="s">
        <v>14120</v>
      </c>
      <c r="B6399" t="s">
        <v>14116</v>
      </c>
      <c r="C6399" t="s">
        <v>20</v>
      </c>
      <c r="D6399" t="s">
        <v>26</v>
      </c>
      <c r="G6399" t="s">
        <v>16</v>
      </c>
      <c r="H6399">
        <v>0</v>
      </c>
      <c r="I6399" s="2" t="s">
        <v>99</v>
      </c>
      <c r="J6399" s="3">
        <v>773410</v>
      </c>
      <c r="K6399">
        <v>20</v>
      </c>
      <c r="L6399">
        <v>20</v>
      </c>
      <c r="M6399">
        <v>20</v>
      </c>
    </row>
    <row r="6400" spans="1:13" x14ac:dyDescent="0.25">
      <c r="A6400" t="s">
        <v>14121</v>
      </c>
      <c r="B6400" t="s">
        <v>14116</v>
      </c>
      <c r="C6400" t="s">
        <v>20</v>
      </c>
      <c r="D6400" t="s">
        <v>26</v>
      </c>
      <c r="F6400">
        <v>1</v>
      </c>
      <c r="G6400" t="s">
        <v>16</v>
      </c>
      <c r="H6400">
        <v>0</v>
      </c>
      <c r="I6400" s="2" t="s">
        <v>238</v>
      </c>
      <c r="J6400" s="2">
        <v>107010</v>
      </c>
      <c r="K6400">
        <v>20</v>
      </c>
      <c r="L6400">
        <v>20</v>
      </c>
      <c r="M6400">
        <v>20</v>
      </c>
    </row>
    <row r="6401" spans="1:13" x14ac:dyDescent="0.25">
      <c r="A6401" t="s">
        <v>14122</v>
      </c>
      <c r="B6401" t="s">
        <v>14116</v>
      </c>
      <c r="C6401" t="s">
        <v>20</v>
      </c>
      <c r="D6401" t="s">
        <v>26</v>
      </c>
      <c r="F6401">
        <v>2</v>
      </c>
      <c r="G6401" t="s">
        <v>16</v>
      </c>
      <c r="H6401">
        <v>0</v>
      </c>
      <c r="I6401" s="2" t="s">
        <v>104</v>
      </c>
      <c r="J6401" s="2" t="s">
        <v>14123</v>
      </c>
      <c r="K6401">
        <v>20</v>
      </c>
      <c r="L6401">
        <v>20</v>
      </c>
      <c r="M6401">
        <v>20</v>
      </c>
    </row>
    <row r="6402" spans="1:13" x14ac:dyDescent="0.25">
      <c r="A6402" t="s">
        <v>14124</v>
      </c>
      <c r="B6402" t="s">
        <v>14125</v>
      </c>
      <c r="C6402" t="s">
        <v>20</v>
      </c>
      <c r="D6402" t="s">
        <v>26</v>
      </c>
      <c r="G6402" t="s">
        <v>16</v>
      </c>
      <c r="H6402">
        <v>0</v>
      </c>
      <c r="I6402" s="2" t="s">
        <v>3421</v>
      </c>
      <c r="J6402" s="2" t="s">
        <v>14126</v>
      </c>
      <c r="K6402">
        <v>20</v>
      </c>
      <c r="L6402">
        <v>20</v>
      </c>
      <c r="M6402">
        <v>20</v>
      </c>
    </row>
    <row r="6403" spans="1:13" x14ac:dyDescent="0.25">
      <c r="A6403" t="s">
        <v>14127</v>
      </c>
      <c r="B6403" t="s">
        <v>14128</v>
      </c>
      <c r="C6403" t="s">
        <v>20</v>
      </c>
      <c r="D6403" t="s">
        <v>26</v>
      </c>
      <c r="G6403" t="s">
        <v>16</v>
      </c>
      <c r="H6403">
        <v>0</v>
      </c>
      <c r="I6403" s="2" t="s">
        <v>73</v>
      </c>
      <c r="J6403" s="2" t="str">
        <f>"026160P"</f>
        <v>026160P</v>
      </c>
      <c r="K6403">
        <v>20</v>
      </c>
      <c r="L6403">
        <v>20</v>
      </c>
      <c r="M6403">
        <v>20</v>
      </c>
    </row>
    <row r="6404" spans="1:13" x14ac:dyDescent="0.25">
      <c r="A6404" t="s">
        <v>14129</v>
      </c>
      <c r="B6404" t="s">
        <v>14130</v>
      </c>
      <c r="C6404" t="s">
        <v>20</v>
      </c>
      <c r="D6404" t="s">
        <v>26</v>
      </c>
      <c r="G6404" t="s">
        <v>16</v>
      </c>
      <c r="H6404">
        <v>0</v>
      </c>
      <c r="I6404" s="2" t="s">
        <v>99</v>
      </c>
      <c r="J6404" s="3">
        <v>239560</v>
      </c>
      <c r="K6404">
        <v>20</v>
      </c>
      <c r="L6404">
        <v>20</v>
      </c>
      <c r="M6404">
        <v>20</v>
      </c>
    </row>
    <row r="6405" spans="1:13" x14ac:dyDescent="0.25">
      <c r="A6405" t="s">
        <v>14131</v>
      </c>
      <c r="B6405" t="s">
        <v>14132</v>
      </c>
      <c r="C6405" t="s">
        <v>20</v>
      </c>
      <c r="D6405" t="s">
        <v>26</v>
      </c>
      <c r="G6405" t="s">
        <v>16</v>
      </c>
      <c r="H6405">
        <v>0</v>
      </c>
      <c r="I6405" s="2" t="s">
        <v>3421</v>
      </c>
      <c r="J6405" s="2" t="s">
        <v>14133</v>
      </c>
      <c r="K6405">
        <v>20</v>
      </c>
      <c r="L6405">
        <v>20</v>
      </c>
      <c r="M6405">
        <v>20</v>
      </c>
    </row>
    <row r="6406" spans="1:13" x14ac:dyDescent="0.25">
      <c r="A6406" t="s">
        <v>14134</v>
      </c>
      <c r="B6406" t="s">
        <v>14132</v>
      </c>
      <c r="C6406" t="s">
        <v>20</v>
      </c>
      <c r="D6406" t="s">
        <v>26</v>
      </c>
      <c r="G6406" t="s">
        <v>16</v>
      </c>
      <c r="H6406">
        <v>0</v>
      </c>
      <c r="I6406" s="2" t="s">
        <v>80</v>
      </c>
      <c r="J6406" s="2" t="s">
        <v>14135</v>
      </c>
      <c r="K6406">
        <v>20</v>
      </c>
      <c r="L6406">
        <v>20</v>
      </c>
      <c r="M6406">
        <v>20</v>
      </c>
    </row>
    <row r="6407" spans="1:13" x14ac:dyDescent="0.25">
      <c r="A6407" t="s">
        <v>14136</v>
      </c>
      <c r="B6407" t="s">
        <v>14137</v>
      </c>
      <c r="C6407" t="s">
        <v>20</v>
      </c>
      <c r="D6407" t="s">
        <v>26</v>
      </c>
      <c r="G6407" t="s">
        <v>16</v>
      </c>
      <c r="H6407">
        <v>0</v>
      </c>
      <c r="I6407" s="2" t="s">
        <v>209</v>
      </c>
      <c r="J6407" s="2" t="str">
        <f>"045885-V"</f>
        <v>045885-V</v>
      </c>
      <c r="K6407">
        <v>20</v>
      </c>
      <c r="L6407">
        <v>20</v>
      </c>
      <c r="M6407">
        <v>20</v>
      </c>
    </row>
    <row r="6408" spans="1:13" x14ac:dyDescent="0.25">
      <c r="A6408" t="s">
        <v>14138</v>
      </c>
      <c r="B6408" t="s">
        <v>14139</v>
      </c>
      <c r="C6408" t="s">
        <v>20</v>
      </c>
      <c r="D6408" t="s">
        <v>26</v>
      </c>
      <c r="F6408">
        <v>1</v>
      </c>
      <c r="G6408" t="s">
        <v>16</v>
      </c>
      <c r="H6408">
        <v>0</v>
      </c>
      <c r="I6408" s="2" t="s">
        <v>3421</v>
      </c>
      <c r="J6408" s="2" t="s">
        <v>14140</v>
      </c>
      <c r="K6408">
        <v>20</v>
      </c>
      <c r="L6408">
        <v>20</v>
      </c>
      <c r="M6408">
        <v>20</v>
      </c>
    </row>
    <row r="6409" spans="1:13" x14ac:dyDescent="0.25">
      <c r="A6409" t="s">
        <v>14141</v>
      </c>
      <c r="B6409" t="s">
        <v>14142</v>
      </c>
      <c r="C6409" t="s">
        <v>20</v>
      </c>
      <c r="D6409" t="s">
        <v>26</v>
      </c>
      <c r="F6409">
        <v>5</v>
      </c>
      <c r="G6409" t="s">
        <v>16</v>
      </c>
      <c r="H6409">
        <v>0</v>
      </c>
      <c r="I6409" s="2" t="s">
        <v>92</v>
      </c>
      <c r="J6409" s="2" t="s">
        <v>14143</v>
      </c>
      <c r="K6409">
        <v>20</v>
      </c>
      <c r="L6409">
        <v>20</v>
      </c>
      <c r="M6409">
        <v>20</v>
      </c>
    </row>
    <row r="6410" spans="1:13" x14ac:dyDescent="0.25">
      <c r="A6410" t="s">
        <v>14144</v>
      </c>
      <c r="B6410" t="s">
        <v>14145</v>
      </c>
      <c r="C6410" t="s">
        <v>20</v>
      </c>
      <c r="D6410" t="s">
        <v>26</v>
      </c>
      <c r="G6410" t="s">
        <v>16</v>
      </c>
      <c r="H6410">
        <v>0</v>
      </c>
      <c r="I6410" s="2" t="s">
        <v>99</v>
      </c>
      <c r="J6410" s="3">
        <v>127610</v>
      </c>
      <c r="K6410">
        <v>20</v>
      </c>
      <c r="L6410">
        <v>20</v>
      </c>
      <c r="M6410">
        <v>20</v>
      </c>
    </row>
    <row r="6411" spans="1:13" x14ac:dyDescent="0.25">
      <c r="A6411" t="s">
        <v>14146</v>
      </c>
      <c r="B6411" t="s">
        <v>14142</v>
      </c>
      <c r="C6411" t="s">
        <v>20</v>
      </c>
      <c r="D6411" t="s">
        <v>26</v>
      </c>
      <c r="F6411">
        <v>1</v>
      </c>
      <c r="G6411" t="s">
        <v>16</v>
      </c>
      <c r="H6411">
        <v>0</v>
      </c>
      <c r="I6411" s="2" t="s">
        <v>57</v>
      </c>
      <c r="J6411" s="2" t="str">
        <f>"045882-V"</f>
        <v>045882-V</v>
      </c>
      <c r="K6411">
        <v>20</v>
      </c>
      <c r="L6411">
        <v>20</v>
      </c>
      <c r="M6411">
        <v>20</v>
      </c>
    </row>
    <row r="6412" spans="1:13" x14ac:dyDescent="0.25">
      <c r="A6412">
        <v>638225</v>
      </c>
      <c r="B6412" t="s">
        <v>14147</v>
      </c>
      <c r="C6412" t="s">
        <v>20</v>
      </c>
      <c r="D6412" t="s">
        <v>26</v>
      </c>
      <c r="G6412" t="s">
        <v>16</v>
      </c>
      <c r="H6412">
        <v>0</v>
      </c>
      <c r="I6412" s="2" t="s">
        <v>497</v>
      </c>
      <c r="J6412" s="2">
        <v>55561181</v>
      </c>
      <c r="K6412">
        <v>20</v>
      </c>
      <c r="L6412">
        <v>20</v>
      </c>
      <c r="M6412">
        <v>20</v>
      </c>
    </row>
    <row r="6413" spans="1:13" x14ac:dyDescent="0.25">
      <c r="A6413" t="s">
        <v>14148</v>
      </c>
      <c r="B6413" t="s">
        <v>14147</v>
      </c>
      <c r="C6413" t="s">
        <v>20</v>
      </c>
      <c r="D6413" t="s">
        <v>26</v>
      </c>
      <c r="G6413" t="s">
        <v>16</v>
      </c>
      <c r="H6413">
        <v>0</v>
      </c>
      <c r="I6413" s="2" t="s">
        <v>3286</v>
      </c>
      <c r="J6413" s="2" t="s">
        <v>14149</v>
      </c>
      <c r="K6413">
        <v>20</v>
      </c>
      <c r="L6413">
        <v>20</v>
      </c>
      <c r="M6413">
        <v>20</v>
      </c>
    </row>
    <row r="6414" spans="1:13" x14ac:dyDescent="0.25">
      <c r="A6414" t="s">
        <v>14150</v>
      </c>
      <c r="B6414" t="s">
        <v>14147</v>
      </c>
      <c r="C6414" t="s">
        <v>20</v>
      </c>
      <c r="D6414" t="s">
        <v>26</v>
      </c>
      <c r="F6414">
        <v>1</v>
      </c>
      <c r="G6414" t="s">
        <v>16</v>
      </c>
      <c r="H6414">
        <v>0</v>
      </c>
      <c r="I6414" s="2" t="s">
        <v>99</v>
      </c>
      <c r="J6414" s="3">
        <v>476790</v>
      </c>
      <c r="K6414">
        <v>20</v>
      </c>
      <c r="L6414">
        <v>20</v>
      </c>
      <c r="M6414">
        <v>20</v>
      </c>
    </row>
    <row r="6415" spans="1:13" x14ac:dyDescent="0.25">
      <c r="A6415" t="s">
        <v>14151</v>
      </c>
      <c r="B6415" t="s">
        <v>14147</v>
      </c>
      <c r="C6415" t="s">
        <v>20</v>
      </c>
      <c r="D6415" t="s">
        <v>26</v>
      </c>
      <c r="F6415">
        <v>1</v>
      </c>
      <c r="G6415" t="s">
        <v>16</v>
      </c>
      <c r="H6415">
        <v>0</v>
      </c>
      <c r="I6415" s="2" t="s">
        <v>80</v>
      </c>
      <c r="J6415" s="2" t="s">
        <v>14152</v>
      </c>
      <c r="K6415">
        <v>20</v>
      </c>
      <c r="L6415">
        <v>20</v>
      </c>
      <c r="M6415">
        <v>20</v>
      </c>
    </row>
    <row r="6416" spans="1:13" x14ac:dyDescent="0.25">
      <c r="A6416" t="s">
        <v>14153</v>
      </c>
      <c r="B6416" t="s">
        <v>14154</v>
      </c>
      <c r="C6416" t="s">
        <v>20</v>
      </c>
      <c r="D6416" t="s">
        <v>26</v>
      </c>
      <c r="G6416" t="s">
        <v>16</v>
      </c>
      <c r="H6416">
        <v>0</v>
      </c>
      <c r="I6416" s="2" t="s">
        <v>3421</v>
      </c>
      <c r="J6416" s="2" t="s">
        <v>14155</v>
      </c>
      <c r="K6416">
        <v>20</v>
      </c>
      <c r="L6416">
        <v>20</v>
      </c>
      <c r="M6416">
        <v>20</v>
      </c>
    </row>
    <row r="6417" spans="1:13" x14ac:dyDescent="0.25">
      <c r="A6417" t="s">
        <v>14156</v>
      </c>
      <c r="B6417" t="s">
        <v>14154</v>
      </c>
      <c r="C6417" t="s">
        <v>20</v>
      </c>
      <c r="D6417" t="s">
        <v>26</v>
      </c>
      <c r="F6417">
        <v>2</v>
      </c>
      <c r="G6417" t="s">
        <v>16</v>
      </c>
      <c r="H6417">
        <v>0</v>
      </c>
      <c r="I6417" s="2" t="s">
        <v>97</v>
      </c>
      <c r="J6417" s="3">
        <v>919497</v>
      </c>
      <c r="K6417">
        <v>20</v>
      </c>
      <c r="L6417">
        <v>20</v>
      </c>
      <c r="M6417">
        <v>20</v>
      </c>
    </row>
    <row r="6418" spans="1:13" x14ac:dyDescent="0.25">
      <c r="A6418" t="s">
        <v>14157</v>
      </c>
      <c r="B6418" t="s">
        <v>14154</v>
      </c>
      <c r="C6418" t="s">
        <v>20</v>
      </c>
      <c r="D6418" t="s">
        <v>26</v>
      </c>
      <c r="G6418" t="s">
        <v>16</v>
      </c>
      <c r="H6418">
        <v>0</v>
      </c>
      <c r="I6418" s="2" t="s">
        <v>80</v>
      </c>
      <c r="J6418" s="2" t="s">
        <v>14158</v>
      </c>
      <c r="K6418">
        <v>20</v>
      </c>
      <c r="L6418">
        <v>20</v>
      </c>
      <c r="M6418">
        <v>20</v>
      </c>
    </row>
    <row r="6419" spans="1:13" x14ac:dyDescent="0.25">
      <c r="A6419" t="s">
        <v>14159</v>
      </c>
      <c r="B6419" t="s">
        <v>14160</v>
      </c>
      <c r="C6419" t="s">
        <v>20</v>
      </c>
      <c r="G6419" t="s">
        <v>16</v>
      </c>
      <c r="H6419">
        <v>0</v>
      </c>
      <c r="I6419" s="2" t="s">
        <v>591</v>
      </c>
      <c r="J6419" s="2">
        <v>221201</v>
      </c>
      <c r="K6419">
        <v>20</v>
      </c>
      <c r="L6419">
        <v>20</v>
      </c>
      <c r="M6419">
        <v>20</v>
      </c>
    </row>
    <row r="6420" spans="1:13" x14ac:dyDescent="0.25">
      <c r="A6420" t="s">
        <v>14161</v>
      </c>
      <c r="B6420" t="s">
        <v>14162</v>
      </c>
      <c r="C6420" t="s">
        <v>20</v>
      </c>
      <c r="D6420" t="s">
        <v>26</v>
      </c>
      <c r="F6420">
        <v>5</v>
      </c>
      <c r="G6420" t="s">
        <v>16</v>
      </c>
      <c r="H6420">
        <v>0</v>
      </c>
      <c r="I6420" s="2" t="s">
        <v>759</v>
      </c>
      <c r="J6420" s="2" t="s">
        <v>14163</v>
      </c>
      <c r="K6420">
        <v>20</v>
      </c>
      <c r="L6420">
        <v>20</v>
      </c>
      <c r="M6420">
        <v>20</v>
      </c>
    </row>
    <row r="6421" spans="1:13" x14ac:dyDescent="0.25">
      <c r="A6421" t="s">
        <v>14164</v>
      </c>
      <c r="B6421" t="s">
        <v>14162</v>
      </c>
      <c r="C6421" t="s">
        <v>20</v>
      </c>
      <c r="D6421" t="s">
        <v>26</v>
      </c>
      <c r="G6421" t="s">
        <v>16</v>
      </c>
      <c r="H6421">
        <v>0</v>
      </c>
      <c r="I6421" s="2" t="s">
        <v>80</v>
      </c>
      <c r="J6421" s="2" t="s">
        <v>14165</v>
      </c>
      <c r="K6421">
        <v>20</v>
      </c>
      <c r="L6421">
        <v>20</v>
      </c>
      <c r="M6421">
        <v>20</v>
      </c>
    </row>
    <row r="6422" spans="1:13" x14ac:dyDescent="0.25">
      <c r="A6422" t="s">
        <v>14166</v>
      </c>
      <c r="B6422" t="s">
        <v>14167</v>
      </c>
      <c r="C6422" t="s">
        <v>20</v>
      </c>
      <c r="D6422" t="s">
        <v>26</v>
      </c>
      <c r="F6422">
        <v>1</v>
      </c>
      <c r="G6422" t="s">
        <v>16</v>
      </c>
      <c r="H6422">
        <v>0</v>
      </c>
      <c r="I6422" s="2" t="s">
        <v>83</v>
      </c>
      <c r="J6422" s="2" t="s">
        <v>14168</v>
      </c>
      <c r="K6422">
        <v>20</v>
      </c>
      <c r="L6422">
        <v>20</v>
      </c>
      <c r="M6422">
        <v>20</v>
      </c>
    </row>
    <row r="6423" spans="1:13" x14ac:dyDescent="0.25">
      <c r="A6423" t="s">
        <v>14169</v>
      </c>
      <c r="B6423" t="s">
        <v>14170</v>
      </c>
      <c r="C6423" t="s">
        <v>20</v>
      </c>
      <c r="D6423" t="s">
        <v>26</v>
      </c>
      <c r="G6423" t="s">
        <v>16</v>
      </c>
      <c r="H6423">
        <v>0</v>
      </c>
      <c r="I6423" s="2" t="s">
        <v>73</v>
      </c>
      <c r="J6423" s="2" t="str">
        <f>"023997P"</f>
        <v>023997P</v>
      </c>
      <c r="K6423">
        <v>20</v>
      </c>
      <c r="L6423">
        <v>20</v>
      </c>
      <c r="M6423">
        <v>20</v>
      </c>
    </row>
    <row r="6424" spans="1:13" x14ac:dyDescent="0.25">
      <c r="A6424" t="s">
        <v>14171</v>
      </c>
      <c r="B6424" t="s">
        <v>14172</v>
      </c>
      <c r="C6424" t="s">
        <v>20</v>
      </c>
      <c r="D6424" t="s">
        <v>26</v>
      </c>
      <c r="F6424">
        <v>1</v>
      </c>
      <c r="G6424" t="s">
        <v>16</v>
      </c>
      <c r="H6424">
        <v>0</v>
      </c>
      <c r="I6424" s="2" t="s">
        <v>165</v>
      </c>
      <c r="J6424" s="2">
        <v>201231001</v>
      </c>
      <c r="K6424">
        <v>20</v>
      </c>
      <c r="L6424">
        <v>20</v>
      </c>
      <c r="M6424">
        <v>20</v>
      </c>
    </row>
    <row r="6425" spans="1:13" x14ac:dyDescent="0.25">
      <c r="A6425" t="s">
        <v>14173</v>
      </c>
      <c r="B6425" t="s">
        <v>14174</v>
      </c>
      <c r="C6425" t="s">
        <v>20</v>
      </c>
      <c r="D6425" t="s">
        <v>26</v>
      </c>
      <c r="F6425">
        <v>1</v>
      </c>
      <c r="G6425" t="s">
        <v>16</v>
      </c>
      <c r="H6425">
        <v>0</v>
      </c>
      <c r="I6425" s="2" t="s">
        <v>165</v>
      </c>
      <c r="J6425" s="2">
        <v>201232001</v>
      </c>
      <c r="K6425">
        <v>20</v>
      </c>
      <c r="L6425">
        <v>20</v>
      </c>
      <c r="M6425">
        <v>20</v>
      </c>
    </row>
    <row r="6426" spans="1:13" x14ac:dyDescent="0.25">
      <c r="A6426" t="s">
        <v>14175</v>
      </c>
      <c r="B6426" t="s">
        <v>14176</v>
      </c>
      <c r="C6426" t="s">
        <v>20</v>
      </c>
      <c r="D6426" t="s">
        <v>26</v>
      </c>
      <c r="F6426">
        <v>2</v>
      </c>
      <c r="G6426" t="s">
        <v>16</v>
      </c>
      <c r="H6426">
        <v>0</v>
      </c>
      <c r="I6426" s="2" t="s">
        <v>3421</v>
      </c>
      <c r="J6426" s="2" t="s">
        <v>14177</v>
      </c>
      <c r="K6426">
        <v>20</v>
      </c>
      <c r="L6426">
        <v>20</v>
      </c>
      <c r="M6426">
        <v>20</v>
      </c>
    </row>
    <row r="6427" spans="1:13" x14ac:dyDescent="0.25">
      <c r="A6427" t="s">
        <v>14178</v>
      </c>
      <c r="B6427" t="s">
        <v>14176</v>
      </c>
      <c r="C6427" t="s">
        <v>20</v>
      </c>
      <c r="D6427" t="s">
        <v>26</v>
      </c>
      <c r="F6427">
        <v>1</v>
      </c>
      <c r="G6427" t="s">
        <v>16</v>
      </c>
      <c r="H6427">
        <v>0</v>
      </c>
      <c r="I6427" s="2" t="s">
        <v>97</v>
      </c>
      <c r="J6427" s="3">
        <v>214850</v>
      </c>
      <c r="K6427">
        <v>20</v>
      </c>
      <c r="L6427">
        <v>20</v>
      </c>
      <c r="M6427">
        <v>20</v>
      </c>
    </row>
    <row r="6428" spans="1:13" x14ac:dyDescent="0.25">
      <c r="A6428" t="s">
        <v>14179</v>
      </c>
      <c r="B6428" t="s">
        <v>14180</v>
      </c>
      <c r="C6428" t="s">
        <v>20</v>
      </c>
      <c r="D6428" t="s">
        <v>26</v>
      </c>
      <c r="G6428" t="s">
        <v>16</v>
      </c>
      <c r="H6428">
        <v>0</v>
      </c>
      <c r="I6428" s="2" t="s">
        <v>73</v>
      </c>
      <c r="J6428" s="2" t="s">
        <v>14181</v>
      </c>
      <c r="K6428">
        <v>20</v>
      </c>
      <c r="L6428">
        <v>20</v>
      </c>
      <c r="M6428">
        <v>20</v>
      </c>
    </row>
    <row r="6429" spans="1:13" x14ac:dyDescent="0.25">
      <c r="A6429" t="s">
        <v>14182</v>
      </c>
      <c r="B6429" t="s">
        <v>14180</v>
      </c>
      <c r="C6429" t="s">
        <v>20</v>
      </c>
      <c r="D6429" t="s">
        <v>26</v>
      </c>
      <c r="F6429">
        <v>4</v>
      </c>
      <c r="G6429" t="s">
        <v>16</v>
      </c>
      <c r="H6429">
        <v>0</v>
      </c>
      <c r="I6429" s="2" t="s">
        <v>99</v>
      </c>
      <c r="J6429" s="3">
        <v>127580</v>
      </c>
      <c r="K6429">
        <v>20</v>
      </c>
      <c r="L6429">
        <v>20</v>
      </c>
      <c r="M6429">
        <v>20</v>
      </c>
    </row>
    <row r="6430" spans="1:13" x14ac:dyDescent="0.25">
      <c r="A6430" t="s">
        <v>14183</v>
      </c>
      <c r="B6430" t="s">
        <v>14180</v>
      </c>
      <c r="C6430" t="s">
        <v>20</v>
      </c>
      <c r="D6430" t="s">
        <v>26</v>
      </c>
      <c r="F6430">
        <v>2</v>
      </c>
      <c r="G6430" t="s">
        <v>16</v>
      </c>
      <c r="H6430">
        <v>0</v>
      </c>
      <c r="I6430" s="2" t="s">
        <v>83</v>
      </c>
      <c r="J6430" s="2" t="s">
        <v>14184</v>
      </c>
      <c r="K6430">
        <v>20</v>
      </c>
      <c r="L6430">
        <v>20</v>
      </c>
      <c r="M6430">
        <v>20</v>
      </c>
    </row>
    <row r="6431" spans="1:13" x14ac:dyDescent="0.25">
      <c r="A6431" t="s">
        <v>14185</v>
      </c>
      <c r="B6431" t="s">
        <v>14186</v>
      </c>
      <c r="C6431" t="s">
        <v>20</v>
      </c>
      <c r="F6431">
        <v>40</v>
      </c>
      <c r="G6431" t="s">
        <v>16</v>
      </c>
      <c r="H6431">
        <v>0</v>
      </c>
      <c r="I6431" s="2" t="s">
        <v>297</v>
      </c>
      <c r="J6431" s="2">
        <v>420011810</v>
      </c>
      <c r="K6431">
        <v>20</v>
      </c>
      <c r="L6431">
        <v>20</v>
      </c>
      <c r="M6431">
        <v>20</v>
      </c>
    </row>
    <row r="6432" spans="1:13" x14ac:dyDescent="0.25">
      <c r="A6432" t="s">
        <v>14187</v>
      </c>
      <c r="B6432" t="s">
        <v>14188</v>
      </c>
      <c r="C6432" t="s">
        <v>20</v>
      </c>
      <c r="D6432" t="s">
        <v>133</v>
      </c>
      <c r="F6432">
        <v>48</v>
      </c>
      <c r="G6432" t="s">
        <v>16</v>
      </c>
      <c r="H6432">
        <v>0</v>
      </c>
      <c r="I6432" s="2" t="s">
        <v>297</v>
      </c>
      <c r="J6432" s="2">
        <v>420009810</v>
      </c>
      <c r="K6432">
        <v>20</v>
      </c>
      <c r="L6432">
        <v>20</v>
      </c>
      <c r="M6432">
        <v>20</v>
      </c>
    </row>
    <row r="6433" spans="1:13" x14ac:dyDescent="0.25">
      <c r="A6433" t="s">
        <v>14189</v>
      </c>
      <c r="B6433" t="s">
        <v>14190</v>
      </c>
      <c r="C6433" t="s">
        <v>20</v>
      </c>
      <c r="D6433" t="s">
        <v>133</v>
      </c>
      <c r="G6433" t="s">
        <v>16</v>
      </c>
      <c r="H6433">
        <v>0</v>
      </c>
      <c r="I6433" s="2" t="s">
        <v>3421</v>
      </c>
      <c r="J6433" s="2" t="s">
        <v>14191</v>
      </c>
      <c r="K6433">
        <v>20</v>
      </c>
      <c r="L6433">
        <v>20</v>
      </c>
      <c r="M6433">
        <v>20</v>
      </c>
    </row>
    <row r="6434" spans="1:13" x14ac:dyDescent="0.25">
      <c r="A6434" t="s">
        <v>14192</v>
      </c>
      <c r="B6434" t="s">
        <v>14190</v>
      </c>
      <c r="C6434" t="s">
        <v>20</v>
      </c>
      <c r="D6434" t="s">
        <v>133</v>
      </c>
      <c r="F6434">
        <v>80</v>
      </c>
      <c r="G6434" t="s">
        <v>16</v>
      </c>
      <c r="H6434">
        <v>0</v>
      </c>
      <c r="I6434" s="2" t="s">
        <v>297</v>
      </c>
      <c r="J6434" s="2">
        <v>420008610</v>
      </c>
      <c r="K6434">
        <v>20</v>
      </c>
      <c r="L6434">
        <v>20</v>
      </c>
      <c r="M6434">
        <v>20</v>
      </c>
    </row>
    <row r="6435" spans="1:13" x14ac:dyDescent="0.25">
      <c r="A6435" t="s">
        <v>14193</v>
      </c>
      <c r="B6435" t="s">
        <v>14190</v>
      </c>
      <c r="C6435" t="s">
        <v>20</v>
      </c>
      <c r="D6435" t="s">
        <v>133</v>
      </c>
      <c r="F6435">
        <v>16</v>
      </c>
      <c r="G6435" t="s">
        <v>16</v>
      </c>
      <c r="H6435">
        <v>0</v>
      </c>
      <c r="I6435" s="2" t="s">
        <v>11897</v>
      </c>
      <c r="J6435" s="2" t="s">
        <v>14194</v>
      </c>
      <c r="K6435">
        <v>20</v>
      </c>
      <c r="L6435">
        <v>20</v>
      </c>
      <c r="M6435">
        <v>20</v>
      </c>
    </row>
    <row r="6436" spans="1:13" x14ac:dyDescent="0.25">
      <c r="A6436" t="s">
        <v>14195</v>
      </c>
      <c r="B6436" t="s">
        <v>14196</v>
      </c>
      <c r="C6436" t="s">
        <v>20</v>
      </c>
      <c r="D6436" t="s">
        <v>133</v>
      </c>
      <c r="G6436" t="s">
        <v>16</v>
      </c>
      <c r="H6436">
        <v>0</v>
      </c>
      <c r="I6436" s="2" t="s">
        <v>993</v>
      </c>
      <c r="J6436" s="2">
        <v>201234</v>
      </c>
      <c r="K6436">
        <v>20</v>
      </c>
      <c r="L6436">
        <v>20</v>
      </c>
      <c r="M6436">
        <v>20</v>
      </c>
    </row>
    <row r="6437" spans="1:13" x14ac:dyDescent="0.25">
      <c r="A6437" t="s">
        <v>14197</v>
      </c>
      <c r="B6437" t="s">
        <v>14198</v>
      </c>
      <c r="C6437" t="s">
        <v>540</v>
      </c>
      <c r="F6437">
        <v>0</v>
      </c>
      <c r="G6437" t="s">
        <v>16</v>
      </c>
      <c r="H6437">
        <v>0</v>
      </c>
      <c r="I6437" s="2" t="s">
        <v>2331</v>
      </c>
      <c r="J6437" s="2" t="s">
        <v>14199</v>
      </c>
      <c r="K6437">
        <v>20</v>
      </c>
      <c r="L6437">
        <v>20</v>
      </c>
      <c r="M6437">
        <v>20</v>
      </c>
    </row>
    <row r="6438" spans="1:13" x14ac:dyDescent="0.25">
      <c r="A6438" t="s">
        <v>14200</v>
      </c>
      <c r="B6438" t="s">
        <v>14202</v>
      </c>
      <c r="C6438" t="s">
        <v>540</v>
      </c>
      <c r="F6438">
        <v>1</v>
      </c>
      <c r="G6438" t="s">
        <v>16</v>
      </c>
      <c r="H6438">
        <v>0</v>
      </c>
      <c r="I6438" s="2" t="s">
        <v>4218</v>
      </c>
      <c r="J6438" s="2" t="s">
        <v>14201</v>
      </c>
      <c r="K6438">
        <v>20</v>
      </c>
      <c r="L6438">
        <v>20</v>
      </c>
      <c r="M6438">
        <v>20</v>
      </c>
    </row>
    <row r="6439" spans="1:13" x14ac:dyDescent="0.25">
      <c r="A6439" t="s">
        <v>14203</v>
      </c>
      <c r="B6439" t="s">
        <v>14198</v>
      </c>
      <c r="C6439" t="s">
        <v>540</v>
      </c>
      <c r="F6439">
        <v>1</v>
      </c>
      <c r="G6439" t="s">
        <v>16</v>
      </c>
      <c r="H6439">
        <v>0</v>
      </c>
      <c r="I6439" s="2" t="s">
        <v>545</v>
      </c>
      <c r="J6439" s="2" t="s">
        <v>14204</v>
      </c>
      <c r="K6439">
        <v>20</v>
      </c>
      <c r="L6439">
        <v>20</v>
      </c>
      <c r="M6439">
        <v>20</v>
      </c>
    </row>
    <row r="6440" spans="1:13" x14ac:dyDescent="0.25">
      <c r="A6440" t="s">
        <v>14205</v>
      </c>
      <c r="B6440" t="s">
        <v>14206</v>
      </c>
      <c r="C6440" t="s">
        <v>540</v>
      </c>
      <c r="G6440" t="s">
        <v>16</v>
      </c>
      <c r="H6440">
        <v>0</v>
      </c>
      <c r="I6440" s="2" t="s">
        <v>1200</v>
      </c>
      <c r="J6440" s="2" t="s">
        <v>14207</v>
      </c>
      <c r="K6440">
        <v>20</v>
      </c>
      <c r="L6440">
        <v>20</v>
      </c>
      <c r="M6440">
        <v>20</v>
      </c>
    </row>
    <row r="6441" spans="1:13" x14ac:dyDescent="0.25">
      <c r="A6441" t="s">
        <v>14208</v>
      </c>
      <c r="B6441" t="s">
        <v>14209</v>
      </c>
      <c r="C6441" t="s">
        <v>540</v>
      </c>
      <c r="F6441">
        <v>1</v>
      </c>
      <c r="G6441" t="s">
        <v>16</v>
      </c>
      <c r="H6441">
        <v>0</v>
      </c>
      <c r="I6441" s="2" t="s">
        <v>549</v>
      </c>
      <c r="J6441" s="2" t="s">
        <v>14210</v>
      </c>
      <c r="K6441">
        <v>20</v>
      </c>
      <c r="L6441">
        <v>20</v>
      </c>
      <c r="M6441">
        <v>20</v>
      </c>
    </row>
    <row r="6442" spans="1:13" x14ac:dyDescent="0.25">
      <c r="A6442" t="s">
        <v>14211</v>
      </c>
      <c r="B6442" t="s">
        <v>14212</v>
      </c>
      <c r="C6442" t="s">
        <v>540</v>
      </c>
      <c r="F6442">
        <v>1</v>
      </c>
      <c r="G6442" t="s">
        <v>16</v>
      </c>
      <c r="H6442">
        <v>0</v>
      </c>
      <c r="I6442" s="2" t="s">
        <v>2331</v>
      </c>
      <c r="J6442" s="2" t="s">
        <v>14213</v>
      </c>
      <c r="K6442">
        <v>20</v>
      </c>
      <c r="L6442">
        <v>20</v>
      </c>
      <c r="M6442">
        <v>20</v>
      </c>
    </row>
    <row r="6443" spans="1:13" x14ac:dyDescent="0.25">
      <c r="A6443" t="s">
        <v>14214</v>
      </c>
      <c r="B6443" t="s">
        <v>14215</v>
      </c>
      <c r="C6443" t="s">
        <v>1736</v>
      </c>
      <c r="F6443">
        <v>1</v>
      </c>
      <c r="G6443" t="s">
        <v>16</v>
      </c>
      <c r="H6443">
        <v>0</v>
      </c>
      <c r="I6443" s="2" t="s">
        <v>64</v>
      </c>
      <c r="J6443" s="2" t="str">
        <f>"05110073"</f>
        <v>05110073</v>
      </c>
      <c r="K6443">
        <v>20</v>
      </c>
      <c r="L6443">
        <v>20</v>
      </c>
      <c r="M6443">
        <v>20</v>
      </c>
    </row>
    <row r="6444" spans="1:13" x14ac:dyDescent="0.25">
      <c r="A6444" t="s">
        <v>14216</v>
      </c>
      <c r="B6444" t="s">
        <v>14217</v>
      </c>
      <c r="C6444" t="s">
        <v>1736</v>
      </c>
      <c r="F6444">
        <v>1</v>
      </c>
      <c r="G6444" t="s">
        <v>16</v>
      </c>
      <c r="H6444">
        <v>0</v>
      </c>
      <c r="I6444" s="2" t="s">
        <v>64</v>
      </c>
      <c r="J6444" s="2" t="str">
        <f>"05110040"</f>
        <v>05110040</v>
      </c>
      <c r="K6444">
        <v>20</v>
      </c>
      <c r="L6444">
        <v>20</v>
      </c>
      <c r="M6444">
        <v>20</v>
      </c>
    </row>
    <row r="6445" spans="1:13" x14ac:dyDescent="0.25">
      <c r="A6445" t="s">
        <v>14218</v>
      </c>
      <c r="B6445" t="s">
        <v>14219</v>
      </c>
      <c r="C6445" t="s">
        <v>1736</v>
      </c>
      <c r="F6445">
        <v>0</v>
      </c>
      <c r="G6445" t="s">
        <v>16</v>
      </c>
      <c r="H6445">
        <v>0</v>
      </c>
      <c r="I6445" s="2" t="s">
        <v>854</v>
      </c>
      <c r="J6445" s="2">
        <v>579765</v>
      </c>
      <c r="K6445">
        <v>20</v>
      </c>
      <c r="L6445">
        <v>20</v>
      </c>
      <c r="M6445">
        <v>20</v>
      </c>
    </row>
    <row r="6446" spans="1:13" x14ac:dyDescent="0.25">
      <c r="A6446" t="s">
        <v>14220</v>
      </c>
      <c r="B6446" t="s">
        <v>14221</v>
      </c>
      <c r="C6446" t="s">
        <v>20</v>
      </c>
      <c r="G6446" t="s">
        <v>16</v>
      </c>
      <c r="H6446">
        <v>0</v>
      </c>
      <c r="I6446" s="2" t="s">
        <v>3286</v>
      </c>
      <c r="J6446" s="2" t="s">
        <v>14222</v>
      </c>
      <c r="K6446">
        <v>20</v>
      </c>
      <c r="L6446">
        <v>20</v>
      </c>
      <c r="M6446">
        <v>20</v>
      </c>
    </row>
    <row r="6447" spans="1:13" x14ac:dyDescent="0.25">
      <c r="A6447" t="s">
        <v>14223</v>
      </c>
      <c r="B6447" t="s">
        <v>14224</v>
      </c>
      <c r="C6447" t="s">
        <v>20</v>
      </c>
      <c r="D6447" t="s">
        <v>133</v>
      </c>
      <c r="F6447">
        <v>8</v>
      </c>
      <c r="G6447" t="s">
        <v>16</v>
      </c>
      <c r="H6447">
        <v>0</v>
      </c>
      <c r="I6447" s="2" t="s">
        <v>238</v>
      </c>
      <c r="J6447" s="2" t="str">
        <f>"08400"</f>
        <v>08400</v>
      </c>
      <c r="K6447">
        <v>20</v>
      </c>
      <c r="L6447">
        <v>20</v>
      </c>
      <c r="M6447">
        <v>20</v>
      </c>
    </row>
    <row r="6448" spans="1:13" x14ac:dyDescent="0.25">
      <c r="A6448" t="s">
        <v>14225</v>
      </c>
      <c r="B6448" t="s">
        <v>14226</v>
      </c>
      <c r="C6448" t="s">
        <v>20</v>
      </c>
      <c r="D6448" t="s">
        <v>133</v>
      </c>
      <c r="F6448">
        <v>8</v>
      </c>
      <c r="G6448" t="s">
        <v>16</v>
      </c>
      <c r="H6448">
        <v>0</v>
      </c>
      <c r="I6448" s="2" t="s">
        <v>11640</v>
      </c>
      <c r="J6448" s="2" t="s">
        <v>14227</v>
      </c>
      <c r="K6448">
        <v>20</v>
      </c>
      <c r="L6448">
        <v>20</v>
      </c>
      <c r="M6448">
        <v>20</v>
      </c>
    </row>
    <row r="6449" spans="1:13" x14ac:dyDescent="0.25">
      <c r="A6449" t="s">
        <v>14228</v>
      </c>
      <c r="B6449" t="s">
        <v>14226</v>
      </c>
      <c r="C6449" t="s">
        <v>20</v>
      </c>
      <c r="D6449" t="s">
        <v>133</v>
      </c>
      <c r="F6449">
        <v>8</v>
      </c>
      <c r="G6449" t="s">
        <v>16</v>
      </c>
      <c r="H6449">
        <v>0</v>
      </c>
      <c r="I6449" s="2" t="s">
        <v>14229</v>
      </c>
      <c r="J6449" s="2" t="s">
        <v>14230</v>
      </c>
      <c r="K6449">
        <v>20</v>
      </c>
      <c r="L6449">
        <v>20</v>
      </c>
      <c r="M6449">
        <v>20</v>
      </c>
    </row>
    <row r="6450" spans="1:13" x14ac:dyDescent="0.25">
      <c r="A6450" t="s">
        <v>14231</v>
      </c>
      <c r="B6450" t="s">
        <v>14232</v>
      </c>
      <c r="C6450" t="s">
        <v>20</v>
      </c>
      <c r="F6450">
        <v>13</v>
      </c>
      <c r="G6450" t="s">
        <v>16</v>
      </c>
      <c r="H6450">
        <v>0</v>
      </c>
      <c r="I6450" s="2" t="s">
        <v>486</v>
      </c>
      <c r="J6450" s="2">
        <v>40330001</v>
      </c>
      <c r="K6450">
        <v>20</v>
      </c>
      <c r="L6450">
        <v>20</v>
      </c>
      <c r="M6450">
        <v>20</v>
      </c>
    </row>
    <row r="6451" spans="1:13" x14ac:dyDescent="0.25">
      <c r="A6451" t="s">
        <v>14233</v>
      </c>
      <c r="B6451" t="s">
        <v>14234</v>
      </c>
      <c r="C6451" t="s">
        <v>20</v>
      </c>
      <c r="D6451" t="s">
        <v>133</v>
      </c>
      <c r="G6451" t="s">
        <v>16</v>
      </c>
      <c r="H6451">
        <v>0</v>
      </c>
      <c r="I6451" s="2" t="s">
        <v>14235</v>
      </c>
      <c r="J6451" s="2">
        <v>104711108</v>
      </c>
      <c r="K6451">
        <v>20</v>
      </c>
      <c r="L6451">
        <v>20</v>
      </c>
      <c r="M6451">
        <v>20</v>
      </c>
    </row>
    <row r="6452" spans="1:13" x14ac:dyDescent="0.25">
      <c r="A6452" t="s">
        <v>14236</v>
      </c>
      <c r="B6452" t="s">
        <v>14237</v>
      </c>
      <c r="C6452" t="s">
        <v>20</v>
      </c>
      <c r="D6452" t="s">
        <v>133</v>
      </c>
      <c r="F6452">
        <v>3</v>
      </c>
      <c r="G6452" t="s">
        <v>16</v>
      </c>
      <c r="H6452">
        <v>0</v>
      </c>
      <c r="I6452" s="2" t="s">
        <v>14238</v>
      </c>
      <c r="J6452" s="2" t="s">
        <v>14239</v>
      </c>
      <c r="K6452">
        <v>20</v>
      </c>
      <c r="L6452">
        <v>20</v>
      </c>
      <c r="M6452">
        <v>20</v>
      </c>
    </row>
    <row r="6453" spans="1:13" x14ac:dyDescent="0.25">
      <c r="A6453" t="s">
        <v>14240</v>
      </c>
      <c r="B6453" t="s">
        <v>14241</v>
      </c>
      <c r="C6453" t="s">
        <v>20</v>
      </c>
      <c r="D6453" t="s">
        <v>133</v>
      </c>
      <c r="F6453">
        <v>1</v>
      </c>
      <c r="G6453" t="s">
        <v>16</v>
      </c>
      <c r="H6453">
        <v>0</v>
      </c>
      <c r="I6453" s="2" t="s">
        <v>450</v>
      </c>
      <c r="J6453" s="2" t="s">
        <v>14242</v>
      </c>
      <c r="K6453">
        <v>20</v>
      </c>
      <c r="L6453">
        <v>20</v>
      </c>
      <c r="M6453">
        <v>20</v>
      </c>
    </row>
    <row r="6454" spans="1:13" x14ac:dyDescent="0.25">
      <c r="A6454" t="s">
        <v>14243</v>
      </c>
      <c r="B6454" t="s">
        <v>14244</v>
      </c>
      <c r="C6454" t="s">
        <v>20</v>
      </c>
      <c r="D6454" t="s">
        <v>133</v>
      </c>
      <c r="G6454" t="s">
        <v>16</v>
      </c>
      <c r="H6454">
        <v>0</v>
      </c>
      <c r="I6454" s="2" t="s">
        <v>453</v>
      </c>
      <c r="J6454" s="2" t="s">
        <v>14245</v>
      </c>
      <c r="K6454">
        <v>20</v>
      </c>
      <c r="L6454">
        <v>20</v>
      </c>
      <c r="M6454">
        <v>20</v>
      </c>
    </row>
    <row r="6455" spans="1:13" x14ac:dyDescent="0.25">
      <c r="A6455" t="s">
        <v>14246</v>
      </c>
      <c r="B6455" t="s">
        <v>14247</v>
      </c>
      <c r="C6455" t="s">
        <v>20</v>
      </c>
      <c r="D6455" t="s">
        <v>133</v>
      </c>
      <c r="G6455" t="s">
        <v>16</v>
      </c>
      <c r="H6455">
        <v>0</v>
      </c>
      <c r="I6455" s="2" t="s">
        <v>139</v>
      </c>
      <c r="J6455" s="2" t="s">
        <v>14248</v>
      </c>
      <c r="K6455">
        <v>20</v>
      </c>
      <c r="L6455">
        <v>20</v>
      </c>
      <c r="M6455">
        <v>20</v>
      </c>
    </row>
    <row r="6456" spans="1:13" x14ac:dyDescent="0.25">
      <c r="A6456" t="s">
        <v>14249</v>
      </c>
      <c r="B6456" t="s">
        <v>14250</v>
      </c>
      <c r="C6456" t="s">
        <v>20</v>
      </c>
      <c r="D6456" t="s">
        <v>133</v>
      </c>
      <c r="F6456">
        <v>3</v>
      </c>
      <c r="G6456" t="s">
        <v>16</v>
      </c>
      <c r="H6456">
        <v>0</v>
      </c>
      <c r="I6456" s="2" t="s">
        <v>455</v>
      </c>
      <c r="J6456" s="2" t="s">
        <v>14251</v>
      </c>
      <c r="K6456">
        <v>20</v>
      </c>
      <c r="L6456">
        <v>20</v>
      </c>
      <c r="M6456">
        <v>20</v>
      </c>
    </row>
    <row r="6457" spans="1:13" x14ac:dyDescent="0.25">
      <c r="A6457" t="s">
        <v>14252</v>
      </c>
      <c r="B6457" t="s">
        <v>14253</v>
      </c>
      <c r="C6457" t="s">
        <v>20</v>
      </c>
      <c r="D6457" t="s">
        <v>133</v>
      </c>
      <c r="G6457" t="s">
        <v>16</v>
      </c>
      <c r="H6457">
        <v>0</v>
      </c>
      <c r="I6457" s="2" t="s">
        <v>450</v>
      </c>
      <c r="J6457" s="2" t="s">
        <v>14254</v>
      </c>
      <c r="K6457">
        <v>20</v>
      </c>
      <c r="L6457">
        <v>20</v>
      </c>
      <c r="M6457">
        <v>20</v>
      </c>
    </row>
    <row r="6458" spans="1:13" x14ac:dyDescent="0.25">
      <c r="A6458" t="s">
        <v>14255</v>
      </c>
      <c r="B6458" t="s">
        <v>14256</v>
      </c>
      <c r="C6458" t="s">
        <v>20</v>
      </c>
      <c r="D6458" t="s">
        <v>133</v>
      </c>
      <c r="G6458" t="s">
        <v>16</v>
      </c>
      <c r="H6458">
        <v>0</v>
      </c>
      <c r="I6458" s="2" t="s">
        <v>453</v>
      </c>
      <c r="J6458" s="2" t="s">
        <v>14257</v>
      </c>
      <c r="K6458">
        <v>20</v>
      </c>
      <c r="L6458">
        <v>20</v>
      </c>
      <c r="M6458">
        <v>20</v>
      </c>
    </row>
    <row r="6459" spans="1:13" x14ac:dyDescent="0.25">
      <c r="A6459" t="s">
        <v>14258</v>
      </c>
      <c r="B6459" t="s">
        <v>14256</v>
      </c>
      <c r="C6459" t="s">
        <v>20</v>
      </c>
      <c r="D6459" t="s">
        <v>133</v>
      </c>
      <c r="G6459" t="s">
        <v>16</v>
      </c>
      <c r="H6459">
        <v>0</v>
      </c>
      <c r="I6459" s="2" t="s">
        <v>139</v>
      </c>
      <c r="J6459" s="2" t="s">
        <v>14259</v>
      </c>
      <c r="K6459">
        <v>20</v>
      </c>
      <c r="L6459">
        <v>20</v>
      </c>
      <c r="M6459">
        <v>20</v>
      </c>
    </row>
    <row r="6460" spans="1:13" x14ac:dyDescent="0.25">
      <c r="A6460" t="s">
        <v>14260</v>
      </c>
      <c r="B6460" t="s">
        <v>14256</v>
      </c>
      <c r="C6460" t="s">
        <v>20</v>
      </c>
      <c r="D6460" t="s">
        <v>133</v>
      </c>
      <c r="F6460">
        <v>3</v>
      </c>
      <c r="G6460" t="s">
        <v>16</v>
      </c>
      <c r="H6460">
        <v>0</v>
      </c>
      <c r="I6460" s="2" t="s">
        <v>450</v>
      </c>
      <c r="J6460" s="2" t="s">
        <v>14261</v>
      </c>
      <c r="K6460">
        <v>20</v>
      </c>
      <c r="L6460">
        <v>20</v>
      </c>
      <c r="M6460">
        <v>20</v>
      </c>
    </row>
    <row r="6461" spans="1:13" x14ac:dyDescent="0.25">
      <c r="A6461" t="s">
        <v>14262</v>
      </c>
      <c r="B6461" t="s">
        <v>14263</v>
      </c>
      <c r="C6461" t="s">
        <v>20</v>
      </c>
      <c r="D6461" t="s">
        <v>133</v>
      </c>
      <c r="F6461">
        <v>1</v>
      </c>
      <c r="G6461" t="s">
        <v>16</v>
      </c>
      <c r="H6461">
        <v>0</v>
      </c>
      <c r="I6461" s="2" t="s">
        <v>455</v>
      </c>
      <c r="J6461" s="2" t="s">
        <v>14264</v>
      </c>
      <c r="K6461">
        <v>20</v>
      </c>
      <c r="L6461">
        <v>20</v>
      </c>
      <c r="M6461">
        <v>20</v>
      </c>
    </row>
    <row r="6462" spans="1:13" x14ac:dyDescent="0.25">
      <c r="A6462" t="s">
        <v>14265</v>
      </c>
      <c r="B6462" t="s">
        <v>14266</v>
      </c>
      <c r="C6462" t="s">
        <v>14267</v>
      </c>
      <c r="D6462" t="s">
        <v>133</v>
      </c>
      <c r="F6462">
        <v>3</v>
      </c>
      <c r="G6462" t="s">
        <v>16</v>
      </c>
      <c r="H6462">
        <v>0</v>
      </c>
      <c r="I6462" s="2" t="s">
        <v>450</v>
      </c>
      <c r="J6462" s="2" t="s">
        <v>14268</v>
      </c>
      <c r="K6462">
        <v>20</v>
      </c>
      <c r="L6462">
        <v>20</v>
      </c>
      <c r="M6462">
        <v>20</v>
      </c>
    </row>
    <row r="6463" spans="1:13" x14ac:dyDescent="0.25">
      <c r="A6463" t="s">
        <v>14269</v>
      </c>
      <c r="B6463" t="s">
        <v>14270</v>
      </c>
      <c r="C6463" t="s">
        <v>20</v>
      </c>
      <c r="D6463" t="s">
        <v>133</v>
      </c>
      <c r="F6463">
        <v>0</v>
      </c>
      <c r="G6463" t="s">
        <v>16</v>
      </c>
      <c r="H6463">
        <v>0</v>
      </c>
      <c r="I6463" s="2" t="s">
        <v>443</v>
      </c>
      <c r="J6463" s="2" t="s">
        <v>14271</v>
      </c>
      <c r="K6463">
        <v>20</v>
      </c>
      <c r="L6463">
        <v>20</v>
      </c>
      <c r="M6463">
        <v>20</v>
      </c>
    </row>
    <row r="6464" spans="1:13" x14ac:dyDescent="0.25">
      <c r="A6464" t="s">
        <v>14272</v>
      </c>
      <c r="B6464" t="s">
        <v>14273</v>
      </c>
      <c r="C6464" t="s">
        <v>20</v>
      </c>
      <c r="D6464" t="s">
        <v>133</v>
      </c>
      <c r="F6464">
        <v>1</v>
      </c>
      <c r="G6464" t="s">
        <v>16</v>
      </c>
      <c r="H6464">
        <v>0</v>
      </c>
      <c r="I6464" s="2" t="s">
        <v>443</v>
      </c>
      <c r="J6464" s="2" t="s">
        <v>14274</v>
      </c>
      <c r="K6464">
        <v>20</v>
      </c>
      <c r="L6464">
        <v>20</v>
      </c>
      <c r="M6464">
        <v>20</v>
      </c>
    </row>
    <row r="6465" spans="1:13" x14ac:dyDescent="0.25">
      <c r="A6465" t="s">
        <v>14275</v>
      </c>
      <c r="B6465" t="s">
        <v>14273</v>
      </c>
      <c r="C6465" t="s">
        <v>20</v>
      </c>
      <c r="D6465" t="s">
        <v>133</v>
      </c>
      <c r="F6465">
        <v>1</v>
      </c>
      <c r="G6465" t="s">
        <v>16</v>
      </c>
      <c r="H6465">
        <v>0</v>
      </c>
      <c r="I6465" s="2" t="s">
        <v>139</v>
      </c>
      <c r="J6465" s="2" t="s">
        <v>14276</v>
      </c>
      <c r="K6465">
        <v>20</v>
      </c>
      <c r="L6465">
        <v>20</v>
      </c>
      <c r="M6465">
        <v>20</v>
      </c>
    </row>
    <row r="6466" spans="1:13" x14ac:dyDescent="0.25">
      <c r="A6466" t="s">
        <v>14277</v>
      </c>
      <c r="B6466" t="s">
        <v>14278</v>
      </c>
      <c r="C6466" t="s">
        <v>20</v>
      </c>
      <c r="D6466" t="s">
        <v>133</v>
      </c>
      <c r="F6466">
        <v>1</v>
      </c>
      <c r="G6466" t="s">
        <v>16</v>
      </c>
      <c r="H6466">
        <v>0</v>
      </c>
      <c r="I6466" s="2" t="s">
        <v>455</v>
      </c>
      <c r="J6466" s="2" t="s">
        <v>14279</v>
      </c>
      <c r="K6466">
        <v>20</v>
      </c>
      <c r="L6466">
        <v>20</v>
      </c>
      <c r="M6466">
        <v>20</v>
      </c>
    </row>
    <row r="6467" spans="1:13" x14ac:dyDescent="0.25">
      <c r="A6467" t="s">
        <v>14280</v>
      </c>
      <c r="B6467" t="s">
        <v>14281</v>
      </c>
      <c r="C6467" t="s">
        <v>20</v>
      </c>
      <c r="D6467" t="s">
        <v>133</v>
      </c>
      <c r="F6467">
        <v>2</v>
      </c>
      <c r="G6467" t="s">
        <v>16</v>
      </c>
      <c r="H6467">
        <v>0</v>
      </c>
      <c r="I6467" s="2" t="s">
        <v>455</v>
      </c>
      <c r="J6467" s="2" t="s">
        <v>14282</v>
      </c>
      <c r="K6467">
        <v>20</v>
      </c>
      <c r="L6467">
        <v>20</v>
      </c>
      <c r="M6467">
        <v>20</v>
      </c>
    </row>
    <row r="6468" spans="1:13" x14ac:dyDescent="0.25">
      <c r="A6468" t="s">
        <v>14283</v>
      </c>
      <c r="B6468" t="s">
        <v>14284</v>
      </c>
      <c r="C6468" t="s">
        <v>14</v>
      </c>
      <c r="D6468" t="s">
        <v>15</v>
      </c>
      <c r="F6468">
        <v>1</v>
      </c>
      <c r="G6468" t="s">
        <v>16</v>
      </c>
      <c r="H6468">
        <v>0</v>
      </c>
      <c r="I6468" s="2" t="s">
        <v>290</v>
      </c>
      <c r="J6468" s="2" t="s">
        <v>14285</v>
      </c>
      <c r="K6468">
        <v>20</v>
      </c>
      <c r="L6468">
        <v>20</v>
      </c>
      <c r="M6468">
        <v>20</v>
      </c>
    </row>
    <row r="6469" spans="1:13" x14ac:dyDescent="0.25">
      <c r="A6469" t="s">
        <v>14286</v>
      </c>
      <c r="B6469" t="s">
        <v>14287</v>
      </c>
      <c r="C6469" t="s">
        <v>20</v>
      </c>
      <c r="D6469" t="s">
        <v>133</v>
      </c>
      <c r="F6469">
        <v>1</v>
      </c>
      <c r="G6469" t="s">
        <v>16</v>
      </c>
      <c r="H6469">
        <v>0</v>
      </c>
      <c r="I6469" s="2" t="s">
        <v>139</v>
      </c>
      <c r="J6469" s="2" t="s">
        <v>14288</v>
      </c>
      <c r="K6469">
        <v>20</v>
      </c>
      <c r="L6469">
        <v>20</v>
      </c>
      <c r="M6469">
        <v>20</v>
      </c>
    </row>
    <row r="6470" spans="1:13" x14ac:dyDescent="0.25">
      <c r="A6470" t="s">
        <v>14289</v>
      </c>
      <c r="B6470" t="s">
        <v>14290</v>
      </c>
      <c r="C6470" t="s">
        <v>20</v>
      </c>
      <c r="D6470" t="s">
        <v>133</v>
      </c>
      <c r="F6470">
        <v>2</v>
      </c>
      <c r="G6470" t="s">
        <v>16</v>
      </c>
      <c r="H6470">
        <v>0</v>
      </c>
      <c r="I6470" s="2" t="s">
        <v>455</v>
      </c>
      <c r="J6470" s="2" t="s">
        <v>14291</v>
      </c>
      <c r="K6470">
        <v>20</v>
      </c>
      <c r="L6470">
        <v>20</v>
      </c>
      <c r="M6470">
        <v>20</v>
      </c>
    </row>
    <row r="6471" spans="1:13" x14ac:dyDescent="0.25">
      <c r="A6471">
        <v>642002</v>
      </c>
      <c r="B6471" t="s">
        <v>14292</v>
      </c>
      <c r="C6471" t="s">
        <v>20</v>
      </c>
      <c r="D6471" t="s">
        <v>26</v>
      </c>
      <c r="F6471">
        <v>1</v>
      </c>
      <c r="G6471" t="s">
        <v>22</v>
      </c>
      <c r="H6471">
        <v>0</v>
      </c>
      <c r="I6471" s="2" t="s">
        <v>497</v>
      </c>
      <c r="J6471" s="2">
        <v>24405819</v>
      </c>
      <c r="K6471">
        <v>20</v>
      </c>
      <c r="L6471">
        <v>20</v>
      </c>
      <c r="M6471">
        <v>20</v>
      </c>
    </row>
    <row r="6472" spans="1:13" x14ac:dyDescent="0.25">
      <c r="A6472" t="s">
        <v>14293</v>
      </c>
      <c r="B6472" t="s">
        <v>14294</v>
      </c>
      <c r="C6472" t="s">
        <v>20</v>
      </c>
      <c r="D6472" t="s">
        <v>26</v>
      </c>
      <c r="G6472" t="s">
        <v>16</v>
      </c>
      <c r="H6472">
        <v>0</v>
      </c>
      <c r="I6472" s="2" t="s">
        <v>99</v>
      </c>
      <c r="J6472" s="2" t="str">
        <f>"061.760"</f>
        <v>061.760</v>
      </c>
      <c r="K6472">
        <v>20</v>
      </c>
      <c r="L6472">
        <v>20</v>
      </c>
      <c r="M6472">
        <v>20</v>
      </c>
    </row>
    <row r="6473" spans="1:13" x14ac:dyDescent="0.25">
      <c r="A6473" t="s">
        <v>14295</v>
      </c>
      <c r="B6473" t="s">
        <v>14294</v>
      </c>
      <c r="C6473" t="s">
        <v>20</v>
      </c>
      <c r="D6473" t="s">
        <v>26</v>
      </c>
      <c r="G6473" t="s">
        <v>16</v>
      </c>
      <c r="H6473">
        <v>0</v>
      </c>
      <c r="I6473" s="2" t="s">
        <v>14296</v>
      </c>
      <c r="J6473" s="2" t="s">
        <v>14297</v>
      </c>
      <c r="K6473">
        <v>20</v>
      </c>
      <c r="L6473">
        <v>20</v>
      </c>
      <c r="M6473">
        <v>20</v>
      </c>
    </row>
    <row r="6474" spans="1:13" x14ac:dyDescent="0.25">
      <c r="A6474" t="s">
        <v>14298</v>
      </c>
      <c r="B6474" t="s">
        <v>14299</v>
      </c>
      <c r="C6474" t="s">
        <v>20</v>
      </c>
      <c r="D6474" t="s">
        <v>26</v>
      </c>
      <c r="G6474" t="s">
        <v>16</v>
      </c>
      <c r="H6474">
        <v>0</v>
      </c>
      <c r="K6474">
        <v>20</v>
      </c>
      <c r="L6474">
        <v>20</v>
      </c>
      <c r="M6474">
        <v>20</v>
      </c>
    </row>
    <row r="6475" spans="1:13" x14ac:dyDescent="0.25">
      <c r="A6475" t="s">
        <v>14300</v>
      </c>
      <c r="B6475" t="s">
        <v>14301</v>
      </c>
      <c r="C6475" t="s">
        <v>20</v>
      </c>
      <c r="D6475" t="s">
        <v>133</v>
      </c>
      <c r="G6475" t="s">
        <v>16</v>
      </c>
      <c r="H6475">
        <v>0</v>
      </c>
      <c r="I6475" s="2" t="s">
        <v>453</v>
      </c>
      <c r="J6475" s="2" t="s">
        <v>14302</v>
      </c>
      <c r="K6475">
        <v>20</v>
      </c>
      <c r="L6475">
        <v>20</v>
      </c>
      <c r="M6475">
        <v>20</v>
      </c>
    </row>
    <row r="6476" spans="1:13" x14ac:dyDescent="0.25">
      <c r="A6476" t="s">
        <v>14303</v>
      </c>
      <c r="B6476" t="s">
        <v>14237</v>
      </c>
      <c r="C6476" t="s">
        <v>20</v>
      </c>
      <c r="D6476" t="s">
        <v>133</v>
      </c>
      <c r="F6476">
        <v>0</v>
      </c>
      <c r="G6476" t="s">
        <v>16</v>
      </c>
      <c r="H6476">
        <v>0</v>
      </c>
      <c r="I6476" s="2" t="s">
        <v>11610</v>
      </c>
      <c r="J6476" s="2" t="s">
        <v>14304</v>
      </c>
      <c r="K6476">
        <v>20</v>
      </c>
      <c r="L6476">
        <v>20</v>
      </c>
      <c r="M6476">
        <v>20</v>
      </c>
    </row>
    <row r="6477" spans="1:13" x14ac:dyDescent="0.25">
      <c r="A6477" t="s">
        <v>14305</v>
      </c>
      <c r="B6477" t="s">
        <v>14237</v>
      </c>
      <c r="C6477" t="s">
        <v>20</v>
      </c>
      <c r="D6477" t="s">
        <v>133</v>
      </c>
      <c r="G6477" t="s">
        <v>16</v>
      </c>
      <c r="H6477">
        <v>0</v>
      </c>
      <c r="I6477" s="2" t="s">
        <v>455</v>
      </c>
      <c r="J6477" s="2" t="s">
        <v>14306</v>
      </c>
      <c r="K6477">
        <v>20</v>
      </c>
      <c r="L6477">
        <v>20</v>
      </c>
      <c r="M6477">
        <v>20</v>
      </c>
    </row>
    <row r="6478" spans="1:13" x14ac:dyDescent="0.25">
      <c r="A6478">
        <v>642026</v>
      </c>
      <c r="B6478" t="s">
        <v>14307</v>
      </c>
      <c r="C6478" t="s">
        <v>20</v>
      </c>
      <c r="D6478" t="s">
        <v>26</v>
      </c>
      <c r="F6478">
        <v>0</v>
      </c>
      <c r="G6478" t="s">
        <v>16</v>
      </c>
      <c r="H6478">
        <v>0</v>
      </c>
      <c r="I6478" s="2" t="s">
        <v>497</v>
      </c>
      <c r="J6478" s="2">
        <v>55561429</v>
      </c>
      <c r="K6478">
        <v>20</v>
      </c>
      <c r="L6478">
        <v>20</v>
      </c>
      <c r="M6478">
        <v>20</v>
      </c>
    </row>
    <row r="6479" spans="1:13" x14ac:dyDescent="0.25">
      <c r="A6479" t="s">
        <v>14308</v>
      </c>
      <c r="B6479" t="s">
        <v>14309</v>
      </c>
      <c r="C6479" t="s">
        <v>20</v>
      </c>
      <c r="D6479" t="s">
        <v>26</v>
      </c>
      <c r="F6479">
        <v>1</v>
      </c>
      <c r="G6479" t="s">
        <v>16</v>
      </c>
      <c r="H6479">
        <v>0</v>
      </c>
      <c r="I6479" s="2" t="s">
        <v>73</v>
      </c>
      <c r="J6479" s="2">
        <v>82940514</v>
      </c>
      <c r="K6479">
        <v>20</v>
      </c>
      <c r="L6479">
        <v>20</v>
      </c>
      <c r="M6479">
        <v>20</v>
      </c>
    </row>
    <row r="6480" spans="1:13" x14ac:dyDescent="0.25">
      <c r="A6480" t="s">
        <v>14310</v>
      </c>
      <c r="B6480" t="s">
        <v>14307</v>
      </c>
      <c r="C6480" t="s">
        <v>20</v>
      </c>
      <c r="D6480" t="s">
        <v>26</v>
      </c>
      <c r="G6480" t="s">
        <v>16</v>
      </c>
      <c r="H6480">
        <v>0</v>
      </c>
      <c r="I6480" s="2" t="s">
        <v>97</v>
      </c>
      <c r="J6480" s="3">
        <v>691370</v>
      </c>
      <c r="K6480">
        <v>20</v>
      </c>
      <c r="L6480">
        <v>20</v>
      </c>
      <c r="M6480">
        <v>20</v>
      </c>
    </row>
    <row r="6481" spans="1:13" x14ac:dyDescent="0.25">
      <c r="A6481" t="s">
        <v>14311</v>
      </c>
      <c r="B6481" t="s">
        <v>14312</v>
      </c>
      <c r="C6481" t="s">
        <v>20</v>
      </c>
      <c r="D6481" t="s">
        <v>26</v>
      </c>
      <c r="G6481" t="s">
        <v>16</v>
      </c>
      <c r="H6481">
        <v>0</v>
      </c>
      <c r="I6481" s="2" t="s">
        <v>80</v>
      </c>
      <c r="J6481" s="2" t="s">
        <v>14313</v>
      </c>
      <c r="K6481">
        <v>20</v>
      </c>
      <c r="L6481">
        <v>20</v>
      </c>
      <c r="M6481">
        <v>20</v>
      </c>
    </row>
    <row r="6482" spans="1:13" x14ac:dyDescent="0.25">
      <c r="A6482" t="s">
        <v>14314</v>
      </c>
      <c r="B6482" t="s">
        <v>14315</v>
      </c>
      <c r="C6482" t="s">
        <v>20</v>
      </c>
      <c r="D6482" t="s">
        <v>133</v>
      </c>
      <c r="G6482" t="s">
        <v>16</v>
      </c>
      <c r="H6482">
        <v>0</v>
      </c>
      <c r="I6482" s="2" t="s">
        <v>14238</v>
      </c>
      <c r="J6482" s="2" t="s">
        <v>14316</v>
      </c>
      <c r="K6482">
        <v>20</v>
      </c>
      <c r="L6482">
        <v>20</v>
      </c>
      <c r="M6482">
        <v>20</v>
      </c>
    </row>
    <row r="6483" spans="1:13" x14ac:dyDescent="0.25">
      <c r="A6483" t="s">
        <v>14317</v>
      </c>
      <c r="B6483" t="s">
        <v>14318</v>
      </c>
      <c r="C6483" t="s">
        <v>20</v>
      </c>
      <c r="D6483" t="s">
        <v>133</v>
      </c>
      <c r="G6483" t="s">
        <v>16</v>
      </c>
      <c r="H6483">
        <v>0</v>
      </c>
      <c r="I6483" s="2" t="s">
        <v>14319</v>
      </c>
      <c r="J6483" s="2" t="s">
        <v>14320</v>
      </c>
      <c r="K6483">
        <v>20</v>
      </c>
      <c r="L6483">
        <v>20</v>
      </c>
      <c r="M6483">
        <v>20</v>
      </c>
    </row>
    <row r="6484" spans="1:13" x14ac:dyDescent="0.25">
      <c r="A6484" t="s">
        <v>14321</v>
      </c>
      <c r="B6484" t="s">
        <v>14315</v>
      </c>
      <c r="C6484" t="s">
        <v>20</v>
      </c>
      <c r="D6484" t="s">
        <v>133</v>
      </c>
      <c r="F6484">
        <v>1</v>
      </c>
      <c r="G6484" t="s">
        <v>16</v>
      </c>
      <c r="H6484">
        <v>0</v>
      </c>
      <c r="I6484" s="2" t="s">
        <v>453</v>
      </c>
      <c r="J6484" s="2" t="s">
        <v>14322</v>
      </c>
      <c r="K6484">
        <v>20</v>
      </c>
      <c r="L6484">
        <v>20</v>
      </c>
      <c r="M6484">
        <v>20</v>
      </c>
    </row>
    <row r="6485" spans="1:13" x14ac:dyDescent="0.25">
      <c r="A6485" t="s">
        <v>14323</v>
      </c>
      <c r="B6485" t="s">
        <v>14315</v>
      </c>
      <c r="C6485" t="s">
        <v>20</v>
      </c>
      <c r="D6485" t="s">
        <v>133</v>
      </c>
      <c r="F6485">
        <v>1</v>
      </c>
      <c r="G6485" t="s">
        <v>16</v>
      </c>
      <c r="H6485">
        <v>0</v>
      </c>
      <c r="I6485" s="2" t="s">
        <v>472</v>
      </c>
      <c r="J6485" s="2" t="s">
        <v>14324</v>
      </c>
      <c r="K6485">
        <v>20</v>
      </c>
      <c r="L6485">
        <v>20</v>
      </c>
      <c r="M6485">
        <v>20</v>
      </c>
    </row>
    <row r="6486" spans="1:13" x14ac:dyDescent="0.25">
      <c r="A6486" t="s">
        <v>14325</v>
      </c>
      <c r="B6486" t="s">
        <v>14315</v>
      </c>
      <c r="C6486" t="s">
        <v>20</v>
      </c>
      <c r="D6486" t="s">
        <v>133</v>
      </c>
      <c r="G6486" t="s">
        <v>16</v>
      </c>
      <c r="H6486">
        <v>0</v>
      </c>
      <c r="I6486" s="2" t="s">
        <v>11610</v>
      </c>
      <c r="J6486" s="2" t="s">
        <v>14326</v>
      </c>
      <c r="K6486">
        <v>20</v>
      </c>
      <c r="L6486">
        <v>20</v>
      </c>
      <c r="M6486">
        <v>20</v>
      </c>
    </row>
    <row r="6487" spans="1:13" x14ac:dyDescent="0.25">
      <c r="A6487" t="s">
        <v>14327</v>
      </c>
      <c r="B6487" t="s">
        <v>14315</v>
      </c>
      <c r="C6487" t="s">
        <v>20</v>
      </c>
      <c r="D6487" t="s">
        <v>133</v>
      </c>
      <c r="F6487">
        <v>1</v>
      </c>
      <c r="G6487" t="s">
        <v>16</v>
      </c>
      <c r="H6487">
        <v>0</v>
      </c>
      <c r="I6487" s="2" t="s">
        <v>450</v>
      </c>
      <c r="J6487" s="2" t="s">
        <v>14328</v>
      </c>
      <c r="K6487">
        <v>20</v>
      </c>
      <c r="L6487">
        <v>20</v>
      </c>
      <c r="M6487">
        <v>20</v>
      </c>
    </row>
    <row r="6488" spans="1:13" x14ac:dyDescent="0.25">
      <c r="A6488" t="s">
        <v>14329</v>
      </c>
      <c r="B6488" t="s">
        <v>14330</v>
      </c>
      <c r="C6488" t="s">
        <v>20</v>
      </c>
      <c r="D6488" t="s">
        <v>133</v>
      </c>
      <c r="G6488" t="s">
        <v>16</v>
      </c>
      <c r="H6488">
        <v>0</v>
      </c>
      <c r="I6488" s="2" t="s">
        <v>455</v>
      </c>
      <c r="J6488" s="2" t="s">
        <v>14331</v>
      </c>
      <c r="K6488">
        <v>20</v>
      </c>
      <c r="L6488">
        <v>20</v>
      </c>
      <c r="M6488">
        <v>20</v>
      </c>
    </row>
    <row r="6489" spans="1:13" x14ac:dyDescent="0.25">
      <c r="A6489" t="s">
        <v>14332</v>
      </c>
      <c r="B6489" t="s">
        <v>14333</v>
      </c>
      <c r="C6489" t="s">
        <v>1736</v>
      </c>
      <c r="G6489" t="s">
        <v>16</v>
      </c>
      <c r="H6489">
        <v>0</v>
      </c>
      <c r="I6489" s="2" t="s">
        <v>1748</v>
      </c>
      <c r="J6489" s="2" t="s">
        <v>14334</v>
      </c>
      <c r="K6489">
        <v>20</v>
      </c>
      <c r="L6489">
        <v>20</v>
      </c>
      <c r="M6489">
        <v>20</v>
      </c>
    </row>
    <row r="6490" spans="1:13" x14ac:dyDescent="0.25">
      <c r="A6490" t="s">
        <v>14335</v>
      </c>
      <c r="B6490" t="s">
        <v>14336</v>
      </c>
      <c r="C6490" t="s">
        <v>1736</v>
      </c>
      <c r="G6490" t="s">
        <v>16</v>
      </c>
      <c r="H6490">
        <v>0</v>
      </c>
      <c r="I6490" s="2" t="s">
        <v>2896</v>
      </c>
      <c r="J6490" s="2">
        <v>26524</v>
      </c>
      <c r="K6490">
        <v>20</v>
      </c>
      <c r="L6490">
        <v>20</v>
      </c>
      <c r="M6490">
        <v>20</v>
      </c>
    </row>
    <row r="6491" spans="1:13" x14ac:dyDescent="0.25">
      <c r="A6491" t="s">
        <v>14337</v>
      </c>
      <c r="B6491" t="s">
        <v>14338</v>
      </c>
      <c r="C6491" t="s">
        <v>20</v>
      </c>
      <c r="D6491" t="s">
        <v>26</v>
      </c>
      <c r="G6491" t="s">
        <v>16</v>
      </c>
      <c r="H6491">
        <v>0</v>
      </c>
      <c r="I6491" s="2" t="s">
        <v>3421</v>
      </c>
      <c r="J6491" s="2" t="s">
        <v>14339</v>
      </c>
      <c r="K6491">
        <v>20</v>
      </c>
      <c r="L6491">
        <v>20</v>
      </c>
      <c r="M6491">
        <v>20</v>
      </c>
    </row>
    <row r="6492" spans="1:13" x14ac:dyDescent="0.25">
      <c r="A6492" t="s">
        <v>14340</v>
      </c>
      <c r="B6492" t="s">
        <v>14338</v>
      </c>
      <c r="C6492" t="s">
        <v>20</v>
      </c>
      <c r="D6492" t="s">
        <v>26</v>
      </c>
      <c r="G6492" t="s">
        <v>16</v>
      </c>
      <c r="H6492">
        <v>0</v>
      </c>
      <c r="I6492" s="2" t="s">
        <v>73</v>
      </c>
      <c r="J6492" s="2">
        <v>19020622</v>
      </c>
      <c r="K6492">
        <v>20</v>
      </c>
      <c r="L6492">
        <v>20</v>
      </c>
      <c r="M6492">
        <v>20</v>
      </c>
    </row>
    <row r="6493" spans="1:13" x14ac:dyDescent="0.25">
      <c r="A6493" t="s">
        <v>14341</v>
      </c>
      <c r="B6493" t="s">
        <v>14338</v>
      </c>
      <c r="C6493" t="s">
        <v>20</v>
      </c>
      <c r="D6493" t="s">
        <v>26</v>
      </c>
      <c r="G6493" t="s">
        <v>16</v>
      </c>
      <c r="H6493">
        <v>0</v>
      </c>
      <c r="I6493" s="2" t="s">
        <v>209</v>
      </c>
      <c r="J6493" s="2" t="s">
        <v>14342</v>
      </c>
      <c r="K6493">
        <v>20</v>
      </c>
      <c r="L6493">
        <v>20</v>
      </c>
      <c r="M6493">
        <v>20</v>
      </c>
    </row>
    <row r="6494" spans="1:13" x14ac:dyDescent="0.25">
      <c r="A6494" t="s">
        <v>14343</v>
      </c>
      <c r="B6494" t="s">
        <v>14338</v>
      </c>
      <c r="C6494" t="s">
        <v>20</v>
      </c>
      <c r="D6494" t="s">
        <v>26</v>
      </c>
      <c r="G6494" t="s">
        <v>16</v>
      </c>
      <c r="H6494">
        <v>0</v>
      </c>
      <c r="I6494" s="2" t="s">
        <v>80</v>
      </c>
      <c r="J6494" s="2" t="s">
        <v>14344</v>
      </c>
      <c r="K6494">
        <v>20</v>
      </c>
      <c r="L6494">
        <v>20</v>
      </c>
      <c r="M6494">
        <v>20</v>
      </c>
    </row>
    <row r="6495" spans="1:13" x14ac:dyDescent="0.25">
      <c r="A6495" t="s">
        <v>14345</v>
      </c>
      <c r="B6495" t="s">
        <v>14338</v>
      </c>
      <c r="C6495" t="s">
        <v>20</v>
      </c>
      <c r="D6495" t="s">
        <v>26</v>
      </c>
      <c r="G6495" t="s">
        <v>16</v>
      </c>
      <c r="H6495">
        <v>0</v>
      </c>
      <c r="K6495">
        <v>20</v>
      </c>
      <c r="L6495">
        <v>20</v>
      </c>
      <c r="M6495">
        <v>20</v>
      </c>
    </row>
    <row r="6496" spans="1:13" x14ac:dyDescent="0.25">
      <c r="A6496" t="s">
        <v>14346</v>
      </c>
      <c r="B6496" t="s">
        <v>14347</v>
      </c>
      <c r="C6496" t="s">
        <v>20</v>
      </c>
      <c r="D6496" t="s">
        <v>26</v>
      </c>
      <c r="G6496" t="s">
        <v>16</v>
      </c>
      <c r="H6496">
        <v>0</v>
      </c>
      <c r="I6496" s="2" t="s">
        <v>3421</v>
      </c>
      <c r="J6496" s="2" t="s">
        <v>14348</v>
      </c>
      <c r="K6496">
        <v>20</v>
      </c>
      <c r="L6496">
        <v>20</v>
      </c>
      <c r="M6496">
        <v>20</v>
      </c>
    </row>
    <row r="6497" spans="1:13" x14ac:dyDescent="0.25">
      <c r="A6497" t="s">
        <v>14349</v>
      </c>
      <c r="B6497" t="s">
        <v>14347</v>
      </c>
      <c r="C6497" t="s">
        <v>20</v>
      </c>
      <c r="D6497" t="s">
        <v>26</v>
      </c>
      <c r="G6497" t="s">
        <v>16</v>
      </c>
      <c r="H6497">
        <v>0</v>
      </c>
      <c r="I6497" s="2" t="s">
        <v>99</v>
      </c>
      <c r="J6497" s="3">
        <v>216730</v>
      </c>
      <c r="K6497">
        <v>20</v>
      </c>
      <c r="L6497">
        <v>20</v>
      </c>
      <c r="M6497">
        <v>20</v>
      </c>
    </row>
    <row r="6498" spans="1:13" x14ac:dyDescent="0.25">
      <c r="A6498" t="s">
        <v>14350</v>
      </c>
      <c r="B6498" t="s">
        <v>14347</v>
      </c>
      <c r="C6498" t="s">
        <v>20</v>
      </c>
      <c r="D6498" t="s">
        <v>26</v>
      </c>
      <c r="G6498" t="s">
        <v>16</v>
      </c>
      <c r="H6498">
        <v>0</v>
      </c>
      <c r="I6498" s="2" t="s">
        <v>248</v>
      </c>
      <c r="J6498" s="2" t="str">
        <f>"03360"</f>
        <v>03360</v>
      </c>
      <c r="K6498">
        <v>20</v>
      </c>
      <c r="L6498">
        <v>20</v>
      </c>
      <c r="M6498">
        <v>20</v>
      </c>
    </row>
    <row r="6499" spans="1:13" x14ac:dyDescent="0.25">
      <c r="A6499" t="s">
        <v>14351</v>
      </c>
      <c r="B6499" t="s">
        <v>14352</v>
      </c>
      <c r="C6499" t="s">
        <v>20</v>
      </c>
      <c r="D6499" t="s">
        <v>26</v>
      </c>
      <c r="G6499" t="s">
        <v>16</v>
      </c>
      <c r="H6499">
        <v>0</v>
      </c>
      <c r="I6499" s="2" t="s">
        <v>3421</v>
      </c>
      <c r="J6499" s="2" t="s">
        <v>14353</v>
      </c>
      <c r="K6499">
        <v>20</v>
      </c>
      <c r="L6499">
        <v>20</v>
      </c>
      <c r="M6499">
        <v>20</v>
      </c>
    </row>
    <row r="6500" spans="1:13" x14ac:dyDescent="0.25">
      <c r="A6500" t="s">
        <v>14354</v>
      </c>
      <c r="B6500" t="s">
        <v>14355</v>
      </c>
      <c r="C6500" t="s">
        <v>20</v>
      </c>
      <c r="D6500" t="s">
        <v>26</v>
      </c>
      <c r="F6500">
        <v>4</v>
      </c>
      <c r="G6500" t="s">
        <v>16</v>
      </c>
      <c r="H6500">
        <v>0</v>
      </c>
      <c r="I6500" s="2" t="s">
        <v>99</v>
      </c>
      <c r="J6500" s="3">
        <v>424800</v>
      </c>
      <c r="K6500">
        <v>20</v>
      </c>
      <c r="L6500">
        <v>20</v>
      </c>
      <c r="M6500">
        <v>20</v>
      </c>
    </row>
    <row r="6501" spans="1:13" x14ac:dyDescent="0.25">
      <c r="A6501" t="s">
        <v>14356</v>
      </c>
      <c r="B6501" t="s">
        <v>14352</v>
      </c>
      <c r="C6501" t="s">
        <v>20</v>
      </c>
      <c r="D6501" t="s">
        <v>26</v>
      </c>
      <c r="G6501" t="s">
        <v>16</v>
      </c>
      <c r="H6501">
        <v>0</v>
      </c>
      <c r="I6501" s="2" t="s">
        <v>57</v>
      </c>
      <c r="J6501" s="2" t="s">
        <v>14357</v>
      </c>
      <c r="K6501">
        <v>20</v>
      </c>
      <c r="L6501">
        <v>20</v>
      </c>
      <c r="M6501">
        <v>20</v>
      </c>
    </row>
    <row r="6502" spans="1:13" x14ac:dyDescent="0.25">
      <c r="A6502" t="s">
        <v>14358</v>
      </c>
      <c r="B6502" t="s">
        <v>14352</v>
      </c>
      <c r="C6502" t="s">
        <v>20</v>
      </c>
      <c r="D6502" t="s">
        <v>26</v>
      </c>
      <c r="G6502" t="s">
        <v>16</v>
      </c>
      <c r="H6502">
        <v>0</v>
      </c>
      <c r="I6502" s="2" t="s">
        <v>83</v>
      </c>
      <c r="J6502" s="2" t="s">
        <v>14359</v>
      </c>
      <c r="K6502">
        <v>20</v>
      </c>
      <c r="L6502">
        <v>20</v>
      </c>
      <c r="M6502">
        <v>20</v>
      </c>
    </row>
    <row r="6503" spans="1:13" x14ac:dyDescent="0.25">
      <c r="A6503" t="s">
        <v>14360</v>
      </c>
      <c r="B6503" t="s">
        <v>14361</v>
      </c>
      <c r="C6503" t="s">
        <v>1736</v>
      </c>
      <c r="G6503" t="s">
        <v>16</v>
      </c>
      <c r="H6503">
        <v>0</v>
      </c>
      <c r="I6503" s="2" t="s">
        <v>1807</v>
      </c>
      <c r="J6503" s="2" t="s">
        <v>14362</v>
      </c>
      <c r="K6503">
        <v>20</v>
      </c>
      <c r="L6503">
        <v>20</v>
      </c>
      <c r="M6503">
        <v>20</v>
      </c>
    </row>
    <row r="6504" spans="1:13" x14ac:dyDescent="0.25">
      <c r="A6504" t="s">
        <v>14363</v>
      </c>
      <c r="B6504" t="s">
        <v>14365</v>
      </c>
      <c r="C6504" t="s">
        <v>1736</v>
      </c>
      <c r="G6504" t="s">
        <v>16</v>
      </c>
      <c r="H6504">
        <v>0</v>
      </c>
      <c r="I6504" s="2" t="s">
        <v>1463</v>
      </c>
      <c r="J6504" s="2" t="s">
        <v>14364</v>
      </c>
      <c r="K6504">
        <v>20</v>
      </c>
      <c r="L6504">
        <v>20</v>
      </c>
      <c r="M6504">
        <v>20</v>
      </c>
    </row>
    <row r="6505" spans="1:13" x14ac:dyDescent="0.25">
      <c r="A6505" t="s">
        <v>14366</v>
      </c>
      <c r="B6505" t="s">
        <v>14367</v>
      </c>
      <c r="C6505" t="s">
        <v>1736</v>
      </c>
      <c r="G6505" t="s">
        <v>16</v>
      </c>
      <c r="H6505">
        <v>0</v>
      </c>
      <c r="I6505" s="2" t="s">
        <v>1463</v>
      </c>
      <c r="J6505" s="2">
        <v>26540</v>
      </c>
      <c r="K6505">
        <v>20</v>
      </c>
      <c r="L6505">
        <v>20</v>
      </c>
      <c r="M6505">
        <v>20</v>
      </c>
    </row>
    <row r="6506" spans="1:13" x14ac:dyDescent="0.25">
      <c r="A6506" t="s">
        <v>14368</v>
      </c>
      <c r="B6506" t="s">
        <v>14369</v>
      </c>
      <c r="C6506" t="s">
        <v>20</v>
      </c>
      <c r="D6506" t="s">
        <v>133</v>
      </c>
      <c r="F6506">
        <v>1</v>
      </c>
      <c r="G6506" t="s">
        <v>16</v>
      </c>
      <c r="H6506">
        <v>0</v>
      </c>
      <c r="I6506" s="2" t="s">
        <v>455</v>
      </c>
      <c r="J6506" s="2" t="s">
        <v>14370</v>
      </c>
      <c r="K6506">
        <v>20</v>
      </c>
      <c r="L6506">
        <v>20</v>
      </c>
      <c r="M6506">
        <v>20</v>
      </c>
    </row>
    <row r="6507" spans="1:13" x14ac:dyDescent="0.25">
      <c r="A6507" t="s">
        <v>14371</v>
      </c>
      <c r="B6507" t="s">
        <v>14372</v>
      </c>
      <c r="C6507" t="s">
        <v>20</v>
      </c>
      <c r="D6507" t="s">
        <v>133</v>
      </c>
      <c r="G6507" t="s">
        <v>16</v>
      </c>
      <c r="H6507">
        <v>0</v>
      </c>
      <c r="I6507" s="2" t="s">
        <v>453</v>
      </c>
      <c r="J6507" s="2" t="s">
        <v>14373</v>
      </c>
      <c r="K6507">
        <v>20</v>
      </c>
      <c r="L6507">
        <v>20</v>
      </c>
      <c r="M6507">
        <v>20</v>
      </c>
    </row>
    <row r="6508" spans="1:13" x14ac:dyDescent="0.25">
      <c r="A6508" t="s">
        <v>14374</v>
      </c>
      <c r="B6508" t="s">
        <v>14375</v>
      </c>
      <c r="C6508" t="s">
        <v>20</v>
      </c>
      <c r="D6508" t="s">
        <v>133</v>
      </c>
      <c r="G6508" t="s">
        <v>16</v>
      </c>
      <c r="H6508">
        <v>0</v>
      </c>
      <c r="I6508" s="2" t="s">
        <v>455</v>
      </c>
      <c r="J6508" s="2" t="s">
        <v>14376</v>
      </c>
      <c r="K6508">
        <v>20</v>
      </c>
      <c r="L6508">
        <v>20</v>
      </c>
      <c r="M6508">
        <v>20</v>
      </c>
    </row>
    <row r="6509" spans="1:13" x14ac:dyDescent="0.25">
      <c r="A6509" t="s">
        <v>14377</v>
      </c>
      <c r="B6509" t="s">
        <v>14378</v>
      </c>
      <c r="C6509" t="s">
        <v>20</v>
      </c>
      <c r="D6509" t="s">
        <v>26</v>
      </c>
      <c r="G6509" t="s">
        <v>16</v>
      </c>
      <c r="H6509">
        <v>0</v>
      </c>
      <c r="K6509">
        <v>20</v>
      </c>
      <c r="L6509">
        <v>20</v>
      </c>
      <c r="M6509">
        <v>20</v>
      </c>
    </row>
    <row r="6510" spans="1:13" x14ac:dyDescent="0.25">
      <c r="A6510" t="s">
        <v>14379</v>
      </c>
      <c r="B6510" t="s">
        <v>14380</v>
      </c>
      <c r="C6510" t="s">
        <v>540</v>
      </c>
      <c r="D6510" t="s">
        <v>4589</v>
      </c>
      <c r="F6510">
        <v>1</v>
      </c>
      <c r="G6510" t="s">
        <v>16</v>
      </c>
      <c r="H6510">
        <v>0</v>
      </c>
      <c r="I6510" s="2" t="s">
        <v>64</v>
      </c>
      <c r="J6510" s="2" t="str">
        <f>"09110136"</f>
        <v>09110136</v>
      </c>
      <c r="K6510">
        <v>20</v>
      </c>
      <c r="L6510">
        <v>20</v>
      </c>
      <c r="M6510">
        <v>20</v>
      </c>
    </row>
    <row r="6511" spans="1:13" x14ac:dyDescent="0.25">
      <c r="A6511" t="s">
        <v>14381</v>
      </c>
      <c r="B6511" t="s">
        <v>14382</v>
      </c>
      <c r="C6511" t="s">
        <v>540</v>
      </c>
      <c r="D6511" t="s">
        <v>4589</v>
      </c>
      <c r="F6511">
        <v>1</v>
      </c>
      <c r="G6511" t="s">
        <v>16</v>
      </c>
      <c r="H6511">
        <v>0</v>
      </c>
      <c r="I6511" s="2" t="s">
        <v>4590</v>
      </c>
      <c r="J6511" s="2" t="s">
        <v>14383</v>
      </c>
      <c r="K6511">
        <v>20</v>
      </c>
      <c r="L6511">
        <v>20</v>
      </c>
      <c r="M6511">
        <v>20</v>
      </c>
    </row>
    <row r="6512" spans="1:13" x14ac:dyDescent="0.25">
      <c r="A6512" t="s">
        <v>14384</v>
      </c>
      <c r="B6512" t="s">
        <v>14382</v>
      </c>
      <c r="C6512" t="s">
        <v>540</v>
      </c>
      <c r="D6512" t="s">
        <v>4589</v>
      </c>
      <c r="F6512">
        <v>2</v>
      </c>
      <c r="G6512" t="s">
        <v>16</v>
      </c>
      <c r="H6512">
        <v>0</v>
      </c>
      <c r="I6512" s="2" t="s">
        <v>4593</v>
      </c>
      <c r="J6512" s="2" t="s">
        <v>14385</v>
      </c>
      <c r="K6512">
        <v>20</v>
      </c>
      <c r="L6512">
        <v>20</v>
      </c>
      <c r="M6512">
        <v>20</v>
      </c>
    </row>
    <row r="6513" spans="1:13" x14ac:dyDescent="0.25">
      <c r="A6513" t="s">
        <v>14386</v>
      </c>
      <c r="B6513" t="s">
        <v>14387</v>
      </c>
      <c r="C6513" t="s">
        <v>540</v>
      </c>
      <c r="D6513" t="s">
        <v>4589</v>
      </c>
      <c r="F6513">
        <v>2</v>
      </c>
      <c r="G6513" t="s">
        <v>16</v>
      </c>
      <c r="H6513">
        <v>0</v>
      </c>
      <c r="I6513" s="2" t="s">
        <v>4593</v>
      </c>
      <c r="J6513" s="2" t="s">
        <v>14388</v>
      </c>
      <c r="K6513">
        <v>20</v>
      </c>
      <c r="L6513">
        <v>20</v>
      </c>
      <c r="M6513">
        <v>20</v>
      </c>
    </row>
    <row r="6514" spans="1:13" x14ac:dyDescent="0.25">
      <c r="A6514" t="s">
        <v>14389</v>
      </c>
      <c r="B6514" t="s">
        <v>14390</v>
      </c>
      <c r="C6514" t="s">
        <v>540</v>
      </c>
      <c r="D6514" t="s">
        <v>4589</v>
      </c>
      <c r="F6514">
        <v>1</v>
      </c>
      <c r="G6514" t="s">
        <v>16</v>
      </c>
      <c r="H6514">
        <v>0</v>
      </c>
      <c r="I6514" s="2" t="s">
        <v>108</v>
      </c>
      <c r="J6514" s="3">
        <v>3511607905</v>
      </c>
      <c r="K6514">
        <v>20</v>
      </c>
      <c r="L6514">
        <v>20</v>
      </c>
      <c r="M6514">
        <v>20</v>
      </c>
    </row>
    <row r="6515" spans="1:13" x14ac:dyDescent="0.25">
      <c r="A6515" t="s">
        <v>14391</v>
      </c>
      <c r="B6515" t="s">
        <v>14390</v>
      </c>
      <c r="C6515" t="s">
        <v>540</v>
      </c>
      <c r="D6515" t="s">
        <v>4589</v>
      </c>
      <c r="F6515">
        <v>1</v>
      </c>
      <c r="G6515" t="s">
        <v>16</v>
      </c>
      <c r="H6515">
        <v>0</v>
      </c>
      <c r="I6515" s="2" t="s">
        <v>4593</v>
      </c>
      <c r="J6515" s="2" t="s">
        <v>14392</v>
      </c>
      <c r="K6515">
        <v>20</v>
      </c>
      <c r="L6515">
        <v>20</v>
      </c>
      <c r="M6515">
        <v>20</v>
      </c>
    </row>
    <row r="6516" spans="1:13" x14ac:dyDescent="0.25">
      <c r="A6516" t="s">
        <v>14393</v>
      </c>
      <c r="B6516" t="s">
        <v>14394</v>
      </c>
      <c r="C6516" t="s">
        <v>540</v>
      </c>
      <c r="D6516" t="s">
        <v>4589</v>
      </c>
      <c r="F6516">
        <v>2</v>
      </c>
      <c r="G6516" t="s">
        <v>16</v>
      </c>
      <c r="H6516">
        <v>0</v>
      </c>
      <c r="I6516" s="2" t="s">
        <v>108</v>
      </c>
      <c r="J6516" s="3">
        <v>3511607906</v>
      </c>
      <c r="K6516">
        <v>20</v>
      </c>
      <c r="L6516">
        <v>20</v>
      </c>
      <c r="M6516">
        <v>20</v>
      </c>
    </row>
    <row r="6517" spans="1:13" x14ac:dyDescent="0.25">
      <c r="A6517" t="s">
        <v>14395</v>
      </c>
      <c r="B6517" t="s">
        <v>14394</v>
      </c>
      <c r="C6517" t="s">
        <v>540</v>
      </c>
      <c r="D6517" t="s">
        <v>4589</v>
      </c>
      <c r="F6517">
        <v>1</v>
      </c>
      <c r="G6517" t="s">
        <v>16</v>
      </c>
      <c r="H6517">
        <v>0</v>
      </c>
      <c r="K6517">
        <v>20</v>
      </c>
      <c r="L6517">
        <v>20</v>
      </c>
      <c r="M6517">
        <v>20</v>
      </c>
    </row>
    <row r="6518" spans="1:13" x14ac:dyDescent="0.25">
      <c r="A6518" t="s">
        <v>14396</v>
      </c>
      <c r="B6518" t="s">
        <v>14397</v>
      </c>
      <c r="C6518" t="s">
        <v>540</v>
      </c>
      <c r="D6518" t="s">
        <v>4589</v>
      </c>
      <c r="F6518">
        <v>1</v>
      </c>
      <c r="G6518" t="s">
        <v>16</v>
      </c>
      <c r="H6518">
        <v>0</v>
      </c>
      <c r="I6518" s="2" t="s">
        <v>4649</v>
      </c>
      <c r="J6518" s="2" t="s">
        <v>14398</v>
      </c>
      <c r="K6518">
        <v>20</v>
      </c>
      <c r="L6518">
        <v>20</v>
      </c>
      <c r="M6518">
        <v>20</v>
      </c>
    </row>
    <row r="6519" spans="1:13" x14ac:dyDescent="0.25">
      <c r="A6519" t="s">
        <v>14399</v>
      </c>
      <c r="B6519" t="s">
        <v>14400</v>
      </c>
      <c r="C6519" t="s">
        <v>540</v>
      </c>
      <c r="D6519" t="s">
        <v>4589</v>
      </c>
      <c r="F6519">
        <v>3</v>
      </c>
      <c r="G6519" t="s">
        <v>16</v>
      </c>
      <c r="H6519">
        <v>0</v>
      </c>
      <c r="I6519" s="2" t="s">
        <v>4593</v>
      </c>
      <c r="J6519" s="2" t="s">
        <v>14398</v>
      </c>
      <c r="K6519">
        <v>20</v>
      </c>
      <c r="L6519">
        <v>20</v>
      </c>
      <c r="M6519">
        <v>20</v>
      </c>
    </row>
    <row r="6520" spans="1:13" x14ac:dyDescent="0.25">
      <c r="A6520" t="s">
        <v>14401</v>
      </c>
      <c r="B6520" t="s">
        <v>14402</v>
      </c>
      <c r="C6520" t="s">
        <v>540</v>
      </c>
      <c r="D6520" t="s">
        <v>4589</v>
      </c>
      <c r="G6520" t="s">
        <v>16</v>
      </c>
      <c r="H6520">
        <v>0</v>
      </c>
      <c r="I6520" s="2" t="s">
        <v>14403</v>
      </c>
      <c r="J6520" s="2" t="s">
        <v>14404</v>
      </c>
      <c r="K6520">
        <v>20</v>
      </c>
      <c r="L6520">
        <v>20</v>
      </c>
      <c r="M6520">
        <v>20</v>
      </c>
    </row>
    <row r="6521" spans="1:13" x14ac:dyDescent="0.25">
      <c r="A6521" t="s">
        <v>14405</v>
      </c>
      <c r="B6521" t="s">
        <v>14406</v>
      </c>
      <c r="C6521" t="s">
        <v>540</v>
      </c>
      <c r="D6521" t="s">
        <v>4589</v>
      </c>
      <c r="F6521">
        <v>1</v>
      </c>
      <c r="G6521" t="s">
        <v>16</v>
      </c>
      <c r="H6521">
        <v>0</v>
      </c>
      <c r="I6521" s="2" t="s">
        <v>4593</v>
      </c>
      <c r="J6521" s="2" t="s">
        <v>14407</v>
      </c>
      <c r="K6521">
        <v>20</v>
      </c>
      <c r="L6521">
        <v>20</v>
      </c>
      <c r="M6521">
        <v>20</v>
      </c>
    </row>
    <row r="6522" spans="1:13" x14ac:dyDescent="0.25">
      <c r="A6522" t="s">
        <v>14408</v>
      </c>
      <c r="B6522" t="s">
        <v>14409</v>
      </c>
      <c r="C6522" t="s">
        <v>540</v>
      </c>
      <c r="D6522" t="s">
        <v>4589</v>
      </c>
      <c r="F6522">
        <v>1</v>
      </c>
      <c r="G6522" t="s">
        <v>16</v>
      </c>
      <c r="H6522">
        <v>0</v>
      </c>
      <c r="I6522" s="2" t="s">
        <v>4590</v>
      </c>
      <c r="J6522" s="2" t="s">
        <v>14410</v>
      </c>
      <c r="K6522">
        <v>20</v>
      </c>
      <c r="L6522">
        <v>20</v>
      </c>
      <c r="M6522">
        <v>20</v>
      </c>
    </row>
    <row r="6523" spans="1:13" x14ac:dyDescent="0.25">
      <c r="A6523" t="s">
        <v>14411</v>
      </c>
      <c r="B6523" t="s">
        <v>14412</v>
      </c>
      <c r="C6523" t="s">
        <v>540</v>
      </c>
      <c r="D6523" t="s">
        <v>4589</v>
      </c>
      <c r="F6523">
        <v>2</v>
      </c>
      <c r="G6523" t="s">
        <v>16</v>
      </c>
      <c r="H6523">
        <v>0</v>
      </c>
      <c r="I6523" s="2" t="s">
        <v>4590</v>
      </c>
      <c r="J6523" s="2" t="s">
        <v>14413</v>
      </c>
      <c r="K6523">
        <v>20</v>
      </c>
      <c r="L6523">
        <v>20</v>
      </c>
      <c r="M6523">
        <v>20</v>
      </c>
    </row>
    <row r="6524" spans="1:13" x14ac:dyDescent="0.25">
      <c r="A6524" t="s">
        <v>14414</v>
      </c>
      <c r="B6524" t="s">
        <v>14415</v>
      </c>
      <c r="C6524" t="s">
        <v>540</v>
      </c>
      <c r="D6524" t="s">
        <v>4589</v>
      </c>
      <c r="F6524">
        <v>2</v>
      </c>
      <c r="G6524" t="s">
        <v>16</v>
      </c>
      <c r="H6524">
        <v>0</v>
      </c>
      <c r="I6524" s="2" t="s">
        <v>1137</v>
      </c>
      <c r="J6524" s="2" t="s">
        <v>14416</v>
      </c>
      <c r="K6524">
        <v>20</v>
      </c>
      <c r="L6524">
        <v>20</v>
      </c>
      <c r="M6524">
        <v>20</v>
      </c>
    </row>
    <row r="6525" spans="1:13" x14ac:dyDescent="0.25">
      <c r="A6525" t="s">
        <v>14417</v>
      </c>
      <c r="B6525" t="s">
        <v>14418</v>
      </c>
      <c r="C6525" t="s">
        <v>540</v>
      </c>
      <c r="D6525" t="s">
        <v>4589</v>
      </c>
      <c r="F6525">
        <v>2</v>
      </c>
      <c r="G6525" t="s">
        <v>16</v>
      </c>
      <c r="H6525">
        <v>0</v>
      </c>
      <c r="I6525" s="2" t="s">
        <v>4590</v>
      </c>
      <c r="J6525" s="2" t="s">
        <v>14419</v>
      </c>
      <c r="K6525">
        <v>20</v>
      </c>
      <c r="L6525">
        <v>20</v>
      </c>
      <c r="M6525">
        <v>20</v>
      </c>
    </row>
    <row r="6526" spans="1:13" x14ac:dyDescent="0.25">
      <c r="A6526" t="s">
        <v>14420</v>
      </c>
      <c r="B6526" t="s">
        <v>14421</v>
      </c>
      <c r="C6526" t="s">
        <v>540</v>
      </c>
      <c r="D6526" t="s">
        <v>4589</v>
      </c>
      <c r="F6526">
        <v>1</v>
      </c>
      <c r="G6526" t="s">
        <v>16</v>
      </c>
      <c r="H6526">
        <v>0</v>
      </c>
      <c r="I6526" s="2" t="s">
        <v>14422</v>
      </c>
      <c r="J6526" s="2" t="s">
        <v>14423</v>
      </c>
      <c r="K6526">
        <v>20</v>
      </c>
      <c r="L6526">
        <v>20</v>
      </c>
      <c r="M6526">
        <v>20</v>
      </c>
    </row>
    <row r="6527" spans="1:13" x14ac:dyDescent="0.25">
      <c r="A6527" t="s">
        <v>14424</v>
      </c>
      <c r="B6527" t="s">
        <v>14425</v>
      </c>
      <c r="C6527" t="s">
        <v>540</v>
      </c>
      <c r="D6527" t="s">
        <v>4589</v>
      </c>
      <c r="F6527">
        <v>0</v>
      </c>
      <c r="G6527" t="s">
        <v>16</v>
      </c>
      <c r="H6527">
        <v>0</v>
      </c>
      <c r="I6527" s="2" t="s">
        <v>4590</v>
      </c>
      <c r="J6527" s="2" t="s">
        <v>14426</v>
      </c>
      <c r="K6527">
        <v>20</v>
      </c>
      <c r="L6527">
        <v>20</v>
      </c>
      <c r="M6527">
        <v>20</v>
      </c>
    </row>
    <row r="6528" spans="1:13" x14ac:dyDescent="0.25">
      <c r="A6528" t="s">
        <v>14427</v>
      </c>
      <c r="B6528" t="s">
        <v>14428</v>
      </c>
      <c r="C6528" t="s">
        <v>540</v>
      </c>
      <c r="D6528" t="s">
        <v>4589</v>
      </c>
      <c r="F6528">
        <v>1</v>
      </c>
      <c r="G6528" t="s">
        <v>16</v>
      </c>
      <c r="H6528">
        <v>0</v>
      </c>
      <c r="I6528" s="2" t="s">
        <v>108</v>
      </c>
      <c r="J6528" s="3">
        <v>3691607007</v>
      </c>
      <c r="K6528">
        <v>20</v>
      </c>
      <c r="L6528">
        <v>20</v>
      </c>
      <c r="M6528">
        <v>20</v>
      </c>
    </row>
    <row r="6529" spans="1:13" x14ac:dyDescent="0.25">
      <c r="A6529" t="s">
        <v>14429</v>
      </c>
      <c r="B6529" t="s">
        <v>14430</v>
      </c>
      <c r="C6529" t="s">
        <v>540</v>
      </c>
      <c r="D6529" t="s">
        <v>4589</v>
      </c>
      <c r="F6529">
        <v>1</v>
      </c>
      <c r="G6529" t="s">
        <v>16</v>
      </c>
      <c r="H6529">
        <v>0</v>
      </c>
      <c r="I6529" s="2" t="s">
        <v>108</v>
      </c>
      <c r="J6529" s="3">
        <v>3691607008</v>
      </c>
      <c r="K6529">
        <v>20</v>
      </c>
      <c r="L6529">
        <v>20</v>
      </c>
      <c r="M6529">
        <v>20</v>
      </c>
    </row>
    <row r="6530" spans="1:13" x14ac:dyDescent="0.25">
      <c r="A6530" t="s">
        <v>14431</v>
      </c>
      <c r="B6530" t="s">
        <v>14432</v>
      </c>
      <c r="C6530" t="s">
        <v>540</v>
      </c>
      <c r="D6530" t="s">
        <v>4589</v>
      </c>
      <c r="F6530">
        <v>1</v>
      </c>
      <c r="G6530" t="s">
        <v>16</v>
      </c>
      <c r="H6530">
        <v>0</v>
      </c>
      <c r="I6530" s="2" t="s">
        <v>64</v>
      </c>
      <c r="J6530" s="2" t="str">
        <f>"09110067"</f>
        <v>09110067</v>
      </c>
      <c r="K6530">
        <v>20</v>
      </c>
      <c r="L6530">
        <v>20</v>
      </c>
      <c r="M6530">
        <v>20</v>
      </c>
    </row>
    <row r="6531" spans="1:13" x14ac:dyDescent="0.25">
      <c r="A6531" t="s">
        <v>14433</v>
      </c>
      <c r="B6531" t="s">
        <v>14434</v>
      </c>
      <c r="C6531" t="s">
        <v>540</v>
      </c>
      <c r="D6531" t="s">
        <v>4589</v>
      </c>
      <c r="G6531" t="s">
        <v>16</v>
      </c>
      <c r="H6531">
        <v>0</v>
      </c>
      <c r="I6531" s="2" t="s">
        <v>4590</v>
      </c>
      <c r="J6531" s="2" t="s">
        <v>14435</v>
      </c>
      <c r="K6531">
        <v>20</v>
      </c>
      <c r="L6531">
        <v>20</v>
      </c>
      <c r="M6531">
        <v>20</v>
      </c>
    </row>
    <row r="6532" spans="1:13" x14ac:dyDescent="0.25">
      <c r="A6532">
        <v>6428257</v>
      </c>
      <c r="B6532" t="s">
        <v>14436</v>
      </c>
      <c r="C6532" t="s">
        <v>1426</v>
      </c>
      <c r="F6532">
        <v>2</v>
      </c>
      <c r="G6532" t="s">
        <v>16</v>
      </c>
      <c r="H6532">
        <v>0</v>
      </c>
      <c r="I6532" s="2" t="s">
        <v>1444</v>
      </c>
      <c r="J6532" s="2">
        <v>93190321</v>
      </c>
      <c r="K6532">
        <v>20</v>
      </c>
      <c r="L6532">
        <v>20</v>
      </c>
      <c r="M6532">
        <v>20</v>
      </c>
    </row>
    <row r="6533" spans="1:13" x14ac:dyDescent="0.25">
      <c r="A6533" t="s">
        <v>14437</v>
      </c>
      <c r="B6533" t="s">
        <v>14438</v>
      </c>
      <c r="C6533" t="s">
        <v>540</v>
      </c>
      <c r="D6533" t="s">
        <v>4589</v>
      </c>
      <c r="F6533">
        <v>2</v>
      </c>
      <c r="G6533" t="s">
        <v>16</v>
      </c>
      <c r="H6533">
        <v>0</v>
      </c>
      <c r="I6533" s="2" t="s">
        <v>108</v>
      </c>
      <c r="J6533" s="3">
        <v>3691607003</v>
      </c>
      <c r="K6533">
        <v>20</v>
      </c>
      <c r="L6533">
        <v>20</v>
      </c>
      <c r="M6533">
        <v>20</v>
      </c>
    </row>
    <row r="6534" spans="1:13" x14ac:dyDescent="0.25">
      <c r="A6534" t="s">
        <v>14439</v>
      </c>
      <c r="B6534" t="s">
        <v>14440</v>
      </c>
      <c r="C6534" t="s">
        <v>540</v>
      </c>
      <c r="D6534" t="s">
        <v>4589</v>
      </c>
      <c r="F6534">
        <v>2</v>
      </c>
      <c r="G6534" t="s">
        <v>16</v>
      </c>
      <c r="H6534">
        <v>0</v>
      </c>
      <c r="I6534" s="2" t="s">
        <v>108</v>
      </c>
      <c r="J6534" s="3">
        <v>3691607004</v>
      </c>
      <c r="K6534">
        <v>20</v>
      </c>
      <c r="L6534">
        <v>20</v>
      </c>
      <c r="M6534">
        <v>20</v>
      </c>
    </row>
    <row r="6535" spans="1:13" x14ac:dyDescent="0.25">
      <c r="A6535" t="s">
        <v>14441</v>
      </c>
      <c r="B6535" t="s">
        <v>14442</v>
      </c>
      <c r="C6535" t="s">
        <v>540</v>
      </c>
      <c r="D6535" t="s">
        <v>4589</v>
      </c>
      <c r="F6535">
        <v>2</v>
      </c>
      <c r="G6535" t="s">
        <v>16</v>
      </c>
      <c r="H6535">
        <v>0</v>
      </c>
      <c r="I6535" s="2" t="s">
        <v>504</v>
      </c>
      <c r="J6535" s="2" t="s">
        <v>14443</v>
      </c>
      <c r="K6535">
        <v>20</v>
      </c>
      <c r="L6535">
        <v>20</v>
      </c>
      <c r="M6535">
        <v>20</v>
      </c>
    </row>
    <row r="6536" spans="1:13" x14ac:dyDescent="0.25">
      <c r="A6536" t="s">
        <v>14444</v>
      </c>
      <c r="B6536" t="s">
        <v>14445</v>
      </c>
      <c r="C6536" t="s">
        <v>540</v>
      </c>
      <c r="D6536" t="s">
        <v>4589</v>
      </c>
      <c r="F6536">
        <v>1</v>
      </c>
      <c r="G6536" t="s">
        <v>16</v>
      </c>
      <c r="H6536">
        <v>0</v>
      </c>
      <c r="I6536" s="2" t="s">
        <v>504</v>
      </c>
      <c r="J6536" s="2" t="s">
        <v>14446</v>
      </c>
      <c r="K6536">
        <v>20</v>
      </c>
      <c r="L6536">
        <v>20</v>
      </c>
      <c r="M6536">
        <v>20</v>
      </c>
    </row>
    <row r="6537" spans="1:13" x14ac:dyDescent="0.25">
      <c r="A6537" t="s">
        <v>14447</v>
      </c>
      <c r="B6537" t="s">
        <v>14448</v>
      </c>
      <c r="C6537" t="s">
        <v>540</v>
      </c>
      <c r="D6537" t="s">
        <v>4589</v>
      </c>
      <c r="F6537">
        <v>1</v>
      </c>
      <c r="G6537" t="s">
        <v>16</v>
      </c>
      <c r="H6537">
        <v>0</v>
      </c>
      <c r="I6537" s="2" t="s">
        <v>759</v>
      </c>
      <c r="J6537" s="2" t="s">
        <v>14449</v>
      </c>
      <c r="K6537">
        <v>20</v>
      </c>
      <c r="L6537">
        <v>20</v>
      </c>
      <c r="M6537">
        <v>20</v>
      </c>
    </row>
    <row r="6538" spans="1:13" x14ac:dyDescent="0.25">
      <c r="A6538" t="s">
        <v>14450</v>
      </c>
      <c r="B6538" t="s">
        <v>14448</v>
      </c>
      <c r="C6538" t="s">
        <v>540</v>
      </c>
      <c r="D6538" t="s">
        <v>4589</v>
      </c>
      <c r="F6538">
        <v>1</v>
      </c>
      <c r="G6538" t="s">
        <v>16</v>
      </c>
      <c r="H6538">
        <v>0</v>
      </c>
      <c r="I6538" s="2" t="s">
        <v>504</v>
      </c>
      <c r="J6538" s="2" t="s">
        <v>14451</v>
      </c>
      <c r="K6538">
        <v>20</v>
      </c>
      <c r="L6538">
        <v>20</v>
      </c>
      <c r="M6538">
        <v>20</v>
      </c>
    </row>
    <row r="6539" spans="1:13" x14ac:dyDescent="0.25">
      <c r="A6539" t="s">
        <v>14452</v>
      </c>
      <c r="B6539" t="s">
        <v>14453</v>
      </c>
      <c r="C6539" t="s">
        <v>540</v>
      </c>
      <c r="D6539" t="s">
        <v>4589</v>
      </c>
      <c r="F6539">
        <v>2</v>
      </c>
      <c r="G6539" t="s">
        <v>16</v>
      </c>
      <c r="H6539">
        <v>0</v>
      </c>
      <c r="I6539" s="2" t="s">
        <v>142</v>
      </c>
      <c r="J6539" s="2" t="s">
        <v>14454</v>
      </c>
      <c r="K6539">
        <v>20</v>
      </c>
      <c r="L6539">
        <v>20</v>
      </c>
      <c r="M6539">
        <v>20</v>
      </c>
    </row>
    <row r="6540" spans="1:13" x14ac:dyDescent="0.25">
      <c r="A6540" t="s">
        <v>14455</v>
      </c>
      <c r="B6540" t="s">
        <v>14456</v>
      </c>
      <c r="C6540" t="s">
        <v>540</v>
      </c>
      <c r="D6540" t="s">
        <v>4589</v>
      </c>
      <c r="F6540">
        <v>1</v>
      </c>
      <c r="G6540" t="s">
        <v>16</v>
      </c>
      <c r="H6540">
        <v>0</v>
      </c>
      <c r="I6540" s="2" t="s">
        <v>504</v>
      </c>
      <c r="J6540" s="2" t="s">
        <v>14457</v>
      </c>
      <c r="K6540">
        <v>20</v>
      </c>
      <c r="L6540">
        <v>20</v>
      </c>
      <c r="M6540">
        <v>20</v>
      </c>
    </row>
    <row r="6541" spans="1:13" x14ac:dyDescent="0.25">
      <c r="A6541" t="s">
        <v>14458</v>
      </c>
      <c r="B6541" t="s">
        <v>14459</v>
      </c>
      <c r="C6541" t="s">
        <v>1736</v>
      </c>
      <c r="G6541" t="s">
        <v>16</v>
      </c>
      <c r="H6541">
        <v>0</v>
      </c>
      <c r="I6541" s="2" t="s">
        <v>2896</v>
      </c>
      <c r="J6541" s="2">
        <v>26532</v>
      </c>
      <c r="K6541">
        <v>20</v>
      </c>
      <c r="L6541">
        <v>20</v>
      </c>
      <c r="M6541">
        <v>20</v>
      </c>
    </row>
    <row r="6542" spans="1:13" x14ac:dyDescent="0.25">
      <c r="A6542" t="s">
        <v>14460</v>
      </c>
      <c r="B6542" t="s">
        <v>14461</v>
      </c>
      <c r="C6542" t="s">
        <v>1736</v>
      </c>
      <c r="F6542">
        <v>0</v>
      </c>
      <c r="G6542" t="s">
        <v>16</v>
      </c>
      <c r="H6542">
        <v>0</v>
      </c>
      <c r="I6542" s="2" t="s">
        <v>1745</v>
      </c>
      <c r="J6542" s="2">
        <v>12611503</v>
      </c>
      <c r="K6542">
        <v>20</v>
      </c>
      <c r="L6542">
        <v>20</v>
      </c>
      <c r="M6542">
        <v>20</v>
      </c>
    </row>
    <row r="6543" spans="1:13" x14ac:dyDescent="0.25">
      <c r="A6543" t="s">
        <v>14462</v>
      </c>
      <c r="B6543" t="s">
        <v>14463</v>
      </c>
      <c r="C6543" t="s">
        <v>1736</v>
      </c>
      <c r="G6543" t="s">
        <v>16</v>
      </c>
      <c r="H6543">
        <v>0</v>
      </c>
      <c r="I6543" s="2" t="s">
        <v>1737</v>
      </c>
      <c r="J6543" s="2">
        <v>2945744</v>
      </c>
      <c r="K6543">
        <v>20</v>
      </c>
      <c r="L6543">
        <v>20</v>
      </c>
      <c r="M6543">
        <v>20</v>
      </c>
    </row>
    <row r="6544" spans="1:13" x14ac:dyDescent="0.25">
      <c r="A6544" t="s">
        <v>14464</v>
      </c>
      <c r="B6544" t="s">
        <v>14466</v>
      </c>
      <c r="C6544" t="s">
        <v>1736</v>
      </c>
      <c r="F6544">
        <v>2</v>
      </c>
      <c r="G6544" t="s">
        <v>16</v>
      </c>
      <c r="H6544">
        <v>0</v>
      </c>
      <c r="I6544" s="2" t="s">
        <v>1802</v>
      </c>
      <c r="J6544" s="2" t="s">
        <v>14465</v>
      </c>
      <c r="K6544">
        <v>20</v>
      </c>
      <c r="L6544">
        <v>20</v>
      </c>
      <c r="M6544">
        <v>20</v>
      </c>
    </row>
    <row r="6545" spans="1:13" x14ac:dyDescent="0.25">
      <c r="A6545" t="s">
        <v>14467</v>
      </c>
      <c r="B6545" t="s">
        <v>14466</v>
      </c>
      <c r="C6545" t="s">
        <v>1736</v>
      </c>
      <c r="G6545" t="s">
        <v>16</v>
      </c>
      <c r="H6545">
        <v>0</v>
      </c>
      <c r="I6545" s="2" t="s">
        <v>2896</v>
      </c>
      <c r="J6545" s="2">
        <v>26534</v>
      </c>
      <c r="K6545">
        <v>20</v>
      </c>
      <c r="L6545">
        <v>20</v>
      </c>
      <c r="M6545">
        <v>20</v>
      </c>
    </row>
    <row r="6546" spans="1:13" x14ac:dyDescent="0.25">
      <c r="A6546" t="s">
        <v>14468</v>
      </c>
      <c r="B6546" t="s">
        <v>14470</v>
      </c>
      <c r="C6546" t="s">
        <v>1736</v>
      </c>
      <c r="G6546" t="s">
        <v>16</v>
      </c>
      <c r="H6546">
        <v>0</v>
      </c>
      <c r="I6546" s="2" t="s">
        <v>1463</v>
      </c>
      <c r="J6546" s="2" t="s">
        <v>14469</v>
      </c>
      <c r="K6546">
        <v>20</v>
      </c>
      <c r="L6546">
        <v>20</v>
      </c>
      <c r="M6546">
        <v>20</v>
      </c>
    </row>
    <row r="6547" spans="1:13" x14ac:dyDescent="0.25">
      <c r="A6547" t="s">
        <v>14471</v>
      </c>
      <c r="B6547" t="s">
        <v>14472</v>
      </c>
      <c r="C6547" t="s">
        <v>1736</v>
      </c>
      <c r="G6547" t="s">
        <v>16</v>
      </c>
      <c r="H6547">
        <v>0</v>
      </c>
      <c r="I6547" s="2" t="s">
        <v>1737</v>
      </c>
      <c r="J6547" s="2">
        <v>2945731</v>
      </c>
      <c r="K6547">
        <v>20</v>
      </c>
      <c r="L6547">
        <v>20</v>
      </c>
      <c r="M6547">
        <v>20</v>
      </c>
    </row>
    <row r="6548" spans="1:13" x14ac:dyDescent="0.25">
      <c r="A6548" t="s">
        <v>14473</v>
      </c>
      <c r="B6548" t="s">
        <v>14474</v>
      </c>
      <c r="C6548" t="s">
        <v>1736</v>
      </c>
      <c r="F6548">
        <v>1</v>
      </c>
      <c r="G6548" t="s">
        <v>16</v>
      </c>
      <c r="H6548">
        <v>0</v>
      </c>
      <c r="I6548" s="2" t="s">
        <v>1737</v>
      </c>
      <c r="J6548" s="2" t="s">
        <v>14475</v>
      </c>
      <c r="K6548">
        <v>20</v>
      </c>
      <c r="L6548">
        <v>20</v>
      </c>
      <c r="M6548">
        <v>20</v>
      </c>
    </row>
    <row r="6549" spans="1:13" x14ac:dyDescent="0.25">
      <c r="A6549" t="s">
        <v>14476</v>
      </c>
      <c r="B6549" t="s">
        <v>14478</v>
      </c>
      <c r="C6549" t="s">
        <v>14</v>
      </c>
      <c r="D6549" t="s">
        <v>15</v>
      </c>
      <c r="F6549">
        <v>1</v>
      </c>
      <c r="G6549" t="s">
        <v>16</v>
      </c>
      <c r="H6549">
        <v>0</v>
      </c>
      <c r="I6549" s="2" t="s">
        <v>4748</v>
      </c>
      <c r="J6549" s="2" t="s">
        <v>14477</v>
      </c>
      <c r="K6549">
        <v>20</v>
      </c>
      <c r="L6549">
        <v>20</v>
      </c>
      <c r="M6549">
        <v>20</v>
      </c>
    </row>
    <row r="6550" spans="1:13" x14ac:dyDescent="0.25">
      <c r="A6550" t="s">
        <v>14479</v>
      </c>
      <c r="B6550" t="s">
        <v>14480</v>
      </c>
      <c r="C6550" t="s">
        <v>1736</v>
      </c>
      <c r="F6550">
        <v>5</v>
      </c>
      <c r="G6550" t="s">
        <v>16</v>
      </c>
      <c r="H6550">
        <v>0</v>
      </c>
      <c r="I6550" s="2" t="s">
        <v>64</v>
      </c>
      <c r="J6550" s="2">
        <v>21031694</v>
      </c>
      <c r="K6550">
        <v>20</v>
      </c>
      <c r="L6550">
        <v>20</v>
      </c>
      <c r="M6550">
        <v>20</v>
      </c>
    </row>
    <row r="6551" spans="1:13" x14ac:dyDescent="0.25">
      <c r="A6551" t="s">
        <v>14481</v>
      </c>
      <c r="B6551" t="s">
        <v>14482</v>
      </c>
      <c r="C6551" t="s">
        <v>1736</v>
      </c>
      <c r="F6551">
        <v>6</v>
      </c>
      <c r="G6551" t="s">
        <v>16</v>
      </c>
      <c r="H6551">
        <v>0</v>
      </c>
      <c r="I6551" s="2" t="s">
        <v>6735</v>
      </c>
      <c r="J6551" s="2">
        <v>284062</v>
      </c>
      <c r="K6551">
        <v>20</v>
      </c>
      <c r="L6551">
        <v>20</v>
      </c>
      <c r="M6551">
        <v>20</v>
      </c>
    </row>
    <row r="6552" spans="1:13" x14ac:dyDescent="0.25">
      <c r="A6552" t="s">
        <v>14483</v>
      </c>
      <c r="B6552" t="s">
        <v>14484</v>
      </c>
      <c r="C6552" t="s">
        <v>1736</v>
      </c>
      <c r="F6552">
        <v>1</v>
      </c>
      <c r="G6552" t="s">
        <v>16</v>
      </c>
      <c r="H6552">
        <v>0</v>
      </c>
      <c r="K6552">
        <v>20</v>
      </c>
      <c r="L6552">
        <v>20</v>
      </c>
      <c r="M6552">
        <v>20</v>
      </c>
    </row>
    <row r="6553" spans="1:13" x14ac:dyDescent="0.25">
      <c r="A6553" t="s">
        <v>14485</v>
      </c>
      <c r="B6553" t="s">
        <v>14487</v>
      </c>
      <c r="C6553" t="s">
        <v>1736</v>
      </c>
      <c r="G6553" t="s">
        <v>16</v>
      </c>
      <c r="H6553">
        <v>0</v>
      </c>
      <c r="I6553" s="2" t="s">
        <v>1802</v>
      </c>
      <c r="J6553" s="2" t="s">
        <v>14486</v>
      </c>
      <c r="K6553">
        <v>20</v>
      </c>
      <c r="L6553">
        <v>20</v>
      </c>
      <c r="M6553">
        <v>20</v>
      </c>
    </row>
    <row r="6554" spans="1:13" x14ac:dyDescent="0.25">
      <c r="A6554" t="s">
        <v>14488</v>
      </c>
      <c r="B6554" t="s">
        <v>14490</v>
      </c>
      <c r="C6554" t="s">
        <v>1736</v>
      </c>
      <c r="F6554">
        <v>2</v>
      </c>
      <c r="G6554" t="s">
        <v>16</v>
      </c>
      <c r="H6554">
        <v>0</v>
      </c>
      <c r="I6554" s="2" t="s">
        <v>2098</v>
      </c>
      <c r="J6554" s="2" t="s">
        <v>14489</v>
      </c>
      <c r="K6554">
        <v>20</v>
      </c>
      <c r="L6554">
        <v>20</v>
      </c>
      <c r="M6554">
        <v>20</v>
      </c>
    </row>
    <row r="6555" spans="1:13" x14ac:dyDescent="0.25">
      <c r="A6555" t="s">
        <v>14491</v>
      </c>
      <c r="B6555" t="s">
        <v>14490</v>
      </c>
      <c r="C6555" t="s">
        <v>1736</v>
      </c>
      <c r="F6555">
        <v>6</v>
      </c>
      <c r="G6555" t="s">
        <v>16</v>
      </c>
      <c r="H6555">
        <v>0</v>
      </c>
      <c r="I6555" s="2" t="s">
        <v>1802</v>
      </c>
      <c r="J6555" s="2" t="s">
        <v>14492</v>
      </c>
      <c r="K6555">
        <v>20</v>
      </c>
      <c r="L6555">
        <v>20</v>
      </c>
      <c r="M6555">
        <v>20</v>
      </c>
    </row>
    <row r="6556" spans="1:13" x14ac:dyDescent="0.25">
      <c r="A6556" t="s">
        <v>14493</v>
      </c>
      <c r="B6556" t="s">
        <v>14494</v>
      </c>
      <c r="C6556" t="s">
        <v>1736</v>
      </c>
      <c r="F6556">
        <v>2</v>
      </c>
      <c r="G6556" t="s">
        <v>16</v>
      </c>
      <c r="H6556">
        <v>0</v>
      </c>
      <c r="I6556" s="2" t="s">
        <v>6829</v>
      </c>
      <c r="J6556" s="2">
        <v>9040</v>
      </c>
      <c r="K6556">
        <v>20</v>
      </c>
      <c r="L6556">
        <v>20</v>
      </c>
      <c r="M6556">
        <v>20</v>
      </c>
    </row>
    <row r="6557" spans="1:13" x14ac:dyDescent="0.25">
      <c r="A6557" t="s">
        <v>14495</v>
      </c>
      <c r="B6557" t="s">
        <v>14496</v>
      </c>
      <c r="C6557" t="s">
        <v>1736</v>
      </c>
      <c r="F6557">
        <v>2</v>
      </c>
      <c r="G6557" t="s">
        <v>16</v>
      </c>
      <c r="H6557">
        <v>0</v>
      </c>
      <c r="I6557" s="2" t="s">
        <v>6829</v>
      </c>
      <c r="J6557" s="2">
        <v>9044</v>
      </c>
      <c r="K6557">
        <v>20</v>
      </c>
      <c r="L6557">
        <v>20</v>
      </c>
      <c r="M6557">
        <v>20</v>
      </c>
    </row>
    <row r="6558" spans="1:13" x14ac:dyDescent="0.25">
      <c r="A6558" t="s">
        <v>14497</v>
      </c>
      <c r="B6558" t="s">
        <v>14499</v>
      </c>
      <c r="C6558" t="s">
        <v>1736</v>
      </c>
      <c r="F6558">
        <v>2</v>
      </c>
      <c r="G6558" t="s">
        <v>16</v>
      </c>
      <c r="H6558">
        <v>0</v>
      </c>
      <c r="I6558" s="2" t="s">
        <v>2098</v>
      </c>
      <c r="J6558" s="2" t="s">
        <v>14498</v>
      </c>
      <c r="K6558">
        <v>20</v>
      </c>
      <c r="L6558">
        <v>20</v>
      </c>
      <c r="M6558">
        <v>20</v>
      </c>
    </row>
    <row r="6559" spans="1:13" x14ac:dyDescent="0.25">
      <c r="A6559" t="s">
        <v>14500</v>
      </c>
      <c r="B6559" t="s">
        <v>14502</v>
      </c>
      <c r="C6559" t="s">
        <v>1736</v>
      </c>
      <c r="F6559">
        <v>2</v>
      </c>
      <c r="G6559" t="s">
        <v>16</v>
      </c>
      <c r="H6559">
        <v>0</v>
      </c>
      <c r="I6559" s="2" t="s">
        <v>1802</v>
      </c>
      <c r="J6559" s="2" t="s">
        <v>14501</v>
      </c>
      <c r="K6559">
        <v>20</v>
      </c>
      <c r="L6559">
        <v>20</v>
      </c>
      <c r="M6559">
        <v>20</v>
      </c>
    </row>
    <row r="6560" spans="1:13" x14ac:dyDescent="0.25">
      <c r="A6560" t="s">
        <v>14503</v>
      </c>
      <c r="B6560" t="s">
        <v>14504</v>
      </c>
      <c r="C6560" t="s">
        <v>540</v>
      </c>
      <c r="F6560">
        <v>0</v>
      </c>
      <c r="G6560" t="s">
        <v>16</v>
      </c>
      <c r="H6560">
        <v>0</v>
      </c>
      <c r="I6560" s="2" t="s">
        <v>51</v>
      </c>
      <c r="J6560" s="2" t="s">
        <v>14503</v>
      </c>
      <c r="K6560">
        <v>20</v>
      </c>
      <c r="L6560">
        <v>20</v>
      </c>
      <c r="M6560">
        <v>20</v>
      </c>
    </row>
    <row r="6561" spans="1:13" x14ac:dyDescent="0.25">
      <c r="A6561" t="s">
        <v>14505</v>
      </c>
      <c r="B6561" t="s">
        <v>14506</v>
      </c>
      <c r="C6561" t="s">
        <v>151</v>
      </c>
      <c r="D6561" t="s">
        <v>6936</v>
      </c>
      <c r="F6561">
        <v>1</v>
      </c>
      <c r="G6561" t="s">
        <v>16</v>
      </c>
      <c r="H6561">
        <v>0</v>
      </c>
      <c r="I6561" s="2" t="s">
        <v>1671</v>
      </c>
      <c r="J6561" s="2">
        <v>355315</v>
      </c>
      <c r="K6561">
        <v>20</v>
      </c>
      <c r="L6561">
        <v>20</v>
      </c>
      <c r="M6561">
        <v>20</v>
      </c>
    </row>
    <row r="6562" spans="1:13" x14ac:dyDescent="0.25">
      <c r="A6562" t="s">
        <v>14507</v>
      </c>
      <c r="B6562" t="s">
        <v>14508</v>
      </c>
      <c r="C6562" t="s">
        <v>151</v>
      </c>
      <c r="D6562" t="s">
        <v>6936</v>
      </c>
      <c r="F6562">
        <v>1</v>
      </c>
      <c r="G6562" t="s">
        <v>16</v>
      </c>
      <c r="H6562">
        <v>0</v>
      </c>
      <c r="I6562" s="2" t="s">
        <v>712</v>
      </c>
      <c r="J6562" s="2">
        <v>75614929</v>
      </c>
      <c r="K6562">
        <v>20</v>
      </c>
      <c r="L6562">
        <v>20</v>
      </c>
      <c r="M6562">
        <v>20</v>
      </c>
    </row>
    <row r="6563" spans="1:13" x14ac:dyDescent="0.25">
      <c r="A6563" t="s">
        <v>14509</v>
      </c>
      <c r="B6563" t="s">
        <v>14508</v>
      </c>
      <c r="C6563" t="s">
        <v>151</v>
      </c>
      <c r="D6563" t="s">
        <v>6936</v>
      </c>
      <c r="F6563">
        <v>1</v>
      </c>
      <c r="G6563" t="s">
        <v>16</v>
      </c>
      <c r="H6563">
        <v>0</v>
      </c>
      <c r="I6563" s="2" t="s">
        <v>491</v>
      </c>
      <c r="J6563" s="2">
        <v>359000603280</v>
      </c>
      <c r="K6563">
        <v>20</v>
      </c>
      <c r="L6563">
        <v>20</v>
      </c>
      <c r="M6563">
        <v>20</v>
      </c>
    </row>
    <row r="6564" spans="1:13" x14ac:dyDescent="0.25">
      <c r="A6564" t="s">
        <v>14510</v>
      </c>
      <c r="B6564" t="s">
        <v>14511</v>
      </c>
      <c r="C6564" t="s">
        <v>151</v>
      </c>
      <c r="D6564" t="s">
        <v>6936</v>
      </c>
      <c r="G6564" t="s">
        <v>16</v>
      </c>
      <c r="H6564">
        <v>0</v>
      </c>
      <c r="I6564" s="2" t="s">
        <v>7128</v>
      </c>
      <c r="J6564" s="2">
        <v>33211645</v>
      </c>
      <c r="K6564">
        <v>20</v>
      </c>
      <c r="L6564">
        <v>20</v>
      </c>
      <c r="M6564">
        <v>20</v>
      </c>
    </row>
    <row r="6565" spans="1:13" x14ac:dyDescent="0.25">
      <c r="A6565" t="s">
        <v>14512</v>
      </c>
      <c r="B6565" t="s">
        <v>14513</v>
      </c>
      <c r="C6565" t="s">
        <v>151</v>
      </c>
      <c r="F6565">
        <v>0</v>
      </c>
      <c r="G6565" t="s">
        <v>16</v>
      </c>
      <c r="H6565">
        <v>0</v>
      </c>
      <c r="I6565" s="2" t="s">
        <v>108</v>
      </c>
      <c r="J6565" s="3">
        <v>2571417002</v>
      </c>
      <c r="K6565">
        <v>20</v>
      </c>
      <c r="L6565">
        <v>20</v>
      </c>
      <c r="M6565">
        <v>20</v>
      </c>
    </row>
    <row r="6566" spans="1:13" x14ac:dyDescent="0.25">
      <c r="A6566" t="s">
        <v>14514</v>
      </c>
      <c r="B6566" t="s">
        <v>14515</v>
      </c>
      <c r="C6566" t="s">
        <v>14</v>
      </c>
      <c r="D6566" t="s">
        <v>15</v>
      </c>
      <c r="F6566">
        <v>1</v>
      </c>
      <c r="G6566" t="s">
        <v>16</v>
      </c>
      <c r="H6566">
        <v>0</v>
      </c>
      <c r="I6566" s="2" t="s">
        <v>522</v>
      </c>
      <c r="J6566" s="2" t="s">
        <v>14516</v>
      </c>
      <c r="K6566">
        <v>20</v>
      </c>
      <c r="L6566">
        <v>20</v>
      </c>
      <c r="M6566">
        <v>20</v>
      </c>
    </row>
    <row r="6567" spans="1:13" x14ac:dyDescent="0.25">
      <c r="A6567" t="s">
        <v>14517</v>
      </c>
      <c r="B6567" t="s">
        <v>14515</v>
      </c>
      <c r="C6567" t="s">
        <v>14</v>
      </c>
      <c r="D6567" t="s">
        <v>15</v>
      </c>
      <c r="F6567">
        <v>14</v>
      </c>
      <c r="G6567" t="s">
        <v>16</v>
      </c>
      <c r="H6567">
        <v>0</v>
      </c>
      <c r="I6567" s="2" t="s">
        <v>6939</v>
      </c>
      <c r="J6567" s="2" t="s">
        <v>14518</v>
      </c>
      <c r="K6567">
        <v>20</v>
      </c>
      <c r="L6567">
        <v>20</v>
      </c>
      <c r="M6567">
        <v>20</v>
      </c>
    </row>
    <row r="6568" spans="1:13" x14ac:dyDescent="0.25">
      <c r="A6568" t="s">
        <v>14519</v>
      </c>
      <c r="B6568" t="s">
        <v>14520</v>
      </c>
      <c r="C6568" t="s">
        <v>14</v>
      </c>
      <c r="D6568" t="s">
        <v>15</v>
      </c>
      <c r="F6568">
        <v>5</v>
      </c>
      <c r="G6568" t="s">
        <v>16</v>
      </c>
      <c r="H6568">
        <v>0</v>
      </c>
      <c r="K6568">
        <v>20</v>
      </c>
      <c r="L6568">
        <v>20</v>
      </c>
      <c r="M6568">
        <v>20</v>
      </c>
    </row>
    <row r="6569" spans="1:13" x14ac:dyDescent="0.25">
      <c r="A6569" t="s">
        <v>14521</v>
      </c>
      <c r="B6569" t="s">
        <v>14522</v>
      </c>
      <c r="C6569" t="s">
        <v>14</v>
      </c>
      <c r="D6569" t="s">
        <v>15</v>
      </c>
      <c r="F6569">
        <v>32</v>
      </c>
      <c r="G6569" t="s">
        <v>16</v>
      </c>
      <c r="H6569">
        <v>0</v>
      </c>
      <c r="K6569">
        <v>20</v>
      </c>
      <c r="L6569">
        <v>20</v>
      </c>
      <c r="M6569">
        <v>20</v>
      </c>
    </row>
    <row r="6570" spans="1:13" x14ac:dyDescent="0.25">
      <c r="A6570" t="s">
        <v>14523</v>
      </c>
      <c r="B6570" t="s">
        <v>14524</v>
      </c>
      <c r="C6570" t="s">
        <v>14</v>
      </c>
      <c r="D6570" t="s">
        <v>15</v>
      </c>
      <c r="F6570">
        <v>0</v>
      </c>
      <c r="G6570" t="s">
        <v>16</v>
      </c>
      <c r="H6570">
        <v>0</v>
      </c>
      <c r="I6570" s="2" t="s">
        <v>51</v>
      </c>
      <c r="J6570" s="2" t="s">
        <v>14523</v>
      </c>
      <c r="K6570">
        <v>20</v>
      </c>
      <c r="L6570">
        <v>20</v>
      </c>
      <c r="M6570">
        <v>20</v>
      </c>
    </row>
    <row r="6571" spans="1:13" x14ac:dyDescent="0.25">
      <c r="A6571" t="s">
        <v>14525</v>
      </c>
      <c r="B6571" t="s">
        <v>14524</v>
      </c>
      <c r="C6571" t="s">
        <v>14</v>
      </c>
      <c r="D6571" t="s">
        <v>15</v>
      </c>
      <c r="F6571">
        <v>0</v>
      </c>
      <c r="G6571" t="s">
        <v>16</v>
      </c>
      <c r="H6571">
        <v>0</v>
      </c>
      <c r="I6571" s="2" t="s">
        <v>4748</v>
      </c>
      <c r="J6571" s="2" t="s">
        <v>14526</v>
      </c>
      <c r="K6571">
        <v>20</v>
      </c>
      <c r="L6571">
        <v>20</v>
      </c>
      <c r="M6571">
        <v>20</v>
      </c>
    </row>
    <row r="6572" spans="1:13" x14ac:dyDescent="0.25">
      <c r="A6572" t="s">
        <v>14527</v>
      </c>
      <c r="B6572" t="s">
        <v>14524</v>
      </c>
      <c r="C6572" t="s">
        <v>14</v>
      </c>
      <c r="D6572" t="s">
        <v>15</v>
      </c>
      <c r="F6572">
        <v>74</v>
      </c>
      <c r="G6572" t="s">
        <v>16</v>
      </c>
      <c r="H6572">
        <v>0</v>
      </c>
      <c r="I6572" s="2" t="s">
        <v>6939</v>
      </c>
      <c r="J6572" s="2" t="s">
        <v>14528</v>
      </c>
      <c r="K6572">
        <v>20</v>
      </c>
      <c r="L6572">
        <v>20</v>
      </c>
      <c r="M6572">
        <v>20</v>
      </c>
    </row>
    <row r="6573" spans="1:13" x14ac:dyDescent="0.25">
      <c r="A6573" t="s">
        <v>14529</v>
      </c>
      <c r="B6573" t="s">
        <v>14524</v>
      </c>
      <c r="C6573" t="s">
        <v>14</v>
      </c>
      <c r="D6573" t="s">
        <v>15</v>
      </c>
      <c r="F6573">
        <v>19</v>
      </c>
      <c r="G6573" t="s">
        <v>16</v>
      </c>
      <c r="H6573">
        <v>0</v>
      </c>
      <c r="I6573" s="2" t="s">
        <v>6939</v>
      </c>
      <c r="J6573" s="2" t="s">
        <v>14530</v>
      </c>
      <c r="K6573">
        <v>20</v>
      </c>
      <c r="L6573">
        <v>20</v>
      </c>
      <c r="M6573">
        <v>20</v>
      </c>
    </row>
    <row r="6574" spans="1:13" x14ac:dyDescent="0.25">
      <c r="A6574" t="s">
        <v>14531</v>
      </c>
      <c r="B6574" t="s">
        <v>14532</v>
      </c>
      <c r="C6574" t="s">
        <v>14</v>
      </c>
      <c r="D6574" t="s">
        <v>15</v>
      </c>
      <c r="F6574">
        <v>0</v>
      </c>
      <c r="G6574" t="s">
        <v>16</v>
      </c>
      <c r="H6574">
        <v>0</v>
      </c>
      <c r="I6574" s="2" t="s">
        <v>1741</v>
      </c>
      <c r="J6574" s="2">
        <v>13403</v>
      </c>
      <c r="K6574">
        <v>20</v>
      </c>
      <c r="L6574">
        <v>20</v>
      </c>
      <c r="M6574">
        <v>20</v>
      </c>
    </row>
    <row r="6575" spans="1:13" x14ac:dyDescent="0.25">
      <c r="A6575" t="s">
        <v>14533</v>
      </c>
      <c r="B6575" t="s">
        <v>14534</v>
      </c>
      <c r="C6575" t="s">
        <v>151</v>
      </c>
      <c r="D6575" t="s">
        <v>6328</v>
      </c>
      <c r="F6575">
        <v>1</v>
      </c>
      <c r="G6575" t="s">
        <v>16</v>
      </c>
      <c r="H6575">
        <v>0</v>
      </c>
      <c r="I6575" s="2" t="s">
        <v>64</v>
      </c>
      <c r="J6575" s="2" t="str">
        <f>"08050277"</f>
        <v>08050277</v>
      </c>
      <c r="K6575">
        <v>20</v>
      </c>
      <c r="L6575">
        <v>20</v>
      </c>
      <c r="M6575">
        <v>20</v>
      </c>
    </row>
    <row r="6576" spans="1:13" x14ac:dyDescent="0.25">
      <c r="A6576" t="s">
        <v>14535</v>
      </c>
      <c r="B6576" t="s">
        <v>14534</v>
      </c>
      <c r="C6576" t="s">
        <v>151</v>
      </c>
      <c r="D6576" t="s">
        <v>6328</v>
      </c>
      <c r="F6576">
        <v>1</v>
      </c>
      <c r="G6576" t="s">
        <v>16</v>
      </c>
      <c r="H6576">
        <v>0</v>
      </c>
      <c r="I6576" s="2" t="s">
        <v>158</v>
      </c>
      <c r="J6576" s="2" t="s">
        <v>14536</v>
      </c>
      <c r="K6576">
        <v>20</v>
      </c>
      <c r="L6576">
        <v>20</v>
      </c>
      <c r="M6576">
        <v>20</v>
      </c>
    </row>
    <row r="6577" spans="1:13" x14ac:dyDescent="0.25">
      <c r="A6577" t="s">
        <v>14537</v>
      </c>
      <c r="B6577" t="s">
        <v>14538</v>
      </c>
      <c r="C6577" t="s">
        <v>151</v>
      </c>
      <c r="D6577" t="s">
        <v>6328</v>
      </c>
      <c r="F6577">
        <v>1</v>
      </c>
      <c r="G6577" t="s">
        <v>16</v>
      </c>
      <c r="H6577">
        <v>0</v>
      </c>
      <c r="I6577" s="2" t="s">
        <v>64</v>
      </c>
      <c r="J6577" s="2" t="str">
        <f>"08050241"</f>
        <v>08050241</v>
      </c>
      <c r="K6577">
        <v>20</v>
      </c>
      <c r="L6577">
        <v>20</v>
      </c>
      <c r="M6577">
        <v>20</v>
      </c>
    </row>
    <row r="6578" spans="1:13" x14ac:dyDescent="0.25">
      <c r="A6578" t="s">
        <v>14539</v>
      </c>
      <c r="B6578" t="s">
        <v>14541</v>
      </c>
      <c r="C6578" t="s">
        <v>357</v>
      </c>
      <c r="F6578">
        <v>1</v>
      </c>
      <c r="G6578" t="s">
        <v>16</v>
      </c>
      <c r="H6578">
        <v>0</v>
      </c>
      <c r="I6578" s="2" t="s">
        <v>2899</v>
      </c>
      <c r="J6578" s="2" t="s">
        <v>14540</v>
      </c>
      <c r="K6578">
        <v>20</v>
      </c>
      <c r="L6578">
        <v>20</v>
      </c>
      <c r="M6578">
        <v>20</v>
      </c>
    </row>
    <row r="6579" spans="1:13" x14ac:dyDescent="0.25">
      <c r="A6579" t="s">
        <v>14542</v>
      </c>
      <c r="B6579" t="s">
        <v>14543</v>
      </c>
      <c r="C6579" t="s">
        <v>357</v>
      </c>
      <c r="D6579" t="s">
        <v>241</v>
      </c>
      <c r="F6579">
        <v>1</v>
      </c>
      <c r="G6579" t="s">
        <v>16</v>
      </c>
      <c r="H6579">
        <v>0</v>
      </c>
      <c r="I6579" s="2" t="s">
        <v>108</v>
      </c>
      <c r="J6579" s="3">
        <v>2551413001</v>
      </c>
      <c r="K6579">
        <v>20</v>
      </c>
      <c r="L6579">
        <v>20</v>
      </c>
      <c r="M6579">
        <v>20</v>
      </c>
    </row>
    <row r="6580" spans="1:13" x14ac:dyDescent="0.25">
      <c r="A6580" t="s">
        <v>14544</v>
      </c>
      <c r="B6580" t="s">
        <v>14545</v>
      </c>
      <c r="C6580" t="s">
        <v>357</v>
      </c>
      <c r="F6580">
        <v>2</v>
      </c>
      <c r="G6580" t="s">
        <v>16</v>
      </c>
      <c r="H6580">
        <v>0</v>
      </c>
      <c r="I6580" s="2" t="s">
        <v>613</v>
      </c>
      <c r="J6580" s="2" t="str">
        <f>"0020.6448.Q7"</f>
        <v>0020.6448.Q7</v>
      </c>
      <c r="K6580">
        <v>20</v>
      </c>
      <c r="L6580">
        <v>20</v>
      </c>
      <c r="M6580">
        <v>20</v>
      </c>
    </row>
    <row r="6581" spans="1:13" x14ac:dyDescent="0.25">
      <c r="A6581" t="s">
        <v>14546</v>
      </c>
      <c r="B6581" t="s">
        <v>14547</v>
      </c>
      <c r="C6581" t="s">
        <v>151</v>
      </c>
      <c r="D6581" t="s">
        <v>6328</v>
      </c>
      <c r="F6581">
        <v>0</v>
      </c>
      <c r="G6581" t="s">
        <v>16</v>
      </c>
      <c r="H6581">
        <v>0</v>
      </c>
      <c r="I6581" s="2" t="s">
        <v>598</v>
      </c>
      <c r="J6581" s="2">
        <v>346490</v>
      </c>
      <c r="K6581">
        <v>20</v>
      </c>
      <c r="L6581">
        <v>20</v>
      </c>
      <c r="M6581">
        <v>20</v>
      </c>
    </row>
    <row r="6582" spans="1:13" x14ac:dyDescent="0.25">
      <c r="A6582" t="s">
        <v>14548</v>
      </c>
      <c r="B6582" t="s">
        <v>14549</v>
      </c>
      <c r="C6582" t="s">
        <v>151</v>
      </c>
      <c r="F6582">
        <v>2</v>
      </c>
      <c r="G6582" t="s">
        <v>16</v>
      </c>
      <c r="H6582">
        <v>0</v>
      </c>
      <c r="I6582" s="2" t="s">
        <v>491</v>
      </c>
      <c r="J6582" s="2">
        <v>359000603430</v>
      </c>
      <c r="K6582">
        <v>20</v>
      </c>
      <c r="L6582">
        <v>20</v>
      </c>
      <c r="M6582">
        <v>20</v>
      </c>
    </row>
    <row r="6583" spans="1:13" x14ac:dyDescent="0.25">
      <c r="A6583" t="s">
        <v>14550</v>
      </c>
      <c r="B6583" t="s">
        <v>14551</v>
      </c>
      <c r="C6583" t="s">
        <v>151</v>
      </c>
      <c r="D6583" t="s">
        <v>6936</v>
      </c>
      <c r="F6583">
        <v>1</v>
      </c>
      <c r="G6583" t="s">
        <v>16</v>
      </c>
      <c r="H6583">
        <v>0</v>
      </c>
      <c r="I6583" s="2" t="s">
        <v>2896</v>
      </c>
      <c r="J6583" s="2">
        <v>210216</v>
      </c>
      <c r="K6583">
        <v>20</v>
      </c>
      <c r="L6583">
        <v>20</v>
      </c>
      <c r="M6583">
        <v>20</v>
      </c>
    </row>
    <row r="6584" spans="1:13" x14ac:dyDescent="0.25">
      <c r="A6584" t="s">
        <v>14552</v>
      </c>
      <c r="B6584" t="s">
        <v>14554</v>
      </c>
      <c r="C6584" t="s">
        <v>151</v>
      </c>
      <c r="D6584" t="s">
        <v>6936</v>
      </c>
      <c r="F6584">
        <v>1</v>
      </c>
      <c r="G6584" t="s">
        <v>16</v>
      </c>
      <c r="H6584">
        <v>0</v>
      </c>
      <c r="I6584" s="2" t="s">
        <v>988</v>
      </c>
      <c r="J6584" s="2" t="s">
        <v>14553</v>
      </c>
      <c r="K6584">
        <v>20</v>
      </c>
      <c r="L6584">
        <v>20</v>
      </c>
      <c r="M6584">
        <v>20</v>
      </c>
    </row>
    <row r="6585" spans="1:13" x14ac:dyDescent="0.25">
      <c r="A6585" t="s">
        <v>14555</v>
      </c>
      <c r="B6585" t="s">
        <v>14556</v>
      </c>
      <c r="C6585" t="s">
        <v>151</v>
      </c>
      <c r="D6585" t="s">
        <v>6936</v>
      </c>
      <c r="F6585">
        <v>1</v>
      </c>
      <c r="G6585" t="s">
        <v>16</v>
      </c>
      <c r="H6585">
        <v>0</v>
      </c>
      <c r="I6585" s="2" t="s">
        <v>988</v>
      </c>
      <c r="J6585" s="2" t="s">
        <v>14557</v>
      </c>
      <c r="K6585">
        <v>20</v>
      </c>
      <c r="L6585">
        <v>20</v>
      </c>
      <c r="M6585">
        <v>20</v>
      </c>
    </row>
    <row r="6586" spans="1:13" x14ac:dyDescent="0.25">
      <c r="A6586" t="s">
        <v>14558</v>
      </c>
      <c r="B6586" t="s">
        <v>14556</v>
      </c>
      <c r="C6586" t="s">
        <v>151</v>
      </c>
      <c r="D6586" t="s">
        <v>6936</v>
      </c>
      <c r="F6586">
        <v>2</v>
      </c>
      <c r="G6586" t="s">
        <v>16</v>
      </c>
      <c r="H6586">
        <v>0</v>
      </c>
      <c r="I6586" s="2" t="s">
        <v>2896</v>
      </c>
      <c r="J6586" s="2">
        <v>210278</v>
      </c>
      <c r="K6586">
        <v>20</v>
      </c>
      <c r="L6586">
        <v>20</v>
      </c>
      <c r="M6586">
        <v>20</v>
      </c>
    </row>
    <row r="6587" spans="1:13" x14ac:dyDescent="0.25">
      <c r="A6587">
        <v>6450503</v>
      </c>
      <c r="B6587" t="s">
        <v>14559</v>
      </c>
      <c r="C6587" t="s">
        <v>1736</v>
      </c>
      <c r="F6587">
        <v>0</v>
      </c>
      <c r="G6587" t="s">
        <v>16</v>
      </c>
      <c r="H6587">
        <v>0</v>
      </c>
      <c r="I6587" s="2" t="s">
        <v>497</v>
      </c>
      <c r="J6587" s="2">
        <v>13118158</v>
      </c>
      <c r="K6587">
        <v>20</v>
      </c>
      <c r="L6587">
        <v>20</v>
      </c>
      <c r="M6587">
        <v>20</v>
      </c>
    </row>
    <row r="6588" spans="1:13" x14ac:dyDescent="0.25">
      <c r="A6588" t="s">
        <v>14560</v>
      </c>
      <c r="B6588" t="s">
        <v>14561</v>
      </c>
      <c r="C6588" t="s">
        <v>151</v>
      </c>
      <c r="D6588" t="s">
        <v>6347</v>
      </c>
      <c r="F6588">
        <v>0</v>
      </c>
      <c r="G6588" t="s">
        <v>16</v>
      </c>
      <c r="H6588">
        <v>0</v>
      </c>
      <c r="I6588" s="2" t="s">
        <v>707</v>
      </c>
      <c r="J6588" s="2" t="s">
        <v>14562</v>
      </c>
      <c r="K6588">
        <v>20</v>
      </c>
      <c r="L6588">
        <v>20</v>
      </c>
      <c r="M6588">
        <v>20</v>
      </c>
    </row>
    <row r="6589" spans="1:13" x14ac:dyDescent="0.25">
      <c r="A6589" t="s">
        <v>14563</v>
      </c>
      <c r="B6589" t="s">
        <v>14564</v>
      </c>
      <c r="C6589" t="s">
        <v>151</v>
      </c>
      <c r="D6589" t="s">
        <v>6347</v>
      </c>
      <c r="F6589">
        <v>1</v>
      </c>
      <c r="G6589" t="s">
        <v>16</v>
      </c>
      <c r="H6589">
        <v>0</v>
      </c>
      <c r="I6589" s="2" t="s">
        <v>158</v>
      </c>
      <c r="J6589" s="2" t="s">
        <v>14565</v>
      </c>
      <c r="K6589">
        <v>20</v>
      </c>
      <c r="L6589">
        <v>20</v>
      </c>
      <c r="M6589">
        <v>20</v>
      </c>
    </row>
    <row r="6590" spans="1:13" x14ac:dyDescent="0.25">
      <c r="A6590" t="s">
        <v>14566</v>
      </c>
      <c r="B6590" t="s">
        <v>14567</v>
      </c>
      <c r="C6590" t="s">
        <v>151</v>
      </c>
      <c r="D6590" t="s">
        <v>6347</v>
      </c>
      <c r="F6590">
        <v>1</v>
      </c>
      <c r="G6590" t="s">
        <v>16</v>
      </c>
      <c r="H6590">
        <v>0</v>
      </c>
      <c r="I6590" s="2" t="s">
        <v>162</v>
      </c>
      <c r="J6590" s="2">
        <v>82442</v>
      </c>
      <c r="K6590">
        <v>20</v>
      </c>
      <c r="L6590">
        <v>20</v>
      </c>
      <c r="M6590">
        <v>20</v>
      </c>
    </row>
    <row r="6591" spans="1:13" x14ac:dyDescent="0.25">
      <c r="A6591" t="s">
        <v>14568</v>
      </c>
      <c r="B6591" t="s">
        <v>14569</v>
      </c>
      <c r="C6591" t="s">
        <v>151</v>
      </c>
      <c r="D6591" t="s">
        <v>6347</v>
      </c>
      <c r="F6591">
        <v>0</v>
      </c>
      <c r="G6591" t="s">
        <v>16</v>
      </c>
      <c r="H6591">
        <v>0</v>
      </c>
      <c r="I6591" s="2" t="s">
        <v>598</v>
      </c>
      <c r="J6591" s="2">
        <v>377900</v>
      </c>
      <c r="K6591">
        <v>20</v>
      </c>
      <c r="L6591">
        <v>20</v>
      </c>
      <c r="M6591">
        <v>20</v>
      </c>
    </row>
    <row r="6592" spans="1:13" x14ac:dyDescent="0.25">
      <c r="A6592" t="s">
        <v>14570</v>
      </c>
      <c r="B6592" t="s">
        <v>14571</v>
      </c>
      <c r="C6592" t="s">
        <v>151</v>
      </c>
      <c r="D6592" t="s">
        <v>6347</v>
      </c>
      <c r="F6592">
        <v>1</v>
      </c>
      <c r="G6592" t="s">
        <v>16</v>
      </c>
      <c r="H6592">
        <v>0</v>
      </c>
      <c r="I6592" s="2" t="s">
        <v>598</v>
      </c>
      <c r="J6592" s="2">
        <v>345210</v>
      </c>
      <c r="K6592">
        <v>20</v>
      </c>
      <c r="L6592">
        <v>20</v>
      </c>
      <c r="M6592">
        <v>20</v>
      </c>
    </row>
    <row r="6593" spans="1:13" x14ac:dyDescent="0.25">
      <c r="A6593" t="s">
        <v>14572</v>
      </c>
      <c r="B6593" t="s">
        <v>14573</v>
      </c>
      <c r="C6593" t="s">
        <v>20</v>
      </c>
      <c r="D6593" t="s">
        <v>478</v>
      </c>
      <c r="F6593">
        <v>0</v>
      </c>
      <c r="G6593" t="s">
        <v>16</v>
      </c>
      <c r="H6593">
        <v>0</v>
      </c>
      <c r="I6593" s="2" t="s">
        <v>639</v>
      </c>
      <c r="J6593" s="2" t="s">
        <v>14574</v>
      </c>
      <c r="K6593">
        <v>20</v>
      </c>
      <c r="L6593">
        <v>20</v>
      </c>
      <c r="M6593">
        <v>20</v>
      </c>
    </row>
    <row r="6594" spans="1:13" x14ac:dyDescent="0.25">
      <c r="A6594" t="s">
        <v>14575</v>
      </c>
      <c r="B6594" t="s">
        <v>14573</v>
      </c>
      <c r="C6594" t="s">
        <v>20</v>
      </c>
      <c r="D6594" t="s">
        <v>478</v>
      </c>
      <c r="F6594">
        <v>2</v>
      </c>
      <c r="G6594" t="s">
        <v>16</v>
      </c>
      <c r="H6594">
        <v>0</v>
      </c>
      <c r="I6594" s="2" t="s">
        <v>11877</v>
      </c>
      <c r="J6594" s="2">
        <v>10186</v>
      </c>
      <c r="K6594">
        <v>20</v>
      </c>
      <c r="L6594">
        <v>20</v>
      </c>
      <c r="M6594">
        <v>20</v>
      </c>
    </row>
    <row r="6595" spans="1:13" x14ac:dyDescent="0.25">
      <c r="A6595" t="s">
        <v>14576</v>
      </c>
      <c r="B6595" t="s">
        <v>14577</v>
      </c>
      <c r="C6595" t="s">
        <v>20</v>
      </c>
      <c r="D6595" t="s">
        <v>478</v>
      </c>
      <c r="F6595">
        <v>1</v>
      </c>
      <c r="G6595" t="s">
        <v>16</v>
      </c>
      <c r="H6595">
        <v>0</v>
      </c>
      <c r="I6595" s="2" t="s">
        <v>11877</v>
      </c>
      <c r="J6595" s="3">
        <v>10121</v>
      </c>
      <c r="K6595">
        <v>20</v>
      </c>
      <c r="L6595">
        <v>20</v>
      </c>
      <c r="M6595">
        <v>20</v>
      </c>
    </row>
    <row r="6596" spans="1:13" x14ac:dyDescent="0.25">
      <c r="A6596" t="s">
        <v>14578</v>
      </c>
      <c r="B6596" t="s">
        <v>14579</v>
      </c>
      <c r="C6596" t="s">
        <v>20</v>
      </c>
      <c r="D6596" t="s">
        <v>478</v>
      </c>
      <c r="F6596">
        <v>1</v>
      </c>
      <c r="G6596" t="s">
        <v>16</v>
      </c>
      <c r="H6596">
        <v>0</v>
      </c>
      <c r="I6596" s="2" t="s">
        <v>11877</v>
      </c>
      <c r="J6596" s="3">
        <v>10149</v>
      </c>
      <c r="K6596">
        <v>20</v>
      </c>
      <c r="L6596">
        <v>20</v>
      </c>
      <c r="M6596">
        <v>20</v>
      </c>
    </row>
    <row r="6597" spans="1:13" x14ac:dyDescent="0.25">
      <c r="A6597" t="s">
        <v>14580</v>
      </c>
      <c r="B6597" t="s">
        <v>14581</v>
      </c>
      <c r="C6597" t="s">
        <v>20</v>
      </c>
      <c r="D6597" t="s">
        <v>478</v>
      </c>
      <c r="G6597" t="s">
        <v>16</v>
      </c>
      <c r="H6597">
        <v>0</v>
      </c>
      <c r="I6597" s="2" t="s">
        <v>142</v>
      </c>
      <c r="J6597" s="2" t="s">
        <v>14582</v>
      </c>
      <c r="K6597">
        <v>20</v>
      </c>
      <c r="L6597">
        <v>20</v>
      </c>
      <c r="M6597">
        <v>20</v>
      </c>
    </row>
    <row r="6598" spans="1:13" x14ac:dyDescent="0.25">
      <c r="A6598" t="s">
        <v>14583</v>
      </c>
      <c r="B6598" t="s">
        <v>14584</v>
      </c>
      <c r="C6598" t="s">
        <v>20</v>
      </c>
      <c r="D6598" t="s">
        <v>478</v>
      </c>
      <c r="F6598">
        <v>1</v>
      </c>
      <c r="G6598" t="s">
        <v>16</v>
      </c>
      <c r="H6598">
        <v>0</v>
      </c>
      <c r="I6598" s="2" t="s">
        <v>64</v>
      </c>
      <c r="J6598" s="2">
        <v>12030025</v>
      </c>
      <c r="K6598">
        <v>20</v>
      </c>
      <c r="L6598">
        <v>20</v>
      </c>
      <c r="M6598">
        <v>20</v>
      </c>
    </row>
    <row r="6599" spans="1:13" x14ac:dyDescent="0.25">
      <c r="A6599" t="s">
        <v>14585</v>
      </c>
      <c r="B6599" t="s">
        <v>14584</v>
      </c>
      <c r="C6599" t="s">
        <v>20</v>
      </c>
      <c r="D6599" t="s">
        <v>478</v>
      </c>
      <c r="G6599" t="s">
        <v>16</v>
      </c>
      <c r="H6599">
        <v>0</v>
      </c>
      <c r="I6599" s="2" t="s">
        <v>448</v>
      </c>
      <c r="J6599" s="2" t="s">
        <v>14586</v>
      </c>
      <c r="K6599">
        <v>20</v>
      </c>
      <c r="L6599">
        <v>20</v>
      </c>
      <c r="M6599">
        <v>20</v>
      </c>
    </row>
    <row r="6600" spans="1:13" x14ac:dyDescent="0.25">
      <c r="A6600" t="s">
        <v>14587</v>
      </c>
      <c r="B6600" t="s">
        <v>14588</v>
      </c>
      <c r="C6600" t="s">
        <v>20</v>
      </c>
      <c r="D6600" t="s">
        <v>478</v>
      </c>
      <c r="F6600">
        <v>1</v>
      </c>
      <c r="G6600" t="s">
        <v>16</v>
      </c>
      <c r="H6600">
        <v>0</v>
      </c>
      <c r="I6600" s="2" t="s">
        <v>11877</v>
      </c>
      <c r="J6600" s="3">
        <v>10242</v>
      </c>
      <c r="K6600">
        <v>20</v>
      </c>
      <c r="L6600">
        <v>20</v>
      </c>
      <c r="M6600">
        <v>20</v>
      </c>
    </row>
    <row r="6601" spans="1:13" x14ac:dyDescent="0.25">
      <c r="A6601" t="s">
        <v>14589</v>
      </c>
      <c r="B6601" t="s">
        <v>14590</v>
      </c>
      <c r="C6601" t="s">
        <v>20</v>
      </c>
      <c r="D6601" t="s">
        <v>478</v>
      </c>
      <c r="F6601">
        <v>1</v>
      </c>
      <c r="G6601" t="s">
        <v>16</v>
      </c>
      <c r="H6601">
        <v>0</v>
      </c>
      <c r="I6601" s="2" t="s">
        <v>759</v>
      </c>
      <c r="J6601" s="2" t="s">
        <v>14591</v>
      </c>
      <c r="K6601">
        <v>20</v>
      </c>
      <c r="L6601">
        <v>20</v>
      </c>
      <c r="M6601">
        <v>20</v>
      </c>
    </row>
    <row r="6602" spans="1:13" x14ac:dyDescent="0.25">
      <c r="A6602" t="s">
        <v>14592</v>
      </c>
      <c r="B6602" t="s">
        <v>14593</v>
      </c>
      <c r="C6602" t="s">
        <v>20</v>
      </c>
      <c r="D6602" t="s">
        <v>478</v>
      </c>
      <c r="F6602">
        <v>0</v>
      </c>
      <c r="G6602" t="s">
        <v>16</v>
      </c>
      <c r="H6602">
        <v>0</v>
      </c>
      <c r="I6602" s="2" t="s">
        <v>906</v>
      </c>
      <c r="J6602" s="2" t="s">
        <v>14594</v>
      </c>
      <c r="K6602">
        <v>20</v>
      </c>
      <c r="L6602">
        <v>20</v>
      </c>
      <c r="M6602">
        <v>20</v>
      </c>
    </row>
    <row r="6603" spans="1:13" x14ac:dyDescent="0.25">
      <c r="A6603" t="s">
        <v>14595</v>
      </c>
      <c r="B6603" t="s">
        <v>14593</v>
      </c>
      <c r="C6603" t="s">
        <v>20</v>
      </c>
      <c r="D6603" t="s">
        <v>478</v>
      </c>
      <c r="F6603">
        <v>0</v>
      </c>
      <c r="G6603" t="s">
        <v>16</v>
      </c>
      <c r="H6603">
        <v>0</v>
      </c>
      <c r="I6603" s="2" t="s">
        <v>14596</v>
      </c>
      <c r="J6603" s="2">
        <v>55232196</v>
      </c>
      <c r="K6603">
        <v>20</v>
      </c>
      <c r="L6603">
        <v>20</v>
      </c>
      <c r="M6603">
        <v>20</v>
      </c>
    </row>
    <row r="6604" spans="1:13" x14ac:dyDescent="0.25">
      <c r="A6604" t="s">
        <v>14597</v>
      </c>
      <c r="B6604" t="s">
        <v>14593</v>
      </c>
      <c r="C6604" t="s">
        <v>20</v>
      </c>
      <c r="D6604" t="s">
        <v>478</v>
      </c>
      <c r="F6604">
        <v>0</v>
      </c>
      <c r="G6604" t="s">
        <v>16</v>
      </c>
      <c r="H6604">
        <v>0</v>
      </c>
      <c r="I6604" s="2" t="s">
        <v>1433</v>
      </c>
      <c r="J6604" s="2">
        <v>55100978</v>
      </c>
      <c r="K6604">
        <v>20</v>
      </c>
      <c r="L6604">
        <v>20</v>
      </c>
      <c r="M6604">
        <v>20</v>
      </c>
    </row>
    <row r="6605" spans="1:13" x14ac:dyDescent="0.25">
      <c r="A6605" t="s">
        <v>14598</v>
      </c>
      <c r="B6605" t="s">
        <v>14593</v>
      </c>
      <c r="C6605" t="s">
        <v>20</v>
      </c>
      <c r="D6605" t="s">
        <v>478</v>
      </c>
      <c r="G6605" t="s">
        <v>16</v>
      </c>
      <c r="H6605">
        <v>0</v>
      </c>
      <c r="I6605" s="2" t="s">
        <v>639</v>
      </c>
      <c r="J6605" s="2" t="s">
        <v>14599</v>
      </c>
      <c r="K6605">
        <v>20</v>
      </c>
      <c r="L6605">
        <v>20</v>
      </c>
      <c r="M6605">
        <v>20</v>
      </c>
    </row>
    <row r="6606" spans="1:13" x14ac:dyDescent="0.25">
      <c r="A6606" t="s">
        <v>14600</v>
      </c>
      <c r="B6606" t="s">
        <v>14593</v>
      </c>
      <c r="C6606" t="s">
        <v>20</v>
      </c>
      <c r="D6606" t="s">
        <v>478</v>
      </c>
      <c r="F6606">
        <v>0</v>
      </c>
      <c r="G6606" t="s">
        <v>16</v>
      </c>
      <c r="H6606">
        <v>0</v>
      </c>
      <c r="I6606" s="2" t="s">
        <v>11877</v>
      </c>
      <c r="J6606" s="2">
        <v>10292</v>
      </c>
      <c r="K6606">
        <v>20</v>
      </c>
      <c r="L6606">
        <v>20</v>
      </c>
      <c r="M6606">
        <v>20</v>
      </c>
    </row>
    <row r="6607" spans="1:13" x14ac:dyDescent="0.25">
      <c r="A6607" t="s">
        <v>14601</v>
      </c>
      <c r="B6607" t="s">
        <v>14603</v>
      </c>
      <c r="C6607" t="s">
        <v>20</v>
      </c>
      <c r="D6607" t="s">
        <v>478</v>
      </c>
      <c r="G6607" t="s">
        <v>16</v>
      </c>
      <c r="H6607">
        <v>0</v>
      </c>
      <c r="I6607" s="2" t="s">
        <v>7837</v>
      </c>
      <c r="J6607" s="2" t="s">
        <v>14602</v>
      </c>
      <c r="K6607">
        <v>20</v>
      </c>
      <c r="L6607">
        <v>20</v>
      </c>
      <c r="M6607">
        <v>20</v>
      </c>
    </row>
    <row r="6608" spans="1:13" x14ac:dyDescent="0.25">
      <c r="A6608" t="s">
        <v>14604</v>
      </c>
      <c r="B6608" t="s">
        <v>14605</v>
      </c>
      <c r="C6608" t="s">
        <v>20</v>
      </c>
      <c r="D6608" t="s">
        <v>478</v>
      </c>
      <c r="F6608">
        <v>1</v>
      </c>
      <c r="G6608" t="s">
        <v>16</v>
      </c>
      <c r="H6608">
        <v>0</v>
      </c>
      <c r="I6608" s="2" t="s">
        <v>64</v>
      </c>
      <c r="J6608" s="2">
        <v>12030052</v>
      </c>
      <c r="K6608">
        <v>20</v>
      </c>
      <c r="L6608">
        <v>20</v>
      </c>
      <c r="M6608">
        <v>20</v>
      </c>
    </row>
    <row r="6609" spans="1:13" x14ac:dyDescent="0.25">
      <c r="A6609" t="s">
        <v>14606</v>
      </c>
      <c r="B6609" t="s">
        <v>14607</v>
      </c>
      <c r="C6609" t="s">
        <v>20</v>
      </c>
      <c r="D6609" t="s">
        <v>26</v>
      </c>
      <c r="G6609" t="s">
        <v>16</v>
      </c>
      <c r="H6609">
        <v>0</v>
      </c>
      <c r="I6609" s="2" t="s">
        <v>80</v>
      </c>
      <c r="J6609" s="2" t="s">
        <v>14608</v>
      </c>
      <c r="K6609">
        <v>20</v>
      </c>
      <c r="L6609">
        <v>20</v>
      </c>
      <c r="M6609">
        <v>20</v>
      </c>
    </row>
    <row r="6610" spans="1:13" x14ac:dyDescent="0.25">
      <c r="A6610" t="s">
        <v>14609</v>
      </c>
      <c r="B6610" t="s">
        <v>14610</v>
      </c>
      <c r="C6610" t="s">
        <v>20</v>
      </c>
      <c r="D6610" t="s">
        <v>26</v>
      </c>
      <c r="G6610" t="s">
        <v>16</v>
      </c>
      <c r="H6610">
        <v>0</v>
      </c>
      <c r="I6610" s="2" t="s">
        <v>209</v>
      </c>
      <c r="J6610" s="2" t="str">
        <f>"041056P"</f>
        <v>041056P</v>
      </c>
      <c r="K6610">
        <v>20</v>
      </c>
      <c r="L6610">
        <v>20</v>
      </c>
      <c r="M6610">
        <v>20</v>
      </c>
    </row>
    <row r="6611" spans="1:13" x14ac:dyDescent="0.25">
      <c r="A6611" t="s">
        <v>14611</v>
      </c>
      <c r="B6611" t="s">
        <v>14612</v>
      </c>
      <c r="C6611" t="s">
        <v>20</v>
      </c>
      <c r="D6611" t="s">
        <v>26</v>
      </c>
      <c r="F6611">
        <v>1</v>
      </c>
      <c r="G6611" t="s">
        <v>16</v>
      </c>
      <c r="H6611">
        <v>0</v>
      </c>
      <c r="I6611" s="2" t="s">
        <v>209</v>
      </c>
      <c r="J6611" s="2" t="str">
        <f>"040801-V"</f>
        <v>040801-V</v>
      </c>
      <c r="K6611">
        <v>20</v>
      </c>
      <c r="L6611">
        <v>20</v>
      </c>
      <c r="M6611">
        <v>20</v>
      </c>
    </row>
    <row r="6612" spans="1:13" x14ac:dyDescent="0.25">
      <c r="A6612" t="s">
        <v>14613</v>
      </c>
      <c r="B6612" t="s">
        <v>14614</v>
      </c>
      <c r="C6612" t="s">
        <v>20</v>
      </c>
      <c r="D6612" t="s">
        <v>26</v>
      </c>
      <c r="G6612" t="s">
        <v>16</v>
      </c>
      <c r="H6612">
        <v>0</v>
      </c>
      <c r="I6612" s="2" t="s">
        <v>209</v>
      </c>
      <c r="J6612" s="2" t="str">
        <f>"040800-V"</f>
        <v>040800-V</v>
      </c>
      <c r="K6612">
        <v>20</v>
      </c>
      <c r="L6612">
        <v>20</v>
      </c>
      <c r="M6612">
        <v>20</v>
      </c>
    </row>
    <row r="6613" spans="1:13" x14ac:dyDescent="0.25">
      <c r="A6613" t="s">
        <v>14615</v>
      </c>
      <c r="B6613" t="s">
        <v>14616</v>
      </c>
      <c r="C6613" t="s">
        <v>20</v>
      </c>
      <c r="D6613" t="s">
        <v>26</v>
      </c>
      <c r="G6613" t="s">
        <v>16</v>
      </c>
      <c r="H6613">
        <v>0</v>
      </c>
      <c r="I6613" s="2" t="s">
        <v>73</v>
      </c>
      <c r="J6613" s="2">
        <v>82031720</v>
      </c>
      <c r="K6613">
        <v>20</v>
      </c>
      <c r="L6613">
        <v>20</v>
      </c>
      <c r="M6613">
        <v>20</v>
      </c>
    </row>
    <row r="6614" spans="1:13" x14ac:dyDescent="0.25">
      <c r="A6614" t="s">
        <v>14617</v>
      </c>
      <c r="B6614" t="s">
        <v>14618</v>
      </c>
      <c r="C6614" t="s">
        <v>20</v>
      </c>
      <c r="D6614" t="s">
        <v>26</v>
      </c>
      <c r="F6614">
        <v>1</v>
      </c>
      <c r="G6614" t="s">
        <v>16</v>
      </c>
      <c r="H6614">
        <v>0</v>
      </c>
      <c r="I6614" s="2" t="s">
        <v>99</v>
      </c>
      <c r="J6614" s="2" t="str">
        <f>"056.900"</f>
        <v>056.900</v>
      </c>
      <c r="K6614">
        <v>20</v>
      </c>
      <c r="L6614">
        <v>20</v>
      </c>
      <c r="M6614">
        <v>20</v>
      </c>
    </row>
    <row r="6615" spans="1:13" x14ac:dyDescent="0.25">
      <c r="A6615" t="s">
        <v>14619</v>
      </c>
      <c r="B6615" t="s">
        <v>14616</v>
      </c>
      <c r="C6615" t="s">
        <v>20</v>
      </c>
      <c r="D6615" t="s">
        <v>26</v>
      </c>
      <c r="F6615">
        <v>4</v>
      </c>
      <c r="G6615" t="s">
        <v>16</v>
      </c>
      <c r="H6615">
        <v>0</v>
      </c>
      <c r="I6615" s="2" t="s">
        <v>209</v>
      </c>
      <c r="J6615" s="2" t="str">
        <f>"041303-V"</f>
        <v>041303-V</v>
      </c>
      <c r="K6615">
        <v>20</v>
      </c>
      <c r="L6615">
        <v>20</v>
      </c>
      <c r="M6615">
        <v>20</v>
      </c>
    </row>
    <row r="6616" spans="1:13" x14ac:dyDescent="0.25">
      <c r="A6616" t="s">
        <v>14620</v>
      </c>
      <c r="B6616" t="s">
        <v>14616</v>
      </c>
      <c r="C6616" t="s">
        <v>20</v>
      </c>
      <c r="D6616" t="s">
        <v>26</v>
      </c>
      <c r="F6616">
        <v>1</v>
      </c>
      <c r="G6616" t="s">
        <v>16</v>
      </c>
      <c r="H6616">
        <v>0</v>
      </c>
      <c r="I6616" s="2" t="s">
        <v>80</v>
      </c>
      <c r="J6616" s="2" t="s">
        <v>14621</v>
      </c>
      <c r="K6616">
        <v>20</v>
      </c>
      <c r="L6616">
        <v>20</v>
      </c>
      <c r="M6616">
        <v>20</v>
      </c>
    </row>
    <row r="6617" spans="1:13" x14ac:dyDescent="0.25">
      <c r="A6617" t="s">
        <v>14622</v>
      </c>
      <c r="B6617" t="s">
        <v>14623</v>
      </c>
      <c r="C6617" t="s">
        <v>241</v>
      </c>
      <c r="D6617" t="s">
        <v>2216</v>
      </c>
      <c r="F6617">
        <v>1</v>
      </c>
      <c r="G6617" t="s">
        <v>16</v>
      </c>
      <c r="H6617">
        <v>0</v>
      </c>
      <c r="I6617" s="2" t="s">
        <v>245</v>
      </c>
      <c r="J6617" s="2" t="s">
        <v>14624</v>
      </c>
      <c r="K6617">
        <v>20</v>
      </c>
      <c r="L6617">
        <v>20</v>
      </c>
      <c r="M6617">
        <v>20</v>
      </c>
    </row>
    <row r="6618" spans="1:13" x14ac:dyDescent="0.25">
      <c r="A6618" t="s">
        <v>14625</v>
      </c>
      <c r="B6618" t="s">
        <v>14626</v>
      </c>
      <c r="C6618" t="s">
        <v>241</v>
      </c>
      <c r="D6618" t="s">
        <v>2216</v>
      </c>
      <c r="F6618">
        <v>1</v>
      </c>
      <c r="G6618" t="s">
        <v>16</v>
      </c>
      <c r="H6618">
        <v>0</v>
      </c>
      <c r="I6618" s="2" t="s">
        <v>245</v>
      </c>
      <c r="J6618" s="2" t="s">
        <v>14627</v>
      </c>
      <c r="K6618">
        <v>20</v>
      </c>
      <c r="L6618">
        <v>20</v>
      </c>
      <c r="M6618">
        <v>20</v>
      </c>
    </row>
    <row r="6619" spans="1:13" x14ac:dyDescent="0.25">
      <c r="A6619" t="s">
        <v>14628</v>
      </c>
      <c r="B6619" t="s">
        <v>14629</v>
      </c>
      <c r="C6619" t="s">
        <v>357</v>
      </c>
      <c r="D6619" t="s">
        <v>241</v>
      </c>
      <c r="F6619">
        <v>1</v>
      </c>
      <c r="G6619" t="s">
        <v>16</v>
      </c>
      <c r="H6619">
        <v>0</v>
      </c>
      <c r="I6619" s="2" t="s">
        <v>245</v>
      </c>
      <c r="J6619" s="2" t="s">
        <v>14630</v>
      </c>
      <c r="K6619">
        <v>20</v>
      </c>
      <c r="L6619">
        <v>20</v>
      </c>
      <c r="M6619">
        <v>20</v>
      </c>
    </row>
    <row r="6620" spans="1:13" x14ac:dyDescent="0.25">
      <c r="A6620" t="s">
        <v>14631</v>
      </c>
      <c r="B6620" t="s">
        <v>14632</v>
      </c>
      <c r="C6620" t="s">
        <v>357</v>
      </c>
      <c r="D6620" t="s">
        <v>241</v>
      </c>
      <c r="F6620">
        <v>1</v>
      </c>
      <c r="G6620" t="s">
        <v>16</v>
      </c>
      <c r="H6620">
        <v>0</v>
      </c>
      <c r="I6620" s="2" t="s">
        <v>737</v>
      </c>
      <c r="J6620" s="2" t="s">
        <v>14633</v>
      </c>
      <c r="K6620">
        <v>20</v>
      </c>
      <c r="L6620">
        <v>20</v>
      </c>
      <c r="M6620">
        <v>20</v>
      </c>
    </row>
    <row r="6621" spans="1:13" x14ac:dyDescent="0.25">
      <c r="A6621" t="s">
        <v>14634</v>
      </c>
      <c r="B6621" t="s">
        <v>14635</v>
      </c>
      <c r="C6621" t="s">
        <v>241</v>
      </c>
      <c r="D6621" t="s">
        <v>2216</v>
      </c>
      <c r="F6621">
        <v>1</v>
      </c>
      <c r="G6621" t="s">
        <v>16</v>
      </c>
      <c r="H6621">
        <v>0</v>
      </c>
      <c r="I6621" s="2" t="s">
        <v>737</v>
      </c>
      <c r="J6621" s="2" t="s">
        <v>14636</v>
      </c>
      <c r="K6621">
        <v>20</v>
      </c>
      <c r="L6621">
        <v>20</v>
      </c>
      <c r="M6621">
        <v>20</v>
      </c>
    </row>
    <row r="6622" spans="1:13" x14ac:dyDescent="0.25">
      <c r="A6622" t="s">
        <v>14637</v>
      </c>
      <c r="B6622" t="s">
        <v>14638</v>
      </c>
      <c r="C6622" t="s">
        <v>357</v>
      </c>
      <c r="D6622" t="s">
        <v>241</v>
      </c>
      <c r="G6622" t="s">
        <v>16</v>
      </c>
      <c r="H6622">
        <v>0</v>
      </c>
      <c r="I6622" s="2" t="s">
        <v>2932</v>
      </c>
      <c r="J6622" s="2" t="s">
        <v>14639</v>
      </c>
      <c r="K6622">
        <v>20</v>
      </c>
      <c r="L6622">
        <v>20</v>
      </c>
      <c r="M6622">
        <v>20</v>
      </c>
    </row>
    <row r="6623" spans="1:13" x14ac:dyDescent="0.25">
      <c r="A6623" t="s">
        <v>14640</v>
      </c>
      <c r="B6623" t="s">
        <v>14638</v>
      </c>
      <c r="C6623" t="s">
        <v>357</v>
      </c>
      <c r="D6623" t="s">
        <v>241</v>
      </c>
      <c r="F6623">
        <v>1</v>
      </c>
      <c r="G6623" t="s">
        <v>16</v>
      </c>
      <c r="H6623">
        <v>0</v>
      </c>
      <c r="I6623" s="2" t="s">
        <v>737</v>
      </c>
      <c r="J6623" s="2" t="s">
        <v>14641</v>
      </c>
      <c r="K6623">
        <v>20</v>
      </c>
      <c r="L6623">
        <v>20</v>
      </c>
      <c r="M6623">
        <v>20</v>
      </c>
    </row>
    <row r="6624" spans="1:13" x14ac:dyDescent="0.25">
      <c r="A6624" t="s">
        <v>14642</v>
      </c>
      <c r="B6624" t="s">
        <v>14643</v>
      </c>
      <c r="C6624" t="s">
        <v>357</v>
      </c>
      <c r="D6624" t="s">
        <v>241</v>
      </c>
      <c r="G6624" t="s">
        <v>16</v>
      </c>
      <c r="H6624">
        <v>0</v>
      </c>
      <c r="I6624" s="2" t="s">
        <v>64</v>
      </c>
      <c r="J6624" s="2">
        <v>10030342</v>
      </c>
      <c r="K6624">
        <v>20</v>
      </c>
      <c r="L6624">
        <v>20</v>
      </c>
      <c r="M6624">
        <v>20</v>
      </c>
    </row>
    <row r="6625" spans="1:13" x14ac:dyDescent="0.25">
      <c r="A6625" t="s">
        <v>14644</v>
      </c>
      <c r="B6625" t="s">
        <v>14643</v>
      </c>
      <c r="C6625" t="s">
        <v>357</v>
      </c>
      <c r="D6625" t="s">
        <v>241</v>
      </c>
      <c r="F6625">
        <v>1</v>
      </c>
      <c r="G6625" t="s">
        <v>16</v>
      </c>
      <c r="H6625">
        <v>0</v>
      </c>
      <c r="I6625" s="2" t="s">
        <v>245</v>
      </c>
      <c r="J6625" s="2" t="s">
        <v>14645</v>
      </c>
      <c r="K6625">
        <v>20</v>
      </c>
      <c r="L6625">
        <v>20</v>
      </c>
      <c r="M6625">
        <v>20</v>
      </c>
    </row>
    <row r="6626" spans="1:13" x14ac:dyDescent="0.25">
      <c r="A6626" t="s">
        <v>14646</v>
      </c>
      <c r="B6626" t="s">
        <v>14647</v>
      </c>
      <c r="C6626" t="s">
        <v>357</v>
      </c>
      <c r="D6626" t="s">
        <v>241</v>
      </c>
      <c r="G6626" t="s">
        <v>16</v>
      </c>
      <c r="H6626">
        <v>0</v>
      </c>
      <c r="I6626" s="2" t="s">
        <v>64</v>
      </c>
      <c r="J6626" s="2">
        <v>10031101</v>
      </c>
      <c r="K6626">
        <v>20</v>
      </c>
      <c r="L6626">
        <v>20</v>
      </c>
      <c r="M6626">
        <v>20</v>
      </c>
    </row>
    <row r="6627" spans="1:13" x14ac:dyDescent="0.25">
      <c r="A6627" t="s">
        <v>14648</v>
      </c>
      <c r="B6627" t="s">
        <v>14649</v>
      </c>
      <c r="C6627" t="s">
        <v>357</v>
      </c>
      <c r="D6627" t="s">
        <v>241</v>
      </c>
      <c r="F6627">
        <v>1</v>
      </c>
      <c r="G6627" t="s">
        <v>16</v>
      </c>
      <c r="H6627">
        <v>0</v>
      </c>
      <c r="I6627" s="2" t="s">
        <v>245</v>
      </c>
      <c r="J6627" s="2" t="s">
        <v>14650</v>
      </c>
      <c r="K6627">
        <v>20</v>
      </c>
      <c r="L6627">
        <v>20</v>
      </c>
      <c r="M6627">
        <v>20</v>
      </c>
    </row>
    <row r="6628" spans="1:13" x14ac:dyDescent="0.25">
      <c r="A6628" t="s">
        <v>14651</v>
      </c>
      <c r="B6628" t="s">
        <v>14652</v>
      </c>
      <c r="C6628" t="s">
        <v>241</v>
      </c>
      <c r="D6628" t="s">
        <v>2216</v>
      </c>
      <c r="F6628">
        <v>2</v>
      </c>
      <c r="G6628" t="s">
        <v>16</v>
      </c>
      <c r="H6628">
        <v>0</v>
      </c>
      <c r="I6628" s="2" t="s">
        <v>245</v>
      </c>
      <c r="J6628" s="2" t="s">
        <v>14653</v>
      </c>
      <c r="K6628">
        <v>20</v>
      </c>
      <c r="L6628">
        <v>20</v>
      </c>
      <c r="M6628">
        <v>20</v>
      </c>
    </row>
    <row r="6629" spans="1:13" x14ac:dyDescent="0.25">
      <c r="A6629" t="s">
        <v>14654</v>
      </c>
      <c r="B6629" t="s">
        <v>14655</v>
      </c>
      <c r="C6629" t="s">
        <v>357</v>
      </c>
      <c r="D6629" t="s">
        <v>358</v>
      </c>
      <c r="F6629">
        <v>1</v>
      </c>
      <c r="G6629" t="s">
        <v>16</v>
      </c>
      <c r="H6629">
        <v>0</v>
      </c>
      <c r="I6629" s="2" t="s">
        <v>108</v>
      </c>
      <c r="J6629" s="3">
        <v>2541416003</v>
      </c>
      <c r="K6629">
        <v>20</v>
      </c>
      <c r="L6629">
        <v>20</v>
      </c>
      <c r="M6629">
        <v>20</v>
      </c>
    </row>
    <row r="6630" spans="1:13" x14ac:dyDescent="0.25">
      <c r="A6630" t="s">
        <v>14656</v>
      </c>
      <c r="B6630" t="s">
        <v>14657</v>
      </c>
      <c r="C6630" t="s">
        <v>241</v>
      </c>
      <c r="D6630" t="s">
        <v>2216</v>
      </c>
      <c r="G6630" t="s">
        <v>16</v>
      </c>
      <c r="H6630">
        <v>0</v>
      </c>
      <c r="I6630" s="2" t="s">
        <v>243</v>
      </c>
      <c r="J6630" s="2">
        <v>17590</v>
      </c>
      <c r="K6630">
        <v>20</v>
      </c>
      <c r="L6630">
        <v>20</v>
      </c>
      <c r="M6630">
        <v>20</v>
      </c>
    </row>
    <row r="6631" spans="1:13" x14ac:dyDescent="0.25">
      <c r="A6631" t="s">
        <v>14658</v>
      </c>
      <c r="B6631" t="s">
        <v>14657</v>
      </c>
      <c r="C6631" t="s">
        <v>241</v>
      </c>
      <c r="D6631" t="s">
        <v>2216</v>
      </c>
      <c r="G6631" t="s">
        <v>16</v>
      </c>
      <c r="H6631">
        <v>0</v>
      </c>
      <c r="I6631" s="2" t="s">
        <v>737</v>
      </c>
      <c r="J6631" s="2" t="s">
        <v>14659</v>
      </c>
      <c r="K6631">
        <v>20</v>
      </c>
      <c r="L6631">
        <v>20</v>
      </c>
      <c r="M6631">
        <v>20</v>
      </c>
    </row>
    <row r="6632" spans="1:13" x14ac:dyDescent="0.25">
      <c r="A6632" t="s">
        <v>14660</v>
      </c>
      <c r="B6632" t="s">
        <v>14661</v>
      </c>
      <c r="C6632" t="s">
        <v>357</v>
      </c>
      <c r="D6632" t="s">
        <v>241</v>
      </c>
      <c r="G6632" t="s">
        <v>16</v>
      </c>
      <c r="H6632">
        <v>0</v>
      </c>
      <c r="I6632" s="2" t="s">
        <v>6156</v>
      </c>
      <c r="J6632" s="3">
        <v>2551707001</v>
      </c>
      <c r="K6632">
        <v>20</v>
      </c>
      <c r="L6632">
        <v>20</v>
      </c>
      <c r="M6632">
        <v>20</v>
      </c>
    </row>
    <row r="6633" spans="1:13" x14ac:dyDescent="0.25">
      <c r="A6633" t="s">
        <v>14662</v>
      </c>
      <c r="B6633" t="s">
        <v>14663</v>
      </c>
      <c r="C6633" t="s">
        <v>20</v>
      </c>
      <c r="D6633" t="s">
        <v>26</v>
      </c>
      <c r="F6633">
        <v>5</v>
      </c>
      <c r="G6633" t="s">
        <v>16</v>
      </c>
      <c r="H6633">
        <v>0</v>
      </c>
      <c r="I6633" s="2" t="s">
        <v>73</v>
      </c>
      <c r="J6633" s="2">
        <v>82013858</v>
      </c>
      <c r="K6633">
        <v>20</v>
      </c>
      <c r="L6633">
        <v>20</v>
      </c>
      <c r="M6633">
        <v>20</v>
      </c>
    </row>
    <row r="6634" spans="1:13" x14ac:dyDescent="0.25">
      <c r="A6634" t="s">
        <v>14664</v>
      </c>
      <c r="B6634" t="s">
        <v>14663</v>
      </c>
      <c r="C6634" t="s">
        <v>20</v>
      </c>
      <c r="D6634" t="s">
        <v>26</v>
      </c>
      <c r="F6634">
        <v>3</v>
      </c>
      <c r="G6634" t="s">
        <v>16</v>
      </c>
      <c r="H6634">
        <v>0</v>
      </c>
      <c r="I6634" s="2" t="s">
        <v>57</v>
      </c>
      <c r="J6634" s="2" t="str">
        <f>"040812-V"</f>
        <v>040812-V</v>
      </c>
      <c r="K6634">
        <v>20</v>
      </c>
      <c r="L6634">
        <v>20</v>
      </c>
      <c r="M6634">
        <v>20</v>
      </c>
    </row>
    <row r="6635" spans="1:13" x14ac:dyDescent="0.25">
      <c r="A6635" t="s">
        <v>14665</v>
      </c>
      <c r="B6635" t="s">
        <v>14666</v>
      </c>
      <c r="C6635" t="s">
        <v>20</v>
      </c>
      <c r="D6635" t="s">
        <v>26</v>
      </c>
      <c r="F6635">
        <v>1</v>
      </c>
      <c r="G6635" t="s">
        <v>16</v>
      </c>
      <c r="H6635">
        <v>0</v>
      </c>
      <c r="I6635" s="2" t="s">
        <v>99</v>
      </c>
      <c r="J6635" s="2" t="str">
        <f>"051.930"</f>
        <v>051.930</v>
      </c>
      <c r="K6635">
        <v>20</v>
      </c>
      <c r="L6635">
        <v>20</v>
      </c>
      <c r="M6635">
        <v>20</v>
      </c>
    </row>
    <row r="6636" spans="1:13" x14ac:dyDescent="0.25">
      <c r="A6636" t="s">
        <v>14667</v>
      </c>
      <c r="B6636" t="s">
        <v>14669</v>
      </c>
      <c r="C6636" t="s">
        <v>20</v>
      </c>
      <c r="D6636" t="s">
        <v>26</v>
      </c>
      <c r="F6636">
        <v>-1</v>
      </c>
      <c r="G6636" t="s">
        <v>16</v>
      </c>
      <c r="H6636">
        <v>0</v>
      </c>
      <c r="I6636" s="2" t="s">
        <v>288</v>
      </c>
      <c r="J6636" s="2" t="s">
        <v>14668</v>
      </c>
      <c r="K6636">
        <v>20</v>
      </c>
      <c r="L6636">
        <v>20</v>
      </c>
      <c r="M6636">
        <v>20</v>
      </c>
    </row>
    <row r="6637" spans="1:13" x14ac:dyDescent="0.25">
      <c r="A6637" t="s">
        <v>14670</v>
      </c>
      <c r="B6637" t="s">
        <v>14671</v>
      </c>
      <c r="C6637" t="s">
        <v>20</v>
      </c>
      <c r="D6637" t="s">
        <v>26</v>
      </c>
      <c r="F6637">
        <v>3</v>
      </c>
      <c r="G6637" t="s">
        <v>16</v>
      </c>
      <c r="H6637">
        <v>0</v>
      </c>
      <c r="K6637">
        <v>20</v>
      </c>
      <c r="L6637">
        <v>20</v>
      </c>
      <c r="M6637">
        <v>20</v>
      </c>
    </row>
    <row r="6638" spans="1:13" x14ac:dyDescent="0.25">
      <c r="A6638" t="s">
        <v>14672</v>
      </c>
      <c r="B6638" t="s">
        <v>14673</v>
      </c>
      <c r="C6638" t="s">
        <v>20</v>
      </c>
      <c r="D6638" t="s">
        <v>26</v>
      </c>
      <c r="F6638">
        <v>1</v>
      </c>
      <c r="G6638" t="s">
        <v>16</v>
      </c>
      <c r="H6638">
        <v>0</v>
      </c>
      <c r="I6638" s="2" t="s">
        <v>57</v>
      </c>
      <c r="J6638" s="2" t="str">
        <f>"046122-V"</f>
        <v>046122-V</v>
      </c>
      <c r="K6638">
        <v>20</v>
      </c>
      <c r="L6638">
        <v>20</v>
      </c>
      <c r="M6638">
        <v>20</v>
      </c>
    </row>
    <row r="6639" spans="1:13" x14ac:dyDescent="0.25">
      <c r="A6639" t="s">
        <v>14674</v>
      </c>
      <c r="B6639" t="s">
        <v>14675</v>
      </c>
      <c r="C6639" t="s">
        <v>14</v>
      </c>
      <c r="D6639" t="s">
        <v>15</v>
      </c>
      <c r="F6639">
        <v>3</v>
      </c>
      <c r="G6639" t="s">
        <v>16</v>
      </c>
      <c r="H6639">
        <v>0</v>
      </c>
      <c r="K6639">
        <v>20</v>
      </c>
      <c r="L6639">
        <v>20</v>
      </c>
      <c r="M6639">
        <v>20</v>
      </c>
    </row>
    <row r="6640" spans="1:13" x14ac:dyDescent="0.25">
      <c r="A6640" t="s">
        <v>14676</v>
      </c>
      <c r="B6640" t="s">
        <v>14677</v>
      </c>
      <c r="C6640" t="s">
        <v>14</v>
      </c>
      <c r="D6640" t="s">
        <v>15</v>
      </c>
      <c r="F6640">
        <v>10</v>
      </c>
      <c r="G6640" t="s">
        <v>16</v>
      </c>
      <c r="H6640">
        <v>0</v>
      </c>
      <c r="I6640" s="2" t="s">
        <v>6939</v>
      </c>
      <c r="J6640" s="2" t="s">
        <v>14678</v>
      </c>
      <c r="K6640">
        <v>20</v>
      </c>
      <c r="L6640">
        <v>20</v>
      </c>
      <c r="M6640">
        <v>20</v>
      </c>
    </row>
    <row r="6641" spans="1:13" x14ac:dyDescent="0.25">
      <c r="A6641" t="s">
        <v>14679</v>
      </c>
      <c r="B6641" t="s">
        <v>14680</v>
      </c>
      <c r="C6641" t="s">
        <v>14</v>
      </c>
      <c r="D6641" t="s">
        <v>15</v>
      </c>
      <c r="F6641">
        <v>10</v>
      </c>
      <c r="G6641" t="s">
        <v>16</v>
      </c>
      <c r="H6641">
        <v>0</v>
      </c>
      <c r="K6641">
        <v>20</v>
      </c>
      <c r="L6641">
        <v>20</v>
      </c>
      <c r="M6641">
        <v>20</v>
      </c>
    </row>
    <row r="6642" spans="1:13" x14ac:dyDescent="0.25">
      <c r="A6642" t="s">
        <v>14681</v>
      </c>
      <c r="B6642" t="s">
        <v>14682</v>
      </c>
      <c r="C6642" t="s">
        <v>14</v>
      </c>
      <c r="D6642" t="s">
        <v>15</v>
      </c>
      <c r="F6642">
        <v>10</v>
      </c>
      <c r="G6642" t="s">
        <v>16</v>
      </c>
      <c r="H6642">
        <v>0</v>
      </c>
      <c r="K6642">
        <v>20</v>
      </c>
      <c r="L6642">
        <v>20</v>
      </c>
      <c r="M6642">
        <v>20</v>
      </c>
    </row>
    <row r="6643" spans="1:13" x14ac:dyDescent="0.25">
      <c r="A6643" t="s">
        <v>14683</v>
      </c>
      <c r="B6643" t="s">
        <v>14684</v>
      </c>
      <c r="C6643" t="s">
        <v>14</v>
      </c>
      <c r="D6643" t="s">
        <v>15</v>
      </c>
      <c r="F6643">
        <v>1</v>
      </c>
      <c r="G6643" t="s">
        <v>16</v>
      </c>
      <c r="H6643">
        <v>0</v>
      </c>
      <c r="I6643" s="2" t="s">
        <v>17</v>
      </c>
      <c r="J6643" s="2" t="s">
        <v>14685</v>
      </c>
      <c r="K6643">
        <v>20</v>
      </c>
      <c r="L6643">
        <v>20</v>
      </c>
      <c r="M6643">
        <v>20</v>
      </c>
    </row>
    <row r="6644" spans="1:13" x14ac:dyDescent="0.25">
      <c r="A6644" t="s">
        <v>14686</v>
      </c>
      <c r="B6644" t="s">
        <v>14687</v>
      </c>
      <c r="C6644" t="s">
        <v>14</v>
      </c>
      <c r="D6644" t="s">
        <v>15</v>
      </c>
      <c r="F6644">
        <v>5</v>
      </c>
      <c r="G6644" t="s">
        <v>16</v>
      </c>
      <c r="H6644">
        <v>0</v>
      </c>
      <c r="K6644">
        <v>20</v>
      </c>
      <c r="L6644">
        <v>20</v>
      </c>
      <c r="M6644">
        <v>20</v>
      </c>
    </row>
    <row r="6645" spans="1:13" x14ac:dyDescent="0.25">
      <c r="A6645" t="s">
        <v>14688</v>
      </c>
      <c r="B6645" t="s">
        <v>14689</v>
      </c>
      <c r="C6645" t="s">
        <v>14</v>
      </c>
      <c r="D6645" t="s">
        <v>15</v>
      </c>
      <c r="F6645">
        <v>15</v>
      </c>
      <c r="G6645" t="s">
        <v>16</v>
      </c>
      <c r="H6645">
        <v>0</v>
      </c>
      <c r="K6645">
        <v>20</v>
      </c>
      <c r="L6645">
        <v>20</v>
      </c>
      <c r="M6645">
        <v>20</v>
      </c>
    </row>
    <row r="6646" spans="1:13" x14ac:dyDescent="0.25">
      <c r="A6646" t="s">
        <v>14690</v>
      </c>
      <c r="B6646" t="s">
        <v>14691</v>
      </c>
      <c r="C6646" t="s">
        <v>151</v>
      </c>
      <c r="F6646">
        <v>1</v>
      </c>
      <c r="G6646" t="s">
        <v>16</v>
      </c>
      <c r="H6646">
        <v>0</v>
      </c>
      <c r="I6646" s="2" t="s">
        <v>64</v>
      </c>
      <c r="J6646" s="2" t="str">
        <f>"04050129"</f>
        <v>04050129</v>
      </c>
      <c r="K6646">
        <v>20</v>
      </c>
      <c r="L6646">
        <v>20</v>
      </c>
      <c r="M6646">
        <v>20</v>
      </c>
    </row>
    <row r="6647" spans="1:13" x14ac:dyDescent="0.25">
      <c r="A6647" t="s">
        <v>14692</v>
      </c>
      <c r="B6647" t="s">
        <v>14693</v>
      </c>
      <c r="C6647" t="s">
        <v>151</v>
      </c>
      <c r="F6647">
        <v>1</v>
      </c>
      <c r="G6647" t="s">
        <v>16</v>
      </c>
      <c r="H6647">
        <v>0</v>
      </c>
      <c r="I6647" s="2" t="s">
        <v>64</v>
      </c>
      <c r="J6647" s="2" t="str">
        <f>"04050128"</f>
        <v>04050128</v>
      </c>
      <c r="K6647">
        <v>20</v>
      </c>
      <c r="L6647">
        <v>20</v>
      </c>
      <c r="M6647">
        <v>20</v>
      </c>
    </row>
    <row r="6648" spans="1:13" x14ac:dyDescent="0.25">
      <c r="A6648" t="s">
        <v>14694</v>
      </c>
      <c r="B6648" t="s">
        <v>14695</v>
      </c>
      <c r="C6648" t="s">
        <v>151</v>
      </c>
      <c r="F6648">
        <v>1</v>
      </c>
      <c r="G6648" t="s">
        <v>16</v>
      </c>
      <c r="H6648">
        <v>0</v>
      </c>
      <c r="I6648" s="2" t="s">
        <v>14696</v>
      </c>
      <c r="J6648" s="2" t="s">
        <v>14697</v>
      </c>
      <c r="K6648">
        <v>20</v>
      </c>
      <c r="L6648">
        <v>20</v>
      </c>
      <c r="M6648">
        <v>20</v>
      </c>
    </row>
    <row r="6649" spans="1:13" x14ac:dyDescent="0.25">
      <c r="A6649" t="s">
        <v>14698</v>
      </c>
      <c r="B6649" t="s">
        <v>14699</v>
      </c>
      <c r="C6649" t="s">
        <v>14</v>
      </c>
      <c r="D6649" t="s">
        <v>293</v>
      </c>
      <c r="G6649" t="s">
        <v>16</v>
      </c>
      <c r="H6649">
        <v>0</v>
      </c>
      <c r="I6649" s="2" t="s">
        <v>14700</v>
      </c>
      <c r="J6649" s="2" t="s">
        <v>14701</v>
      </c>
      <c r="K6649">
        <v>20</v>
      </c>
      <c r="L6649">
        <v>20</v>
      </c>
      <c r="M6649">
        <v>20</v>
      </c>
    </row>
    <row r="6650" spans="1:13" x14ac:dyDescent="0.25">
      <c r="A6650" t="s">
        <v>14702</v>
      </c>
      <c r="B6650" t="s">
        <v>14703</v>
      </c>
      <c r="C6650" t="s">
        <v>151</v>
      </c>
      <c r="F6650">
        <v>1</v>
      </c>
      <c r="G6650" t="s">
        <v>16</v>
      </c>
      <c r="H6650">
        <v>0</v>
      </c>
      <c r="I6650" s="2" t="s">
        <v>51</v>
      </c>
      <c r="J6650" s="2" t="s">
        <v>14702</v>
      </c>
      <c r="K6650">
        <v>20</v>
      </c>
      <c r="L6650">
        <v>20</v>
      </c>
      <c r="M6650">
        <v>20</v>
      </c>
    </row>
    <row r="6651" spans="1:13" x14ac:dyDescent="0.25">
      <c r="A6651" t="s">
        <v>14704</v>
      </c>
      <c r="B6651" t="s">
        <v>14705</v>
      </c>
      <c r="C6651" t="s">
        <v>151</v>
      </c>
      <c r="F6651">
        <v>1</v>
      </c>
      <c r="G6651" t="s">
        <v>16</v>
      </c>
      <c r="H6651">
        <v>0</v>
      </c>
      <c r="I6651" s="2" t="s">
        <v>51</v>
      </c>
      <c r="J6651" s="2" t="s">
        <v>14704</v>
      </c>
      <c r="K6651">
        <v>20</v>
      </c>
      <c r="L6651">
        <v>20</v>
      </c>
      <c r="M6651">
        <v>20</v>
      </c>
    </row>
    <row r="6652" spans="1:13" x14ac:dyDescent="0.25">
      <c r="A6652" t="s">
        <v>14706</v>
      </c>
      <c r="B6652" t="s">
        <v>14707</v>
      </c>
      <c r="C6652" t="s">
        <v>20</v>
      </c>
      <c r="D6652" t="s">
        <v>26</v>
      </c>
      <c r="F6652">
        <v>1</v>
      </c>
      <c r="G6652" t="s">
        <v>16</v>
      </c>
      <c r="H6652">
        <v>0</v>
      </c>
      <c r="I6652" s="2" t="s">
        <v>759</v>
      </c>
      <c r="J6652" s="2">
        <v>650010</v>
      </c>
      <c r="K6652">
        <v>20</v>
      </c>
      <c r="L6652">
        <v>20</v>
      </c>
      <c r="M6652">
        <v>20</v>
      </c>
    </row>
    <row r="6653" spans="1:13" x14ac:dyDescent="0.25">
      <c r="A6653" t="s">
        <v>14708</v>
      </c>
      <c r="B6653" t="s">
        <v>14709</v>
      </c>
      <c r="C6653" t="s">
        <v>20</v>
      </c>
      <c r="D6653" t="s">
        <v>26</v>
      </c>
      <c r="G6653" t="s">
        <v>16</v>
      </c>
      <c r="H6653">
        <v>0</v>
      </c>
      <c r="K6653">
        <v>20</v>
      </c>
      <c r="L6653">
        <v>20</v>
      </c>
      <c r="M6653">
        <v>20</v>
      </c>
    </row>
    <row r="6654" spans="1:13" x14ac:dyDescent="0.25">
      <c r="A6654" t="s">
        <v>14710</v>
      </c>
      <c r="B6654" t="s">
        <v>14711</v>
      </c>
      <c r="C6654" t="s">
        <v>20</v>
      </c>
      <c r="D6654" t="s">
        <v>597</v>
      </c>
      <c r="F6654">
        <v>2</v>
      </c>
      <c r="G6654" t="s">
        <v>16</v>
      </c>
      <c r="H6654">
        <v>0</v>
      </c>
      <c r="I6654" s="2" t="s">
        <v>765</v>
      </c>
      <c r="J6654" s="2">
        <v>180099116</v>
      </c>
      <c r="K6654">
        <v>20</v>
      </c>
      <c r="L6654">
        <v>20</v>
      </c>
      <c r="M6654">
        <v>20</v>
      </c>
    </row>
    <row r="6655" spans="1:13" x14ac:dyDescent="0.25">
      <c r="A6655" t="s">
        <v>14712</v>
      </c>
      <c r="B6655" t="s">
        <v>14709</v>
      </c>
      <c r="C6655" t="s">
        <v>20</v>
      </c>
      <c r="D6655" t="s">
        <v>26</v>
      </c>
      <c r="G6655" t="s">
        <v>16</v>
      </c>
      <c r="H6655">
        <v>0</v>
      </c>
      <c r="K6655">
        <v>20</v>
      </c>
      <c r="L6655">
        <v>20</v>
      </c>
      <c r="M6655">
        <v>20</v>
      </c>
    </row>
    <row r="6656" spans="1:13" x14ac:dyDescent="0.25">
      <c r="A6656">
        <v>6500531780</v>
      </c>
      <c r="B6656" t="s">
        <v>14713</v>
      </c>
      <c r="C6656" t="s">
        <v>151</v>
      </c>
      <c r="D6656" t="s">
        <v>1670</v>
      </c>
      <c r="F6656">
        <v>1</v>
      </c>
      <c r="G6656" t="s">
        <v>16</v>
      </c>
      <c r="H6656">
        <v>0</v>
      </c>
      <c r="I6656" s="2" t="s">
        <v>51</v>
      </c>
      <c r="J6656" s="2">
        <v>6500531780</v>
      </c>
      <c r="K6656">
        <v>20</v>
      </c>
      <c r="L6656">
        <v>20</v>
      </c>
      <c r="M6656">
        <v>20</v>
      </c>
    </row>
    <row r="6657" spans="1:13" x14ac:dyDescent="0.25">
      <c r="A6657" t="s">
        <v>14714</v>
      </c>
      <c r="B6657" t="s">
        <v>14715</v>
      </c>
      <c r="C6657" t="s">
        <v>241</v>
      </c>
      <c r="D6657" t="s">
        <v>2216</v>
      </c>
      <c r="F6657">
        <v>1</v>
      </c>
      <c r="G6657" t="s">
        <v>16</v>
      </c>
      <c r="H6657">
        <v>0</v>
      </c>
      <c r="I6657" s="2" t="s">
        <v>243</v>
      </c>
      <c r="J6657" s="2">
        <v>21184</v>
      </c>
      <c r="K6657">
        <v>20</v>
      </c>
      <c r="L6657">
        <v>20</v>
      </c>
      <c r="M6657">
        <v>20</v>
      </c>
    </row>
    <row r="6658" spans="1:13" x14ac:dyDescent="0.25">
      <c r="A6658" t="s">
        <v>14716</v>
      </c>
      <c r="B6658" t="s">
        <v>14717</v>
      </c>
      <c r="C6658" t="s">
        <v>20</v>
      </c>
      <c r="D6658" t="s">
        <v>764</v>
      </c>
      <c r="F6658">
        <v>3</v>
      </c>
      <c r="G6658" t="s">
        <v>16</v>
      </c>
      <c r="H6658">
        <v>0</v>
      </c>
      <c r="I6658" s="2" t="s">
        <v>759</v>
      </c>
      <c r="J6658" s="2" t="s">
        <v>14718</v>
      </c>
      <c r="K6658">
        <v>20</v>
      </c>
      <c r="L6658">
        <v>20</v>
      </c>
      <c r="M6658">
        <v>20</v>
      </c>
    </row>
    <row r="6659" spans="1:13" x14ac:dyDescent="0.25">
      <c r="A6659" t="s">
        <v>14719</v>
      </c>
      <c r="B6659" t="s">
        <v>14717</v>
      </c>
      <c r="C6659" t="s">
        <v>20</v>
      </c>
      <c r="D6659" t="s">
        <v>764</v>
      </c>
      <c r="G6659" t="s">
        <v>16</v>
      </c>
      <c r="H6659">
        <v>0</v>
      </c>
      <c r="I6659" s="2" t="s">
        <v>288</v>
      </c>
      <c r="J6659" s="2" t="s">
        <v>14720</v>
      </c>
      <c r="K6659">
        <v>20</v>
      </c>
      <c r="L6659">
        <v>20</v>
      </c>
      <c r="M6659">
        <v>20</v>
      </c>
    </row>
    <row r="6660" spans="1:13" x14ac:dyDescent="0.25">
      <c r="A6660" t="s">
        <v>14721</v>
      </c>
      <c r="B6660" t="s">
        <v>14717</v>
      </c>
      <c r="C6660" t="s">
        <v>20</v>
      </c>
      <c r="D6660" t="s">
        <v>764</v>
      </c>
      <c r="F6660">
        <v>1</v>
      </c>
      <c r="G6660" t="s">
        <v>16</v>
      </c>
      <c r="H6660">
        <v>0</v>
      </c>
      <c r="I6660" s="2" t="s">
        <v>248</v>
      </c>
      <c r="J6660" s="2">
        <v>19491</v>
      </c>
      <c r="K6660">
        <v>20</v>
      </c>
      <c r="L6660">
        <v>20</v>
      </c>
      <c r="M6660">
        <v>20</v>
      </c>
    </row>
    <row r="6661" spans="1:13" x14ac:dyDescent="0.25">
      <c r="A6661" t="s">
        <v>14722</v>
      </c>
      <c r="B6661" t="s">
        <v>14717</v>
      </c>
      <c r="C6661" t="s">
        <v>20</v>
      </c>
      <c r="D6661" t="s">
        <v>764</v>
      </c>
      <c r="G6661" t="s">
        <v>16</v>
      </c>
      <c r="H6661">
        <v>0</v>
      </c>
      <c r="I6661" s="2" t="s">
        <v>993</v>
      </c>
      <c r="J6661" s="2">
        <v>201298</v>
      </c>
      <c r="K6661">
        <v>20</v>
      </c>
      <c r="L6661">
        <v>20</v>
      </c>
      <c r="M6661">
        <v>20</v>
      </c>
    </row>
    <row r="6662" spans="1:13" x14ac:dyDescent="0.25">
      <c r="A6662" t="s">
        <v>14723</v>
      </c>
      <c r="B6662" t="s">
        <v>14724</v>
      </c>
      <c r="C6662" t="s">
        <v>20</v>
      </c>
      <c r="F6662">
        <v>2</v>
      </c>
      <c r="G6662" t="s">
        <v>16</v>
      </c>
      <c r="H6662">
        <v>0</v>
      </c>
      <c r="I6662" s="2" t="s">
        <v>238</v>
      </c>
      <c r="J6662" s="2" t="str">
        <f>"01213"</f>
        <v>01213</v>
      </c>
      <c r="K6662">
        <v>20</v>
      </c>
      <c r="L6662">
        <v>20</v>
      </c>
      <c r="M6662">
        <v>20</v>
      </c>
    </row>
    <row r="6663" spans="1:13" x14ac:dyDescent="0.25">
      <c r="A6663" t="s">
        <v>14725</v>
      </c>
      <c r="B6663" t="s">
        <v>14726</v>
      </c>
      <c r="C6663" t="s">
        <v>20</v>
      </c>
      <c r="D6663" t="s">
        <v>764</v>
      </c>
      <c r="F6663">
        <v>2</v>
      </c>
      <c r="G6663" t="s">
        <v>16</v>
      </c>
      <c r="H6663">
        <v>0</v>
      </c>
      <c r="I6663" s="2" t="s">
        <v>759</v>
      </c>
      <c r="J6663" s="2" t="s">
        <v>14727</v>
      </c>
      <c r="K6663">
        <v>20</v>
      </c>
      <c r="L6663">
        <v>20</v>
      </c>
      <c r="M6663">
        <v>20</v>
      </c>
    </row>
    <row r="6664" spans="1:13" x14ac:dyDescent="0.25">
      <c r="A6664" t="s">
        <v>14728</v>
      </c>
      <c r="B6664" t="s">
        <v>14726</v>
      </c>
      <c r="C6664" t="s">
        <v>20</v>
      </c>
      <c r="F6664">
        <v>3</v>
      </c>
      <c r="G6664" t="s">
        <v>16</v>
      </c>
      <c r="H6664">
        <v>0</v>
      </c>
      <c r="I6664" s="2" t="s">
        <v>288</v>
      </c>
      <c r="J6664" s="2" t="s">
        <v>14729</v>
      </c>
      <c r="K6664">
        <v>20</v>
      </c>
      <c r="L6664">
        <v>20</v>
      </c>
      <c r="M6664">
        <v>20</v>
      </c>
    </row>
    <row r="6665" spans="1:13" x14ac:dyDescent="0.25">
      <c r="A6665" t="s">
        <v>14730</v>
      </c>
      <c r="B6665" t="s">
        <v>14731</v>
      </c>
      <c r="C6665" t="s">
        <v>20</v>
      </c>
      <c r="D6665" t="s">
        <v>764</v>
      </c>
      <c r="F6665">
        <v>7</v>
      </c>
      <c r="G6665" t="s">
        <v>16</v>
      </c>
      <c r="H6665">
        <v>0</v>
      </c>
      <c r="I6665" s="2" t="s">
        <v>238</v>
      </c>
      <c r="J6665" s="2">
        <v>33677</v>
      </c>
      <c r="K6665">
        <v>20</v>
      </c>
      <c r="L6665">
        <v>20</v>
      </c>
      <c r="M6665">
        <v>20</v>
      </c>
    </row>
    <row r="6666" spans="1:13" x14ac:dyDescent="0.25">
      <c r="A6666" t="s">
        <v>14732</v>
      </c>
      <c r="B6666" t="s">
        <v>14726</v>
      </c>
      <c r="C6666" t="s">
        <v>20</v>
      </c>
      <c r="G6666" t="s">
        <v>16</v>
      </c>
      <c r="H6666">
        <v>0</v>
      </c>
      <c r="I6666" s="2" t="s">
        <v>165</v>
      </c>
      <c r="J6666" s="2">
        <v>205591</v>
      </c>
      <c r="K6666">
        <v>20</v>
      </c>
      <c r="L6666">
        <v>20</v>
      </c>
      <c r="M6666">
        <v>20</v>
      </c>
    </row>
    <row r="6667" spans="1:13" x14ac:dyDescent="0.25">
      <c r="A6667" t="s">
        <v>14733</v>
      </c>
      <c r="B6667" t="s">
        <v>14735</v>
      </c>
      <c r="C6667" t="s">
        <v>14</v>
      </c>
      <c r="D6667" t="s">
        <v>293</v>
      </c>
      <c r="F6667">
        <v>1</v>
      </c>
      <c r="G6667" t="s">
        <v>16</v>
      </c>
      <c r="H6667">
        <v>0</v>
      </c>
      <c r="I6667" s="2" t="s">
        <v>17</v>
      </c>
      <c r="J6667" s="2" t="s">
        <v>14734</v>
      </c>
      <c r="K6667">
        <v>20</v>
      </c>
      <c r="L6667">
        <v>20</v>
      </c>
      <c r="M6667">
        <v>20</v>
      </c>
    </row>
    <row r="6668" spans="1:13" x14ac:dyDescent="0.25">
      <c r="A6668">
        <v>650129</v>
      </c>
      <c r="B6668" t="s">
        <v>14736</v>
      </c>
      <c r="C6668" t="s">
        <v>20</v>
      </c>
      <c r="D6668" t="s">
        <v>764</v>
      </c>
      <c r="F6668">
        <v>2</v>
      </c>
      <c r="G6668" t="s">
        <v>16</v>
      </c>
      <c r="H6668">
        <v>0</v>
      </c>
      <c r="I6668" s="2" t="s">
        <v>1444</v>
      </c>
      <c r="J6668" s="2">
        <v>55566555</v>
      </c>
      <c r="K6668">
        <v>20</v>
      </c>
      <c r="L6668">
        <v>20</v>
      </c>
      <c r="M6668">
        <v>20</v>
      </c>
    </row>
    <row r="6669" spans="1:13" x14ac:dyDescent="0.25">
      <c r="A6669" t="s">
        <v>14737</v>
      </c>
      <c r="B6669" t="s">
        <v>14739</v>
      </c>
      <c r="C6669" t="s">
        <v>20</v>
      </c>
      <c r="D6669" t="s">
        <v>597</v>
      </c>
      <c r="G6669" t="s">
        <v>16</v>
      </c>
      <c r="H6669">
        <v>0</v>
      </c>
      <c r="I6669" s="2" t="s">
        <v>288</v>
      </c>
      <c r="J6669" s="2" t="s">
        <v>14738</v>
      </c>
      <c r="K6669">
        <v>20</v>
      </c>
      <c r="L6669">
        <v>20</v>
      </c>
      <c r="M6669">
        <v>20</v>
      </c>
    </row>
    <row r="6670" spans="1:13" x14ac:dyDescent="0.25">
      <c r="A6670" t="s">
        <v>14740</v>
      </c>
      <c r="B6670" t="s">
        <v>14741</v>
      </c>
      <c r="C6670" t="s">
        <v>20</v>
      </c>
      <c r="D6670" t="s">
        <v>26</v>
      </c>
      <c r="F6670">
        <v>1</v>
      </c>
      <c r="G6670" t="s">
        <v>16</v>
      </c>
      <c r="H6670">
        <v>0</v>
      </c>
      <c r="I6670" s="2" t="s">
        <v>14742</v>
      </c>
      <c r="J6670" s="2" t="s">
        <v>14743</v>
      </c>
      <c r="K6670">
        <v>20</v>
      </c>
      <c r="L6670">
        <v>20</v>
      </c>
      <c r="M6670">
        <v>20</v>
      </c>
    </row>
    <row r="6671" spans="1:13" x14ac:dyDescent="0.25">
      <c r="A6671" t="s">
        <v>14744</v>
      </c>
      <c r="B6671" t="s">
        <v>14745</v>
      </c>
      <c r="C6671" t="s">
        <v>20</v>
      </c>
      <c r="D6671" t="s">
        <v>26</v>
      </c>
      <c r="G6671" t="s">
        <v>16</v>
      </c>
      <c r="H6671">
        <v>0</v>
      </c>
      <c r="I6671" s="2" t="s">
        <v>3528</v>
      </c>
      <c r="J6671" s="2" t="s">
        <v>14746</v>
      </c>
      <c r="K6671">
        <v>20</v>
      </c>
      <c r="L6671">
        <v>20</v>
      </c>
      <c r="M6671">
        <v>20</v>
      </c>
    </row>
    <row r="6672" spans="1:13" x14ac:dyDescent="0.25">
      <c r="A6672">
        <v>6501647280</v>
      </c>
      <c r="B6672" t="s">
        <v>14747</v>
      </c>
      <c r="C6672" t="s">
        <v>20</v>
      </c>
      <c r="D6672" t="s">
        <v>26</v>
      </c>
      <c r="F6672">
        <v>0</v>
      </c>
      <c r="G6672" t="s">
        <v>16</v>
      </c>
      <c r="H6672">
        <v>0</v>
      </c>
      <c r="I6672" s="2" t="s">
        <v>51</v>
      </c>
      <c r="J6672" s="2">
        <v>6501647280</v>
      </c>
      <c r="K6672">
        <v>20</v>
      </c>
      <c r="L6672">
        <v>20</v>
      </c>
      <c r="M6672">
        <v>20</v>
      </c>
    </row>
    <row r="6673" spans="1:13" x14ac:dyDescent="0.25">
      <c r="A6673" t="s">
        <v>14748</v>
      </c>
      <c r="B6673" t="s">
        <v>14749</v>
      </c>
      <c r="C6673" t="s">
        <v>20</v>
      </c>
      <c r="F6673">
        <v>4</v>
      </c>
      <c r="G6673" t="s">
        <v>16</v>
      </c>
      <c r="H6673">
        <v>0</v>
      </c>
      <c r="I6673" s="2" t="s">
        <v>591</v>
      </c>
      <c r="J6673" s="2">
        <v>221005</v>
      </c>
      <c r="K6673">
        <v>20</v>
      </c>
      <c r="L6673">
        <v>20</v>
      </c>
      <c r="M6673">
        <v>20</v>
      </c>
    </row>
    <row r="6674" spans="1:13" x14ac:dyDescent="0.25">
      <c r="A6674" t="s">
        <v>14750</v>
      </c>
      <c r="B6674" t="s">
        <v>14751</v>
      </c>
      <c r="C6674" t="s">
        <v>20</v>
      </c>
      <c r="D6674" t="s">
        <v>26</v>
      </c>
      <c r="F6674">
        <v>3</v>
      </c>
      <c r="G6674" t="s">
        <v>16</v>
      </c>
      <c r="H6674">
        <v>0</v>
      </c>
      <c r="I6674" s="2" t="s">
        <v>996</v>
      </c>
      <c r="J6674" s="2" t="s">
        <v>14752</v>
      </c>
      <c r="K6674">
        <v>20</v>
      </c>
      <c r="L6674">
        <v>20</v>
      </c>
      <c r="M6674">
        <v>20</v>
      </c>
    </row>
    <row r="6675" spans="1:13" x14ac:dyDescent="0.25">
      <c r="A6675" t="s">
        <v>14753</v>
      </c>
      <c r="B6675" t="s">
        <v>14754</v>
      </c>
      <c r="C6675" t="s">
        <v>20</v>
      </c>
      <c r="D6675" t="s">
        <v>26</v>
      </c>
      <c r="G6675" t="s">
        <v>16</v>
      </c>
      <c r="H6675">
        <v>0</v>
      </c>
      <c r="K6675">
        <v>20</v>
      </c>
      <c r="L6675">
        <v>20</v>
      </c>
      <c r="M6675">
        <v>20</v>
      </c>
    </row>
    <row r="6676" spans="1:13" x14ac:dyDescent="0.25">
      <c r="A6676" t="s">
        <v>14755</v>
      </c>
      <c r="B6676" t="s">
        <v>14756</v>
      </c>
      <c r="C6676" t="s">
        <v>357</v>
      </c>
      <c r="D6676" t="s">
        <v>241</v>
      </c>
      <c r="F6676">
        <v>2</v>
      </c>
      <c r="G6676" t="s">
        <v>16</v>
      </c>
      <c r="H6676">
        <v>0</v>
      </c>
      <c r="I6676" s="2" t="s">
        <v>243</v>
      </c>
      <c r="J6676" s="2">
        <v>25187</v>
      </c>
      <c r="K6676">
        <v>20</v>
      </c>
      <c r="L6676">
        <v>20</v>
      </c>
      <c r="M6676">
        <v>20</v>
      </c>
    </row>
    <row r="6677" spans="1:13" x14ac:dyDescent="0.25">
      <c r="A6677" t="s">
        <v>14757</v>
      </c>
      <c r="B6677" t="s">
        <v>14758</v>
      </c>
      <c r="C6677" t="s">
        <v>357</v>
      </c>
      <c r="D6677" t="s">
        <v>241</v>
      </c>
      <c r="F6677">
        <v>2</v>
      </c>
      <c r="G6677" t="s">
        <v>16</v>
      </c>
      <c r="H6677">
        <v>0</v>
      </c>
      <c r="I6677" s="2" t="s">
        <v>245</v>
      </c>
      <c r="J6677" s="2" t="s">
        <v>14759</v>
      </c>
      <c r="K6677">
        <v>20</v>
      </c>
      <c r="L6677">
        <v>20</v>
      </c>
      <c r="M6677">
        <v>20</v>
      </c>
    </row>
    <row r="6678" spans="1:13" x14ac:dyDescent="0.25">
      <c r="A6678" t="s">
        <v>14760</v>
      </c>
      <c r="B6678" t="s">
        <v>14758</v>
      </c>
      <c r="C6678" t="s">
        <v>357</v>
      </c>
      <c r="D6678" t="s">
        <v>241</v>
      </c>
      <c r="F6678">
        <v>2</v>
      </c>
      <c r="G6678" t="s">
        <v>16</v>
      </c>
      <c r="H6678">
        <v>0</v>
      </c>
      <c r="I6678" s="2" t="s">
        <v>1107</v>
      </c>
      <c r="J6678" s="2" t="s">
        <v>14761</v>
      </c>
      <c r="K6678">
        <v>20</v>
      </c>
      <c r="L6678">
        <v>20</v>
      </c>
      <c r="M6678">
        <v>20</v>
      </c>
    </row>
    <row r="6679" spans="1:13" x14ac:dyDescent="0.25">
      <c r="A6679" t="s">
        <v>14762</v>
      </c>
      <c r="B6679" t="s">
        <v>14763</v>
      </c>
      <c r="C6679" t="s">
        <v>20</v>
      </c>
      <c r="D6679" t="s">
        <v>597</v>
      </c>
      <c r="F6679">
        <v>1</v>
      </c>
      <c r="G6679" t="s">
        <v>16</v>
      </c>
      <c r="H6679">
        <v>0</v>
      </c>
      <c r="I6679" s="2" t="s">
        <v>1175</v>
      </c>
      <c r="J6679" s="2" t="s">
        <v>14764</v>
      </c>
      <c r="K6679">
        <v>20</v>
      </c>
      <c r="L6679">
        <v>20</v>
      </c>
      <c r="M6679">
        <v>20</v>
      </c>
    </row>
    <row r="6680" spans="1:13" x14ac:dyDescent="0.25">
      <c r="A6680" t="s">
        <v>14765</v>
      </c>
      <c r="B6680" t="s">
        <v>14766</v>
      </c>
      <c r="C6680" t="s">
        <v>20</v>
      </c>
      <c r="D6680" t="s">
        <v>597</v>
      </c>
      <c r="F6680">
        <v>1</v>
      </c>
      <c r="G6680" t="s">
        <v>16</v>
      </c>
      <c r="H6680">
        <v>0</v>
      </c>
      <c r="I6680" s="2" t="s">
        <v>765</v>
      </c>
      <c r="J6680" s="2">
        <v>180105116</v>
      </c>
      <c r="K6680">
        <v>20</v>
      </c>
      <c r="L6680">
        <v>20</v>
      </c>
      <c r="M6680">
        <v>20</v>
      </c>
    </row>
    <row r="6681" spans="1:13" x14ac:dyDescent="0.25">
      <c r="A6681" t="s">
        <v>14767</v>
      </c>
      <c r="B6681" t="s">
        <v>14768</v>
      </c>
      <c r="C6681" t="s">
        <v>20</v>
      </c>
      <c r="D6681" t="s">
        <v>26</v>
      </c>
      <c r="G6681" t="s">
        <v>16</v>
      </c>
      <c r="H6681">
        <v>0</v>
      </c>
      <c r="K6681">
        <v>20</v>
      </c>
      <c r="L6681">
        <v>20</v>
      </c>
      <c r="M6681">
        <v>20</v>
      </c>
    </row>
    <row r="6682" spans="1:13" x14ac:dyDescent="0.25">
      <c r="A6682" t="s">
        <v>14769</v>
      </c>
      <c r="B6682" t="s">
        <v>14770</v>
      </c>
      <c r="C6682" t="s">
        <v>20</v>
      </c>
      <c r="D6682" t="s">
        <v>26</v>
      </c>
      <c r="F6682">
        <v>2</v>
      </c>
      <c r="G6682" t="s">
        <v>16</v>
      </c>
      <c r="H6682">
        <v>0</v>
      </c>
      <c r="I6682" s="2" t="s">
        <v>142</v>
      </c>
      <c r="J6682" s="2">
        <v>650041</v>
      </c>
      <c r="K6682">
        <v>20</v>
      </c>
      <c r="L6682">
        <v>20</v>
      </c>
      <c r="M6682">
        <v>20</v>
      </c>
    </row>
    <row r="6683" spans="1:13" x14ac:dyDescent="0.25">
      <c r="A6683" t="s">
        <v>14771</v>
      </c>
      <c r="B6683" t="s">
        <v>14772</v>
      </c>
      <c r="C6683" t="s">
        <v>14</v>
      </c>
      <c r="D6683" t="s">
        <v>293</v>
      </c>
      <c r="F6683">
        <v>5</v>
      </c>
      <c r="G6683" t="s">
        <v>16</v>
      </c>
      <c r="H6683">
        <v>0</v>
      </c>
      <c r="I6683" s="2" t="s">
        <v>685</v>
      </c>
      <c r="J6683" s="2" t="s">
        <v>14773</v>
      </c>
      <c r="K6683">
        <v>20</v>
      </c>
      <c r="L6683">
        <v>20</v>
      </c>
      <c r="M6683">
        <v>20</v>
      </c>
    </row>
    <row r="6684" spans="1:13" x14ac:dyDescent="0.25">
      <c r="A6684" t="s">
        <v>14774</v>
      </c>
      <c r="B6684" t="s">
        <v>14772</v>
      </c>
      <c r="C6684" t="s">
        <v>14</v>
      </c>
      <c r="D6684" t="s">
        <v>293</v>
      </c>
      <c r="F6684">
        <v>1</v>
      </c>
      <c r="G6684" t="s">
        <v>16</v>
      </c>
      <c r="H6684">
        <v>0</v>
      </c>
      <c r="I6684" s="2" t="s">
        <v>662</v>
      </c>
      <c r="J6684" s="2" t="s">
        <v>14775</v>
      </c>
      <c r="K6684">
        <v>20</v>
      </c>
      <c r="L6684">
        <v>20</v>
      </c>
      <c r="M6684">
        <v>20</v>
      </c>
    </row>
    <row r="6685" spans="1:13" x14ac:dyDescent="0.25">
      <c r="A6685" t="s">
        <v>14776</v>
      </c>
      <c r="B6685" t="s">
        <v>14772</v>
      </c>
      <c r="C6685" t="s">
        <v>14</v>
      </c>
      <c r="D6685" t="s">
        <v>293</v>
      </c>
      <c r="F6685">
        <v>2</v>
      </c>
      <c r="G6685" t="s">
        <v>16</v>
      </c>
      <c r="H6685">
        <v>0</v>
      </c>
      <c r="I6685" s="2" t="s">
        <v>158</v>
      </c>
      <c r="J6685" s="2" t="s">
        <v>14777</v>
      </c>
      <c r="K6685">
        <v>20</v>
      </c>
      <c r="L6685">
        <v>20</v>
      </c>
      <c r="M6685">
        <v>20</v>
      </c>
    </row>
    <row r="6686" spans="1:13" x14ac:dyDescent="0.25">
      <c r="A6686" t="s">
        <v>14778</v>
      </c>
      <c r="B6686" t="s">
        <v>14770</v>
      </c>
      <c r="C6686" t="s">
        <v>20</v>
      </c>
      <c r="D6686" t="s">
        <v>26</v>
      </c>
      <c r="F6686">
        <v>1</v>
      </c>
      <c r="G6686" t="s">
        <v>16</v>
      </c>
      <c r="H6686">
        <v>0</v>
      </c>
      <c r="I6686" s="2" t="s">
        <v>504</v>
      </c>
      <c r="J6686" s="2" t="s">
        <v>14779</v>
      </c>
      <c r="K6686">
        <v>20</v>
      </c>
      <c r="L6686">
        <v>20</v>
      </c>
      <c r="M6686">
        <v>20</v>
      </c>
    </row>
    <row r="6687" spans="1:13" x14ac:dyDescent="0.25">
      <c r="A6687" t="s">
        <v>14780</v>
      </c>
      <c r="B6687" t="s">
        <v>14781</v>
      </c>
      <c r="C6687" t="s">
        <v>20</v>
      </c>
      <c r="D6687" t="s">
        <v>26</v>
      </c>
      <c r="F6687">
        <v>1</v>
      </c>
      <c r="G6687" t="s">
        <v>16</v>
      </c>
      <c r="H6687">
        <v>0</v>
      </c>
      <c r="I6687" s="2" t="s">
        <v>504</v>
      </c>
      <c r="J6687" s="2" t="s">
        <v>14782</v>
      </c>
      <c r="K6687">
        <v>20</v>
      </c>
      <c r="L6687">
        <v>20</v>
      </c>
      <c r="M6687">
        <v>20</v>
      </c>
    </row>
    <row r="6688" spans="1:13" x14ac:dyDescent="0.25">
      <c r="A6688" t="s">
        <v>14783</v>
      </c>
      <c r="B6688" t="s">
        <v>14784</v>
      </c>
      <c r="C6688" t="s">
        <v>20</v>
      </c>
      <c r="D6688" t="s">
        <v>597</v>
      </c>
      <c r="F6688">
        <v>0</v>
      </c>
      <c r="G6688" t="s">
        <v>16</v>
      </c>
      <c r="H6688">
        <v>0</v>
      </c>
      <c r="I6688" s="2" t="s">
        <v>759</v>
      </c>
      <c r="J6688" s="2" t="s">
        <v>14785</v>
      </c>
      <c r="K6688">
        <v>20</v>
      </c>
      <c r="L6688">
        <v>20</v>
      </c>
      <c r="M6688">
        <v>20</v>
      </c>
    </row>
    <row r="6689" spans="1:13" x14ac:dyDescent="0.25">
      <c r="A6689" t="s">
        <v>14786</v>
      </c>
      <c r="B6689" t="s">
        <v>14784</v>
      </c>
      <c r="C6689" t="s">
        <v>20</v>
      </c>
      <c r="D6689" t="s">
        <v>597</v>
      </c>
      <c r="F6689">
        <v>1</v>
      </c>
      <c r="G6689" t="s">
        <v>16</v>
      </c>
      <c r="H6689">
        <v>0</v>
      </c>
      <c r="I6689" s="2" t="s">
        <v>288</v>
      </c>
      <c r="J6689" s="2" t="s">
        <v>14787</v>
      </c>
      <c r="K6689">
        <v>20</v>
      </c>
      <c r="L6689">
        <v>20</v>
      </c>
      <c r="M6689">
        <v>20</v>
      </c>
    </row>
    <row r="6690" spans="1:13" x14ac:dyDescent="0.25">
      <c r="A6690" t="s">
        <v>14788</v>
      </c>
      <c r="B6690" t="s">
        <v>14789</v>
      </c>
      <c r="C6690" t="s">
        <v>20</v>
      </c>
      <c r="D6690" t="s">
        <v>597</v>
      </c>
      <c r="F6690">
        <v>1</v>
      </c>
      <c r="G6690" t="s">
        <v>16</v>
      </c>
      <c r="H6690">
        <v>0</v>
      </c>
      <c r="I6690" s="2" t="s">
        <v>1671</v>
      </c>
      <c r="J6690" s="2">
        <v>355780</v>
      </c>
      <c r="K6690">
        <v>20</v>
      </c>
      <c r="L6690">
        <v>20</v>
      </c>
      <c r="M6690">
        <v>20</v>
      </c>
    </row>
    <row r="6691" spans="1:13" x14ac:dyDescent="0.25">
      <c r="A6691" t="s">
        <v>14790</v>
      </c>
      <c r="B6691" t="s">
        <v>14784</v>
      </c>
      <c r="C6691" t="s">
        <v>20</v>
      </c>
      <c r="D6691" t="s">
        <v>597</v>
      </c>
      <c r="F6691">
        <v>0</v>
      </c>
      <c r="G6691" t="s">
        <v>16</v>
      </c>
      <c r="H6691">
        <v>0</v>
      </c>
      <c r="I6691" s="2" t="s">
        <v>5155</v>
      </c>
      <c r="J6691" s="2">
        <v>650240</v>
      </c>
      <c r="K6691">
        <v>20</v>
      </c>
      <c r="L6691">
        <v>20</v>
      </c>
      <c r="M6691">
        <v>20</v>
      </c>
    </row>
    <row r="6692" spans="1:13" x14ac:dyDescent="0.25">
      <c r="A6692">
        <v>650246</v>
      </c>
      <c r="B6692" t="s">
        <v>14791</v>
      </c>
      <c r="C6692" t="s">
        <v>14</v>
      </c>
      <c r="D6692" t="s">
        <v>293</v>
      </c>
      <c r="F6692">
        <v>1</v>
      </c>
      <c r="G6692" t="s">
        <v>16</v>
      </c>
      <c r="H6692">
        <v>0</v>
      </c>
      <c r="I6692" s="2" t="s">
        <v>497</v>
      </c>
      <c r="J6692" s="2">
        <v>55589295</v>
      </c>
      <c r="K6692">
        <v>20</v>
      </c>
      <c r="L6692">
        <v>20</v>
      </c>
      <c r="M6692">
        <v>20</v>
      </c>
    </row>
    <row r="6693" spans="1:13" x14ac:dyDescent="0.25">
      <c r="A6693" t="s">
        <v>14792</v>
      </c>
      <c r="B6693" t="s">
        <v>14791</v>
      </c>
      <c r="C6693" t="s">
        <v>14</v>
      </c>
      <c r="D6693" t="s">
        <v>293</v>
      </c>
      <c r="G6693" t="s">
        <v>16</v>
      </c>
      <c r="H6693">
        <v>0</v>
      </c>
      <c r="I6693" s="2" t="s">
        <v>4778</v>
      </c>
      <c r="J6693" s="2" t="s">
        <v>14793</v>
      </c>
      <c r="K6693">
        <v>20</v>
      </c>
      <c r="L6693">
        <v>20</v>
      </c>
      <c r="M6693">
        <v>20</v>
      </c>
    </row>
    <row r="6694" spans="1:13" x14ac:dyDescent="0.25">
      <c r="A6694" t="s">
        <v>14794</v>
      </c>
      <c r="B6694" t="s">
        <v>14791</v>
      </c>
      <c r="C6694" t="s">
        <v>14</v>
      </c>
      <c r="D6694" t="s">
        <v>293</v>
      </c>
      <c r="F6694">
        <v>0</v>
      </c>
      <c r="G6694" t="s">
        <v>16</v>
      </c>
      <c r="H6694">
        <v>0</v>
      </c>
      <c r="I6694" s="2" t="s">
        <v>712</v>
      </c>
      <c r="J6694" s="2" t="s">
        <v>14795</v>
      </c>
      <c r="K6694">
        <v>20</v>
      </c>
      <c r="L6694">
        <v>20</v>
      </c>
      <c r="M6694">
        <v>20</v>
      </c>
    </row>
    <row r="6695" spans="1:13" x14ac:dyDescent="0.25">
      <c r="A6695" t="s">
        <v>14796</v>
      </c>
      <c r="B6695" t="s">
        <v>14797</v>
      </c>
      <c r="C6695" t="s">
        <v>14</v>
      </c>
      <c r="D6695" t="s">
        <v>293</v>
      </c>
      <c r="G6695" t="s">
        <v>16</v>
      </c>
      <c r="H6695">
        <v>0</v>
      </c>
      <c r="I6695" s="2" t="s">
        <v>8700</v>
      </c>
      <c r="J6695" s="2" t="s">
        <v>14798</v>
      </c>
      <c r="K6695">
        <v>20</v>
      </c>
      <c r="L6695">
        <v>20</v>
      </c>
      <c r="M6695">
        <v>20</v>
      </c>
    </row>
    <row r="6696" spans="1:13" x14ac:dyDescent="0.25">
      <c r="A6696" t="s">
        <v>14799</v>
      </c>
      <c r="B6696" t="s">
        <v>14791</v>
      </c>
      <c r="C6696" t="s">
        <v>14</v>
      </c>
      <c r="D6696" t="s">
        <v>293</v>
      </c>
      <c r="F6696">
        <v>1</v>
      </c>
      <c r="G6696" t="s">
        <v>16</v>
      </c>
      <c r="H6696">
        <v>0</v>
      </c>
      <c r="I6696" s="2" t="s">
        <v>64</v>
      </c>
      <c r="J6696" s="2" t="str">
        <f>"06020073"</f>
        <v>06020073</v>
      </c>
      <c r="K6696">
        <v>20</v>
      </c>
      <c r="L6696">
        <v>20</v>
      </c>
      <c r="M6696">
        <v>20</v>
      </c>
    </row>
    <row r="6697" spans="1:13" x14ac:dyDescent="0.25">
      <c r="A6697" t="s">
        <v>14800</v>
      </c>
      <c r="B6697" t="s">
        <v>14797</v>
      </c>
      <c r="C6697" t="s">
        <v>14</v>
      </c>
      <c r="D6697" t="s">
        <v>293</v>
      </c>
      <c r="F6697">
        <v>7</v>
      </c>
      <c r="G6697" t="s">
        <v>16</v>
      </c>
      <c r="H6697">
        <v>0</v>
      </c>
      <c r="I6697" s="2" t="s">
        <v>4748</v>
      </c>
      <c r="J6697" s="2" t="s">
        <v>14801</v>
      </c>
      <c r="K6697">
        <v>20</v>
      </c>
      <c r="L6697">
        <v>20</v>
      </c>
      <c r="M6697">
        <v>20</v>
      </c>
    </row>
    <row r="6698" spans="1:13" x14ac:dyDescent="0.25">
      <c r="A6698" t="s">
        <v>14802</v>
      </c>
      <c r="B6698" t="s">
        <v>14797</v>
      </c>
      <c r="C6698" t="s">
        <v>14</v>
      </c>
      <c r="D6698" t="s">
        <v>293</v>
      </c>
      <c r="F6698">
        <v>2</v>
      </c>
      <c r="G6698" t="s">
        <v>16</v>
      </c>
      <c r="H6698">
        <v>0</v>
      </c>
      <c r="I6698" s="2" t="s">
        <v>7690</v>
      </c>
      <c r="J6698" s="2" t="s">
        <v>14803</v>
      </c>
      <c r="K6698">
        <v>20</v>
      </c>
      <c r="L6698">
        <v>20</v>
      </c>
      <c r="M6698">
        <v>20</v>
      </c>
    </row>
    <row r="6699" spans="1:13" x14ac:dyDescent="0.25">
      <c r="A6699" t="s">
        <v>14804</v>
      </c>
      <c r="B6699" t="s">
        <v>14805</v>
      </c>
      <c r="C6699" t="s">
        <v>14</v>
      </c>
      <c r="D6699" t="s">
        <v>293</v>
      </c>
      <c r="F6699">
        <v>5</v>
      </c>
      <c r="G6699" t="s">
        <v>16</v>
      </c>
      <c r="H6699">
        <v>0</v>
      </c>
      <c r="I6699" s="2" t="s">
        <v>514</v>
      </c>
      <c r="J6699" s="2" t="s">
        <v>14806</v>
      </c>
      <c r="K6699">
        <v>20</v>
      </c>
      <c r="L6699">
        <v>20</v>
      </c>
      <c r="M6699">
        <v>20</v>
      </c>
    </row>
    <row r="6700" spans="1:13" x14ac:dyDescent="0.25">
      <c r="A6700" t="s">
        <v>14807</v>
      </c>
      <c r="B6700" t="s">
        <v>14805</v>
      </c>
      <c r="C6700" t="s">
        <v>14</v>
      </c>
      <c r="D6700" t="s">
        <v>293</v>
      </c>
      <c r="G6700" t="s">
        <v>16</v>
      </c>
      <c r="H6700">
        <v>0</v>
      </c>
      <c r="I6700" s="2" t="s">
        <v>4708</v>
      </c>
      <c r="J6700" s="2" t="s">
        <v>14808</v>
      </c>
      <c r="K6700">
        <v>20</v>
      </c>
      <c r="L6700">
        <v>20</v>
      </c>
      <c r="M6700">
        <v>20</v>
      </c>
    </row>
    <row r="6701" spans="1:13" x14ac:dyDescent="0.25">
      <c r="A6701" t="s">
        <v>14809</v>
      </c>
      <c r="B6701" t="s">
        <v>14805</v>
      </c>
      <c r="C6701" t="s">
        <v>14</v>
      </c>
      <c r="D6701" t="s">
        <v>293</v>
      </c>
      <c r="F6701">
        <v>4</v>
      </c>
      <c r="G6701" t="s">
        <v>16</v>
      </c>
      <c r="H6701">
        <v>0</v>
      </c>
      <c r="I6701" s="2" t="s">
        <v>192</v>
      </c>
      <c r="J6701" s="2" t="s">
        <v>14810</v>
      </c>
      <c r="K6701">
        <v>20</v>
      </c>
      <c r="L6701">
        <v>20</v>
      </c>
      <c r="M6701">
        <v>20</v>
      </c>
    </row>
    <row r="6702" spans="1:13" x14ac:dyDescent="0.25">
      <c r="A6702" t="s">
        <v>14811</v>
      </c>
      <c r="B6702" t="s">
        <v>14805</v>
      </c>
      <c r="C6702" t="s">
        <v>14</v>
      </c>
      <c r="D6702" t="s">
        <v>293</v>
      </c>
      <c r="G6702" t="s">
        <v>16</v>
      </c>
      <c r="H6702">
        <v>0</v>
      </c>
      <c r="I6702" s="2" t="s">
        <v>6196</v>
      </c>
      <c r="J6702" s="2" t="s">
        <v>14812</v>
      </c>
      <c r="K6702">
        <v>20</v>
      </c>
      <c r="L6702">
        <v>20</v>
      </c>
      <c r="M6702">
        <v>20</v>
      </c>
    </row>
    <row r="6703" spans="1:13" x14ac:dyDescent="0.25">
      <c r="A6703" t="s">
        <v>14813</v>
      </c>
      <c r="B6703" t="s">
        <v>14805</v>
      </c>
      <c r="C6703" t="s">
        <v>14</v>
      </c>
      <c r="D6703" t="s">
        <v>293</v>
      </c>
      <c r="G6703" t="s">
        <v>16</v>
      </c>
      <c r="H6703">
        <v>0</v>
      </c>
      <c r="I6703" s="2" t="s">
        <v>4748</v>
      </c>
      <c r="J6703" s="2" t="s">
        <v>14814</v>
      </c>
      <c r="K6703">
        <v>20</v>
      </c>
      <c r="L6703">
        <v>20</v>
      </c>
      <c r="M6703">
        <v>20</v>
      </c>
    </row>
    <row r="6704" spans="1:13" x14ac:dyDescent="0.25">
      <c r="A6704" t="s">
        <v>14815</v>
      </c>
      <c r="B6704" t="s">
        <v>14805</v>
      </c>
      <c r="C6704" t="s">
        <v>14</v>
      </c>
      <c r="D6704" t="s">
        <v>293</v>
      </c>
      <c r="G6704" t="s">
        <v>16</v>
      </c>
      <c r="H6704">
        <v>0</v>
      </c>
      <c r="I6704" s="2" t="s">
        <v>14816</v>
      </c>
      <c r="J6704" s="2">
        <v>2502700</v>
      </c>
      <c r="K6704">
        <v>20</v>
      </c>
      <c r="L6704">
        <v>20</v>
      </c>
      <c r="M6704">
        <v>20</v>
      </c>
    </row>
    <row r="6705" spans="1:13" x14ac:dyDescent="0.25">
      <c r="A6705" t="s">
        <v>14817</v>
      </c>
      <c r="B6705" t="s">
        <v>14805</v>
      </c>
      <c r="C6705" t="s">
        <v>14</v>
      </c>
      <c r="D6705" t="s">
        <v>293</v>
      </c>
      <c r="G6705" t="s">
        <v>16</v>
      </c>
      <c r="H6705">
        <v>0</v>
      </c>
      <c r="I6705" s="2" t="s">
        <v>4736</v>
      </c>
      <c r="J6705" s="2" t="s">
        <v>14818</v>
      </c>
      <c r="K6705">
        <v>20</v>
      </c>
      <c r="L6705">
        <v>20</v>
      </c>
      <c r="M6705">
        <v>20</v>
      </c>
    </row>
    <row r="6706" spans="1:13" x14ac:dyDescent="0.25">
      <c r="A6706" t="s">
        <v>14819</v>
      </c>
      <c r="B6706" t="s">
        <v>14820</v>
      </c>
      <c r="C6706" t="s">
        <v>14</v>
      </c>
      <c r="D6706" t="s">
        <v>293</v>
      </c>
      <c r="G6706" t="s">
        <v>16</v>
      </c>
      <c r="H6706">
        <v>0</v>
      </c>
      <c r="I6706" s="2" t="s">
        <v>514</v>
      </c>
      <c r="J6706" s="2" t="s">
        <v>14821</v>
      </c>
      <c r="K6706">
        <v>20</v>
      </c>
      <c r="L6706">
        <v>20</v>
      </c>
      <c r="M6706">
        <v>20</v>
      </c>
    </row>
    <row r="6707" spans="1:13" x14ac:dyDescent="0.25">
      <c r="A6707" t="s">
        <v>14822</v>
      </c>
      <c r="B6707" t="s">
        <v>14820</v>
      </c>
      <c r="C6707" t="s">
        <v>14</v>
      </c>
      <c r="D6707" t="s">
        <v>293</v>
      </c>
      <c r="F6707">
        <v>4</v>
      </c>
      <c r="G6707" t="s">
        <v>16</v>
      </c>
      <c r="H6707">
        <v>0</v>
      </c>
      <c r="I6707" s="2" t="s">
        <v>685</v>
      </c>
      <c r="J6707" s="2" t="s">
        <v>14823</v>
      </c>
      <c r="K6707">
        <v>20</v>
      </c>
      <c r="L6707">
        <v>20</v>
      </c>
      <c r="M6707">
        <v>20</v>
      </c>
    </row>
    <row r="6708" spans="1:13" x14ac:dyDescent="0.25">
      <c r="A6708" t="s">
        <v>14824</v>
      </c>
      <c r="B6708" t="s">
        <v>14820</v>
      </c>
      <c r="C6708" t="s">
        <v>14</v>
      </c>
      <c r="D6708" t="s">
        <v>293</v>
      </c>
      <c r="G6708" t="s">
        <v>16</v>
      </c>
      <c r="H6708">
        <v>0</v>
      </c>
      <c r="I6708" s="2" t="s">
        <v>192</v>
      </c>
      <c r="J6708" s="2" t="s">
        <v>14825</v>
      </c>
      <c r="K6708">
        <v>20</v>
      </c>
      <c r="L6708">
        <v>20</v>
      </c>
      <c r="M6708">
        <v>20</v>
      </c>
    </row>
    <row r="6709" spans="1:13" x14ac:dyDescent="0.25">
      <c r="A6709" t="s">
        <v>14826</v>
      </c>
      <c r="B6709" t="s">
        <v>14820</v>
      </c>
      <c r="C6709" t="s">
        <v>14</v>
      </c>
      <c r="D6709" t="s">
        <v>293</v>
      </c>
      <c r="G6709" t="s">
        <v>16</v>
      </c>
      <c r="H6709">
        <v>0</v>
      </c>
      <c r="I6709" s="2" t="s">
        <v>290</v>
      </c>
      <c r="J6709" s="2" t="s">
        <v>14827</v>
      </c>
      <c r="K6709">
        <v>20</v>
      </c>
      <c r="L6709">
        <v>20</v>
      </c>
      <c r="M6709">
        <v>20</v>
      </c>
    </row>
    <row r="6710" spans="1:13" x14ac:dyDescent="0.25">
      <c r="A6710" t="s">
        <v>14828</v>
      </c>
      <c r="B6710" t="s">
        <v>14820</v>
      </c>
      <c r="C6710" t="s">
        <v>14</v>
      </c>
      <c r="D6710" t="s">
        <v>293</v>
      </c>
      <c r="G6710" t="s">
        <v>16</v>
      </c>
      <c r="H6710">
        <v>0</v>
      </c>
      <c r="I6710" s="2" t="s">
        <v>14816</v>
      </c>
      <c r="J6710" s="2">
        <v>2501200</v>
      </c>
      <c r="K6710">
        <v>20</v>
      </c>
      <c r="L6710">
        <v>20</v>
      </c>
      <c r="M6710">
        <v>20</v>
      </c>
    </row>
    <row r="6711" spans="1:13" x14ac:dyDescent="0.25">
      <c r="A6711" t="s">
        <v>14829</v>
      </c>
      <c r="B6711" t="s">
        <v>14820</v>
      </c>
      <c r="C6711" t="s">
        <v>14</v>
      </c>
      <c r="D6711" t="s">
        <v>293</v>
      </c>
      <c r="F6711">
        <v>0</v>
      </c>
      <c r="G6711" t="s">
        <v>16</v>
      </c>
      <c r="H6711">
        <v>0</v>
      </c>
      <c r="I6711" s="2" t="s">
        <v>854</v>
      </c>
      <c r="J6711" s="2">
        <v>586519</v>
      </c>
      <c r="K6711">
        <v>20</v>
      </c>
      <c r="L6711">
        <v>20</v>
      </c>
      <c r="M6711">
        <v>20</v>
      </c>
    </row>
    <row r="6712" spans="1:13" x14ac:dyDescent="0.25">
      <c r="A6712" t="s">
        <v>14830</v>
      </c>
      <c r="B6712" t="s">
        <v>14831</v>
      </c>
      <c r="C6712" t="s">
        <v>14</v>
      </c>
      <c r="D6712" t="s">
        <v>293</v>
      </c>
      <c r="G6712" t="s">
        <v>16</v>
      </c>
      <c r="H6712">
        <v>0</v>
      </c>
      <c r="I6712" s="2" t="s">
        <v>290</v>
      </c>
      <c r="J6712" s="2" t="s">
        <v>14832</v>
      </c>
      <c r="K6712">
        <v>20</v>
      </c>
      <c r="L6712">
        <v>20</v>
      </c>
      <c r="M6712">
        <v>20</v>
      </c>
    </row>
    <row r="6713" spans="1:13" x14ac:dyDescent="0.25">
      <c r="A6713" t="s">
        <v>14833</v>
      </c>
      <c r="B6713" t="s">
        <v>14831</v>
      </c>
      <c r="C6713" t="s">
        <v>14</v>
      </c>
      <c r="D6713" t="s">
        <v>293</v>
      </c>
      <c r="F6713">
        <v>1</v>
      </c>
      <c r="G6713" t="s">
        <v>16</v>
      </c>
      <c r="H6713">
        <v>0</v>
      </c>
      <c r="I6713" s="2" t="s">
        <v>6943</v>
      </c>
      <c r="J6713" s="2" t="s">
        <v>14834</v>
      </c>
      <c r="K6713">
        <v>20</v>
      </c>
      <c r="L6713">
        <v>20</v>
      </c>
      <c r="M6713">
        <v>20</v>
      </c>
    </row>
    <row r="6714" spans="1:13" x14ac:dyDescent="0.25">
      <c r="A6714" t="s">
        <v>14835</v>
      </c>
      <c r="B6714" t="s">
        <v>14836</v>
      </c>
      <c r="C6714" t="s">
        <v>14</v>
      </c>
      <c r="D6714" t="s">
        <v>293</v>
      </c>
      <c r="F6714">
        <v>-3</v>
      </c>
      <c r="G6714" t="s">
        <v>16</v>
      </c>
      <c r="H6714">
        <v>0</v>
      </c>
      <c r="I6714" s="2" t="s">
        <v>685</v>
      </c>
      <c r="J6714" s="2" t="str">
        <f>"09864B7008"</f>
        <v>09864B7008</v>
      </c>
      <c r="K6714">
        <v>20</v>
      </c>
      <c r="L6714">
        <v>20</v>
      </c>
      <c r="M6714">
        <v>20</v>
      </c>
    </row>
    <row r="6715" spans="1:13" x14ac:dyDescent="0.25">
      <c r="A6715" t="s">
        <v>14837</v>
      </c>
      <c r="B6715" t="s">
        <v>14836</v>
      </c>
      <c r="C6715" t="s">
        <v>14</v>
      </c>
      <c r="D6715" t="s">
        <v>293</v>
      </c>
      <c r="F6715">
        <v>0</v>
      </c>
      <c r="G6715" t="s">
        <v>16</v>
      </c>
      <c r="H6715">
        <v>0</v>
      </c>
      <c r="I6715" s="2" t="s">
        <v>392</v>
      </c>
      <c r="J6715" s="2">
        <v>1682270880</v>
      </c>
      <c r="K6715">
        <v>20</v>
      </c>
      <c r="L6715">
        <v>20</v>
      </c>
      <c r="M6715">
        <v>20</v>
      </c>
    </row>
    <row r="6716" spans="1:13" x14ac:dyDescent="0.25">
      <c r="A6716" t="s">
        <v>14838</v>
      </c>
      <c r="B6716" t="s">
        <v>14836</v>
      </c>
      <c r="C6716" t="s">
        <v>14</v>
      </c>
      <c r="D6716" t="s">
        <v>293</v>
      </c>
      <c r="G6716" t="s">
        <v>16</v>
      </c>
      <c r="H6716">
        <v>0</v>
      </c>
      <c r="I6716" s="2" t="s">
        <v>192</v>
      </c>
      <c r="J6716" s="2" t="s">
        <v>14839</v>
      </c>
      <c r="K6716">
        <v>20</v>
      </c>
      <c r="L6716">
        <v>20</v>
      </c>
      <c r="M6716">
        <v>20</v>
      </c>
    </row>
    <row r="6717" spans="1:13" x14ac:dyDescent="0.25">
      <c r="A6717" t="s">
        <v>14840</v>
      </c>
      <c r="B6717" t="s">
        <v>14836</v>
      </c>
      <c r="C6717" t="s">
        <v>14</v>
      </c>
      <c r="D6717" t="s">
        <v>293</v>
      </c>
      <c r="G6717" t="s">
        <v>16</v>
      </c>
      <c r="H6717">
        <v>0</v>
      </c>
      <c r="I6717" s="2" t="s">
        <v>290</v>
      </c>
      <c r="J6717" s="2" t="s">
        <v>14841</v>
      </c>
      <c r="K6717">
        <v>20</v>
      </c>
      <c r="L6717">
        <v>20</v>
      </c>
      <c r="M6717">
        <v>20</v>
      </c>
    </row>
    <row r="6718" spans="1:13" x14ac:dyDescent="0.25">
      <c r="A6718" t="s">
        <v>14842</v>
      </c>
      <c r="B6718" t="s">
        <v>14836</v>
      </c>
      <c r="C6718" t="s">
        <v>14</v>
      </c>
      <c r="D6718" t="s">
        <v>293</v>
      </c>
      <c r="F6718">
        <v>89</v>
      </c>
      <c r="G6718" t="s">
        <v>16</v>
      </c>
      <c r="H6718">
        <v>0</v>
      </c>
      <c r="I6718" s="2" t="s">
        <v>7200</v>
      </c>
      <c r="J6718" s="2">
        <v>2312902</v>
      </c>
      <c r="K6718">
        <v>20</v>
      </c>
      <c r="L6718">
        <v>20</v>
      </c>
      <c r="M6718">
        <v>20</v>
      </c>
    </row>
    <row r="6719" spans="1:13" x14ac:dyDescent="0.25">
      <c r="A6719" t="s">
        <v>14843</v>
      </c>
      <c r="B6719" t="s">
        <v>14844</v>
      </c>
      <c r="C6719" t="s">
        <v>20</v>
      </c>
      <c r="D6719" t="s">
        <v>764</v>
      </c>
      <c r="F6719">
        <v>5</v>
      </c>
      <c r="G6719" t="s">
        <v>16</v>
      </c>
      <c r="H6719">
        <v>0</v>
      </c>
      <c r="I6719" s="2" t="s">
        <v>238</v>
      </c>
      <c r="J6719" s="2" t="str">
        <f>"01218"</f>
        <v>01218</v>
      </c>
      <c r="K6719">
        <v>20</v>
      </c>
      <c r="L6719">
        <v>20</v>
      </c>
      <c r="M6719">
        <v>20</v>
      </c>
    </row>
    <row r="6720" spans="1:13" x14ac:dyDescent="0.25">
      <c r="A6720" t="s">
        <v>14845</v>
      </c>
      <c r="B6720" t="s">
        <v>14846</v>
      </c>
      <c r="C6720" t="s">
        <v>20</v>
      </c>
      <c r="D6720" t="s">
        <v>26</v>
      </c>
      <c r="G6720" t="s">
        <v>16</v>
      </c>
      <c r="H6720">
        <v>0</v>
      </c>
      <c r="I6720" s="2" t="s">
        <v>3528</v>
      </c>
      <c r="J6720" s="2" t="s">
        <v>14847</v>
      </c>
      <c r="K6720">
        <v>20</v>
      </c>
      <c r="L6720">
        <v>20</v>
      </c>
      <c r="M6720">
        <v>20</v>
      </c>
    </row>
    <row r="6721" spans="1:13" x14ac:dyDescent="0.25">
      <c r="A6721" t="s">
        <v>14848</v>
      </c>
      <c r="B6721" t="s">
        <v>14849</v>
      </c>
      <c r="C6721" t="s">
        <v>20</v>
      </c>
      <c r="D6721" t="s">
        <v>597</v>
      </c>
      <c r="F6721">
        <v>1</v>
      </c>
      <c r="G6721" t="s">
        <v>16</v>
      </c>
      <c r="H6721">
        <v>0</v>
      </c>
      <c r="I6721" s="2" t="s">
        <v>142</v>
      </c>
      <c r="J6721" s="2" t="s">
        <v>14850</v>
      </c>
      <c r="K6721">
        <v>20</v>
      </c>
      <c r="L6721">
        <v>20</v>
      </c>
      <c r="M6721">
        <v>20</v>
      </c>
    </row>
    <row r="6722" spans="1:13" x14ac:dyDescent="0.25">
      <c r="A6722" t="s">
        <v>14851</v>
      </c>
      <c r="B6722" t="s">
        <v>14852</v>
      </c>
      <c r="C6722" t="s">
        <v>20</v>
      </c>
      <c r="D6722" t="s">
        <v>597</v>
      </c>
      <c r="G6722" t="s">
        <v>16</v>
      </c>
      <c r="H6722">
        <v>0</v>
      </c>
      <c r="I6722" s="2" t="s">
        <v>288</v>
      </c>
      <c r="J6722" s="2">
        <v>180106116</v>
      </c>
      <c r="K6722">
        <v>20</v>
      </c>
      <c r="L6722">
        <v>20</v>
      </c>
      <c r="M6722">
        <v>20</v>
      </c>
    </row>
    <row r="6723" spans="1:13" x14ac:dyDescent="0.25">
      <c r="A6723">
        <v>6507331480</v>
      </c>
      <c r="B6723" t="s">
        <v>14853</v>
      </c>
      <c r="C6723" t="s">
        <v>20</v>
      </c>
      <c r="D6723" t="s">
        <v>296</v>
      </c>
      <c r="F6723">
        <v>1</v>
      </c>
      <c r="G6723" t="s">
        <v>16</v>
      </c>
      <c r="H6723">
        <v>0</v>
      </c>
      <c r="I6723" s="2" t="s">
        <v>51</v>
      </c>
      <c r="J6723" s="2">
        <v>6507331480</v>
      </c>
      <c r="K6723">
        <v>20</v>
      </c>
      <c r="L6723">
        <v>20</v>
      </c>
      <c r="M6723">
        <v>20</v>
      </c>
    </row>
    <row r="6724" spans="1:13" x14ac:dyDescent="0.25">
      <c r="A6724" t="s">
        <v>14854</v>
      </c>
      <c r="B6724" t="s">
        <v>14855</v>
      </c>
      <c r="C6724" t="s">
        <v>20</v>
      </c>
      <c r="G6724" t="s">
        <v>16</v>
      </c>
      <c r="H6724">
        <v>0</v>
      </c>
      <c r="I6724" s="2" t="s">
        <v>500</v>
      </c>
      <c r="J6724" s="2" t="s">
        <v>14856</v>
      </c>
      <c r="K6724">
        <v>20</v>
      </c>
      <c r="L6724">
        <v>20</v>
      </c>
      <c r="M6724">
        <v>20</v>
      </c>
    </row>
    <row r="6725" spans="1:13" x14ac:dyDescent="0.25">
      <c r="A6725" t="s">
        <v>14857</v>
      </c>
      <c r="B6725" t="s">
        <v>14858</v>
      </c>
      <c r="C6725" t="s">
        <v>20</v>
      </c>
      <c r="D6725" t="s">
        <v>26</v>
      </c>
      <c r="F6725">
        <v>3</v>
      </c>
      <c r="G6725" t="s">
        <v>16</v>
      </c>
      <c r="H6725">
        <v>0</v>
      </c>
      <c r="I6725" s="2" t="s">
        <v>759</v>
      </c>
      <c r="J6725" s="2">
        <v>650953</v>
      </c>
      <c r="K6725">
        <v>20</v>
      </c>
      <c r="L6725">
        <v>20</v>
      </c>
      <c r="M6725">
        <v>20</v>
      </c>
    </row>
    <row r="6726" spans="1:13" x14ac:dyDescent="0.25">
      <c r="A6726" t="s">
        <v>14859</v>
      </c>
      <c r="B6726" t="s">
        <v>14858</v>
      </c>
      <c r="C6726" t="s">
        <v>20</v>
      </c>
      <c r="D6726" t="s">
        <v>26</v>
      </c>
      <c r="F6726">
        <v>1</v>
      </c>
      <c r="G6726" t="s">
        <v>16</v>
      </c>
      <c r="H6726">
        <v>0</v>
      </c>
      <c r="I6726" s="2" t="s">
        <v>97</v>
      </c>
      <c r="J6726" s="3">
        <v>476810</v>
      </c>
      <c r="K6726">
        <v>20</v>
      </c>
      <c r="L6726">
        <v>20</v>
      </c>
      <c r="M6726">
        <v>20</v>
      </c>
    </row>
    <row r="6727" spans="1:13" x14ac:dyDescent="0.25">
      <c r="A6727" t="s">
        <v>14860</v>
      </c>
      <c r="B6727" t="s">
        <v>14861</v>
      </c>
      <c r="C6727" t="s">
        <v>20</v>
      </c>
      <c r="D6727" t="s">
        <v>26</v>
      </c>
      <c r="F6727">
        <v>1</v>
      </c>
      <c r="G6727" t="s">
        <v>16</v>
      </c>
      <c r="H6727">
        <v>0</v>
      </c>
      <c r="I6727" s="2" t="s">
        <v>142</v>
      </c>
      <c r="J6727" s="2">
        <v>650956</v>
      </c>
      <c r="K6727">
        <v>20</v>
      </c>
      <c r="L6727">
        <v>20</v>
      </c>
      <c r="M6727">
        <v>20</v>
      </c>
    </row>
    <row r="6728" spans="1:13" x14ac:dyDescent="0.25">
      <c r="A6728">
        <v>651785</v>
      </c>
      <c r="B6728" t="s">
        <v>14862</v>
      </c>
      <c r="C6728" t="s">
        <v>20</v>
      </c>
      <c r="F6728">
        <v>4</v>
      </c>
      <c r="G6728" t="s">
        <v>16</v>
      </c>
      <c r="H6728">
        <v>0</v>
      </c>
      <c r="I6728" s="2" t="s">
        <v>497</v>
      </c>
      <c r="J6728" s="2">
        <v>93180107</v>
      </c>
      <c r="K6728">
        <v>20</v>
      </c>
      <c r="L6728">
        <v>20</v>
      </c>
      <c r="M6728">
        <v>20</v>
      </c>
    </row>
    <row r="6729" spans="1:13" x14ac:dyDescent="0.25">
      <c r="A6729" t="s">
        <v>14863</v>
      </c>
      <c r="B6729" t="s">
        <v>14864</v>
      </c>
      <c r="C6729" t="s">
        <v>20</v>
      </c>
      <c r="F6729">
        <v>1</v>
      </c>
      <c r="G6729" t="s">
        <v>16</v>
      </c>
      <c r="H6729">
        <v>0</v>
      </c>
      <c r="I6729" s="2" t="s">
        <v>1107</v>
      </c>
      <c r="J6729" s="2" t="s">
        <v>14865</v>
      </c>
      <c r="K6729">
        <v>20</v>
      </c>
      <c r="L6729">
        <v>20</v>
      </c>
      <c r="M6729">
        <v>20</v>
      </c>
    </row>
    <row r="6730" spans="1:13" x14ac:dyDescent="0.25">
      <c r="A6730" t="s">
        <v>14866</v>
      </c>
      <c r="B6730" t="s">
        <v>14867</v>
      </c>
      <c r="C6730" t="s">
        <v>20</v>
      </c>
      <c r="F6730">
        <v>1</v>
      </c>
      <c r="G6730" t="s">
        <v>16</v>
      </c>
      <c r="H6730">
        <v>0</v>
      </c>
      <c r="I6730" s="2" t="s">
        <v>14868</v>
      </c>
      <c r="J6730" s="2" t="s">
        <v>14869</v>
      </c>
      <c r="K6730">
        <v>20</v>
      </c>
      <c r="L6730">
        <v>20</v>
      </c>
      <c r="M6730">
        <v>20</v>
      </c>
    </row>
    <row r="6731" spans="1:13" x14ac:dyDescent="0.25">
      <c r="A6731" t="s">
        <v>14870</v>
      </c>
      <c r="B6731" t="s">
        <v>14867</v>
      </c>
      <c r="C6731" t="s">
        <v>20</v>
      </c>
      <c r="F6731">
        <v>3</v>
      </c>
      <c r="G6731" t="s">
        <v>16</v>
      </c>
      <c r="H6731">
        <v>0</v>
      </c>
      <c r="I6731" s="2" t="s">
        <v>197</v>
      </c>
      <c r="J6731" s="2" t="s">
        <v>14871</v>
      </c>
      <c r="K6731">
        <v>20</v>
      </c>
      <c r="L6731">
        <v>20</v>
      </c>
      <c r="M6731">
        <v>20</v>
      </c>
    </row>
    <row r="6732" spans="1:13" x14ac:dyDescent="0.25">
      <c r="A6732" t="s">
        <v>14872</v>
      </c>
      <c r="B6732" t="s">
        <v>14873</v>
      </c>
      <c r="C6732" t="s">
        <v>20</v>
      </c>
      <c r="F6732">
        <v>1</v>
      </c>
      <c r="G6732" t="s">
        <v>16</v>
      </c>
      <c r="H6732">
        <v>0</v>
      </c>
      <c r="I6732" s="2" t="s">
        <v>500</v>
      </c>
      <c r="J6732" s="2" t="s">
        <v>14874</v>
      </c>
      <c r="K6732">
        <v>20</v>
      </c>
      <c r="L6732">
        <v>20</v>
      </c>
      <c r="M6732">
        <v>20</v>
      </c>
    </row>
    <row r="6733" spans="1:13" x14ac:dyDescent="0.25">
      <c r="A6733" t="s">
        <v>14875</v>
      </c>
      <c r="B6733" t="s">
        <v>14876</v>
      </c>
      <c r="C6733" t="s">
        <v>20</v>
      </c>
      <c r="F6733">
        <v>1</v>
      </c>
      <c r="G6733" t="s">
        <v>16</v>
      </c>
      <c r="H6733">
        <v>0</v>
      </c>
      <c r="I6733" s="2" t="s">
        <v>993</v>
      </c>
      <c r="J6733" s="2">
        <v>205595001</v>
      </c>
      <c r="K6733">
        <v>20</v>
      </c>
      <c r="L6733">
        <v>20</v>
      </c>
      <c r="M6733">
        <v>20</v>
      </c>
    </row>
    <row r="6734" spans="1:13" x14ac:dyDescent="0.25">
      <c r="A6734" t="s">
        <v>14877</v>
      </c>
      <c r="B6734" t="s">
        <v>14878</v>
      </c>
      <c r="C6734" t="s">
        <v>20</v>
      </c>
      <c r="F6734">
        <v>1</v>
      </c>
      <c r="G6734" t="s">
        <v>16</v>
      </c>
      <c r="H6734">
        <v>0</v>
      </c>
      <c r="I6734" s="2" t="s">
        <v>162</v>
      </c>
      <c r="J6734" s="2" t="s">
        <v>14879</v>
      </c>
      <c r="K6734">
        <v>20</v>
      </c>
      <c r="L6734">
        <v>20</v>
      </c>
      <c r="M6734">
        <v>20</v>
      </c>
    </row>
    <row r="6735" spans="1:13" x14ac:dyDescent="0.25">
      <c r="A6735" t="s">
        <v>14880</v>
      </c>
      <c r="B6735" t="s">
        <v>14881</v>
      </c>
      <c r="C6735" t="s">
        <v>20</v>
      </c>
      <c r="F6735">
        <v>1</v>
      </c>
      <c r="G6735" t="s">
        <v>16</v>
      </c>
      <c r="H6735">
        <v>0</v>
      </c>
      <c r="I6735" s="2" t="s">
        <v>1107</v>
      </c>
      <c r="J6735" s="2" t="s">
        <v>14882</v>
      </c>
      <c r="K6735">
        <v>20</v>
      </c>
      <c r="L6735">
        <v>20</v>
      </c>
      <c r="M6735">
        <v>20</v>
      </c>
    </row>
    <row r="6736" spans="1:13" x14ac:dyDescent="0.25">
      <c r="A6736" t="s">
        <v>14883</v>
      </c>
      <c r="B6736" t="s">
        <v>14884</v>
      </c>
      <c r="C6736" t="s">
        <v>20</v>
      </c>
      <c r="F6736">
        <v>4</v>
      </c>
      <c r="G6736" t="s">
        <v>16</v>
      </c>
      <c r="H6736">
        <v>0</v>
      </c>
      <c r="I6736" s="2" t="s">
        <v>197</v>
      </c>
      <c r="J6736" s="2" t="str">
        <f>"015"</f>
        <v>015</v>
      </c>
      <c r="K6736">
        <v>20</v>
      </c>
      <c r="L6736">
        <v>20</v>
      </c>
      <c r="M6736">
        <v>20</v>
      </c>
    </row>
    <row r="6737" spans="1:13" x14ac:dyDescent="0.25">
      <c r="A6737" t="s">
        <v>14885</v>
      </c>
      <c r="B6737" t="s">
        <v>14884</v>
      </c>
      <c r="C6737" t="s">
        <v>20</v>
      </c>
      <c r="F6737">
        <v>1</v>
      </c>
      <c r="G6737" t="s">
        <v>16</v>
      </c>
      <c r="H6737">
        <v>0</v>
      </c>
      <c r="I6737" s="2" t="s">
        <v>4884</v>
      </c>
      <c r="J6737" s="2" t="s">
        <v>14886</v>
      </c>
      <c r="K6737">
        <v>20</v>
      </c>
      <c r="L6737">
        <v>20</v>
      </c>
      <c r="M6737">
        <v>20</v>
      </c>
    </row>
    <row r="6738" spans="1:13" x14ac:dyDescent="0.25">
      <c r="A6738" t="s">
        <v>14887</v>
      </c>
      <c r="B6738" t="s">
        <v>14888</v>
      </c>
      <c r="C6738" t="s">
        <v>20</v>
      </c>
      <c r="F6738">
        <v>4</v>
      </c>
      <c r="G6738" t="s">
        <v>16</v>
      </c>
      <c r="H6738">
        <v>0</v>
      </c>
      <c r="I6738" s="2" t="s">
        <v>759</v>
      </c>
      <c r="J6738" s="2" t="s">
        <v>14889</v>
      </c>
      <c r="K6738">
        <v>20</v>
      </c>
      <c r="L6738">
        <v>20</v>
      </c>
      <c r="M6738">
        <v>20</v>
      </c>
    </row>
    <row r="6739" spans="1:13" x14ac:dyDescent="0.25">
      <c r="A6739" t="s">
        <v>14890</v>
      </c>
      <c r="B6739" t="s">
        <v>14888</v>
      </c>
      <c r="C6739" t="s">
        <v>20</v>
      </c>
      <c r="F6739">
        <v>1</v>
      </c>
      <c r="G6739" t="s">
        <v>16</v>
      </c>
      <c r="H6739">
        <v>0</v>
      </c>
      <c r="I6739" s="2" t="s">
        <v>6735</v>
      </c>
      <c r="J6739" s="2">
        <v>486011</v>
      </c>
      <c r="K6739">
        <v>20</v>
      </c>
      <c r="L6739">
        <v>20</v>
      </c>
      <c r="M6739">
        <v>20</v>
      </c>
    </row>
    <row r="6740" spans="1:13" x14ac:dyDescent="0.25">
      <c r="A6740" t="s">
        <v>14891</v>
      </c>
      <c r="B6740" t="s">
        <v>14888</v>
      </c>
      <c r="C6740" t="s">
        <v>20</v>
      </c>
      <c r="F6740">
        <v>3</v>
      </c>
      <c r="G6740" t="s">
        <v>16</v>
      </c>
      <c r="H6740">
        <v>0</v>
      </c>
      <c r="I6740" s="2" t="s">
        <v>500</v>
      </c>
      <c r="J6740" s="2" t="s">
        <v>14892</v>
      </c>
      <c r="K6740">
        <v>20</v>
      </c>
      <c r="L6740">
        <v>20</v>
      </c>
      <c r="M6740">
        <v>20</v>
      </c>
    </row>
    <row r="6741" spans="1:13" x14ac:dyDescent="0.25">
      <c r="A6741" t="s">
        <v>14893</v>
      </c>
      <c r="B6741" t="s">
        <v>14895</v>
      </c>
      <c r="C6741" t="s">
        <v>20</v>
      </c>
      <c r="F6741">
        <v>3</v>
      </c>
      <c r="G6741" t="s">
        <v>16</v>
      </c>
      <c r="H6741">
        <v>0</v>
      </c>
      <c r="I6741" s="2" t="s">
        <v>1802</v>
      </c>
      <c r="J6741" s="2" t="s">
        <v>14894</v>
      </c>
      <c r="K6741">
        <v>20</v>
      </c>
      <c r="L6741">
        <v>20</v>
      </c>
      <c r="M6741">
        <v>20</v>
      </c>
    </row>
    <row r="6742" spans="1:13" x14ac:dyDescent="0.25">
      <c r="A6742" t="s">
        <v>14896</v>
      </c>
      <c r="B6742" t="s">
        <v>14897</v>
      </c>
      <c r="C6742" t="s">
        <v>20</v>
      </c>
      <c r="F6742">
        <v>18</v>
      </c>
      <c r="G6742" t="s">
        <v>16</v>
      </c>
      <c r="H6742">
        <v>0</v>
      </c>
      <c r="I6742" s="2" t="s">
        <v>238</v>
      </c>
      <c r="J6742" s="2" t="str">
        <f>"04572"</f>
        <v>04572</v>
      </c>
      <c r="K6742">
        <v>20</v>
      </c>
      <c r="L6742">
        <v>20</v>
      </c>
      <c r="M6742">
        <v>20</v>
      </c>
    </row>
    <row r="6743" spans="1:13" x14ac:dyDescent="0.25">
      <c r="A6743" t="s">
        <v>14898</v>
      </c>
      <c r="B6743" t="s">
        <v>14897</v>
      </c>
      <c r="C6743" t="s">
        <v>20</v>
      </c>
      <c r="F6743">
        <v>15</v>
      </c>
      <c r="G6743" t="s">
        <v>16</v>
      </c>
      <c r="H6743">
        <v>0</v>
      </c>
      <c r="I6743" s="2" t="s">
        <v>491</v>
      </c>
      <c r="J6743" s="2" t="str">
        <f>"00027700652457"</f>
        <v>00027700652457</v>
      </c>
      <c r="K6743">
        <v>20</v>
      </c>
      <c r="L6743">
        <v>20</v>
      </c>
      <c r="M6743">
        <v>20</v>
      </c>
    </row>
    <row r="6744" spans="1:13" x14ac:dyDescent="0.25">
      <c r="A6744" t="s">
        <v>14899</v>
      </c>
      <c r="B6744" t="s">
        <v>14897</v>
      </c>
      <c r="C6744" t="s">
        <v>20</v>
      </c>
      <c r="F6744">
        <v>55</v>
      </c>
      <c r="G6744" t="s">
        <v>16</v>
      </c>
      <c r="H6744">
        <v>0</v>
      </c>
      <c r="I6744" s="2" t="s">
        <v>7609</v>
      </c>
      <c r="J6744" s="2" t="s">
        <v>14900</v>
      </c>
      <c r="K6744">
        <v>20</v>
      </c>
      <c r="L6744">
        <v>20</v>
      </c>
      <c r="M6744">
        <v>20</v>
      </c>
    </row>
    <row r="6745" spans="1:13" x14ac:dyDescent="0.25">
      <c r="A6745" t="s">
        <v>14901</v>
      </c>
      <c r="B6745" t="s">
        <v>14897</v>
      </c>
      <c r="C6745" t="s">
        <v>20</v>
      </c>
      <c r="F6745">
        <v>38</v>
      </c>
      <c r="G6745" t="s">
        <v>16</v>
      </c>
      <c r="H6745">
        <v>0</v>
      </c>
      <c r="I6745" s="2" t="s">
        <v>486</v>
      </c>
      <c r="J6745" s="2">
        <v>40904572</v>
      </c>
      <c r="K6745">
        <v>20</v>
      </c>
      <c r="L6745">
        <v>20</v>
      </c>
      <c r="M6745">
        <v>20</v>
      </c>
    </row>
    <row r="6746" spans="1:13" x14ac:dyDescent="0.25">
      <c r="A6746" t="s">
        <v>14902</v>
      </c>
      <c r="B6746" t="s">
        <v>14897</v>
      </c>
      <c r="C6746" t="s">
        <v>20</v>
      </c>
      <c r="F6746">
        <v>14</v>
      </c>
      <c r="G6746" t="s">
        <v>16</v>
      </c>
      <c r="H6746">
        <v>0</v>
      </c>
      <c r="I6746" s="2" t="s">
        <v>165</v>
      </c>
      <c r="J6746" s="2">
        <v>205110</v>
      </c>
      <c r="K6746">
        <v>20</v>
      </c>
      <c r="L6746">
        <v>20</v>
      </c>
      <c r="M6746">
        <v>20</v>
      </c>
    </row>
    <row r="6747" spans="1:13" x14ac:dyDescent="0.25">
      <c r="A6747" t="s">
        <v>14903</v>
      </c>
      <c r="B6747" t="s">
        <v>14904</v>
      </c>
      <c r="C6747" t="s">
        <v>20</v>
      </c>
      <c r="D6747" t="s">
        <v>26</v>
      </c>
      <c r="F6747">
        <v>4</v>
      </c>
      <c r="G6747" t="s">
        <v>16</v>
      </c>
      <c r="H6747">
        <v>0</v>
      </c>
      <c r="I6747" s="2" t="s">
        <v>142</v>
      </c>
      <c r="J6747" s="2" t="s">
        <v>14905</v>
      </c>
      <c r="K6747">
        <v>20</v>
      </c>
      <c r="L6747">
        <v>20</v>
      </c>
      <c r="M6747">
        <v>20</v>
      </c>
    </row>
    <row r="6748" spans="1:13" x14ac:dyDescent="0.25">
      <c r="A6748" t="s">
        <v>14906</v>
      </c>
      <c r="B6748" t="s">
        <v>14907</v>
      </c>
      <c r="C6748" t="s">
        <v>20</v>
      </c>
      <c r="D6748" t="s">
        <v>26</v>
      </c>
      <c r="G6748" t="s">
        <v>16</v>
      </c>
      <c r="H6748">
        <v>0</v>
      </c>
      <c r="I6748" s="2" t="s">
        <v>99</v>
      </c>
      <c r="J6748" s="3">
        <v>702331</v>
      </c>
      <c r="K6748">
        <v>20</v>
      </c>
      <c r="L6748">
        <v>20</v>
      </c>
      <c r="M6748">
        <v>20</v>
      </c>
    </row>
    <row r="6749" spans="1:13" x14ac:dyDescent="0.25">
      <c r="A6749" t="s">
        <v>14908</v>
      </c>
      <c r="B6749" t="s">
        <v>14909</v>
      </c>
      <c r="C6749" t="s">
        <v>20</v>
      </c>
      <c r="D6749" t="s">
        <v>26</v>
      </c>
      <c r="F6749">
        <v>5</v>
      </c>
      <c r="G6749" t="s">
        <v>16</v>
      </c>
      <c r="H6749">
        <v>0</v>
      </c>
      <c r="I6749" s="2" t="s">
        <v>108</v>
      </c>
      <c r="J6749" s="3">
        <v>3551525001</v>
      </c>
      <c r="K6749">
        <v>20</v>
      </c>
      <c r="L6749">
        <v>20</v>
      </c>
      <c r="M6749">
        <v>20</v>
      </c>
    </row>
    <row r="6750" spans="1:13" x14ac:dyDescent="0.25">
      <c r="A6750" t="s">
        <v>14910</v>
      </c>
      <c r="B6750" t="s">
        <v>14904</v>
      </c>
      <c r="C6750" t="s">
        <v>20</v>
      </c>
      <c r="D6750" t="s">
        <v>26</v>
      </c>
      <c r="F6750">
        <v>10</v>
      </c>
      <c r="G6750" t="s">
        <v>16</v>
      </c>
      <c r="H6750">
        <v>0</v>
      </c>
      <c r="I6750" s="2" t="s">
        <v>11762</v>
      </c>
      <c r="J6750" s="2" t="str">
        <f>"097051N"</f>
        <v>097051N</v>
      </c>
      <c r="K6750">
        <v>20</v>
      </c>
      <c r="L6750">
        <v>20</v>
      </c>
      <c r="M6750">
        <v>20</v>
      </c>
    </row>
    <row r="6751" spans="1:13" x14ac:dyDescent="0.25">
      <c r="A6751" t="s">
        <v>14911</v>
      </c>
      <c r="B6751" t="s">
        <v>14912</v>
      </c>
      <c r="C6751" t="s">
        <v>20</v>
      </c>
      <c r="D6751" t="s">
        <v>26</v>
      </c>
      <c r="G6751" t="s">
        <v>16</v>
      </c>
      <c r="H6751">
        <v>0</v>
      </c>
      <c r="I6751" s="2" t="s">
        <v>83</v>
      </c>
      <c r="J6751" s="2" t="s">
        <v>14913</v>
      </c>
      <c r="K6751">
        <v>20</v>
      </c>
      <c r="L6751">
        <v>20</v>
      </c>
      <c r="M6751">
        <v>20</v>
      </c>
    </row>
    <row r="6752" spans="1:13" x14ac:dyDescent="0.25">
      <c r="A6752" t="s">
        <v>14914</v>
      </c>
      <c r="B6752" t="s">
        <v>14915</v>
      </c>
      <c r="C6752" t="s">
        <v>20</v>
      </c>
      <c r="D6752" t="s">
        <v>26</v>
      </c>
      <c r="G6752" t="s">
        <v>16</v>
      </c>
      <c r="H6752">
        <v>0</v>
      </c>
      <c r="I6752" s="2" t="s">
        <v>80</v>
      </c>
      <c r="J6752" s="2" t="s">
        <v>14916</v>
      </c>
      <c r="K6752">
        <v>20</v>
      </c>
      <c r="L6752">
        <v>20</v>
      </c>
      <c r="M6752">
        <v>20</v>
      </c>
    </row>
    <row r="6753" spans="1:13" x14ac:dyDescent="0.25">
      <c r="A6753" t="s">
        <v>14917</v>
      </c>
      <c r="B6753" t="s">
        <v>14918</v>
      </c>
      <c r="C6753" t="s">
        <v>20</v>
      </c>
      <c r="D6753" t="s">
        <v>26</v>
      </c>
      <c r="G6753" t="s">
        <v>16</v>
      </c>
      <c r="H6753">
        <v>0</v>
      </c>
      <c r="I6753" s="2" t="s">
        <v>3421</v>
      </c>
      <c r="J6753" s="2" t="s">
        <v>14919</v>
      </c>
      <c r="K6753">
        <v>20</v>
      </c>
      <c r="L6753">
        <v>20</v>
      </c>
      <c r="M6753">
        <v>20</v>
      </c>
    </row>
    <row r="6754" spans="1:13" x14ac:dyDescent="0.25">
      <c r="A6754" t="s">
        <v>14920</v>
      </c>
      <c r="B6754" t="s">
        <v>14918</v>
      </c>
      <c r="C6754" t="s">
        <v>20</v>
      </c>
      <c r="D6754" t="s">
        <v>26</v>
      </c>
      <c r="G6754" t="s">
        <v>16</v>
      </c>
      <c r="H6754">
        <v>0</v>
      </c>
      <c r="I6754" s="2" t="s">
        <v>80</v>
      </c>
      <c r="J6754" s="2" t="s">
        <v>14921</v>
      </c>
      <c r="K6754">
        <v>20</v>
      </c>
      <c r="L6754">
        <v>20</v>
      </c>
      <c r="M6754">
        <v>20</v>
      </c>
    </row>
    <row r="6755" spans="1:13" x14ac:dyDescent="0.25">
      <c r="A6755" t="s">
        <v>14922</v>
      </c>
      <c r="B6755" t="s">
        <v>14923</v>
      </c>
      <c r="C6755" t="s">
        <v>20</v>
      </c>
      <c r="D6755" t="s">
        <v>26</v>
      </c>
      <c r="F6755">
        <v>1</v>
      </c>
      <c r="G6755" t="s">
        <v>16</v>
      </c>
      <c r="H6755">
        <v>0</v>
      </c>
      <c r="I6755" s="2" t="s">
        <v>3421</v>
      </c>
      <c r="J6755" s="2" t="s">
        <v>14924</v>
      </c>
      <c r="K6755">
        <v>20</v>
      </c>
      <c r="L6755">
        <v>20</v>
      </c>
      <c r="M6755">
        <v>20</v>
      </c>
    </row>
    <row r="6756" spans="1:13" x14ac:dyDescent="0.25">
      <c r="A6756" t="s">
        <v>14925</v>
      </c>
      <c r="B6756" t="s">
        <v>14923</v>
      </c>
      <c r="C6756" t="s">
        <v>20</v>
      </c>
      <c r="D6756" t="s">
        <v>26</v>
      </c>
      <c r="F6756">
        <v>3</v>
      </c>
      <c r="G6756" t="s">
        <v>16</v>
      </c>
      <c r="H6756">
        <v>0</v>
      </c>
      <c r="I6756" s="2" t="s">
        <v>99</v>
      </c>
      <c r="J6756" s="3">
        <v>127760</v>
      </c>
      <c r="K6756">
        <v>20</v>
      </c>
      <c r="L6756">
        <v>20</v>
      </c>
      <c r="M6756">
        <v>20</v>
      </c>
    </row>
    <row r="6757" spans="1:13" x14ac:dyDescent="0.25">
      <c r="A6757" t="s">
        <v>14926</v>
      </c>
      <c r="B6757" t="s">
        <v>14923</v>
      </c>
      <c r="C6757" t="s">
        <v>20</v>
      </c>
      <c r="D6757" t="s">
        <v>26</v>
      </c>
      <c r="G6757" t="s">
        <v>16</v>
      </c>
      <c r="H6757">
        <v>0</v>
      </c>
      <c r="I6757" s="2" t="s">
        <v>80</v>
      </c>
      <c r="J6757" s="2" t="s">
        <v>14927</v>
      </c>
      <c r="K6757">
        <v>20</v>
      </c>
      <c r="L6757">
        <v>20</v>
      </c>
      <c r="M6757">
        <v>20</v>
      </c>
    </row>
    <row r="6758" spans="1:13" x14ac:dyDescent="0.25">
      <c r="A6758" t="s">
        <v>14928</v>
      </c>
      <c r="B6758" t="s">
        <v>14929</v>
      </c>
      <c r="C6758" t="s">
        <v>20</v>
      </c>
      <c r="D6758" t="s">
        <v>26</v>
      </c>
      <c r="F6758">
        <v>2</v>
      </c>
      <c r="G6758" t="s">
        <v>16</v>
      </c>
      <c r="H6758">
        <v>0</v>
      </c>
      <c r="I6758" s="2" t="s">
        <v>142</v>
      </c>
      <c r="J6758" s="2">
        <v>652635</v>
      </c>
      <c r="K6758">
        <v>20</v>
      </c>
      <c r="L6758">
        <v>20</v>
      </c>
      <c r="M6758">
        <v>20</v>
      </c>
    </row>
    <row r="6759" spans="1:13" x14ac:dyDescent="0.25">
      <c r="A6759" t="s">
        <v>14930</v>
      </c>
      <c r="B6759" t="s">
        <v>14931</v>
      </c>
      <c r="C6759" t="s">
        <v>20</v>
      </c>
      <c r="D6759" t="s">
        <v>26</v>
      </c>
      <c r="G6759" t="s">
        <v>16</v>
      </c>
      <c r="H6759">
        <v>0</v>
      </c>
      <c r="I6759" s="2" t="s">
        <v>7250</v>
      </c>
      <c r="J6759" s="2" t="s">
        <v>14932</v>
      </c>
      <c r="K6759">
        <v>20</v>
      </c>
      <c r="L6759">
        <v>20</v>
      </c>
      <c r="M6759">
        <v>20</v>
      </c>
    </row>
    <row r="6760" spans="1:13" x14ac:dyDescent="0.25">
      <c r="A6760" t="s">
        <v>14933</v>
      </c>
      <c r="B6760" t="s">
        <v>14929</v>
      </c>
      <c r="C6760" t="s">
        <v>20</v>
      </c>
      <c r="D6760" t="s">
        <v>26</v>
      </c>
      <c r="F6760">
        <v>2</v>
      </c>
      <c r="G6760" t="s">
        <v>16</v>
      </c>
      <c r="H6760">
        <v>0</v>
      </c>
      <c r="I6760" s="2" t="s">
        <v>80</v>
      </c>
      <c r="J6760" s="2" t="s">
        <v>14934</v>
      </c>
      <c r="K6760">
        <v>20</v>
      </c>
      <c r="L6760">
        <v>20</v>
      </c>
      <c r="M6760">
        <v>20</v>
      </c>
    </row>
    <row r="6761" spans="1:13" x14ac:dyDescent="0.25">
      <c r="A6761" t="s">
        <v>14935</v>
      </c>
      <c r="B6761" t="s">
        <v>14936</v>
      </c>
      <c r="C6761" t="s">
        <v>20</v>
      </c>
      <c r="D6761" t="s">
        <v>26</v>
      </c>
      <c r="G6761" t="s">
        <v>16</v>
      </c>
      <c r="H6761">
        <v>0</v>
      </c>
      <c r="I6761" s="2" t="s">
        <v>142</v>
      </c>
      <c r="J6761" s="2">
        <v>652636</v>
      </c>
      <c r="K6761">
        <v>20</v>
      </c>
      <c r="L6761">
        <v>20</v>
      </c>
      <c r="M6761">
        <v>20</v>
      </c>
    </row>
    <row r="6762" spans="1:13" x14ac:dyDescent="0.25">
      <c r="A6762" t="s">
        <v>14937</v>
      </c>
      <c r="B6762" t="s">
        <v>14936</v>
      </c>
      <c r="C6762" t="s">
        <v>20</v>
      </c>
      <c r="D6762" t="s">
        <v>26</v>
      </c>
      <c r="G6762" t="s">
        <v>16</v>
      </c>
      <c r="H6762">
        <v>0</v>
      </c>
      <c r="I6762" s="2" t="s">
        <v>3421</v>
      </c>
      <c r="J6762" s="2" t="s">
        <v>14938</v>
      </c>
      <c r="K6762">
        <v>20</v>
      </c>
      <c r="L6762">
        <v>20</v>
      </c>
      <c r="M6762">
        <v>20</v>
      </c>
    </row>
    <row r="6763" spans="1:13" x14ac:dyDescent="0.25">
      <c r="A6763" t="s">
        <v>14939</v>
      </c>
      <c r="B6763" t="s">
        <v>14936</v>
      </c>
      <c r="C6763" t="s">
        <v>20</v>
      </c>
      <c r="D6763" t="s">
        <v>26</v>
      </c>
      <c r="G6763" t="s">
        <v>16</v>
      </c>
      <c r="H6763">
        <v>0</v>
      </c>
      <c r="I6763" s="2" t="s">
        <v>92</v>
      </c>
      <c r="J6763" s="2" t="str">
        <f>"026327P"</f>
        <v>026327P</v>
      </c>
      <c r="K6763">
        <v>20</v>
      </c>
      <c r="L6763">
        <v>20</v>
      </c>
      <c r="M6763">
        <v>20</v>
      </c>
    </row>
    <row r="6764" spans="1:13" x14ac:dyDescent="0.25">
      <c r="A6764" t="s">
        <v>14940</v>
      </c>
      <c r="B6764" t="s">
        <v>14936</v>
      </c>
      <c r="C6764" t="s">
        <v>20</v>
      </c>
      <c r="D6764" t="s">
        <v>26</v>
      </c>
      <c r="F6764">
        <v>1</v>
      </c>
      <c r="G6764" t="s">
        <v>16</v>
      </c>
      <c r="H6764">
        <v>0</v>
      </c>
      <c r="I6764" s="2" t="s">
        <v>99</v>
      </c>
      <c r="J6764" s="3">
        <v>413090</v>
      </c>
      <c r="K6764">
        <v>20</v>
      </c>
      <c r="L6764">
        <v>20</v>
      </c>
      <c r="M6764">
        <v>20</v>
      </c>
    </row>
    <row r="6765" spans="1:13" x14ac:dyDescent="0.25">
      <c r="A6765" t="s">
        <v>14941</v>
      </c>
      <c r="B6765" t="s">
        <v>14936</v>
      </c>
      <c r="C6765" t="s">
        <v>20</v>
      </c>
      <c r="D6765" t="s">
        <v>26</v>
      </c>
      <c r="F6765">
        <v>3</v>
      </c>
      <c r="G6765" t="s">
        <v>16</v>
      </c>
      <c r="H6765">
        <v>0</v>
      </c>
      <c r="I6765" s="2" t="s">
        <v>80</v>
      </c>
      <c r="J6765" s="2" t="s">
        <v>14942</v>
      </c>
      <c r="K6765">
        <v>20</v>
      </c>
      <c r="L6765">
        <v>20</v>
      </c>
      <c r="M6765">
        <v>20</v>
      </c>
    </row>
    <row r="6766" spans="1:13" x14ac:dyDescent="0.25">
      <c r="A6766" t="s">
        <v>14943</v>
      </c>
      <c r="B6766" t="s">
        <v>14944</v>
      </c>
      <c r="C6766" t="s">
        <v>20</v>
      </c>
      <c r="D6766" t="s">
        <v>26</v>
      </c>
      <c r="F6766">
        <v>3</v>
      </c>
      <c r="G6766" t="s">
        <v>16</v>
      </c>
      <c r="H6766">
        <v>0</v>
      </c>
      <c r="I6766" s="2" t="s">
        <v>142</v>
      </c>
      <c r="J6766" s="2">
        <v>652669</v>
      </c>
      <c r="K6766">
        <v>20</v>
      </c>
      <c r="L6766">
        <v>20</v>
      </c>
      <c r="M6766">
        <v>20</v>
      </c>
    </row>
    <row r="6767" spans="1:13" x14ac:dyDescent="0.25">
      <c r="A6767" t="s">
        <v>14945</v>
      </c>
      <c r="B6767" t="s">
        <v>14944</v>
      </c>
      <c r="C6767" t="s">
        <v>20</v>
      </c>
      <c r="D6767" t="s">
        <v>26</v>
      </c>
      <c r="F6767">
        <v>2</v>
      </c>
      <c r="G6767" t="s">
        <v>16</v>
      </c>
      <c r="H6767">
        <v>0</v>
      </c>
      <c r="I6767" s="2" t="s">
        <v>3421</v>
      </c>
      <c r="J6767" s="2" t="s">
        <v>14946</v>
      </c>
      <c r="K6767">
        <v>20</v>
      </c>
      <c r="L6767">
        <v>20</v>
      </c>
      <c r="M6767">
        <v>20</v>
      </c>
    </row>
    <row r="6768" spans="1:13" x14ac:dyDescent="0.25">
      <c r="A6768" t="s">
        <v>14947</v>
      </c>
      <c r="B6768" t="s">
        <v>14944</v>
      </c>
      <c r="C6768" t="s">
        <v>20</v>
      </c>
      <c r="D6768" t="s">
        <v>26</v>
      </c>
      <c r="G6768" t="s">
        <v>16</v>
      </c>
      <c r="H6768">
        <v>0</v>
      </c>
      <c r="I6768" s="2" t="s">
        <v>92</v>
      </c>
      <c r="J6768" s="2" t="str">
        <f>"023999P"</f>
        <v>023999P</v>
      </c>
      <c r="K6768">
        <v>20</v>
      </c>
      <c r="L6768">
        <v>20</v>
      </c>
      <c r="M6768">
        <v>20</v>
      </c>
    </row>
    <row r="6769" spans="1:13" x14ac:dyDescent="0.25">
      <c r="A6769" t="s">
        <v>14948</v>
      </c>
      <c r="B6769" t="s">
        <v>14944</v>
      </c>
      <c r="C6769" t="s">
        <v>20</v>
      </c>
      <c r="D6769" t="s">
        <v>26</v>
      </c>
      <c r="F6769">
        <v>2</v>
      </c>
      <c r="G6769" t="s">
        <v>16</v>
      </c>
      <c r="H6769">
        <v>0</v>
      </c>
      <c r="I6769" s="2" t="s">
        <v>97</v>
      </c>
      <c r="J6769" s="3">
        <v>409880</v>
      </c>
      <c r="K6769">
        <v>20</v>
      </c>
      <c r="L6769">
        <v>20</v>
      </c>
      <c r="M6769">
        <v>20</v>
      </c>
    </row>
    <row r="6770" spans="1:13" x14ac:dyDescent="0.25">
      <c r="A6770" t="s">
        <v>14949</v>
      </c>
      <c r="B6770" t="s">
        <v>14944</v>
      </c>
      <c r="C6770" t="s">
        <v>20</v>
      </c>
      <c r="D6770" t="s">
        <v>26</v>
      </c>
      <c r="G6770" t="s">
        <v>16</v>
      </c>
      <c r="H6770">
        <v>0</v>
      </c>
      <c r="I6770" s="2" t="s">
        <v>174</v>
      </c>
      <c r="J6770" s="2" t="s">
        <v>14950</v>
      </c>
      <c r="K6770">
        <v>20</v>
      </c>
      <c r="L6770">
        <v>20</v>
      </c>
      <c r="M6770">
        <v>20</v>
      </c>
    </row>
    <row r="6771" spans="1:13" x14ac:dyDescent="0.25">
      <c r="A6771" t="s">
        <v>14951</v>
      </c>
      <c r="B6771" t="s">
        <v>14944</v>
      </c>
      <c r="C6771" t="s">
        <v>20</v>
      </c>
      <c r="D6771" t="s">
        <v>26</v>
      </c>
      <c r="F6771">
        <v>1</v>
      </c>
      <c r="G6771" t="s">
        <v>16</v>
      </c>
      <c r="H6771">
        <v>0</v>
      </c>
      <c r="I6771" s="2" t="s">
        <v>165</v>
      </c>
      <c r="J6771" s="2">
        <v>201322</v>
      </c>
      <c r="K6771">
        <v>20</v>
      </c>
      <c r="L6771">
        <v>20</v>
      </c>
      <c r="M6771">
        <v>20</v>
      </c>
    </row>
    <row r="6772" spans="1:13" x14ac:dyDescent="0.25">
      <c r="A6772" t="s">
        <v>14952</v>
      </c>
      <c r="B6772" t="s">
        <v>14944</v>
      </c>
      <c r="C6772" t="s">
        <v>20</v>
      </c>
      <c r="D6772" t="s">
        <v>26</v>
      </c>
      <c r="F6772">
        <v>3</v>
      </c>
      <c r="G6772" t="s">
        <v>16</v>
      </c>
      <c r="H6772">
        <v>0</v>
      </c>
      <c r="I6772" s="2" t="s">
        <v>80</v>
      </c>
      <c r="J6772" s="2" t="s">
        <v>14953</v>
      </c>
      <c r="K6772">
        <v>20</v>
      </c>
      <c r="L6772">
        <v>20</v>
      </c>
      <c r="M6772">
        <v>20</v>
      </c>
    </row>
    <row r="6773" spans="1:13" x14ac:dyDescent="0.25">
      <c r="A6773" t="s">
        <v>14954</v>
      </c>
      <c r="B6773" t="s">
        <v>14955</v>
      </c>
      <c r="C6773" t="s">
        <v>151</v>
      </c>
      <c r="G6773" t="s">
        <v>16</v>
      </c>
      <c r="H6773">
        <v>0</v>
      </c>
      <c r="I6773" s="2" t="s">
        <v>13768</v>
      </c>
      <c r="J6773" s="2" t="s">
        <v>14956</v>
      </c>
      <c r="K6773">
        <v>20</v>
      </c>
      <c r="L6773">
        <v>20</v>
      </c>
      <c r="M6773">
        <v>20</v>
      </c>
    </row>
    <row r="6774" spans="1:13" x14ac:dyDescent="0.25">
      <c r="A6774" t="s">
        <v>14957</v>
      </c>
      <c r="B6774" t="s">
        <v>14958</v>
      </c>
      <c r="C6774" t="s">
        <v>151</v>
      </c>
      <c r="G6774" t="s">
        <v>16</v>
      </c>
      <c r="H6774">
        <v>0</v>
      </c>
      <c r="I6774" s="2" t="s">
        <v>13768</v>
      </c>
      <c r="J6774" s="2" t="s">
        <v>14959</v>
      </c>
      <c r="K6774">
        <v>20</v>
      </c>
      <c r="L6774">
        <v>20</v>
      </c>
      <c r="M6774">
        <v>20</v>
      </c>
    </row>
    <row r="6775" spans="1:13" x14ac:dyDescent="0.25">
      <c r="A6775" t="s">
        <v>14960</v>
      </c>
      <c r="B6775" t="s">
        <v>14961</v>
      </c>
      <c r="C6775" t="s">
        <v>151</v>
      </c>
      <c r="F6775">
        <v>1</v>
      </c>
      <c r="G6775" t="s">
        <v>16</v>
      </c>
      <c r="H6775">
        <v>0</v>
      </c>
      <c r="I6775" s="2" t="s">
        <v>1543</v>
      </c>
      <c r="J6775" s="2" t="s">
        <v>14962</v>
      </c>
      <c r="K6775">
        <v>20</v>
      </c>
      <c r="L6775">
        <v>20</v>
      </c>
      <c r="M6775">
        <v>20</v>
      </c>
    </row>
    <row r="6776" spans="1:13" x14ac:dyDescent="0.25">
      <c r="A6776" t="s">
        <v>14963</v>
      </c>
      <c r="B6776" t="s">
        <v>14964</v>
      </c>
      <c r="C6776" t="s">
        <v>151</v>
      </c>
      <c r="F6776">
        <v>1</v>
      </c>
      <c r="G6776" t="s">
        <v>16</v>
      </c>
      <c r="H6776">
        <v>0</v>
      </c>
      <c r="I6776" s="2" t="s">
        <v>1543</v>
      </c>
      <c r="J6776" s="2" t="s">
        <v>14965</v>
      </c>
      <c r="K6776">
        <v>20</v>
      </c>
      <c r="L6776">
        <v>20</v>
      </c>
      <c r="M6776">
        <v>20</v>
      </c>
    </row>
    <row r="6777" spans="1:13" x14ac:dyDescent="0.25">
      <c r="A6777" t="s">
        <v>14966</v>
      </c>
      <c r="B6777" t="s">
        <v>14968</v>
      </c>
      <c r="C6777" t="s">
        <v>151</v>
      </c>
      <c r="G6777" t="s">
        <v>16</v>
      </c>
      <c r="H6777">
        <v>0</v>
      </c>
      <c r="I6777" s="2" t="s">
        <v>14696</v>
      </c>
      <c r="J6777" s="2" t="s">
        <v>14967</v>
      </c>
      <c r="K6777">
        <v>20</v>
      </c>
      <c r="L6777">
        <v>20</v>
      </c>
      <c r="M6777">
        <v>20</v>
      </c>
    </row>
    <row r="6778" spans="1:13" x14ac:dyDescent="0.25">
      <c r="A6778" t="s">
        <v>14969</v>
      </c>
      <c r="B6778" t="s">
        <v>14970</v>
      </c>
      <c r="C6778" t="s">
        <v>151</v>
      </c>
      <c r="F6778">
        <v>1</v>
      </c>
      <c r="G6778" t="s">
        <v>16</v>
      </c>
      <c r="H6778">
        <v>0</v>
      </c>
      <c r="I6778" s="2" t="s">
        <v>1543</v>
      </c>
      <c r="J6778" s="2" t="s">
        <v>14971</v>
      </c>
      <c r="K6778">
        <v>20</v>
      </c>
      <c r="L6778">
        <v>20</v>
      </c>
      <c r="M6778">
        <v>20</v>
      </c>
    </row>
    <row r="6779" spans="1:13" x14ac:dyDescent="0.25">
      <c r="A6779" t="s">
        <v>14972</v>
      </c>
      <c r="B6779" t="s">
        <v>14973</v>
      </c>
      <c r="C6779" t="s">
        <v>151</v>
      </c>
      <c r="F6779">
        <v>1</v>
      </c>
      <c r="G6779" t="s">
        <v>16</v>
      </c>
      <c r="H6779">
        <v>0</v>
      </c>
      <c r="I6779" s="2" t="s">
        <v>1745</v>
      </c>
      <c r="J6779" s="2">
        <v>18211032</v>
      </c>
      <c r="K6779">
        <v>20</v>
      </c>
      <c r="L6779">
        <v>20</v>
      </c>
      <c r="M6779">
        <v>20</v>
      </c>
    </row>
    <row r="6780" spans="1:13" x14ac:dyDescent="0.25">
      <c r="A6780" t="s">
        <v>14974</v>
      </c>
      <c r="B6780" t="s">
        <v>14975</v>
      </c>
      <c r="C6780" t="s">
        <v>151</v>
      </c>
      <c r="G6780" t="s">
        <v>16</v>
      </c>
      <c r="H6780">
        <v>0</v>
      </c>
      <c r="I6780" s="2" t="s">
        <v>13768</v>
      </c>
      <c r="J6780" s="2" t="s">
        <v>14976</v>
      </c>
      <c r="K6780">
        <v>20</v>
      </c>
      <c r="L6780">
        <v>20</v>
      </c>
      <c r="M6780">
        <v>20</v>
      </c>
    </row>
    <row r="6781" spans="1:13" x14ac:dyDescent="0.25">
      <c r="A6781" t="s">
        <v>14977</v>
      </c>
      <c r="B6781" t="s">
        <v>14978</v>
      </c>
      <c r="C6781" t="s">
        <v>151</v>
      </c>
      <c r="G6781" t="s">
        <v>16</v>
      </c>
      <c r="H6781">
        <v>0</v>
      </c>
      <c r="I6781" s="2" t="s">
        <v>14979</v>
      </c>
      <c r="J6781" s="2" t="s">
        <v>14980</v>
      </c>
      <c r="K6781">
        <v>20</v>
      </c>
      <c r="L6781">
        <v>20</v>
      </c>
      <c r="M6781">
        <v>20</v>
      </c>
    </row>
    <row r="6782" spans="1:13" x14ac:dyDescent="0.25">
      <c r="A6782" t="s">
        <v>14981</v>
      </c>
      <c r="B6782" t="s">
        <v>14982</v>
      </c>
      <c r="C6782" t="s">
        <v>540</v>
      </c>
      <c r="F6782">
        <v>1</v>
      </c>
      <c r="G6782" t="s">
        <v>16</v>
      </c>
      <c r="H6782">
        <v>0</v>
      </c>
      <c r="I6782" s="2" t="s">
        <v>87</v>
      </c>
      <c r="J6782" s="2" t="s">
        <v>14983</v>
      </c>
      <c r="K6782">
        <v>20</v>
      </c>
      <c r="L6782">
        <v>20</v>
      </c>
      <c r="M6782">
        <v>20</v>
      </c>
    </row>
    <row r="6783" spans="1:13" x14ac:dyDescent="0.25">
      <c r="A6783" t="s">
        <v>14984</v>
      </c>
      <c r="B6783" t="s">
        <v>14985</v>
      </c>
      <c r="C6783" t="s">
        <v>540</v>
      </c>
      <c r="F6783">
        <v>1</v>
      </c>
      <c r="G6783" t="s">
        <v>16</v>
      </c>
      <c r="H6783">
        <v>0</v>
      </c>
      <c r="I6783" s="2" t="s">
        <v>162</v>
      </c>
      <c r="J6783" s="2">
        <v>941820</v>
      </c>
      <c r="K6783">
        <v>20</v>
      </c>
      <c r="L6783">
        <v>20</v>
      </c>
      <c r="M6783">
        <v>20</v>
      </c>
    </row>
    <row r="6784" spans="1:13" x14ac:dyDescent="0.25">
      <c r="A6784" t="s">
        <v>14986</v>
      </c>
      <c r="B6784" t="s">
        <v>14988</v>
      </c>
      <c r="C6784" t="s">
        <v>241</v>
      </c>
      <c r="D6784" t="s">
        <v>244</v>
      </c>
      <c r="F6784">
        <v>1</v>
      </c>
      <c r="G6784" t="s">
        <v>16</v>
      </c>
      <c r="H6784">
        <v>0</v>
      </c>
      <c r="I6784" s="2" t="s">
        <v>2987</v>
      </c>
      <c r="J6784" s="2" t="s">
        <v>14987</v>
      </c>
      <c r="K6784">
        <v>20</v>
      </c>
      <c r="L6784">
        <v>20</v>
      </c>
      <c r="M6784">
        <v>20</v>
      </c>
    </row>
    <row r="6785" spans="1:13" x14ac:dyDescent="0.25">
      <c r="A6785" t="s">
        <v>14989</v>
      </c>
      <c r="B6785" t="s">
        <v>14990</v>
      </c>
      <c r="C6785" t="s">
        <v>241</v>
      </c>
      <c r="D6785" t="s">
        <v>244</v>
      </c>
      <c r="G6785" t="s">
        <v>16</v>
      </c>
      <c r="H6785">
        <v>0</v>
      </c>
      <c r="I6785" s="2" t="s">
        <v>245</v>
      </c>
      <c r="J6785" s="2" t="s">
        <v>14991</v>
      </c>
      <c r="K6785">
        <v>20</v>
      </c>
      <c r="L6785">
        <v>20</v>
      </c>
      <c r="M6785">
        <v>20</v>
      </c>
    </row>
    <row r="6786" spans="1:13" x14ac:dyDescent="0.25">
      <c r="A6786" t="s">
        <v>14992</v>
      </c>
      <c r="B6786" t="s">
        <v>14993</v>
      </c>
      <c r="C6786" t="s">
        <v>241</v>
      </c>
      <c r="G6786" t="s">
        <v>16</v>
      </c>
      <c r="H6786">
        <v>0</v>
      </c>
      <c r="I6786" s="2" t="s">
        <v>245</v>
      </c>
      <c r="J6786" s="2" t="s">
        <v>14994</v>
      </c>
      <c r="K6786">
        <v>20</v>
      </c>
      <c r="L6786">
        <v>20</v>
      </c>
      <c r="M6786">
        <v>20</v>
      </c>
    </row>
    <row r="6787" spans="1:13" x14ac:dyDescent="0.25">
      <c r="A6787" t="s">
        <v>14995</v>
      </c>
      <c r="B6787" t="s">
        <v>14993</v>
      </c>
      <c r="C6787" t="s">
        <v>241</v>
      </c>
      <c r="D6787" t="s">
        <v>262</v>
      </c>
      <c r="G6787" t="s">
        <v>16</v>
      </c>
      <c r="H6787">
        <v>0</v>
      </c>
      <c r="I6787" s="2" t="s">
        <v>737</v>
      </c>
      <c r="J6787" s="2" t="s">
        <v>14996</v>
      </c>
      <c r="K6787">
        <v>20</v>
      </c>
      <c r="L6787">
        <v>20</v>
      </c>
      <c r="M6787">
        <v>20</v>
      </c>
    </row>
    <row r="6788" spans="1:13" x14ac:dyDescent="0.25">
      <c r="A6788" t="s">
        <v>14997</v>
      </c>
      <c r="B6788" t="s">
        <v>14998</v>
      </c>
      <c r="C6788" t="s">
        <v>241</v>
      </c>
      <c r="D6788" t="s">
        <v>262</v>
      </c>
      <c r="G6788" t="s">
        <v>16</v>
      </c>
      <c r="H6788">
        <v>0</v>
      </c>
      <c r="I6788" s="2" t="s">
        <v>737</v>
      </c>
      <c r="J6788" s="2" t="s">
        <v>14999</v>
      </c>
      <c r="K6788">
        <v>20</v>
      </c>
      <c r="L6788">
        <v>20</v>
      </c>
      <c r="M6788">
        <v>20</v>
      </c>
    </row>
    <row r="6789" spans="1:13" x14ac:dyDescent="0.25">
      <c r="A6789" t="s">
        <v>15000</v>
      </c>
      <c r="B6789" t="s">
        <v>15001</v>
      </c>
      <c r="C6789" t="s">
        <v>241</v>
      </c>
      <c r="G6789" t="s">
        <v>16</v>
      </c>
      <c r="H6789">
        <v>0</v>
      </c>
      <c r="I6789" s="2" t="s">
        <v>245</v>
      </c>
      <c r="J6789" s="2" t="s">
        <v>15002</v>
      </c>
      <c r="K6789">
        <v>20</v>
      </c>
      <c r="L6789">
        <v>20</v>
      </c>
      <c r="M6789">
        <v>20</v>
      </c>
    </row>
    <row r="6790" spans="1:13" x14ac:dyDescent="0.25">
      <c r="A6790" t="s">
        <v>15003</v>
      </c>
      <c r="B6790" t="s">
        <v>15004</v>
      </c>
      <c r="C6790" t="s">
        <v>20</v>
      </c>
      <c r="F6790">
        <v>2</v>
      </c>
      <c r="G6790" t="s">
        <v>16</v>
      </c>
      <c r="H6790">
        <v>0</v>
      </c>
      <c r="I6790" s="2" t="s">
        <v>500</v>
      </c>
      <c r="J6790" s="2" t="s">
        <v>15005</v>
      </c>
      <c r="K6790">
        <v>20</v>
      </c>
      <c r="L6790">
        <v>20</v>
      </c>
      <c r="M6790">
        <v>20</v>
      </c>
    </row>
    <row r="6791" spans="1:13" x14ac:dyDescent="0.25">
      <c r="A6791" t="s">
        <v>15006</v>
      </c>
      <c r="B6791" t="s">
        <v>15007</v>
      </c>
      <c r="C6791" t="s">
        <v>20</v>
      </c>
      <c r="F6791">
        <v>2</v>
      </c>
      <c r="G6791" t="s">
        <v>16</v>
      </c>
      <c r="H6791">
        <v>0</v>
      </c>
      <c r="I6791" s="2" t="s">
        <v>759</v>
      </c>
      <c r="J6791" s="2" t="s">
        <v>15008</v>
      </c>
      <c r="K6791">
        <v>20</v>
      </c>
      <c r="L6791">
        <v>20</v>
      </c>
      <c r="M6791">
        <v>20</v>
      </c>
    </row>
    <row r="6792" spans="1:13" x14ac:dyDescent="0.25">
      <c r="A6792" t="s">
        <v>15009</v>
      </c>
      <c r="B6792" t="s">
        <v>15010</v>
      </c>
      <c r="C6792" t="s">
        <v>20</v>
      </c>
      <c r="F6792">
        <v>1</v>
      </c>
      <c r="G6792" t="s">
        <v>16</v>
      </c>
      <c r="H6792">
        <v>0</v>
      </c>
      <c r="J6792" s="2">
        <v>55562503</v>
      </c>
      <c r="K6792">
        <v>20</v>
      </c>
      <c r="L6792">
        <v>20</v>
      </c>
      <c r="M6792">
        <v>20</v>
      </c>
    </row>
    <row r="6793" spans="1:13" x14ac:dyDescent="0.25">
      <c r="A6793" t="s">
        <v>15011</v>
      </c>
      <c r="B6793" t="s">
        <v>15012</v>
      </c>
      <c r="C6793" t="s">
        <v>20</v>
      </c>
      <c r="F6793">
        <v>1</v>
      </c>
      <c r="G6793" t="s">
        <v>16</v>
      </c>
      <c r="H6793">
        <v>0</v>
      </c>
      <c r="I6793" s="2" t="s">
        <v>759</v>
      </c>
      <c r="J6793" s="2" t="s">
        <v>15013</v>
      </c>
      <c r="K6793">
        <v>20</v>
      </c>
      <c r="L6793">
        <v>20</v>
      </c>
      <c r="M6793">
        <v>20</v>
      </c>
    </row>
    <row r="6794" spans="1:13" x14ac:dyDescent="0.25">
      <c r="A6794" t="s">
        <v>15014</v>
      </c>
      <c r="B6794" t="s">
        <v>15015</v>
      </c>
      <c r="C6794" t="s">
        <v>20</v>
      </c>
      <c r="F6794">
        <v>1</v>
      </c>
      <c r="G6794" t="s">
        <v>16</v>
      </c>
      <c r="H6794">
        <v>0</v>
      </c>
      <c r="I6794" s="2" t="s">
        <v>142</v>
      </c>
      <c r="J6794" s="2" t="s">
        <v>15016</v>
      </c>
      <c r="K6794">
        <v>20</v>
      </c>
      <c r="L6794">
        <v>20</v>
      </c>
      <c r="M6794">
        <v>20</v>
      </c>
    </row>
    <row r="6795" spans="1:13" x14ac:dyDescent="0.25">
      <c r="A6795" t="s">
        <v>15017</v>
      </c>
      <c r="B6795" t="s">
        <v>15018</v>
      </c>
      <c r="C6795" t="s">
        <v>20</v>
      </c>
      <c r="F6795">
        <v>1</v>
      </c>
      <c r="G6795" t="s">
        <v>16</v>
      </c>
      <c r="H6795">
        <v>0</v>
      </c>
      <c r="K6795">
        <v>20</v>
      </c>
      <c r="L6795">
        <v>20</v>
      </c>
      <c r="M6795">
        <v>20</v>
      </c>
    </row>
    <row r="6796" spans="1:13" x14ac:dyDescent="0.25">
      <c r="A6796" t="s">
        <v>15019</v>
      </c>
      <c r="B6796" t="s">
        <v>15020</v>
      </c>
      <c r="C6796" t="s">
        <v>20</v>
      </c>
      <c r="D6796" t="s">
        <v>26</v>
      </c>
      <c r="F6796">
        <v>1</v>
      </c>
      <c r="G6796" t="s">
        <v>16</v>
      </c>
      <c r="H6796">
        <v>0</v>
      </c>
      <c r="I6796" s="2" t="s">
        <v>97</v>
      </c>
      <c r="J6796" s="3">
        <v>504200</v>
      </c>
      <c r="K6796">
        <v>20</v>
      </c>
      <c r="L6796">
        <v>20</v>
      </c>
      <c r="M6796">
        <v>20</v>
      </c>
    </row>
    <row r="6797" spans="1:13" x14ac:dyDescent="0.25">
      <c r="A6797" t="s">
        <v>15021</v>
      </c>
      <c r="B6797" t="s">
        <v>15022</v>
      </c>
      <c r="C6797" t="s">
        <v>20</v>
      </c>
      <c r="D6797" t="s">
        <v>26</v>
      </c>
      <c r="F6797">
        <v>0</v>
      </c>
      <c r="G6797" t="s">
        <v>16</v>
      </c>
      <c r="H6797">
        <v>0</v>
      </c>
      <c r="I6797" s="2" t="s">
        <v>80</v>
      </c>
      <c r="J6797" s="2" t="str">
        <f>"02-37240-03"</f>
        <v>02-37240-03</v>
      </c>
      <c r="K6797">
        <v>20</v>
      </c>
      <c r="L6797">
        <v>20</v>
      </c>
      <c r="M6797">
        <v>20</v>
      </c>
    </row>
    <row r="6798" spans="1:13" x14ac:dyDescent="0.25">
      <c r="A6798" t="s">
        <v>15023</v>
      </c>
      <c r="B6798" t="s">
        <v>15024</v>
      </c>
      <c r="C6798" t="s">
        <v>20</v>
      </c>
      <c r="D6798" t="s">
        <v>26</v>
      </c>
      <c r="G6798" t="s">
        <v>16</v>
      </c>
      <c r="H6798">
        <v>0</v>
      </c>
      <c r="I6798" s="2" t="s">
        <v>99</v>
      </c>
      <c r="J6798" s="3">
        <v>545820</v>
      </c>
      <c r="K6798">
        <v>20</v>
      </c>
      <c r="L6798">
        <v>20</v>
      </c>
      <c r="M6798">
        <v>20</v>
      </c>
    </row>
    <row r="6799" spans="1:13" x14ac:dyDescent="0.25">
      <c r="A6799" t="s">
        <v>15025</v>
      </c>
      <c r="B6799" t="s">
        <v>15024</v>
      </c>
      <c r="C6799" t="s">
        <v>20</v>
      </c>
      <c r="D6799" t="s">
        <v>26</v>
      </c>
      <c r="F6799">
        <v>1</v>
      </c>
      <c r="G6799" t="s">
        <v>16</v>
      </c>
      <c r="H6799">
        <v>0</v>
      </c>
      <c r="I6799" s="2" t="s">
        <v>15026</v>
      </c>
      <c r="J6799" s="2" t="str">
        <f>"08-38431-01"</f>
        <v>08-38431-01</v>
      </c>
      <c r="K6799">
        <v>20</v>
      </c>
      <c r="L6799">
        <v>20</v>
      </c>
      <c r="M6799">
        <v>20</v>
      </c>
    </row>
    <row r="6800" spans="1:13" x14ac:dyDescent="0.25">
      <c r="A6800">
        <v>6606021</v>
      </c>
      <c r="B6800" t="s">
        <v>15027</v>
      </c>
      <c r="C6800" t="s">
        <v>1432</v>
      </c>
      <c r="F6800">
        <v>1</v>
      </c>
      <c r="G6800" t="s">
        <v>16</v>
      </c>
      <c r="H6800">
        <v>0</v>
      </c>
      <c r="I6800" s="2" t="s">
        <v>497</v>
      </c>
      <c r="J6800" s="2">
        <v>93191225</v>
      </c>
      <c r="K6800">
        <v>20</v>
      </c>
      <c r="L6800">
        <v>20</v>
      </c>
      <c r="M6800">
        <v>20</v>
      </c>
    </row>
    <row r="6801" spans="1:13" x14ac:dyDescent="0.25">
      <c r="A6801">
        <v>6606022</v>
      </c>
      <c r="B6801" t="s">
        <v>15028</v>
      </c>
      <c r="C6801" t="s">
        <v>20</v>
      </c>
      <c r="D6801" t="s">
        <v>385</v>
      </c>
      <c r="G6801" t="s">
        <v>16</v>
      </c>
      <c r="H6801">
        <v>0</v>
      </c>
      <c r="I6801" s="2" t="s">
        <v>497</v>
      </c>
      <c r="J6801" s="2">
        <v>93191271</v>
      </c>
      <c r="K6801">
        <v>20</v>
      </c>
      <c r="L6801">
        <v>20</v>
      </c>
      <c r="M6801">
        <v>20</v>
      </c>
    </row>
    <row r="6802" spans="1:13" x14ac:dyDescent="0.25">
      <c r="A6802" t="s">
        <v>15029</v>
      </c>
      <c r="B6802" t="s">
        <v>15030</v>
      </c>
      <c r="C6802" t="s">
        <v>20</v>
      </c>
      <c r="D6802" t="s">
        <v>385</v>
      </c>
      <c r="F6802">
        <v>0</v>
      </c>
      <c r="G6802" t="s">
        <v>16</v>
      </c>
      <c r="H6802">
        <v>0</v>
      </c>
      <c r="I6802" s="2" t="s">
        <v>238</v>
      </c>
      <c r="J6802" s="2">
        <v>30372</v>
      </c>
      <c r="K6802">
        <v>20</v>
      </c>
      <c r="L6802">
        <v>20</v>
      </c>
      <c r="M6802">
        <v>20</v>
      </c>
    </row>
    <row r="6803" spans="1:13" x14ac:dyDescent="0.25">
      <c r="A6803" t="s">
        <v>15031</v>
      </c>
      <c r="B6803" t="s">
        <v>15032</v>
      </c>
      <c r="C6803" t="s">
        <v>20</v>
      </c>
      <c r="D6803" t="s">
        <v>385</v>
      </c>
      <c r="G6803" t="s">
        <v>16</v>
      </c>
      <c r="H6803">
        <v>0</v>
      </c>
      <c r="I6803" s="2" t="s">
        <v>404</v>
      </c>
      <c r="J6803" s="2" t="s">
        <v>15033</v>
      </c>
      <c r="K6803">
        <v>20</v>
      </c>
      <c r="L6803">
        <v>20</v>
      </c>
      <c r="M6803">
        <v>20</v>
      </c>
    </row>
    <row r="6804" spans="1:13" x14ac:dyDescent="0.25">
      <c r="A6804" t="s">
        <v>15034</v>
      </c>
      <c r="B6804" t="s">
        <v>15035</v>
      </c>
      <c r="C6804" t="s">
        <v>20</v>
      </c>
      <c r="D6804" t="s">
        <v>385</v>
      </c>
      <c r="F6804">
        <v>1</v>
      </c>
      <c r="G6804" t="s">
        <v>16</v>
      </c>
      <c r="H6804">
        <v>0</v>
      </c>
      <c r="I6804" s="2" t="s">
        <v>64</v>
      </c>
      <c r="J6804" s="2">
        <v>12100085</v>
      </c>
      <c r="K6804">
        <v>20</v>
      </c>
      <c r="L6804">
        <v>20</v>
      </c>
      <c r="M6804">
        <v>20</v>
      </c>
    </row>
    <row r="6805" spans="1:13" x14ac:dyDescent="0.25">
      <c r="A6805" t="s">
        <v>15036</v>
      </c>
      <c r="B6805" t="s">
        <v>15032</v>
      </c>
      <c r="C6805" t="s">
        <v>20</v>
      </c>
      <c r="D6805" t="s">
        <v>385</v>
      </c>
      <c r="F6805">
        <v>0</v>
      </c>
      <c r="G6805" t="s">
        <v>16</v>
      </c>
      <c r="H6805">
        <v>0</v>
      </c>
      <c r="I6805" s="2" t="s">
        <v>395</v>
      </c>
      <c r="J6805" s="2" t="s">
        <v>15037</v>
      </c>
      <c r="K6805">
        <v>20</v>
      </c>
      <c r="L6805">
        <v>20</v>
      </c>
      <c r="M6805">
        <v>20</v>
      </c>
    </row>
    <row r="6806" spans="1:13" x14ac:dyDescent="0.25">
      <c r="A6806" t="s">
        <v>15038</v>
      </c>
      <c r="B6806" t="s">
        <v>15030</v>
      </c>
      <c r="C6806" t="s">
        <v>20</v>
      </c>
      <c r="D6806" t="s">
        <v>385</v>
      </c>
      <c r="F6806">
        <v>0</v>
      </c>
      <c r="G6806" t="s">
        <v>16</v>
      </c>
      <c r="H6806">
        <v>0</v>
      </c>
      <c r="I6806" s="2" t="s">
        <v>486</v>
      </c>
      <c r="J6806" s="2">
        <v>99130372</v>
      </c>
      <c r="K6806">
        <v>20</v>
      </c>
      <c r="L6806">
        <v>20</v>
      </c>
      <c r="M6806">
        <v>20</v>
      </c>
    </row>
    <row r="6807" spans="1:13" x14ac:dyDescent="0.25">
      <c r="A6807">
        <v>6606024</v>
      </c>
      <c r="B6807" t="s">
        <v>15039</v>
      </c>
      <c r="C6807" t="s">
        <v>20</v>
      </c>
      <c r="D6807" t="s">
        <v>385</v>
      </c>
      <c r="G6807" t="s">
        <v>16</v>
      </c>
      <c r="H6807">
        <v>0</v>
      </c>
      <c r="I6807" s="2" t="s">
        <v>497</v>
      </c>
      <c r="J6807" s="2">
        <v>95518770</v>
      </c>
      <c r="K6807">
        <v>20</v>
      </c>
      <c r="L6807">
        <v>20</v>
      </c>
      <c r="M6807">
        <v>20</v>
      </c>
    </row>
    <row r="6808" spans="1:13" x14ac:dyDescent="0.25">
      <c r="A6808" t="s">
        <v>15040</v>
      </c>
      <c r="B6808" t="s">
        <v>15041</v>
      </c>
      <c r="C6808" t="s">
        <v>20</v>
      </c>
      <c r="D6808" t="s">
        <v>385</v>
      </c>
      <c r="G6808" t="s">
        <v>16</v>
      </c>
      <c r="H6808">
        <v>0</v>
      </c>
      <c r="I6808" s="2" t="s">
        <v>3421</v>
      </c>
      <c r="J6808" s="2" t="s">
        <v>15042</v>
      </c>
      <c r="K6808">
        <v>20</v>
      </c>
      <c r="L6808">
        <v>20</v>
      </c>
      <c r="M6808">
        <v>20</v>
      </c>
    </row>
    <row r="6809" spans="1:13" x14ac:dyDescent="0.25">
      <c r="A6809" t="s">
        <v>15043</v>
      </c>
      <c r="B6809" t="s">
        <v>15044</v>
      </c>
      <c r="C6809" t="s">
        <v>20</v>
      </c>
      <c r="D6809" t="s">
        <v>385</v>
      </c>
      <c r="F6809">
        <v>13</v>
      </c>
      <c r="G6809" t="s">
        <v>16</v>
      </c>
      <c r="H6809">
        <v>0</v>
      </c>
      <c r="I6809" s="2" t="s">
        <v>297</v>
      </c>
      <c r="J6809" s="2">
        <v>559181741</v>
      </c>
      <c r="K6809">
        <v>20</v>
      </c>
      <c r="L6809">
        <v>20</v>
      </c>
      <c r="M6809">
        <v>20</v>
      </c>
    </row>
    <row r="6810" spans="1:13" x14ac:dyDescent="0.25">
      <c r="A6810" t="s">
        <v>15045</v>
      </c>
      <c r="B6810" t="s">
        <v>15046</v>
      </c>
      <c r="C6810" t="s">
        <v>20</v>
      </c>
      <c r="G6810" t="s">
        <v>16</v>
      </c>
      <c r="H6810">
        <v>0</v>
      </c>
      <c r="I6810" s="2" t="s">
        <v>437</v>
      </c>
      <c r="J6810" s="2">
        <v>559001410</v>
      </c>
      <c r="K6810">
        <v>20</v>
      </c>
      <c r="L6810">
        <v>20</v>
      </c>
      <c r="M6810">
        <v>20</v>
      </c>
    </row>
    <row r="6811" spans="1:13" x14ac:dyDescent="0.25">
      <c r="A6811" t="s">
        <v>15047</v>
      </c>
      <c r="B6811" t="s">
        <v>15048</v>
      </c>
      <c r="C6811" t="s">
        <v>20</v>
      </c>
      <c r="D6811" t="s">
        <v>385</v>
      </c>
      <c r="F6811">
        <v>0</v>
      </c>
      <c r="G6811" t="s">
        <v>22</v>
      </c>
      <c r="H6811">
        <v>0</v>
      </c>
      <c r="I6811" s="2" t="s">
        <v>142</v>
      </c>
      <c r="J6811" s="2" t="s">
        <v>15049</v>
      </c>
      <c r="K6811">
        <v>20</v>
      </c>
      <c r="L6811">
        <v>20</v>
      </c>
      <c r="M6811">
        <v>20</v>
      </c>
    </row>
    <row r="6812" spans="1:13" x14ac:dyDescent="0.25">
      <c r="A6812" t="s">
        <v>15050</v>
      </c>
      <c r="B6812" t="s">
        <v>15051</v>
      </c>
      <c r="C6812" t="s">
        <v>496</v>
      </c>
      <c r="F6812">
        <v>2</v>
      </c>
      <c r="G6812" t="s">
        <v>16</v>
      </c>
      <c r="H6812">
        <v>0</v>
      </c>
      <c r="I6812" s="2" t="s">
        <v>2533</v>
      </c>
      <c r="J6812" s="2" t="s">
        <v>15052</v>
      </c>
      <c r="K6812">
        <v>20</v>
      </c>
      <c r="L6812">
        <v>20</v>
      </c>
      <c r="M6812">
        <v>20</v>
      </c>
    </row>
    <row r="6813" spans="1:13" x14ac:dyDescent="0.25">
      <c r="A6813" t="s">
        <v>15053</v>
      </c>
      <c r="B6813" t="s">
        <v>15051</v>
      </c>
      <c r="C6813" t="s">
        <v>496</v>
      </c>
      <c r="G6813" t="s">
        <v>16</v>
      </c>
      <c r="H6813">
        <v>0</v>
      </c>
      <c r="I6813" s="2" t="s">
        <v>5040</v>
      </c>
      <c r="J6813" s="2" t="s">
        <v>15054</v>
      </c>
      <c r="K6813">
        <v>20</v>
      </c>
      <c r="L6813">
        <v>20</v>
      </c>
      <c r="M6813">
        <v>20</v>
      </c>
    </row>
    <row r="6814" spans="1:13" x14ac:dyDescent="0.25">
      <c r="A6814" t="s">
        <v>15055</v>
      </c>
      <c r="B6814" t="s">
        <v>15056</v>
      </c>
      <c r="C6814" t="s">
        <v>496</v>
      </c>
      <c r="F6814">
        <v>4</v>
      </c>
      <c r="G6814" t="s">
        <v>16</v>
      </c>
      <c r="H6814">
        <v>0</v>
      </c>
      <c r="I6814" s="2" t="s">
        <v>2533</v>
      </c>
      <c r="J6814" s="2" t="s">
        <v>15057</v>
      </c>
      <c r="K6814">
        <v>20</v>
      </c>
      <c r="L6814">
        <v>20</v>
      </c>
      <c r="M6814">
        <v>20</v>
      </c>
    </row>
    <row r="6815" spans="1:13" x14ac:dyDescent="0.25">
      <c r="A6815" t="s">
        <v>15058</v>
      </c>
      <c r="B6815" t="s">
        <v>15056</v>
      </c>
      <c r="C6815" t="s">
        <v>2493</v>
      </c>
      <c r="G6815" t="s">
        <v>16</v>
      </c>
      <c r="H6815">
        <v>0</v>
      </c>
      <c r="I6815" s="2" t="s">
        <v>5040</v>
      </c>
      <c r="J6815" s="2" t="s">
        <v>15059</v>
      </c>
      <c r="K6815">
        <v>20</v>
      </c>
      <c r="L6815">
        <v>20</v>
      </c>
      <c r="M6815">
        <v>20</v>
      </c>
    </row>
    <row r="6816" spans="1:13" x14ac:dyDescent="0.25">
      <c r="A6816" t="s">
        <v>15060</v>
      </c>
      <c r="B6816" t="s">
        <v>15061</v>
      </c>
      <c r="C6816" t="s">
        <v>1432</v>
      </c>
      <c r="G6816" t="s">
        <v>16</v>
      </c>
      <c r="H6816">
        <v>0</v>
      </c>
      <c r="I6816" s="2" t="s">
        <v>5677</v>
      </c>
      <c r="J6816" s="2">
        <v>621304509</v>
      </c>
      <c r="K6816">
        <v>20</v>
      </c>
      <c r="L6816">
        <v>20</v>
      </c>
      <c r="M6816">
        <v>20</v>
      </c>
    </row>
    <row r="6817" spans="1:13" x14ac:dyDescent="0.25">
      <c r="A6817" t="s">
        <v>15062</v>
      </c>
      <c r="B6817" t="s">
        <v>15061</v>
      </c>
      <c r="C6817" t="s">
        <v>1432</v>
      </c>
      <c r="F6817">
        <v>2</v>
      </c>
      <c r="G6817" t="s">
        <v>16</v>
      </c>
      <c r="H6817">
        <v>0</v>
      </c>
      <c r="I6817" s="2" t="s">
        <v>1433</v>
      </c>
      <c r="J6817" s="2">
        <v>587889</v>
      </c>
      <c r="K6817">
        <v>20</v>
      </c>
      <c r="L6817">
        <v>20</v>
      </c>
      <c r="M6817">
        <v>20</v>
      </c>
    </row>
    <row r="6818" spans="1:13" x14ac:dyDescent="0.25">
      <c r="A6818" t="s">
        <v>15063</v>
      </c>
      <c r="B6818" t="s">
        <v>15061</v>
      </c>
      <c r="C6818" t="s">
        <v>1432</v>
      </c>
      <c r="F6818">
        <v>1</v>
      </c>
      <c r="G6818" t="s">
        <v>16</v>
      </c>
      <c r="H6818">
        <v>0</v>
      </c>
      <c r="I6818" s="2" t="s">
        <v>5688</v>
      </c>
      <c r="J6818" s="2">
        <v>3000951064</v>
      </c>
      <c r="K6818">
        <v>20</v>
      </c>
      <c r="L6818">
        <v>20</v>
      </c>
      <c r="M6818">
        <v>20</v>
      </c>
    </row>
    <row r="6819" spans="1:13" x14ac:dyDescent="0.25">
      <c r="A6819" t="s">
        <v>15064</v>
      </c>
      <c r="B6819" t="s">
        <v>15061</v>
      </c>
      <c r="C6819" t="s">
        <v>1432</v>
      </c>
      <c r="F6819">
        <v>0</v>
      </c>
      <c r="G6819" t="s">
        <v>16</v>
      </c>
      <c r="H6819">
        <v>0</v>
      </c>
      <c r="I6819" s="2" t="s">
        <v>854</v>
      </c>
      <c r="J6819" s="2">
        <v>877019</v>
      </c>
      <c r="K6819">
        <v>20</v>
      </c>
      <c r="L6819">
        <v>20</v>
      </c>
      <c r="M6819">
        <v>20</v>
      </c>
    </row>
    <row r="6820" spans="1:13" x14ac:dyDescent="0.25">
      <c r="A6820" t="s">
        <v>15065</v>
      </c>
      <c r="B6820" t="s">
        <v>15066</v>
      </c>
      <c r="C6820" t="s">
        <v>1432</v>
      </c>
      <c r="F6820">
        <v>4</v>
      </c>
      <c r="G6820" t="s">
        <v>16</v>
      </c>
      <c r="H6820">
        <v>0</v>
      </c>
      <c r="I6820" s="2" t="s">
        <v>759</v>
      </c>
      <c r="J6820" s="2" t="s">
        <v>15067</v>
      </c>
      <c r="K6820">
        <v>20</v>
      </c>
      <c r="L6820">
        <v>20</v>
      </c>
      <c r="M6820">
        <v>20</v>
      </c>
    </row>
    <row r="6821" spans="1:13" x14ac:dyDescent="0.25">
      <c r="A6821" t="s">
        <v>15068</v>
      </c>
      <c r="B6821" t="s">
        <v>15066</v>
      </c>
      <c r="C6821" t="s">
        <v>1432</v>
      </c>
      <c r="F6821">
        <v>1</v>
      </c>
      <c r="G6821" t="s">
        <v>16</v>
      </c>
      <c r="H6821">
        <v>0</v>
      </c>
      <c r="I6821" s="2" t="s">
        <v>7399</v>
      </c>
      <c r="J6821" s="2">
        <v>3151600763</v>
      </c>
      <c r="K6821">
        <v>20</v>
      </c>
      <c r="L6821">
        <v>20</v>
      </c>
      <c r="M6821">
        <v>20</v>
      </c>
    </row>
    <row r="6822" spans="1:13" x14ac:dyDescent="0.25">
      <c r="A6822" t="s">
        <v>15069</v>
      </c>
      <c r="B6822" t="s">
        <v>15066</v>
      </c>
      <c r="C6822" t="s">
        <v>1432</v>
      </c>
      <c r="G6822" t="s">
        <v>16</v>
      </c>
      <c r="H6822">
        <v>0</v>
      </c>
      <c r="I6822" s="2" t="s">
        <v>165</v>
      </c>
      <c r="J6822" s="2">
        <v>201339</v>
      </c>
      <c r="K6822">
        <v>20</v>
      </c>
      <c r="L6822">
        <v>20</v>
      </c>
      <c r="M6822">
        <v>20</v>
      </c>
    </row>
    <row r="6823" spans="1:13" x14ac:dyDescent="0.25">
      <c r="A6823" t="s">
        <v>15070</v>
      </c>
      <c r="B6823" t="s">
        <v>15072</v>
      </c>
      <c r="C6823" t="s">
        <v>1432</v>
      </c>
      <c r="G6823" t="s">
        <v>16</v>
      </c>
      <c r="H6823">
        <v>0</v>
      </c>
      <c r="I6823" s="2" t="s">
        <v>1713</v>
      </c>
      <c r="J6823" s="2" t="s">
        <v>15071</v>
      </c>
      <c r="K6823">
        <v>20</v>
      </c>
      <c r="L6823">
        <v>20</v>
      </c>
      <c r="M6823">
        <v>20</v>
      </c>
    </row>
    <row r="6824" spans="1:13" x14ac:dyDescent="0.25">
      <c r="A6824" t="s">
        <v>15073</v>
      </c>
      <c r="B6824" t="s">
        <v>15072</v>
      </c>
      <c r="C6824" t="s">
        <v>1432</v>
      </c>
      <c r="F6824">
        <v>1</v>
      </c>
      <c r="G6824" t="s">
        <v>16</v>
      </c>
      <c r="H6824">
        <v>0</v>
      </c>
      <c r="I6824" s="2" t="s">
        <v>10984</v>
      </c>
      <c r="J6824" s="2">
        <v>30211014</v>
      </c>
      <c r="K6824">
        <v>20</v>
      </c>
      <c r="L6824">
        <v>20</v>
      </c>
      <c r="M6824">
        <v>20</v>
      </c>
    </row>
    <row r="6825" spans="1:13" x14ac:dyDescent="0.25">
      <c r="A6825" t="s">
        <v>15074</v>
      </c>
      <c r="B6825" t="s">
        <v>15076</v>
      </c>
      <c r="C6825" t="s">
        <v>1432</v>
      </c>
      <c r="D6825" t="s">
        <v>7530</v>
      </c>
      <c r="G6825" t="s">
        <v>16</v>
      </c>
      <c r="H6825">
        <v>0</v>
      </c>
      <c r="I6825" s="2" t="s">
        <v>1723</v>
      </c>
      <c r="J6825" s="2" t="s">
        <v>15075</v>
      </c>
      <c r="K6825">
        <v>20</v>
      </c>
      <c r="L6825">
        <v>20</v>
      </c>
      <c r="M6825">
        <v>20</v>
      </c>
    </row>
    <row r="6826" spans="1:13" x14ac:dyDescent="0.25">
      <c r="A6826" t="s">
        <v>15077</v>
      </c>
      <c r="B6826" t="s">
        <v>15076</v>
      </c>
      <c r="C6826" t="s">
        <v>1432</v>
      </c>
      <c r="G6826" t="s">
        <v>16</v>
      </c>
      <c r="H6826">
        <v>0</v>
      </c>
      <c r="I6826" s="2" t="s">
        <v>500</v>
      </c>
      <c r="J6826" s="2" t="s">
        <v>15078</v>
      </c>
      <c r="K6826">
        <v>20</v>
      </c>
      <c r="L6826">
        <v>20</v>
      </c>
      <c r="M6826">
        <v>20</v>
      </c>
    </row>
    <row r="6827" spans="1:13" x14ac:dyDescent="0.25">
      <c r="A6827" t="s">
        <v>15079</v>
      </c>
      <c r="B6827" t="s">
        <v>15076</v>
      </c>
      <c r="C6827" t="s">
        <v>1432</v>
      </c>
      <c r="D6827" t="s">
        <v>7530</v>
      </c>
      <c r="F6827">
        <v>2</v>
      </c>
      <c r="G6827" t="s">
        <v>16</v>
      </c>
      <c r="H6827">
        <v>0</v>
      </c>
      <c r="I6827" s="2" t="s">
        <v>504</v>
      </c>
      <c r="J6827" s="2" t="s">
        <v>15080</v>
      </c>
      <c r="K6827">
        <v>20</v>
      </c>
      <c r="L6827">
        <v>20</v>
      </c>
      <c r="M6827">
        <v>20</v>
      </c>
    </row>
    <row r="6828" spans="1:13" x14ac:dyDescent="0.25">
      <c r="A6828" t="s">
        <v>15081</v>
      </c>
      <c r="B6828" t="s">
        <v>15082</v>
      </c>
      <c r="C6828" t="s">
        <v>1432</v>
      </c>
      <c r="D6828" t="s">
        <v>7530</v>
      </c>
      <c r="F6828">
        <v>2</v>
      </c>
      <c r="G6828" t="s">
        <v>16</v>
      </c>
      <c r="H6828">
        <v>0</v>
      </c>
      <c r="I6828" s="2" t="s">
        <v>759</v>
      </c>
      <c r="J6828" s="2" t="s">
        <v>15083</v>
      </c>
      <c r="K6828">
        <v>20</v>
      </c>
      <c r="L6828">
        <v>20</v>
      </c>
      <c r="M6828">
        <v>20</v>
      </c>
    </row>
    <row r="6829" spans="1:13" x14ac:dyDescent="0.25">
      <c r="A6829" t="s">
        <v>15084</v>
      </c>
      <c r="B6829" t="s">
        <v>15086</v>
      </c>
      <c r="C6829" t="s">
        <v>1432</v>
      </c>
      <c r="D6829" t="s">
        <v>7530</v>
      </c>
      <c r="G6829" t="s">
        <v>16</v>
      </c>
      <c r="H6829">
        <v>0</v>
      </c>
      <c r="I6829" s="2" t="s">
        <v>1713</v>
      </c>
      <c r="J6829" s="2" t="s">
        <v>15085</v>
      </c>
      <c r="K6829">
        <v>20</v>
      </c>
      <c r="L6829">
        <v>20</v>
      </c>
      <c r="M6829">
        <v>20</v>
      </c>
    </row>
    <row r="6830" spans="1:13" x14ac:dyDescent="0.25">
      <c r="A6830" t="s">
        <v>15087</v>
      </c>
      <c r="B6830" t="s">
        <v>15089</v>
      </c>
      <c r="C6830" t="s">
        <v>1432</v>
      </c>
      <c r="D6830" t="s">
        <v>7530</v>
      </c>
      <c r="F6830">
        <v>3</v>
      </c>
      <c r="G6830" t="s">
        <v>16</v>
      </c>
      <c r="H6830">
        <v>0</v>
      </c>
      <c r="I6830" s="2" t="s">
        <v>142</v>
      </c>
      <c r="J6830" s="2" t="s">
        <v>15088</v>
      </c>
      <c r="K6830">
        <v>20</v>
      </c>
      <c r="L6830">
        <v>20</v>
      </c>
      <c r="M6830">
        <v>20</v>
      </c>
    </row>
    <row r="6831" spans="1:13" x14ac:dyDescent="0.25">
      <c r="A6831" t="s">
        <v>15090</v>
      </c>
      <c r="B6831" t="s">
        <v>15089</v>
      </c>
      <c r="C6831" t="s">
        <v>1432</v>
      </c>
      <c r="D6831" t="s">
        <v>7530</v>
      </c>
      <c r="F6831">
        <v>0</v>
      </c>
      <c r="G6831" t="s">
        <v>16</v>
      </c>
      <c r="H6831">
        <v>0</v>
      </c>
      <c r="I6831" s="2" t="s">
        <v>1713</v>
      </c>
      <c r="J6831" s="2">
        <v>5901154</v>
      </c>
      <c r="K6831">
        <v>20</v>
      </c>
      <c r="L6831">
        <v>20</v>
      </c>
      <c r="M6831">
        <v>20</v>
      </c>
    </row>
    <row r="6832" spans="1:13" x14ac:dyDescent="0.25">
      <c r="A6832" t="s">
        <v>15091</v>
      </c>
      <c r="B6832" t="s">
        <v>15092</v>
      </c>
      <c r="C6832" t="s">
        <v>1432</v>
      </c>
      <c r="D6832" t="s">
        <v>7530</v>
      </c>
      <c r="G6832" t="s">
        <v>16</v>
      </c>
      <c r="H6832">
        <v>0</v>
      </c>
      <c r="I6832" s="2" t="s">
        <v>1713</v>
      </c>
      <c r="J6832" s="2">
        <v>5901189</v>
      </c>
      <c r="K6832">
        <v>20</v>
      </c>
      <c r="L6832">
        <v>20</v>
      </c>
      <c r="M6832">
        <v>20</v>
      </c>
    </row>
    <row r="6833" spans="1:13" x14ac:dyDescent="0.25">
      <c r="A6833" t="s">
        <v>15093</v>
      </c>
      <c r="B6833" t="s">
        <v>15092</v>
      </c>
      <c r="C6833" t="s">
        <v>1432</v>
      </c>
      <c r="D6833" t="s">
        <v>7530</v>
      </c>
      <c r="G6833" t="s">
        <v>16</v>
      </c>
      <c r="H6833">
        <v>0</v>
      </c>
      <c r="I6833" s="2" t="s">
        <v>500</v>
      </c>
      <c r="J6833" s="2" t="s">
        <v>15094</v>
      </c>
      <c r="K6833">
        <v>20</v>
      </c>
      <c r="L6833">
        <v>20</v>
      </c>
      <c r="M6833">
        <v>20</v>
      </c>
    </row>
    <row r="6834" spans="1:13" x14ac:dyDescent="0.25">
      <c r="A6834" t="s">
        <v>15095</v>
      </c>
      <c r="B6834" t="s">
        <v>15092</v>
      </c>
      <c r="C6834" t="s">
        <v>1432</v>
      </c>
      <c r="D6834" t="s">
        <v>7530</v>
      </c>
      <c r="G6834" t="s">
        <v>16</v>
      </c>
      <c r="H6834">
        <v>0</v>
      </c>
      <c r="I6834" s="2" t="s">
        <v>1107</v>
      </c>
      <c r="J6834" s="2" t="s">
        <v>15096</v>
      </c>
      <c r="K6834">
        <v>20</v>
      </c>
      <c r="L6834">
        <v>20</v>
      </c>
      <c r="M6834">
        <v>20</v>
      </c>
    </row>
    <row r="6835" spans="1:13" x14ac:dyDescent="0.25">
      <c r="A6835" t="s">
        <v>15097</v>
      </c>
      <c r="B6835" t="s">
        <v>15098</v>
      </c>
      <c r="C6835" t="s">
        <v>540</v>
      </c>
      <c r="D6835" t="s">
        <v>1092</v>
      </c>
      <c r="F6835">
        <v>1</v>
      </c>
      <c r="G6835" t="s">
        <v>16</v>
      </c>
      <c r="H6835">
        <v>0</v>
      </c>
      <c r="K6835">
        <v>20</v>
      </c>
      <c r="L6835">
        <v>20</v>
      </c>
      <c r="M6835">
        <v>20</v>
      </c>
    </row>
    <row r="6836" spans="1:13" x14ac:dyDescent="0.25">
      <c r="A6836" t="s">
        <v>15099</v>
      </c>
      <c r="B6836" t="s">
        <v>15100</v>
      </c>
      <c r="C6836" t="s">
        <v>540</v>
      </c>
      <c r="D6836" t="s">
        <v>1092</v>
      </c>
      <c r="F6836">
        <v>2</v>
      </c>
      <c r="G6836" t="s">
        <v>16</v>
      </c>
      <c r="H6836">
        <v>0</v>
      </c>
      <c r="K6836">
        <v>20</v>
      </c>
      <c r="L6836">
        <v>20</v>
      </c>
      <c r="M6836">
        <v>20</v>
      </c>
    </row>
    <row r="6837" spans="1:13" x14ac:dyDescent="0.25">
      <c r="A6837" t="s">
        <v>15101</v>
      </c>
      <c r="B6837" t="s">
        <v>15102</v>
      </c>
      <c r="C6837" t="s">
        <v>540</v>
      </c>
      <c r="D6837" t="s">
        <v>1092</v>
      </c>
      <c r="F6837">
        <v>1</v>
      </c>
      <c r="G6837" t="s">
        <v>16</v>
      </c>
      <c r="H6837">
        <v>0</v>
      </c>
      <c r="K6837">
        <v>20</v>
      </c>
      <c r="L6837">
        <v>20</v>
      </c>
      <c r="M6837">
        <v>20</v>
      </c>
    </row>
    <row r="6838" spans="1:13" x14ac:dyDescent="0.25">
      <c r="A6838" t="s">
        <v>15103</v>
      </c>
      <c r="B6838" t="s">
        <v>15104</v>
      </c>
      <c r="C6838" t="s">
        <v>540</v>
      </c>
      <c r="D6838" t="s">
        <v>1092</v>
      </c>
      <c r="F6838">
        <v>2</v>
      </c>
      <c r="G6838" t="s">
        <v>16</v>
      </c>
      <c r="H6838">
        <v>0</v>
      </c>
      <c r="I6838" s="2" t="s">
        <v>1145</v>
      </c>
      <c r="J6838" s="2" t="s">
        <v>15105</v>
      </c>
      <c r="K6838">
        <v>20</v>
      </c>
      <c r="L6838">
        <v>20</v>
      </c>
      <c r="M6838">
        <v>20</v>
      </c>
    </row>
    <row r="6839" spans="1:13" x14ac:dyDescent="0.25">
      <c r="A6839" t="s">
        <v>15106</v>
      </c>
      <c r="B6839" t="s">
        <v>15104</v>
      </c>
      <c r="C6839" t="s">
        <v>540</v>
      </c>
      <c r="D6839" t="s">
        <v>1092</v>
      </c>
      <c r="F6839">
        <v>2</v>
      </c>
      <c r="G6839" t="s">
        <v>16</v>
      </c>
      <c r="H6839">
        <v>0</v>
      </c>
      <c r="K6839">
        <v>20</v>
      </c>
      <c r="L6839">
        <v>20</v>
      </c>
      <c r="M6839">
        <v>20</v>
      </c>
    </row>
    <row r="6840" spans="1:13" x14ac:dyDescent="0.25">
      <c r="A6840" t="s">
        <v>15107</v>
      </c>
      <c r="B6840" t="s">
        <v>15108</v>
      </c>
      <c r="C6840" t="s">
        <v>151</v>
      </c>
      <c r="D6840" t="s">
        <v>1092</v>
      </c>
      <c r="F6840">
        <v>0</v>
      </c>
      <c r="G6840" t="s">
        <v>16</v>
      </c>
      <c r="H6840">
        <v>0</v>
      </c>
      <c r="I6840" s="2" t="s">
        <v>1145</v>
      </c>
      <c r="J6840" s="2" t="s">
        <v>15109</v>
      </c>
      <c r="K6840">
        <v>20</v>
      </c>
      <c r="L6840">
        <v>20</v>
      </c>
      <c r="M6840">
        <v>20</v>
      </c>
    </row>
    <row r="6841" spans="1:13" x14ac:dyDescent="0.25">
      <c r="A6841" t="s">
        <v>15110</v>
      </c>
      <c r="B6841" t="s">
        <v>15111</v>
      </c>
      <c r="C6841" t="s">
        <v>151</v>
      </c>
      <c r="D6841" t="s">
        <v>1092</v>
      </c>
      <c r="F6841">
        <v>1</v>
      </c>
      <c r="G6841" t="s">
        <v>16</v>
      </c>
      <c r="H6841">
        <v>0</v>
      </c>
      <c r="I6841" s="2" t="s">
        <v>1145</v>
      </c>
      <c r="J6841" s="2" t="s">
        <v>15112</v>
      </c>
      <c r="K6841">
        <v>20</v>
      </c>
      <c r="L6841">
        <v>20</v>
      </c>
      <c r="M6841">
        <v>20</v>
      </c>
    </row>
    <row r="6842" spans="1:13" x14ac:dyDescent="0.25">
      <c r="A6842" t="s">
        <v>15113</v>
      </c>
      <c r="B6842" t="s">
        <v>15114</v>
      </c>
      <c r="C6842" t="s">
        <v>540</v>
      </c>
      <c r="D6842" t="s">
        <v>1092</v>
      </c>
      <c r="F6842">
        <v>1</v>
      </c>
      <c r="G6842" t="s">
        <v>16</v>
      </c>
      <c r="H6842">
        <v>0</v>
      </c>
      <c r="I6842" s="2" t="s">
        <v>1179</v>
      </c>
      <c r="J6842" s="2" t="s">
        <v>15115</v>
      </c>
      <c r="K6842">
        <v>20</v>
      </c>
      <c r="L6842">
        <v>20</v>
      </c>
      <c r="M6842">
        <v>20</v>
      </c>
    </row>
    <row r="6843" spans="1:13" x14ac:dyDescent="0.25">
      <c r="A6843" t="s">
        <v>15116</v>
      </c>
      <c r="B6843" t="s">
        <v>15117</v>
      </c>
      <c r="C6843" t="s">
        <v>540</v>
      </c>
      <c r="D6843" t="s">
        <v>1092</v>
      </c>
      <c r="F6843">
        <v>1</v>
      </c>
      <c r="G6843" t="s">
        <v>16</v>
      </c>
      <c r="H6843">
        <v>0</v>
      </c>
      <c r="I6843" s="2" t="s">
        <v>1145</v>
      </c>
      <c r="J6843" s="2" t="s">
        <v>15118</v>
      </c>
      <c r="K6843">
        <v>20</v>
      </c>
      <c r="L6843">
        <v>20</v>
      </c>
      <c r="M6843">
        <v>20</v>
      </c>
    </row>
    <row r="6844" spans="1:13" x14ac:dyDescent="0.25">
      <c r="A6844" t="s">
        <v>15119</v>
      </c>
      <c r="B6844" t="s">
        <v>15120</v>
      </c>
      <c r="C6844" t="s">
        <v>151</v>
      </c>
      <c r="D6844" t="s">
        <v>1092</v>
      </c>
      <c r="F6844">
        <v>1</v>
      </c>
      <c r="G6844" t="s">
        <v>16</v>
      </c>
      <c r="H6844">
        <v>0</v>
      </c>
      <c r="I6844" s="2" t="s">
        <v>1107</v>
      </c>
      <c r="J6844" s="2" t="s">
        <v>15121</v>
      </c>
      <c r="K6844">
        <v>20</v>
      </c>
      <c r="L6844">
        <v>20</v>
      </c>
      <c r="M6844">
        <v>20</v>
      </c>
    </row>
    <row r="6845" spans="1:13" x14ac:dyDescent="0.25">
      <c r="A6845" t="s">
        <v>15122</v>
      </c>
      <c r="B6845" t="s">
        <v>15123</v>
      </c>
      <c r="C6845" t="s">
        <v>151</v>
      </c>
      <c r="D6845" t="s">
        <v>1092</v>
      </c>
      <c r="F6845">
        <v>1</v>
      </c>
      <c r="G6845" t="s">
        <v>16</v>
      </c>
      <c r="H6845">
        <v>0</v>
      </c>
      <c r="I6845" s="2" t="s">
        <v>1179</v>
      </c>
      <c r="J6845" s="2" t="s">
        <v>15124</v>
      </c>
      <c r="K6845">
        <v>20</v>
      </c>
      <c r="L6845">
        <v>20</v>
      </c>
      <c r="M6845">
        <v>20</v>
      </c>
    </row>
    <row r="6846" spans="1:13" x14ac:dyDescent="0.25">
      <c r="A6846" t="s">
        <v>15125</v>
      </c>
      <c r="B6846" t="s">
        <v>15123</v>
      </c>
      <c r="C6846" t="s">
        <v>151</v>
      </c>
      <c r="D6846" t="s">
        <v>1092</v>
      </c>
      <c r="F6846">
        <v>2</v>
      </c>
      <c r="G6846" t="s">
        <v>16</v>
      </c>
      <c r="H6846">
        <v>0</v>
      </c>
      <c r="I6846" s="2" t="s">
        <v>1107</v>
      </c>
      <c r="J6846" s="2" t="s">
        <v>15126</v>
      </c>
      <c r="K6846">
        <v>20</v>
      </c>
      <c r="L6846">
        <v>20</v>
      </c>
      <c r="M6846">
        <v>20</v>
      </c>
    </row>
    <row r="6847" spans="1:13" x14ac:dyDescent="0.25">
      <c r="A6847" t="s">
        <v>15127</v>
      </c>
      <c r="B6847" t="s">
        <v>15128</v>
      </c>
      <c r="C6847" t="s">
        <v>151</v>
      </c>
      <c r="D6847" t="s">
        <v>1092</v>
      </c>
      <c r="F6847">
        <v>2</v>
      </c>
      <c r="G6847" t="s">
        <v>16</v>
      </c>
      <c r="H6847">
        <v>0</v>
      </c>
      <c r="K6847">
        <v>20</v>
      </c>
      <c r="L6847">
        <v>20</v>
      </c>
      <c r="M6847">
        <v>20</v>
      </c>
    </row>
    <row r="6848" spans="1:13" x14ac:dyDescent="0.25">
      <c r="A6848" t="s">
        <v>15129</v>
      </c>
      <c r="B6848" t="s">
        <v>15128</v>
      </c>
      <c r="C6848" t="s">
        <v>151</v>
      </c>
      <c r="D6848" t="s">
        <v>1092</v>
      </c>
      <c r="F6848">
        <v>1</v>
      </c>
      <c r="G6848" t="s">
        <v>16</v>
      </c>
      <c r="H6848">
        <v>0</v>
      </c>
      <c r="I6848" s="2" t="s">
        <v>1094</v>
      </c>
      <c r="J6848" s="2" t="s">
        <v>15130</v>
      </c>
      <c r="K6848">
        <v>20</v>
      </c>
      <c r="L6848">
        <v>20</v>
      </c>
      <c r="M6848">
        <v>20</v>
      </c>
    </row>
    <row r="6849" spans="1:13" x14ac:dyDescent="0.25">
      <c r="A6849">
        <v>679081</v>
      </c>
      <c r="B6849" t="s">
        <v>15131</v>
      </c>
      <c r="C6849" t="s">
        <v>1432</v>
      </c>
      <c r="D6849" t="s">
        <v>6280</v>
      </c>
      <c r="F6849">
        <v>1</v>
      </c>
      <c r="G6849" t="s">
        <v>16</v>
      </c>
      <c r="H6849">
        <v>0</v>
      </c>
      <c r="I6849" s="2" t="s">
        <v>1444</v>
      </c>
      <c r="J6849" s="2">
        <v>55561915</v>
      </c>
      <c r="K6849">
        <v>20</v>
      </c>
      <c r="L6849">
        <v>20</v>
      </c>
      <c r="M6849">
        <v>20</v>
      </c>
    </row>
    <row r="6850" spans="1:13" x14ac:dyDescent="0.25">
      <c r="A6850" t="s">
        <v>15132</v>
      </c>
      <c r="B6850" t="s">
        <v>15131</v>
      </c>
      <c r="C6850" t="s">
        <v>1432</v>
      </c>
      <c r="D6850" t="s">
        <v>6280</v>
      </c>
      <c r="F6850">
        <v>2</v>
      </c>
      <c r="G6850" t="s">
        <v>16</v>
      </c>
      <c r="H6850">
        <v>0</v>
      </c>
      <c r="I6850" s="2" t="s">
        <v>5904</v>
      </c>
      <c r="J6850" s="2" t="s">
        <v>15133</v>
      </c>
      <c r="K6850">
        <v>20</v>
      </c>
      <c r="L6850">
        <v>20</v>
      </c>
      <c r="M6850">
        <v>20</v>
      </c>
    </row>
    <row r="6851" spans="1:13" x14ac:dyDescent="0.25">
      <c r="A6851" t="s">
        <v>15134</v>
      </c>
      <c r="B6851" t="s">
        <v>15135</v>
      </c>
      <c r="C6851" t="s">
        <v>1432</v>
      </c>
      <c r="D6851" t="s">
        <v>6280</v>
      </c>
      <c r="G6851" t="s">
        <v>16</v>
      </c>
      <c r="H6851">
        <v>0</v>
      </c>
      <c r="I6851" s="2" t="s">
        <v>5904</v>
      </c>
      <c r="J6851" s="2" t="s">
        <v>15136</v>
      </c>
      <c r="K6851">
        <v>20</v>
      </c>
      <c r="L6851">
        <v>20</v>
      </c>
      <c r="M6851">
        <v>20</v>
      </c>
    </row>
    <row r="6852" spans="1:13" x14ac:dyDescent="0.25">
      <c r="A6852" t="s">
        <v>15137</v>
      </c>
      <c r="B6852" t="s">
        <v>15138</v>
      </c>
      <c r="C6852" t="s">
        <v>1432</v>
      </c>
      <c r="D6852" t="s">
        <v>6280</v>
      </c>
      <c r="F6852">
        <v>1</v>
      </c>
      <c r="G6852" t="s">
        <v>16</v>
      </c>
      <c r="H6852">
        <v>0</v>
      </c>
      <c r="I6852" s="2" t="s">
        <v>2786</v>
      </c>
      <c r="J6852" s="2">
        <v>2219</v>
      </c>
      <c r="K6852">
        <v>20</v>
      </c>
      <c r="L6852">
        <v>20</v>
      </c>
      <c r="M6852">
        <v>20</v>
      </c>
    </row>
    <row r="6853" spans="1:13" x14ac:dyDescent="0.25">
      <c r="A6853" t="s">
        <v>15139</v>
      </c>
      <c r="B6853" t="s">
        <v>15138</v>
      </c>
      <c r="C6853" t="s">
        <v>1432</v>
      </c>
      <c r="D6853" t="s">
        <v>6280</v>
      </c>
      <c r="G6853" t="s">
        <v>16</v>
      </c>
      <c r="H6853">
        <v>0</v>
      </c>
      <c r="I6853" s="2" t="s">
        <v>7399</v>
      </c>
      <c r="J6853" s="2">
        <v>6284600114</v>
      </c>
      <c r="K6853">
        <v>20</v>
      </c>
      <c r="L6853">
        <v>20</v>
      </c>
      <c r="M6853">
        <v>20</v>
      </c>
    </row>
    <row r="6854" spans="1:13" x14ac:dyDescent="0.25">
      <c r="A6854" t="s">
        <v>15140</v>
      </c>
      <c r="B6854" t="s">
        <v>15141</v>
      </c>
      <c r="C6854" t="s">
        <v>1432</v>
      </c>
      <c r="D6854" t="s">
        <v>5993</v>
      </c>
      <c r="F6854">
        <v>2</v>
      </c>
      <c r="G6854" t="s">
        <v>16</v>
      </c>
      <c r="H6854">
        <v>0</v>
      </c>
      <c r="I6854" s="2" t="s">
        <v>5904</v>
      </c>
      <c r="J6854" s="2" t="s">
        <v>15142</v>
      </c>
      <c r="K6854">
        <v>20</v>
      </c>
      <c r="L6854">
        <v>20</v>
      </c>
      <c r="M6854">
        <v>20</v>
      </c>
    </row>
    <row r="6855" spans="1:13" x14ac:dyDescent="0.25">
      <c r="A6855" t="s">
        <v>15143</v>
      </c>
      <c r="B6855" t="s">
        <v>15141</v>
      </c>
      <c r="C6855" t="s">
        <v>1432</v>
      </c>
      <c r="D6855" t="s">
        <v>5993</v>
      </c>
      <c r="F6855">
        <v>2</v>
      </c>
      <c r="G6855" t="s">
        <v>16</v>
      </c>
      <c r="H6855">
        <v>0</v>
      </c>
      <c r="I6855" s="2" t="s">
        <v>5677</v>
      </c>
      <c r="J6855" s="2" t="s">
        <v>15144</v>
      </c>
      <c r="K6855">
        <v>20</v>
      </c>
      <c r="L6855">
        <v>20</v>
      </c>
      <c r="M6855">
        <v>20</v>
      </c>
    </row>
    <row r="6856" spans="1:13" x14ac:dyDescent="0.25">
      <c r="A6856" t="s">
        <v>15145</v>
      </c>
      <c r="B6856" t="s">
        <v>15141</v>
      </c>
      <c r="C6856" t="s">
        <v>1432</v>
      </c>
      <c r="D6856" t="s">
        <v>5993</v>
      </c>
      <c r="G6856" t="s">
        <v>16</v>
      </c>
      <c r="H6856">
        <v>0</v>
      </c>
      <c r="I6856" s="2" t="s">
        <v>5688</v>
      </c>
      <c r="J6856" s="2">
        <v>3182654205</v>
      </c>
      <c r="K6856">
        <v>20</v>
      </c>
      <c r="L6856">
        <v>20</v>
      </c>
      <c r="M6856">
        <v>20</v>
      </c>
    </row>
    <row r="6857" spans="1:13" x14ac:dyDescent="0.25">
      <c r="A6857" t="s">
        <v>15146</v>
      </c>
      <c r="B6857" t="s">
        <v>15147</v>
      </c>
      <c r="C6857" t="s">
        <v>1432</v>
      </c>
      <c r="D6857" t="s">
        <v>6280</v>
      </c>
      <c r="F6857">
        <v>3</v>
      </c>
      <c r="G6857" t="s">
        <v>16</v>
      </c>
      <c r="H6857">
        <v>0</v>
      </c>
      <c r="I6857" s="2" t="s">
        <v>5904</v>
      </c>
      <c r="J6857" s="2" t="s">
        <v>15148</v>
      </c>
      <c r="K6857">
        <v>20</v>
      </c>
      <c r="L6857">
        <v>20</v>
      </c>
      <c r="M6857">
        <v>20</v>
      </c>
    </row>
    <row r="6858" spans="1:13" x14ac:dyDescent="0.25">
      <c r="A6858" t="s">
        <v>15149</v>
      </c>
      <c r="B6858" t="s">
        <v>15147</v>
      </c>
      <c r="C6858" t="s">
        <v>1432</v>
      </c>
      <c r="D6858" t="s">
        <v>6280</v>
      </c>
      <c r="G6858" t="s">
        <v>16</v>
      </c>
      <c r="H6858">
        <v>0</v>
      </c>
      <c r="I6858" s="2" t="s">
        <v>491</v>
      </c>
      <c r="J6858" s="2">
        <v>359004800120</v>
      </c>
      <c r="K6858">
        <v>20</v>
      </c>
      <c r="L6858">
        <v>20</v>
      </c>
      <c r="M6858">
        <v>20</v>
      </c>
    </row>
    <row r="6859" spans="1:13" x14ac:dyDescent="0.25">
      <c r="A6859" t="s">
        <v>15150</v>
      </c>
      <c r="B6859" t="s">
        <v>15147</v>
      </c>
      <c r="C6859" t="s">
        <v>1432</v>
      </c>
      <c r="D6859" t="s">
        <v>6280</v>
      </c>
      <c r="G6859" t="s">
        <v>16</v>
      </c>
      <c r="H6859">
        <v>0</v>
      </c>
      <c r="I6859" s="2" t="s">
        <v>5057</v>
      </c>
      <c r="J6859" s="2" t="s">
        <v>15151</v>
      </c>
      <c r="K6859">
        <v>20</v>
      </c>
      <c r="L6859">
        <v>20</v>
      </c>
      <c r="M6859">
        <v>20</v>
      </c>
    </row>
    <row r="6860" spans="1:13" x14ac:dyDescent="0.25">
      <c r="A6860" t="s">
        <v>15152</v>
      </c>
      <c r="B6860" t="s">
        <v>15153</v>
      </c>
      <c r="C6860" t="s">
        <v>14</v>
      </c>
      <c r="D6860" t="s">
        <v>15</v>
      </c>
      <c r="F6860">
        <v>2</v>
      </c>
      <c r="G6860" t="s">
        <v>16</v>
      </c>
      <c r="H6860">
        <v>0</v>
      </c>
      <c r="I6860" s="2" t="s">
        <v>6943</v>
      </c>
      <c r="J6860" s="2" t="s">
        <v>15154</v>
      </c>
      <c r="K6860">
        <v>20</v>
      </c>
      <c r="L6860">
        <v>20</v>
      </c>
      <c r="M6860">
        <v>20</v>
      </c>
    </row>
    <row r="6861" spans="1:13" x14ac:dyDescent="0.25">
      <c r="A6861" t="s">
        <v>15155</v>
      </c>
      <c r="B6861" t="s">
        <v>15156</v>
      </c>
      <c r="C6861" t="s">
        <v>14</v>
      </c>
      <c r="D6861" t="s">
        <v>15</v>
      </c>
      <c r="F6861">
        <v>10</v>
      </c>
      <c r="G6861" t="s">
        <v>16</v>
      </c>
      <c r="H6861">
        <v>0</v>
      </c>
      <c r="I6861" s="2" t="s">
        <v>6939</v>
      </c>
      <c r="J6861" s="2" t="s">
        <v>15157</v>
      </c>
      <c r="K6861">
        <v>20</v>
      </c>
      <c r="L6861">
        <v>20</v>
      </c>
      <c r="M6861">
        <v>20</v>
      </c>
    </row>
    <row r="6862" spans="1:13" x14ac:dyDescent="0.25">
      <c r="A6862" t="s">
        <v>15158</v>
      </c>
      <c r="B6862" t="s">
        <v>15159</v>
      </c>
      <c r="C6862" t="s">
        <v>151</v>
      </c>
      <c r="G6862" t="s">
        <v>16</v>
      </c>
      <c r="H6862">
        <v>0</v>
      </c>
      <c r="I6862" s="2" t="s">
        <v>591</v>
      </c>
      <c r="J6862" s="2">
        <v>220610</v>
      </c>
      <c r="K6862">
        <v>20</v>
      </c>
      <c r="L6862">
        <v>20</v>
      </c>
      <c r="M6862">
        <v>20</v>
      </c>
    </row>
    <row r="6863" spans="1:13" x14ac:dyDescent="0.25">
      <c r="A6863" t="s">
        <v>15160</v>
      </c>
      <c r="B6863" t="s">
        <v>15161</v>
      </c>
      <c r="C6863" t="s">
        <v>14</v>
      </c>
      <c r="D6863" t="s">
        <v>15</v>
      </c>
      <c r="F6863">
        <v>56</v>
      </c>
      <c r="G6863" t="s">
        <v>16</v>
      </c>
      <c r="H6863">
        <v>0</v>
      </c>
      <c r="I6863" s="2" t="s">
        <v>6939</v>
      </c>
      <c r="J6863" s="2" t="s">
        <v>15162</v>
      </c>
      <c r="K6863">
        <v>20</v>
      </c>
      <c r="L6863">
        <v>20</v>
      </c>
      <c r="M6863">
        <v>20</v>
      </c>
    </row>
    <row r="6864" spans="1:13" x14ac:dyDescent="0.25">
      <c r="A6864" t="s">
        <v>15163</v>
      </c>
      <c r="B6864" t="s">
        <v>15164</v>
      </c>
      <c r="C6864" t="s">
        <v>14</v>
      </c>
      <c r="G6864" t="s">
        <v>16</v>
      </c>
      <c r="H6864">
        <v>0</v>
      </c>
      <c r="K6864">
        <v>20</v>
      </c>
      <c r="L6864">
        <v>20</v>
      </c>
      <c r="M6864">
        <v>20</v>
      </c>
    </row>
    <row r="6865" spans="1:13" x14ac:dyDescent="0.25">
      <c r="A6865" t="s">
        <v>15165</v>
      </c>
      <c r="B6865" t="s">
        <v>15166</v>
      </c>
      <c r="C6865" t="s">
        <v>357</v>
      </c>
      <c r="D6865" t="s">
        <v>241</v>
      </c>
      <c r="F6865">
        <v>1</v>
      </c>
      <c r="G6865" t="s">
        <v>16</v>
      </c>
      <c r="H6865">
        <v>0</v>
      </c>
      <c r="I6865" s="2" t="s">
        <v>243</v>
      </c>
      <c r="J6865" s="2">
        <v>21534</v>
      </c>
      <c r="K6865">
        <v>20</v>
      </c>
      <c r="L6865">
        <v>20</v>
      </c>
      <c r="M6865">
        <v>20</v>
      </c>
    </row>
    <row r="6866" spans="1:13" x14ac:dyDescent="0.25">
      <c r="A6866" t="s">
        <v>15167</v>
      </c>
      <c r="B6866" t="s">
        <v>15166</v>
      </c>
      <c r="C6866" t="s">
        <v>357</v>
      </c>
      <c r="D6866" t="s">
        <v>241</v>
      </c>
      <c r="G6866" t="s">
        <v>16</v>
      </c>
      <c r="H6866">
        <v>0</v>
      </c>
      <c r="I6866" s="2" t="s">
        <v>245</v>
      </c>
      <c r="J6866" s="2" t="s">
        <v>15168</v>
      </c>
      <c r="K6866">
        <v>20</v>
      </c>
      <c r="L6866">
        <v>20</v>
      </c>
      <c r="M6866">
        <v>20</v>
      </c>
    </row>
    <row r="6867" spans="1:13" x14ac:dyDescent="0.25">
      <c r="A6867" t="s">
        <v>15169</v>
      </c>
      <c r="B6867" t="s">
        <v>15166</v>
      </c>
      <c r="C6867" t="s">
        <v>241</v>
      </c>
      <c r="D6867" t="s">
        <v>2216</v>
      </c>
      <c r="G6867" t="s">
        <v>16</v>
      </c>
      <c r="H6867">
        <v>0</v>
      </c>
      <c r="I6867" s="2" t="s">
        <v>2987</v>
      </c>
      <c r="J6867" s="2" t="s">
        <v>15170</v>
      </c>
      <c r="K6867">
        <v>20</v>
      </c>
      <c r="L6867">
        <v>20</v>
      </c>
      <c r="M6867">
        <v>20</v>
      </c>
    </row>
    <row r="6868" spans="1:13" x14ac:dyDescent="0.25">
      <c r="A6868" t="s">
        <v>15171</v>
      </c>
      <c r="B6868" t="s">
        <v>15172</v>
      </c>
      <c r="C6868" t="s">
        <v>357</v>
      </c>
      <c r="D6868" t="s">
        <v>241</v>
      </c>
      <c r="G6868" t="s">
        <v>16</v>
      </c>
      <c r="H6868">
        <v>0</v>
      </c>
      <c r="I6868" s="2" t="s">
        <v>243</v>
      </c>
      <c r="J6868" s="2">
        <v>21319</v>
      </c>
      <c r="K6868">
        <v>20</v>
      </c>
      <c r="L6868">
        <v>20</v>
      </c>
      <c r="M6868">
        <v>20</v>
      </c>
    </row>
    <row r="6869" spans="1:13" x14ac:dyDescent="0.25">
      <c r="A6869" t="s">
        <v>15173</v>
      </c>
      <c r="B6869" t="s">
        <v>15174</v>
      </c>
      <c r="C6869" t="s">
        <v>357</v>
      </c>
      <c r="D6869" t="s">
        <v>241</v>
      </c>
      <c r="F6869">
        <v>2</v>
      </c>
      <c r="G6869" t="s">
        <v>16</v>
      </c>
      <c r="H6869">
        <v>0</v>
      </c>
      <c r="I6869" s="2" t="s">
        <v>243</v>
      </c>
      <c r="J6869" s="2">
        <v>21392</v>
      </c>
      <c r="K6869">
        <v>20</v>
      </c>
      <c r="L6869">
        <v>20</v>
      </c>
      <c r="M6869">
        <v>20</v>
      </c>
    </row>
    <row r="6870" spans="1:13" x14ac:dyDescent="0.25">
      <c r="A6870" t="s">
        <v>15175</v>
      </c>
      <c r="B6870" t="s">
        <v>15176</v>
      </c>
      <c r="C6870" t="s">
        <v>357</v>
      </c>
      <c r="D6870" t="s">
        <v>241</v>
      </c>
      <c r="F6870">
        <v>2</v>
      </c>
      <c r="G6870" t="s">
        <v>16</v>
      </c>
      <c r="H6870">
        <v>0</v>
      </c>
      <c r="I6870" s="2" t="s">
        <v>737</v>
      </c>
      <c r="J6870" s="2" t="s">
        <v>15177</v>
      </c>
      <c r="K6870">
        <v>20</v>
      </c>
      <c r="L6870">
        <v>20</v>
      </c>
      <c r="M6870">
        <v>20</v>
      </c>
    </row>
    <row r="6871" spans="1:13" x14ac:dyDescent="0.25">
      <c r="A6871" t="s">
        <v>15178</v>
      </c>
      <c r="B6871" t="s">
        <v>15179</v>
      </c>
      <c r="C6871" t="s">
        <v>357</v>
      </c>
      <c r="D6871" t="s">
        <v>241</v>
      </c>
      <c r="F6871">
        <v>1</v>
      </c>
      <c r="G6871" t="s">
        <v>16</v>
      </c>
      <c r="H6871">
        <v>0</v>
      </c>
      <c r="I6871" s="2" t="s">
        <v>737</v>
      </c>
      <c r="J6871" s="2" t="s">
        <v>15180</v>
      </c>
      <c r="K6871">
        <v>20</v>
      </c>
      <c r="L6871">
        <v>20</v>
      </c>
      <c r="M6871">
        <v>20</v>
      </c>
    </row>
    <row r="6872" spans="1:13" x14ac:dyDescent="0.25">
      <c r="A6872" t="s">
        <v>15181</v>
      </c>
      <c r="B6872" t="s">
        <v>15183</v>
      </c>
      <c r="C6872" t="s">
        <v>241</v>
      </c>
      <c r="D6872" t="s">
        <v>2216</v>
      </c>
      <c r="F6872">
        <v>1</v>
      </c>
      <c r="G6872" t="s">
        <v>16</v>
      </c>
      <c r="H6872">
        <v>0</v>
      </c>
      <c r="I6872" s="2" t="s">
        <v>288</v>
      </c>
      <c r="J6872" s="2" t="s">
        <v>15182</v>
      </c>
      <c r="K6872">
        <v>20</v>
      </c>
      <c r="L6872">
        <v>20</v>
      </c>
      <c r="M6872">
        <v>20</v>
      </c>
    </row>
    <row r="6873" spans="1:13" x14ac:dyDescent="0.25">
      <c r="A6873" t="s">
        <v>15184</v>
      </c>
      <c r="B6873" t="s">
        <v>15183</v>
      </c>
      <c r="C6873" t="s">
        <v>241</v>
      </c>
      <c r="D6873" t="s">
        <v>2216</v>
      </c>
      <c r="G6873" t="s">
        <v>16</v>
      </c>
      <c r="H6873">
        <v>0</v>
      </c>
      <c r="I6873" s="2" t="s">
        <v>245</v>
      </c>
      <c r="J6873" s="2" t="s">
        <v>15185</v>
      </c>
      <c r="K6873">
        <v>20</v>
      </c>
      <c r="L6873">
        <v>20</v>
      </c>
      <c r="M6873">
        <v>20</v>
      </c>
    </row>
    <row r="6874" spans="1:13" x14ac:dyDescent="0.25">
      <c r="A6874" t="s">
        <v>15186</v>
      </c>
      <c r="B6874" t="s">
        <v>15183</v>
      </c>
      <c r="C6874" t="s">
        <v>357</v>
      </c>
      <c r="D6874" t="s">
        <v>241</v>
      </c>
      <c r="G6874" t="s">
        <v>16</v>
      </c>
      <c r="H6874">
        <v>0</v>
      </c>
      <c r="I6874" s="2" t="s">
        <v>737</v>
      </c>
      <c r="J6874" s="2" t="s">
        <v>15187</v>
      </c>
      <c r="K6874">
        <v>20</v>
      </c>
      <c r="L6874">
        <v>20</v>
      </c>
      <c r="M6874">
        <v>20</v>
      </c>
    </row>
    <row r="6875" spans="1:13" x14ac:dyDescent="0.25">
      <c r="A6875" t="s">
        <v>15188</v>
      </c>
      <c r="B6875" t="s">
        <v>15190</v>
      </c>
      <c r="C6875" t="s">
        <v>241</v>
      </c>
      <c r="D6875" t="s">
        <v>2216</v>
      </c>
      <c r="F6875">
        <v>1</v>
      </c>
      <c r="G6875" t="s">
        <v>16</v>
      </c>
      <c r="H6875">
        <v>0</v>
      </c>
      <c r="I6875" s="2" t="s">
        <v>288</v>
      </c>
      <c r="J6875" s="2" t="s">
        <v>15189</v>
      </c>
      <c r="K6875">
        <v>20</v>
      </c>
      <c r="L6875">
        <v>20</v>
      </c>
      <c r="M6875">
        <v>20</v>
      </c>
    </row>
    <row r="6876" spans="1:13" x14ac:dyDescent="0.25">
      <c r="A6876" t="s">
        <v>15191</v>
      </c>
      <c r="B6876" t="s">
        <v>15190</v>
      </c>
      <c r="C6876" t="s">
        <v>357</v>
      </c>
      <c r="D6876" t="s">
        <v>241</v>
      </c>
      <c r="F6876">
        <v>1</v>
      </c>
      <c r="G6876" t="s">
        <v>16</v>
      </c>
      <c r="H6876">
        <v>0</v>
      </c>
      <c r="I6876" s="2" t="s">
        <v>245</v>
      </c>
      <c r="J6876" s="2" t="s">
        <v>15192</v>
      </c>
      <c r="K6876">
        <v>20</v>
      </c>
      <c r="L6876">
        <v>20</v>
      </c>
      <c r="M6876">
        <v>20</v>
      </c>
    </row>
    <row r="6877" spans="1:13" x14ac:dyDescent="0.25">
      <c r="A6877" t="s">
        <v>15193</v>
      </c>
      <c r="B6877" t="s">
        <v>15194</v>
      </c>
      <c r="C6877" t="s">
        <v>357</v>
      </c>
      <c r="D6877" t="s">
        <v>241</v>
      </c>
      <c r="F6877">
        <v>1</v>
      </c>
      <c r="G6877" t="s">
        <v>16</v>
      </c>
      <c r="H6877">
        <v>0</v>
      </c>
      <c r="I6877" s="2" t="s">
        <v>13792</v>
      </c>
      <c r="J6877" s="2">
        <v>21475</v>
      </c>
      <c r="K6877">
        <v>20</v>
      </c>
      <c r="L6877">
        <v>20</v>
      </c>
      <c r="M6877">
        <v>20</v>
      </c>
    </row>
    <row r="6878" spans="1:13" x14ac:dyDescent="0.25">
      <c r="A6878" t="s">
        <v>15195</v>
      </c>
      <c r="B6878" t="s">
        <v>15194</v>
      </c>
      <c r="C6878" t="s">
        <v>357</v>
      </c>
      <c r="D6878" t="s">
        <v>241</v>
      </c>
      <c r="F6878">
        <v>1</v>
      </c>
      <c r="G6878" t="s">
        <v>16</v>
      </c>
      <c r="H6878">
        <v>0</v>
      </c>
      <c r="I6878" s="2" t="s">
        <v>245</v>
      </c>
      <c r="J6878" s="2" t="s">
        <v>15196</v>
      </c>
      <c r="K6878">
        <v>20</v>
      </c>
      <c r="L6878">
        <v>20</v>
      </c>
      <c r="M6878">
        <v>20</v>
      </c>
    </row>
    <row r="6879" spans="1:13" x14ac:dyDescent="0.25">
      <c r="A6879" t="s">
        <v>15197</v>
      </c>
      <c r="B6879" t="s">
        <v>15198</v>
      </c>
      <c r="C6879" t="s">
        <v>357</v>
      </c>
      <c r="D6879" t="s">
        <v>241</v>
      </c>
      <c r="F6879">
        <v>2</v>
      </c>
      <c r="G6879" t="s">
        <v>16</v>
      </c>
      <c r="H6879">
        <v>0</v>
      </c>
      <c r="I6879" s="2" t="s">
        <v>243</v>
      </c>
      <c r="J6879" s="2">
        <v>21371</v>
      </c>
      <c r="K6879">
        <v>20</v>
      </c>
      <c r="L6879">
        <v>20</v>
      </c>
      <c r="M6879">
        <v>20</v>
      </c>
    </row>
    <row r="6880" spans="1:13" x14ac:dyDescent="0.25">
      <c r="A6880" t="s">
        <v>15199</v>
      </c>
      <c r="B6880" t="s">
        <v>15200</v>
      </c>
      <c r="C6880" t="s">
        <v>357</v>
      </c>
      <c r="D6880" t="s">
        <v>241</v>
      </c>
      <c r="G6880" t="s">
        <v>16</v>
      </c>
      <c r="H6880">
        <v>0</v>
      </c>
      <c r="I6880" s="2" t="s">
        <v>245</v>
      </c>
      <c r="J6880" s="2" t="s">
        <v>15201</v>
      </c>
      <c r="K6880">
        <v>20</v>
      </c>
      <c r="L6880">
        <v>20</v>
      </c>
      <c r="M6880">
        <v>20</v>
      </c>
    </row>
    <row r="6881" spans="1:13" x14ac:dyDescent="0.25">
      <c r="A6881" t="s">
        <v>15202</v>
      </c>
      <c r="B6881" t="s">
        <v>15200</v>
      </c>
      <c r="C6881" t="s">
        <v>357</v>
      </c>
      <c r="D6881" t="s">
        <v>241</v>
      </c>
      <c r="F6881">
        <v>1</v>
      </c>
      <c r="G6881" t="s">
        <v>16</v>
      </c>
      <c r="H6881">
        <v>0</v>
      </c>
      <c r="I6881" s="2" t="s">
        <v>3088</v>
      </c>
      <c r="J6881" s="2" t="s">
        <v>15203</v>
      </c>
      <c r="K6881">
        <v>20</v>
      </c>
      <c r="L6881">
        <v>20</v>
      </c>
      <c r="M6881">
        <v>20</v>
      </c>
    </row>
    <row r="6882" spans="1:13" x14ac:dyDescent="0.25">
      <c r="A6882" t="s">
        <v>15204</v>
      </c>
      <c r="B6882" t="s">
        <v>15205</v>
      </c>
      <c r="C6882" t="s">
        <v>241</v>
      </c>
      <c r="D6882" t="s">
        <v>2216</v>
      </c>
      <c r="G6882" t="s">
        <v>16</v>
      </c>
      <c r="H6882">
        <v>0</v>
      </c>
      <c r="I6882" s="2" t="s">
        <v>245</v>
      </c>
      <c r="J6882" s="2" t="s">
        <v>15206</v>
      </c>
      <c r="K6882">
        <v>20</v>
      </c>
      <c r="L6882">
        <v>20</v>
      </c>
      <c r="M6882">
        <v>20</v>
      </c>
    </row>
    <row r="6883" spans="1:13" x14ac:dyDescent="0.25">
      <c r="A6883" t="s">
        <v>15207</v>
      </c>
      <c r="B6883" t="s">
        <v>15208</v>
      </c>
      <c r="C6883" t="s">
        <v>357</v>
      </c>
      <c r="D6883" t="s">
        <v>241</v>
      </c>
      <c r="F6883">
        <v>1</v>
      </c>
      <c r="G6883" t="s">
        <v>16</v>
      </c>
      <c r="H6883">
        <v>0</v>
      </c>
      <c r="I6883" s="2" t="s">
        <v>221</v>
      </c>
      <c r="J6883" s="2">
        <v>21379</v>
      </c>
      <c r="K6883">
        <v>20</v>
      </c>
      <c r="L6883">
        <v>20</v>
      </c>
      <c r="M6883">
        <v>20</v>
      </c>
    </row>
    <row r="6884" spans="1:13" x14ac:dyDescent="0.25">
      <c r="A6884" t="s">
        <v>15209</v>
      </c>
      <c r="B6884" t="s">
        <v>15208</v>
      </c>
      <c r="C6884" t="s">
        <v>241</v>
      </c>
      <c r="G6884" t="s">
        <v>16</v>
      </c>
      <c r="H6884">
        <v>0</v>
      </c>
      <c r="I6884" s="2" t="s">
        <v>245</v>
      </c>
      <c r="J6884" s="2" t="s">
        <v>15210</v>
      </c>
      <c r="K6884">
        <v>20</v>
      </c>
      <c r="L6884">
        <v>20</v>
      </c>
      <c r="M6884">
        <v>20</v>
      </c>
    </row>
    <row r="6885" spans="1:13" x14ac:dyDescent="0.25">
      <c r="A6885" t="s">
        <v>15211</v>
      </c>
      <c r="B6885" t="s">
        <v>15213</v>
      </c>
      <c r="C6885" t="s">
        <v>241</v>
      </c>
      <c r="D6885" t="s">
        <v>2216</v>
      </c>
      <c r="F6885">
        <v>1</v>
      </c>
      <c r="G6885" t="s">
        <v>16</v>
      </c>
      <c r="H6885">
        <v>0</v>
      </c>
      <c r="I6885" s="2" t="s">
        <v>288</v>
      </c>
      <c r="J6885" s="2" t="s">
        <v>15212</v>
      </c>
      <c r="K6885">
        <v>20</v>
      </c>
      <c r="L6885">
        <v>20</v>
      </c>
      <c r="M6885">
        <v>20</v>
      </c>
    </row>
    <row r="6886" spans="1:13" x14ac:dyDescent="0.25">
      <c r="A6886" t="s">
        <v>15214</v>
      </c>
      <c r="B6886" t="s">
        <v>15213</v>
      </c>
      <c r="C6886" t="s">
        <v>357</v>
      </c>
      <c r="D6886" t="s">
        <v>241</v>
      </c>
      <c r="F6886">
        <v>1</v>
      </c>
      <c r="G6886" t="s">
        <v>16</v>
      </c>
      <c r="H6886">
        <v>0</v>
      </c>
      <c r="I6886" s="2" t="s">
        <v>221</v>
      </c>
      <c r="J6886" s="2">
        <v>21327</v>
      </c>
      <c r="K6886">
        <v>20</v>
      </c>
      <c r="L6886">
        <v>20</v>
      </c>
      <c r="M6886">
        <v>20</v>
      </c>
    </row>
    <row r="6887" spans="1:13" x14ac:dyDescent="0.25">
      <c r="A6887" t="s">
        <v>15215</v>
      </c>
      <c r="B6887" t="s">
        <v>15213</v>
      </c>
      <c r="C6887" t="s">
        <v>241</v>
      </c>
      <c r="D6887" t="s">
        <v>2216</v>
      </c>
      <c r="F6887">
        <v>1</v>
      </c>
      <c r="G6887" t="s">
        <v>16</v>
      </c>
      <c r="H6887">
        <v>0</v>
      </c>
      <c r="I6887" s="2" t="s">
        <v>245</v>
      </c>
      <c r="J6887" s="2" t="s">
        <v>15216</v>
      </c>
      <c r="K6887">
        <v>20</v>
      </c>
      <c r="L6887">
        <v>20</v>
      </c>
      <c r="M6887">
        <v>20</v>
      </c>
    </row>
    <row r="6888" spans="1:13" x14ac:dyDescent="0.25">
      <c r="A6888" t="s">
        <v>15217</v>
      </c>
      <c r="B6888" t="s">
        <v>15213</v>
      </c>
      <c r="C6888" t="s">
        <v>357</v>
      </c>
      <c r="D6888" t="s">
        <v>241</v>
      </c>
      <c r="G6888" t="s">
        <v>16</v>
      </c>
      <c r="H6888">
        <v>0</v>
      </c>
      <c r="I6888" s="2" t="s">
        <v>737</v>
      </c>
      <c r="J6888" s="2" t="s">
        <v>15218</v>
      </c>
      <c r="K6888">
        <v>20</v>
      </c>
      <c r="L6888">
        <v>20</v>
      </c>
      <c r="M6888">
        <v>20</v>
      </c>
    </row>
    <row r="6889" spans="1:13" x14ac:dyDescent="0.25">
      <c r="A6889" t="s">
        <v>15219</v>
      </c>
      <c r="B6889" t="s">
        <v>15221</v>
      </c>
      <c r="C6889" t="s">
        <v>357</v>
      </c>
      <c r="D6889" t="s">
        <v>241</v>
      </c>
      <c r="F6889">
        <v>1</v>
      </c>
      <c r="G6889" t="s">
        <v>16</v>
      </c>
      <c r="H6889">
        <v>0</v>
      </c>
      <c r="I6889" s="2" t="s">
        <v>765</v>
      </c>
      <c r="J6889" s="2" t="s">
        <v>15220</v>
      </c>
      <c r="K6889">
        <v>20</v>
      </c>
      <c r="L6889">
        <v>20</v>
      </c>
      <c r="M6889">
        <v>20</v>
      </c>
    </row>
    <row r="6890" spans="1:13" x14ac:dyDescent="0.25">
      <c r="A6890" t="s">
        <v>15222</v>
      </c>
      <c r="B6890" t="s">
        <v>15221</v>
      </c>
      <c r="C6890" t="s">
        <v>357</v>
      </c>
      <c r="D6890" t="s">
        <v>241</v>
      </c>
      <c r="F6890">
        <v>1</v>
      </c>
      <c r="G6890" t="s">
        <v>16</v>
      </c>
      <c r="H6890">
        <v>0</v>
      </c>
      <c r="I6890" s="2" t="s">
        <v>221</v>
      </c>
      <c r="J6890" s="2">
        <v>21385</v>
      </c>
      <c r="K6890">
        <v>20</v>
      </c>
      <c r="L6890">
        <v>20</v>
      </c>
      <c r="M6890">
        <v>20</v>
      </c>
    </row>
    <row r="6891" spans="1:13" x14ac:dyDescent="0.25">
      <c r="A6891" t="s">
        <v>15223</v>
      </c>
      <c r="B6891" t="s">
        <v>15221</v>
      </c>
      <c r="C6891" t="s">
        <v>241</v>
      </c>
      <c r="D6891" t="s">
        <v>2216</v>
      </c>
      <c r="F6891">
        <v>1</v>
      </c>
      <c r="G6891" t="s">
        <v>16</v>
      </c>
      <c r="H6891">
        <v>0</v>
      </c>
      <c r="I6891" s="2" t="s">
        <v>245</v>
      </c>
      <c r="J6891" s="2" t="s">
        <v>15224</v>
      </c>
      <c r="K6891">
        <v>20</v>
      </c>
      <c r="L6891">
        <v>20</v>
      </c>
      <c r="M6891">
        <v>20</v>
      </c>
    </row>
    <row r="6892" spans="1:13" x14ac:dyDescent="0.25">
      <c r="A6892" t="s">
        <v>15225</v>
      </c>
      <c r="B6892" t="s">
        <v>15226</v>
      </c>
      <c r="C6892" t="s">
        <v>357</v>
      </c>
      <c r="D6892" t="s">
        <v>241</v>
      </c>
      <c r="G6892" t="s">
        <v>16</v>
      </c>
      <c r="H6892">
        <v>0</v>
      </c>
      <c r="I6892" s="2" t="s">
        <v>737</v>
      </c>
      <c r="J6892" s="2" t="s">
        <v>15227</v>
      </c>
      <c r="K6892">
        <v>20</v>
      </c>
      <c r="L6892">
        <v>20</v>
      </c>
      <c r="M6892">
        <v>20</v>
      </c>
    </row>
    <row r="6893" spans="1:13" x14ac:dyDescent="0.25">
      <c r="A6893" t="s">
        <v>15228</v>
      </c>
      <c r="B6893" t="s">
        <v>15229</v>
      </c>
      <c r="C6893" t="s">
        <v>357</v>
      </c>
      <c r="D6893" t="s">
        <v>241</v>
      </c>
      <c r="F6893">
        <v>1</v>
      </c>
      <c r="G6893" t="s">
        <v>16</v>
      </c>
      <c r="H6893">
        <v>0</v>
      </c>
      <c r="I6893" s="2" t="s">
        <v>221</v>
      </c>
      <c r="J6893" s="2">
        <v>21422</v>
      </c>
      <c r="K6893">
        <v>20</v>
      </c>
      <c r="L6893">
        <v>20</v>
      </c>
      <c r="M6893">
        <v>20</v>
      </c>
    </row>
    <row r="6894" spans="1:13" x14ac:dyDescent="0.25">
      <c r="A6894" t="s">
        <v>15230</v>
      </c>
      <c r="B6894" t="s">
        <v>15229</v>
      </c>
      <c r="C6894" t="s">
        <v>357</v>
      </c>
      <c r="D6894" t="s">
        <v>241</v>
      </c>
      <c r="F6894">
        <v>1</v>
      </c>
      <c r="G6894" t="s">
        <v>16</v>
      </c>
      <c r="H6894">
        <v>0</v>
      </c>
      <c r="I6894" s="2" t="s">
        <v>245</v>
      </c>
      <c r="J6894" s="2" t="s">
        <v>15231</v>
      </c>
      <c r="K6894">
        <v>20</v>
      </c>
      <c r="L6894">
        <v>20</v>
      </c>
      <c r="M6894">
        <v>20</v>
      </c>
    </row>
    <row r="6895" spans="1:13" x14ac:dyDescent="0.25">
      <c r="A6895">
        <v>6818568</v>
      </c>
      <c r="B6895" t="s">
        <v>15232</v>
      </c>
      <c r="C6895" t="s">
        <v>357</v>
      </c>
      <c r="D6895" t="s">
        <v>241</v>
      </c>
      <c r="F6895">
        <v>1</v>
      </c>
      <c r="G6895" t="s">
        <v>16</v>
      </c>
      <c r="H6895">
        <v>0</v>
      </c>
      <c r="I6895" s="2" t="s">
        <v>497</v>
      </c>
      <c r="J6895" s="2">
        <v>13118275</v>
      </c>
      <c r="K6895">
        <v>20</v>
      </c>
      <c r="L6895">
        <v>20</v>
      </c>
      <c r="M6895">
        <v>20</v>
      </c>
    </row>
    <row r="6896" spans="1:13" x14ac:dyDescent="0.25">
      <c r="A6896" t="s">
        <v>15233</v>
      </c>
      <c r="B6896" t="s">
        <v>15232</v>
      </c>
      <c r="C6896" t="s">
        <v>357</v>
      </c>
      <c r="D6896" t="s">
        <v>241</v>
      </c>
      <c r="F6896">
        <v>1</v>
      </c>
      <c r="G6896" t="s">
        <v>16</v>
      </c>
      <c r="H6896">
        <v>0</v>
      </c>
      <c r="I6896" s="2" t="s">
        <v>221</v>
      </c>
      <c r="J6896" s="2">
        <v>21415</v>
      </c>
      <c r="K6896">
        <v>20</v>
      </c>
      <c r="L6896">
        <v>20</v>
      </c>
      <c r="M6896">
        <v>20</v>
      </c>
    </row>
    <row r="6897" spans="1:13" x14ac:dyDescent="0.25">
      <c r="A6897" t="s">
        <v>15234</v>
      </c>
      <c r="B6897" t="s">
        <v>15232</v>
      </c>
      <c r="C6897" t="s">
        <v>357</v>
      </c>
      <c r="D6897" t="s">
        <v>241</v>
      </c>
      <c r="F6897">
        <v>1</v>
      </c>
      <c r="G6897" t="s">
        <v>16</v>
      </c>
      <c r="H6897">
        <v>0</v>
      </c>
      <c r="I6897" s="2" t="s">
        <v>245</v>
      </c>
      <c r="J6897" s="2" t="s">
        <v>15235</v>
      </c>
      <c r="K6897">
        <v>20</v>
      </c>
      <c r="L6897">
        <v>20</v>
      </c>
      <c r="M6897">
        <v>20</v>
      </c>
    </row>
    <row r="6898" spans="1:13" x14ac:dyDescent="0.25">
      <c r="A6898" t="s">
        <v>15236</v>
      </c>
      <c r="B6898" t="s">
        <v>15232</v>
      </c>
      <c r="C6898" t="s">
        <v>357</v>
      </c>
      <c r="D6898" t="s">
        <v>241</v>
      </c>
      <c r="G6898" t="s">
        <v>16</v>
      </c>
      <c r="H6898">
        <v>0</v>
      </c>
      <c r="I6898" s="2" t="s">
        <v>737</v>
      </c>
      <c r="J6898" s="2" t="s">
        <v>15237</v>
      </c>
      <c r="K6898">
        <v>20</v>
      </c>
      <c r="L6898">
        <v>20</v>
      </c>
      <c r="M6898">
        <v>20</v>
      </c>
    </row>
    <row r="6899" spans="1:13" x14ac:dyDescent="0.25">
      <c r="A6899" t="s">
        <v>15238</v>
      </c>
      <c r="B6899" t="s">
        <v>15239</v>
      </c>
      <c r="C6899" t="s">
        <v>357</v>
      </c>
      <c r="D6899" t="s">
        <v>241</v>
      </c>
      <c r="G6899" t="s">
        <v>16</v>
      </c>
      <c r="H6899">
        <v>0</v>
      </c>
      <c r="I6899" s="2" t="s">
        <v>737</v>
      </c>
      <c r="J6899" s="2" t="s">
        <v>15240</v>
      </c>
      <c r="K6899">
        <v>20</v>
      </c>
      <c r="L6899">
        <v>20</v>
      </c>
      <c r="M6899">
        <v>20</v>
      </c>
    </row>
    <row r="6900" spans="1:13" x14ac:dyDescent="0.25">
      <c r="A6900" t="s">
        <v>15241</v>
      </c>
      <c r="B6900" t="s">
        <v>15243</v>
      </c>
      <c r="C6900" t="s">
        <v>357</v>
      </c>
      <c r="D6900" t="s">
        <v>241</v>
      </c>
      <c r="F6900">
        <v>1</v>
      </c>
      <c r="G6900" t="s">
        <v>16</v>
      </c>
      <c r="H6900">
        <v>0</v>
      </c>
      <c r="I6900" s="2" t="s">
        <v>288</v>
      </c>
      <c r="J6900" s="2" t="s">
        <v>15242</v>
      </c>
      <c r="K6900">
        <v>20</v>
      </c>
      <c r="L6900">
        <v>20</v>
      </c>
      <c r="M6900">
        <v>20</v>
      </c>
    </row>
    <row r="6901" spans="1:13" x14ac:dyDescent="0.25">
      <c r="A6901" t="s">
        <v>15244</v>
      </c>
      <c r="B6901" t="s">
        <v>15243</v>
      </c>
      <c r="C6901" t="s">
        <v>357</v>
      </c>
      <c r="D6901" t="s">
        <v>241</v>
      </c>
      <c r="G6901" t="s">
        <v>16</v>
      </c>
      <c r="H6901">
        <v>0</v>
      </c>
      <c r="I6901" s="2" t="s">
        <v>245</v>
      </c>
      <c r="J6901" s="2" t="s">
        <v>15245</v>
      </c>
      <c r="K6901">
        <v>20</v>
      </c>
      <c r="L6901">
        <v>20</v>
      </c>
      <c r="M6901">
        <v>20</v>
      </c>
    </row>
    <row r="6902" spans="1:13" x14ac:dyDescent="0.25">
      <c r="A6902" t="s">
        <v>15246</v>
      </c>
      <c r="B6902" t="s">
        <v>15243</v>
      </c>
      <c r="C6902" t="s">
        <v>357</v>
      </c>
      <c r="D6902" t="s">
        <v>241</v>
      </c>
      <c r="F6902">
        <v>1</v>
      </c>
      <c r="G6902" t="s">
        <v>16</v>
      </c>
      <c r="H6902">
        <v>0</v>
      </c>
      <c r="I6902" s="2" t="s">
        <v>2987</v>
      </c>
      <c r="J6902" s="2" t="s">
        <v>15247</v>
      </c>
      <c r="K6902">
        <v>20</v>
      </c>
      <c r="L6902">
        <v>20</v>
      </c>
      <c r="M6902">
        <v>20</v>
      </c>
    </row>
    <row r="6903" spans="1:13" x14ac:dyDescent="0.25">
      <c r="A6903" t="s">
        <v>15248</v>
      </c>
      <c r="B6903" t="s">
        <v>15250</v>
      </c>
      <c r="C6903" t="s">
        <v>357</v>
      </c>
      <c r="D6903" t="s">
        <v>241</v>
      </c>
      <c r="F6903">
        <v>1</v>
      </c>
      <c r="G6903" t="s">
        <v>16</v>
      </c>
      <c r="H6903">
        <v>0</v>
      </c>
      <c r="I6903" s="2" t="s">
        <v>765</v>
      </c>
      <c r="J6903" s="2" t="s">
        <v>15249</v>
      </c>
      <c r="K6903">
        <v>20</v>
      </c>
      <c r="L6903">
        <v>20</v>
      </c>
      <c r="M6903">
        <v>20</v>
      </c>
    </row>
    <row r="6904" spans="1:13" x14ac:dyDescent="0.25">
      <c r="A6904" t="s">
        <v>15251</v>
      </c>
      <c r="B6904" t="s">
        <v>15250</v>
      </c>
      <c r="C6904" t="s">
        <v>357</v>
      </c>
      <c r="D6904" t="s">
        <v>241</v>
      </c>
      <c r="F6904">
        <v>1</v>
      </c>
      <c r="G6904" t="s">
        <v>16</v>
      </c>
      <c r="H6904">
        <v>0</v>
      </c>
      <c r="I6904" s="2" t="s">
        <v>245</v>
      </c>
      <c r="J6904" s="2" t="s">
        <v>15252</v>
      </c>
      <c r="K6904">
        <v>20</v>
      </c>
      <c r="L6904">
        <v>20</v>
      </c>
      <c r="M6904">
        <v>20</v>
      </c>
    </row>
    <row r="6905" spans="1:13" x14ac:dyDescent="0.25">
      <c r="A6905" t="s">
        <v>15253</v>
      </c>
      <c r="B6905" t="s">
        <v>15250</v>
      </c>
      <c r="C6905" t="s">
        <v>357</v>
      </c>
      <c r="D6905" t="s">
        <v>241</v>
      </c>
      <c r="F6905">
        <v>2</v>
      </c>
      <c r="G6905" t="s">
        <v>16</v>
      </c>
      <c r="H6905">
        <v>0</v>
      </c>
      <c r="I6905" s="2" t="s">
        <v>3088</v>
      </c>
      <c r="J6905" s="2" t="s">
        <v>15254</v>
      </c>
      <c r="K6905">
        <v>20</v>
      </c>
      <c r="L6905">
        <v>20</v>
      </c>
      <c r="M6905">
        <v>20</v>
      </c>
    </row>
    <row r="6906" spans="1:13" x14ac:dyDescent="0.25">
      <c r="A6906" t="s">
        <v>15255</v>
      </c>
      <c r="B6906" t="s">
        <v>15256</v>
      </c>
      <c r="C6906" t="s">
        <v>241</v>
      </c>
      <c r="D6906" t="s">
        <v>2216</v>
      </c>
      <c r="G6906" t="s">
        <v>16</v>
      </c>
      <c r="H6906">
        <v>0</v>
      </c>
      <c r="I6906" s="2" t="s">
        <v>243</v>
      </c>
      <c r="J6906" s="2">
        <v>21168</v>
      </c>
      <c r="K6906">
        <v>20</v>
      </c>
      <c r="L6906">
        <v>20</v>
      </c>
      <c r="M6906">
        <v>20</v>
      </c>
    </row>
    <row r="6907" spans="1:13" x14ac:dyDescent="0.25">
      <c r="A6907" t="s">
        <v>15257</v>
      </c>
      <c r="B6907" t="s">
        <v>15258</v>
      </c>
      <c r="C6907" t="s">
        <v>357</v>
      </c>
      <c r="D6907" t="s">
        <v>241</v>
      </c>
      <c r="G6907" t="s">
        <v>16</v>
      </c>
      <c r="H6907">
        <v>0</v>
      </c>
      <c r="I6907" s="2" t="s">
        <v>737</v>
      </c>
      <c r="J6907" s="2" t="s">
        <v>15259</v>
      </c>
      <c r="K6907">
        <v>20</v>
      </c>
      <c r="L6907">
        <v>20</v>
      </c>
      <c r="M6907">
        <v>20</v>
      </c>
    </row>
    <row r="6908" spans="1:13" x14ac:dyDescent="0.25">
      <c r="A6908" t="s">
        <v>15260</v>
      </c>
      <c r="B6908" t="s">
        <v>15261</v>
      </c>
      <c r="C6908" t="s">
        <v>357</v>
      </c>
      <c r="D6908" t="s">
        <v>241</v>
      </c>
      <c r="G6908" t="s">
        <v>16</v>
      </c>
      <c r="H6908">
        <v>0</v>
      </c>
      <c r="I6908" s="2" t="s">
        <v>737</v>
      </c>
      <c r="J6908" s="2" t="s">
        <v>15262</v>
      </c>
      <c r="K6908">
        <v>20</v>
      </c>
      <c r="L6908">
        <v>20</v>
      </c>
      <c r="M6908">
        <v>20</v>
      </c>
    </row>
    <row r="6909" spans="1:13" x14ac:dyDescent="0.25">
      <c r="A6909" t="s">
        <v>15263</v>
      </c>
      <c r="B6909" t="s">
        <v>15265</v>
      </c>
      <c r="C6909" t="s">
        <v>357</v>
      </c>
      <c r="D6909" t="s">
        <v>241</v>
      </c>
      <c r="G6909" t="s">
        <v>16</v>
      </c>
      <c r="H6909">
        <v>0</v>
      </c>
      <c r="I6909" s="2" t="s">
        <v>288</v>
      </c>
      <c r="J6909" s="2" t="s">
        <v>15264</v>
      </c>
      <c r="K6909">
        <v>20</v>
      </c>
      <c r="L6909">
        <v>20</v>
      </c>
      <c r="M6909">
        <v>20</v>
      </c>
    </row>
    <row r="6910" spans="1:13" x14ac:dyDescent="0.25">
      <c r="A6910" t="s">
        <v>15266</v>
      </c>
      <c r="B6910" t="s">
        <v>15265</v>
      </c>
      <c r="C6910" t="s">
        <v>357</v>
      </c>
      <c r="D6910" t="s">
        <v>241</v>
      </c>
      <c r="G6910" t="s">
        <v>16</v>
      </c>
      <c r="H6910">
        <v>0</v>
      </c>
      <c r="I6910" s="2" t="s">
        <v>245</v>
      </c>
      <c r="J6910" s="2" t="s">
        <v>15267</v>
      </c>
      <c r="K6910">
        <v>20</v>
      </c>
      <c r="L6910">
        <v>20</v>
      </c>
      <c r="M6910">
        <v>20</v>
      </c>
    </row>
    <row r="6911" spans="1:13" x14ac:dyDescent="0.25">
      <c r="A6911">
        <v>6818606</v>
      </c>
      <c r="B6911" t="s">
        <v>15268</v>
      </c>
      <c r="C6911" t="s">
        <v>357</v>
      </c>
      <c r="D6911" t="s">
        <v>241</v>
      </c>
      <c r="F6911">
        <v>1</v>
      </c>
      <c r="G6911" t="s">
        <v>16</v>
      </c>
      <c r="H6911">
        <v>0</v>
      </c>
      <c r="I6911" s="2" t="s">
        <v>497</v>
      </c>
      <c r="J6911" s="2">
        <v>13170118</v>
      </c>
      <c r="K6911">
        <v>20</v>
      </c>
      <c r="L6911">
        <v>20</v>
      </c>
      <c r="M6911">
        <v>20</v>
      </c>
    </row>
    <row r="6912" spans="1:13" x14ac:dyDescent="0.25">
      <c r="A6912" t="s">
        <v>15269</v>
      </c>
      <c r="B6912" t="s">
        <v>15268</v>
      </c>
      <c r="C6912" t="s">
        <v>357</v>
      </c>
      <c r="D6912" t="s">
        <v>241</v>
      </c>
      <c r="G6912" t="s">
        <v>16</v>
      </c>
      <c r="H6912">
        <v>0</v>
      </c>
      <c r="I6912" s="2" t="s">
        <v>288</v>
      </c>
      <c r="J6912" s="2" t="s">
        <v>15270</v>
      </c>
      <c r="K6912">
        <v>20</v>
      </c>
      <c r="L6912">
        <v>20</v>
      </c>
      <c r="M6912">
        <v>20</v>
      </c>
    </row>
    <row r="6913" spans="1:13" x14ac:dyDescent="0.25">
      <c r="A6913" t="s">
        <v>15271</v>
      </c>
      <c r="B6913" t="s">
        <v>15272</v>
      </c>
      <c r="C6913" t="s">
        <v>357</v>
      </c>
      <c r="D6913" t="s">
        <v>241</v>
      </c>
      <c r="F6913">
        <v>1</v>
      </c>
      <c r="G6913" t="s">
        <v>16</v>
      </c>
      <c r="H6913">
        <v>0</v>
      </c>
      <c r="I6913" s="2" t="s">
        <v>3021</v>
      </c>
      <c r="J6913" s="2" t="s">
        <v>15273</v>
      </c>
      <c r="K6913">
        <v>20</v>
      </c>
      <c r="L6913">
        <v>20</v>
      </c>
      <c r="M6913">
        <v>20</v>
      </c>
    </row>
    <row r="6914" spans="1:13" x14ac:dyDescent="0.25">
      <c r="A6914" t="s">
        <v>15274</v>
      </c>
      <c r="B6914" t="s">
        <v>15275</v>
      </c>
      <c r="C6914" t="s">
        <v>357</v>
      </c>
      <c r="D6914" t="s">
        <v>241</v>
      </c>
      <c r="F6914">
        <v>1</v>
      </c>
      <c r="G6914" t="s">
        <v>16</v>
      </c>
      <c r="H6914">
        <v>0</v>
      </c>
      <c r="I6914" s="2" t="s">
        <v>3021</v>
      </c>
      <c r="J6914" s="2" t="s">
        <v>15276</v>
      </c>
      <c r="K6914">
        <v>20</v>
      </c>
      <c r="L6914">
        <v>20</v>
      </c>
      <c r="M6914">
        <v>20</v>
      </c>
    </row>
    <row r="6915" spans="1:13" x14ac:dyDescent="0.25">
      <c r="A6915" t="s">
        <v>15277</v>
      </c>
      <c r="B6915" t="s">
        <v>15278</v>
      </c>
      <c r="C6915" t="s">
        <v>20</v>
      </c>
      <c r="D6915" t="s">
        <v>2477</v>
      </c>
      <c r="G6915" t="s">
        <v>16</v>
      </c>
      <c r="H6915">
        <v>0</v>
      </c>
      <c r="I6915" s="2" t="s">
        <v>288</v>
      </c>
      <c r="J6915" s="2" t="s">
        <v>15279</v>
      </c>
      <c r="K6915">
        <v>20</v>
      </c>
      <c r="L6915">
        <v>20</v>
      </c>
      <c r="M6915">
        <v>20</v>
      </c>
    </row>
    <row r="6916" spans="1:13" x14ac:dyDescent="0.25">
      <c r="A6916" t="s">
        <v>15280</v>
      </c>
      <c r="B6916" t="s">
        <v>15281</v>
      </c>
      <c r="C6916" t="s">
        <v>20</v>
      </c>
      <c r="D6916" t="s">
        <v>2477</v>
      </c>
      <c r="G6916" t="s">
        <v>16</v>
      </c>
      <c r="H6916">
        <v>0</v>
      </c>
      <c r="I6916" s="2" t="s">
        <v>5085</v>
      </c>
      <c r="J6916" s="2" t="s">
        <v>15282</v>
      </c>
      <c r="K6916">
        <v>20</v>
      </c>
      <c r="L6916">
        <v>20</v>
      </c>
      <c r="M6916">
        <v>20</v>
      </c>
    </row>
    <row r="6917" spans="1:13" x14ac:dyDescent="0.25">
      <c r="A6917" t="s">
        <v>15283</v>
      </c>
      <c r="B6917" t="s">
        <v>15285</v>
      </c>
      <c r="C6917" t="s">
        <v>20</v>
      </c>
      <c r="D6917" t="s">
        <v>2477</v>
      </c>
      <c r="G6917" t="s">
        <v>16</v>
      </c>
      <c r="H6917">
        <v>0</v>
      </c>
      <c r="I6917" s="2" t="s">
        <v>765</v>
      </c>
      <c r="J6917" s="2" t="s">
        <v>15284</v>
      </c>
      <c r="K6917">
        <v>20</v>
      </c>
      <c r="L6917">
        <v>20</v>
      </c>
      <c r="M6917">
        <v>20</v>
      </c>
    </row>
    <row r="6918" spans="1:13" x14ac:dyDescent="0.25">
      <c r="A6918" t="s">
        <v>15286</v>
      </c>
      <c r="B6918" t="s">
        <v>15285</v>
      </c>
      <c r="C6918" t="s">
        <v>20</v>
      </c>
      <c r="D6918" t="s">
        <v>2477</v>
      </c>
      <c r="G6918" t="s">
        <v>16</v>
      </c>
      <c r="H6918">
        <v>0</v>
      </c>
      <c r="I6918" s="2" t="b">
        <v>1</v>
      </c>
      <c r="J6918" s="2" t="s">
        <v>15287</v>
      </c>
      <c r="K6918">
        <v>20</v>
      </c>
      <c r="L6918">
        <v>20</v>
      </c>
      <c r="M6918">
        <v>20</v>
      </c>
    </row>
    <row r="6919" spans="1:13" x14ac:dyDescent="0.25">
      <c r="A6919" t="s">
        <v>15288</v>
      </c>
      <c r="B6919" t="s">
        <v>15290</v>
      </c>
      <c r="C6919" t="s">
        <v>20</v>
      </c>
      <c r="D6919" t="s">
        <v>2477</v>
      </c>
      <c r="F6919">
        <v>2</v>
      </c>
      <c r="G6919" t="s">
        <v>16</v>
      </c>
      <c r="H6919">
        <v>0</v>
      </c>
      <c r="I6919" s="2" t="s">
        <v>765</v>
      </c>
      <c r="J6919" s="2" t="s">
        <v>15289</v>
      </c>
      <c r="K6919">
        <v>20</v>
      </c>
      <c r="L6919">
        <v>20</v>
      </c>
      <c r="M6919">
        <v>20</v>
      </c>
    </row>
    <row r="6920" spans="1:13" x14ac:dyDescent="0.25">
      <c r="A6920" t="s">
        <v>15291</v>
      </c>
      <c r="B6920" t="s">
        <v>15290</v>
      </c>
      <c r="C6920" t="s">
        <v>20</v>
      </c>
      <c r="D6920" t="s">
        <v>2477</v>
      </c>
      <c r="F6920">
        <v>0</v>
      </c>
      <c r="G6920" t="s">
        <v>16</v>
      </c>
      <c r="H6920">
        <v>0</v>
      </c>
      <c r="I6920" s="2" t="b">
        <v>1</v>
      </c>
      <c r="J6920" s="2" t="s">
        <v>15292</v>
      </c>
      <c r="K6920">
        <v>20</v>
      </c>
      <c r="L6920">
        <v>20</v>
      </c>
      <c r="M6920">
        <v>20</v>
      </c>
    </row>
    <row r="6921" spans="1:13" x14ac:dyDescent="0.25">
      <c r="A6921" t="s">
        <v>15293</v>
      </c>
      <c r="B6921" t="s">
        <v>15295</v>
      </c>
      <c r="C6921" t="s">
        <v>20</v>
      </c>
      <c r="D6921" t="s">
        <v>2477</v>
      </c>
      <c r="F6921">
        <v>1</v>
      </c>
      <c r="G6921" t="s">
        <v>16</v>
      </c>
      <c r="H6921">
        <v>0</v>
      </c>
      <c r="I6921" s="2" t="s">
        <v>765</v>
      </c>
      <c r="J6921" s="2" t="s">
        <v>15294</v>
      </c>
      <c r="K6921">
        <v>20</v>
      </c>
      <c r="L6921">
        <v>20</v>
      </c>
      <c r="M6921">
        <v>20</v>
      </c>
    </row>
    <row r="6922" spans="1:13" x14ac:dyDescent="0.25">
      <c r="A6922" t="s">
        <v>15296</v>
      </c>
      <c r="B6922" t="s">
        <v>15295</v>
      </c>
      <c r="C6922" t="s">
        <v>20</v>
      </c>
      <c r="D6922" t="s">
        <v>2477</v>
      </c>
      <c r="G6922" t="s">
        <v>16</v>
      </c>
      <c r="H6922">
        <v>0</v>
      </c>
      <c r="I6922" s="2" t="s">
        <v>737</v>
      </c>
      <c r="J6922" s="2" t="s">
        <v>15297</v>
      </c>
      <c r="K6922">
        <v>20</v>
      </c>
      <c r="L6922">
        <v>20</v>
      </c>
      <c r="M6922">
        <v>20</v>
      </c>
    </row>
    <row r="6923" spans="1:13" x14ac:dyDescent="0.25">
      <c r="A6923" t="s">
        <v>15298</v>
      </c>
      <c r="B6923" t="s">
        <v>15299</v>
      </c>
      <c r="C6923" t="s">
        <v>20</v>
      </c>
      <c r="D6923" t="s">
        <v>2477</v>
      </c>
      <c r="G6923" t="s">
        <v>16</v>
      </c>
      <c r="H6923">
        <v>0</v>
      </c>
      <c r="I6923" s="2" t="s">
        <v>245</v>
      </c>
      <c r="J6923" s="2" t="s">
        <v>15300</v>
      </c>
      <c r="K6923">
        <v>20</v>
      </c>
      <c r="L6923">
        <v>20</v>
      </c>
      <c r="M6923">
        <v>20</v>
      </c>
    </row>
    <row r="6924" spans="1:13" x14ac:dyDescent="0.25">
      <c r="A6924" t="s">
        <v>15301</v>
      </c>
      <c r="B6924" t="s">
        <v>15302</v>
      </c>
      <c r="C6924" t="s">
        <v>20</v>
      </c>
      <c r="D6924" t="s">
        <v>2477</v>
      </c>
      <c r="F6924">
        <v>3</v>
      </c>
      <c r="G6924" t="s">
        <v>16</v>
      </c>
      <c r="H6924">
        <v>0</v>
      </c>
      <c r="I6924" s="2" t="b">
        <v>1</v>
      </c>
      <c r="J6924" s="2" t="s">
        <v>15303</v>
      </c>
      <c r="K6924">
        <v>20</v>
      </c>
      <c r="L6924">
        <v>20</v>
      </c>
      <c r="M6924">
        <v>20</v>
      </c>
    </row>
    <row r="6925" spans="1:13" x14ac:dyDescent="0.25">
      <c r="A6925" t="s">
        <v>15304</v>
      </c>
      <c r="B6925" t="s">
        <v>15305</v>
      </c>
      <c r="C6925" t="s">
        <v>20</v>
      </c>
      <c r="D6925" t="s">
        <v>2477</v>
      </c>
      <c r="G6925" t="s">
        <v>16</v>
      </c>
      <c r="H6925">
        <v>0</v>
      </c>
      <c r="I6925" s="2" t="s">
        <v>737</v>
      </c>
      <c r="J6925" s="2" t="s">
        <v>15306</v>
      </c>
      <c r="K6925">
        <v>20</v>
      </c>
      <c r="L6925">
        <v>20</v>
      </c>
      <c r="M6925">
        <v>20</v>
      </c>
    </row>
    <row r="6926" spans="1:13" x14ac:dyDescent="0.25">
      <c r="A6926" t="s">
        <v>15307</v>
      </c>
      <c r="B6926" t="s">
        <v>15309</v>
      </c>
      <c r="C6926" t="s">
        <v>20</v>
      </c>
      <c r="D6926" t="s">
        <v>2477</v>
      </c>
      <c r="F6926">
        <v>1</v>
      </c>
      <c r="G6926" t="s">
        <v>16</v>
      </c>
      <c r="H6926">
        <v>0</v>
      </c>
      <c r="I6926" s="2" t="s">
        <v>765</v>
      </c>
      <c r="J6926" s="2" t="s">
        <v>15308</v>
      </c>
      <c r="K6926">
        <v>20</v>
      </c>
      <c r="L6926">
        <v>20</v>
      </c>
      <c r="M6926">
        <v>20</v>
      </c>
    </row>
    <row r="6927" spans="1:13" x14ac:dyDescent="0.25">
      <c r="A6927" t="s">
        <v>15310</v>
      </c>
      <c r="B6927" t="s">
        <v>15309</v>
      </c>
      <c r="C6927" t="s">
        <v>20</v>
      </c>
      <c r="D6927" t="s">
        <v>2477</v>
      </c>
      <c r="G6927" t="s">
        <v>16</v>
      </c>
      <c r="H6927">
        <v>0</v>
      </c>
      <c r="I6927" s="2" t="s">
        <v>5085</v>
      </c>
      <c r="J6927" s="2" t="s">
        <v>15311</v>
      </c>
      <c r="K6927">
        <v>20</v>
      </c>
      <c r="L6927">
        <v>20</v>
      </c>
      <c r="M6927">
        <v>20</v>
      </c>
    </row>
    <row r="6928" spans="1:13" x14ac:dyDescent="0.25">
      <c r="A6928" t="s">
        <v>15312</v>
      </c>
      <c r="B6928" t="s">
        <v>15309</v>
      </c>
      <c r="C6928" t="s">
        <v>20</v>
      </c>
      <c r="D6928" t="s">
        <v>2477</v>
      </c>
      <c r="G6928" t="s">
        <v>16</v>
      </c>
      <c r="H6928">
        <v>0</v>
      </c>
      <c r="I6928" s="2" t="s">
        <v>737</v>
      </c>
      <c r="J6928" s="2" t="s">
        <v>15313</v>
      </c>
      <c r="K6928">
        <v>20</v>
      </c>
      <c r="L6928">
        <v>20</v>
      </c>
      <c r="M6928">
        <v>20</v>
      </c>
    </row>
    <row r="6929" spans="1:13" x14ac:dyDescent="0.25">
      <c r="A6929" t="s">
        <v>15314</v>
      </c>
      <c r="B6929" t="s">
        <v>15315</v>
      </c>
      <c r="C6929" t="s">
        <v>20</v>
      </c>
      <c r="D6929" t="s">
        <v>2477</v>
      </c>
      <c r="F6929">
        <v>1</v>
      </c>
      <c r="G6929" t="s">
        <v>16</v>
      </c>
      <c r="H6929">
        <v>0</v>
      </c>
      <c r="I6929" s="2" t="s">
        <v>5085</v>
      </c>
      <c r="J6929" s="2" t="s">
        <v>15316</v>
      </c>
      <c r="K6929">
        <v>20</v>
      </c>
      <c r="L6929">
        <v>20</v>
      </c>
      <c r="M6929">
        <v>20</v>
      </c>
    </row>
    <row r="6930" spans="1:13" x14ac:dyDescent="0.25">
      <c r="A6930" t="s">
        <v>15317</v>
      </c>
      <c r="B6930" t="s">
        <v>15318</v>
      </c>
      <c r="C6930" t="s">
        <v>20</v>
      </c>
      <c r="D6930" t="s">
        <v>2477</v>
      </c>
      <c r="G6930" t="s">
        <v>16</v>
      </c>
      <c r="H6930">
        <v>0</v>
      </c>
      <c r="I6930" s="2" t="s">
        <v>737</v>
      </c>
      <c r="J6930" s="2" t="s">
        <v>15319</v>
      </c>
      <c r="K6930">
        <v>20</v>
      </c>
      <c r="L6930">
        <v>20</v>
      </c>
      <c r="M6930">
        <v>20</v>
      </c>
    </row>
    <row r="6931" spans="1:13" x14ac:dyDescent="0.25">
      <c r="A6931" t="s">
        <v>15320</v>
      </c>
      <c r="B6931" t="s">
        <v>15321</v>
      </c>
      <c r="C6931" t="s">
        <v>20</v>
      </c>
      <c r="D6931" t="s">
        <v>2477</v>
      </c>
      <c r="F6931">
        <v>1</v>
      </c>
      <c r="G6931" t="s">
        <v>16</v>
      </c>
      <c r="H6931">
        <v>0</v>
      </c>
      <c r="I6931" s="2" t="s">
        <v>737</v>
      </c>
      <c r="J6931" s="2" t="s">
        <v>15322</v>
      </c>
      <c r="K6931">
        <v>20</v>
      </c>
      <c r="L6931">
        <v>20</v>
      </c>
      <c r="M6931">
        <v>20</v>
      </c>
    </row>
    <row r="6932" spans="1:13" x14ac:dyDescent="0.25">
      <c r="A6932" t="s">
        <v>15323</v>
      </c>
      <c r="B6932" t="s">
        <v>15324</v>
      </c>
      <c r="C6932" t="s">
        <v>20</v>
      </c>
      <c r="D6932" t="s">
        <v>2477</v>
      </c>
      <c r="G6932" t="s">
        <v>16</v>
      </c>
      <c r="H6932">
        <v>0</v>
      </c>
      <c r="I6932" s="2" t="s">
        <v>5085</v>
      </c>
      <c r="J6932" s="2" t="s">
        <v>15325</v>
      </c>
      <c r="K6932">
        <v>20</v>
      </c>
      <c r="L6932">
        <v>20</v>
      </c>
      <c r="M6932">
        <v>20</v>
      </c>
    </row>
    <row r="6933" spans="1:13" x14ac:dyDescent="0.25">
      <c r="A6933" t="s">
        <v>15326</v>
      </c>
      <c r="B6933" t="s">
        <v>15328</v>
      </c>
      <c r="C6933" t="s">
        <v>20</v>
      </c>
      <c r="D6933" t="s">
        <v>2477</v>
      </c>
      <c r="F6933">
        <v>1</v>
      </c>
      <c r="G6933" t="s">
        <v>16</v>
      </c>
      <c r="H6933">
        <v>0</v>
      </c>
      <c r="I6933" s="2" t="s">
        <v>288</v>
      </c>
      <c r="J6933" s="2" t="s">
        <v>15327</v>
      </c>
      <c r="K6933">
        <v>20</v>
      </c>
      <c r="L6933">
        <v>20</v>
      </c>
      <c r="M6933">
        <v>20</v>
      </c>
    </row>
    <row r="6934" spans="1:13" x14ac:dyDescent="0.25">
      <c r="A6934" t="s">
        <v>15329</v>
      </c>
      <c r="B6934" t="s">
        <v>15328</v>
      </c>
      <c r="C6934" t="s">
        <v>20</v>
      </c>
      <c r="D6934" t="s">
        <v>2477</v>
      </c>
      <c r="G6934" t="s">
        <v>16</v>
      </c>
      <c r="H6934">
        <v>0</v>
      </c>
      <c r="I6934" s="2" t="s">
        <v>5085</v>
      </c>
      <c r="J6934" s="2" t="s">
        <v>15330</v>
      </c>
      <c r="K6934">
        <v>20</v>
      </c>
      <c r="L6934">
        <v>20</v>
      </c>
      <c r="M6934">
        <v>20</v>
      </c>
    </row>
    <row r="6935" spans="1:13" x14ac:dyDescent="0.25">
      <c r="A6935" t="s">
        <v>15331</v>
      </c>
      <c r="B6935" t="s">
        <v>15333</v>
      </c>
      <c r="C6935" t="s">
        <v>20</v>
      </c>
      <c r="D6935" t="s">
        <v>2477</v>
      </c>
      <c r="F6935">
        <v>3</v>
      </c>
      <c r="G6935" t="s">
        <v>16</v>
      </c>
      <c r="H6935">
        <v>0</v>
      </c>
      <c r="I6935" s="2" t="s">
        <v>288</v>
      </c>
      <c r="J6935" s="2" t="s">
        <v>15332</v>
      </c>
      <c r="K6935">
        <v>20</v>
      </c>
      <c r="L6935">
        <v>20</v>
      </c>
      <c r="M6935">
        <v>20</v>
      </c>
    </row>
    <row r="6936" spans="1:13" x14ac:dyDescent="0.25">
      <c r="A6936" t="s">
        <v>15334</v>
      </c>
      <c r="B6936" t="s">
        <v>15335</v>
      </c>
      <c r="C6936" t="s">
        <v>20</v>
      </c>
      <c r="D6936" t="s">
        <v>2477</v>
      </c>
      <c r="F6936">
        <v>4</v>
      </c>
      <c r="G6936" t="s">
        <v>16</v>
      </c>
      <c r="H6936">
        <v>0</v>
      </c>
      <c r="I6936" s="2" t="b">
        <v>1</v>
      </c>
      <c r="J6936" s="2" t="s">
        <v>15336</v>
      </c>
      <c r="K6936">
        <v>20</v>
      </c>
      <c r="L6936">
        <v>20</v>
      </c>
      <c r="M6936">
        <v>20</v>
      </c>
    </row>
    <row r="6937" spans="1:13" x14ac:dyDescent="0.25">
      <c r="A6937" t="s">
        <v>15337</v>
      </c>
      <c r="B6937" t="s">
        <v>15338</v>
      </c>
      <c r="C6937" t="s">
        <v>20</v>
      </c>
      <c r="D6937" t="s">
        <v>2477</v>
      </c>
      <c r="F6937">
        <v>4</v>
      </c>
      <c r="G6937" t="s">
        <v>16</v>
      </c>
      <c r="H6937">
        <v>0</v>
      </c>
      <c r="I6937" s="2" t="s">
        <v>64</v>
      </c>
      <c r="J6937" s="2">
        <v>10010289</v>
      </c>
      <c r="K6937">
        <v>20</v>
      </c>
      <c r="L6937">
        <v>20</v>
      </c>
      <c r="M6937">
        <v>20</v>
      </c>
    </row>
    <row r="6938" spans="1:13" x14ac:dyDescent="0.25">
      <c r="A6938" t="s">
        <v>15339</v>
      </c>
      <c r="B6938" t="s">
        <v>15333</v>
      </c>
      <c r="C6938" t="s">
        <v>20</v>
      </c>
      <c r="D6938" t="s">
        <v>2477</v>
      </c>
      <c r="F6938">
        <v>1</v>
      </c>
      <c r="G6938" t="s">
        <v>16</v>
      </c>
      <c r="H6938">
        <v>0</v>
      </c>
      <c r="I6938" s="2" t="s">
        <v>245</v>
      </c>
      <c r="J6938" s="2" t="s">
        <v>15340</v>
      </c>
      <c r="K6938">
        <v>20</v>
      </c>
      <c r="L6938">
        <v>20</v>
      </c>
      <c r="M6938">
        <v>20</v>
      </c>
    </row>
    <row r="6939" spans="1:13" x14ac:dyDescent="0.25">
      <c r="A6939" t="s">
        <v>15341</v>
      </c>
      <c r="B6939" t="s">
        <v>15338</v>
      </c>
      <c r="C6939" t="s">
        <v>20</v>
      </c>
      <c r="D6939" t="s">
        <v>2477</v>
      </c>
      <c r="F6939">
        <v>0</v>
      </c>
      <c r="G6939" t="s">
        <v>16</v>
      </c>
      <c r="H6939">
        <v>0</v>
      </c>
      <c r="I6939" s="2" t="s">
        <v>737</v>
      </c>
      <c r="J6939" s="2" t="s">
        <v>15342</v>
      </c>
      <c r="K6939">
        <v>20</v>
      </c>
      <c r="L6939">
        <v>20</v>
      </c>
      <c r="M6939">
        <v>20</v>
      </c>
    </row>
    <row r="6940" spans="1:13" x14ac:dyDescent="0.25">
      <c r="A6940" t="s">
        <v>15343</v>
      </c>
      <c r="B6940" t="s">
        <v>15344</v>
      </c>
      <c r="C6940" t="s">
        <v>20</v>
      </c>
      <c r="D6940" t="s">
        <v>2477</v>
      </c>
      <c r="G6940" t="s">
        <v>16</v>
      </c>
      <c r="H6940">
        <v>0</v>
      </c>
      <c r="I6940" s="2" t="s">
        <v>737</v>
      </c>
      <c r="J6940" s="2" t="s">
        <v>15345</v>
      </c>
      <c r="K6940">
        <v>20</v>
      </c>
      <c r="L6940">
        <v>20</v>
      </c>
      <c r="M6940">
        <v>20</v>
      </c>
    </row>
    <row r="6941" spans="1:13" x14ac:dyDescent="0.25">
      <c r="A6941" t="s">
        <v>15346</v>
      </c>
      <c r="B6941" t="s">
        <v>15347</v>
      </c>
      <c r="C6941" t="s">
        <v>20</v>
      </c>
      <c r="D6941" t="s">
        <v>2477</v>
      </c>
      <c r="G6941" t="s">
        <v>16</v>
      </c>
      <c r="H6941">
        <v>0</v>
      </c>
      <c r="I6941" s="2" t="b">
        <v>1</v>
      </c>
      <c r="J6941" s="2" t="s">
        <v>15348</v>
      </c>
      <c r="K6941">
        <v>20</v>
      </c>
      <c r="L6941">
        <v>20</v>
      </c>
      <c r="M6941">
        <v>20</v>
      </c>
    </row>
    <row r="6942" spans="1:13" x14ac:dyDescent="0.25">
      <c r="A6942" t="s">
        <v>15349</v>
      </c>
      <c r="B6942" t="s">
        <v>15350</v>
      </c>
      <c r="C6942" t="s">
        <v>151</v>
      </c>
      <c r="G6942" t="s">
        <v>16</v>
      </c>
      <c r="H6942">
        <v>0</v>
      </c>
      <c r="I6942" s="2" t="s">
        <v>491</v>
      </c>
      <c r="J6942" s="2">
        <v>359003410220</v>
      </c>
      <c r="K6942">
        <v>20</v>
      </c>
      <c r="L6942">
        <v>20</v>
      </c>
      <c r="M6942">
        <v>20</v>
      </c>
    </row>
    <row r="6943" spans="1:13" x14ac:dyDescent="0.25">
      <c r="A6943" t="s">
        <v>15351</v>
      </c>
      <c r="B6943" t="s">
        <v>15352</v>
      </c>
      <c r="C6943" t="s">
        <v>151</v>
      </c>
      <c r="F6943">
        <v>1</v>
      </c>
      <c r="G6943" t="s">
        <v>16</v>
      </c>
      <c r="H6943">
        <v>0</v>
      </c>
      <c r="I6943" s="2" t="s">
        <v>491</v>
      </c>
      <c r="J6943" s="2">
        <v>359003410080</v>
      </c>
      <c r="K6943">
        <v>20</v>
      </c>
      <c r="L6943">
        <v>20</v>
      </c>
      <c r="M6943">
        <v>20</v>
      </c>
    </row>
    <row r="6944" spans="1:13" x14ac:dyDescent="0.25">
      <c r="A6944" t="s">
        <v>15353</v>
      </c>
      <c r="B6944" t="s">
        <v>15354</v>
      </c>
      <c r="C6944" t="s">
        <v>151</v>
      </c>
      <c r="G6944" t="s">
        <v>16</v>
      </c>
      <c r="H6944">
        <v>0</v>
      </c>
      <c r="I6944" s="2" t="s">
        <v>2896</v>
      </c>
      <c r="J6944" s="2">
        <v>210167</v>
      </c>
      <c r="K6944">
        <v>20</v>
      </c>
      <c r="L6944">
        <v>20</v>
      </c>
      <c r="M6944">
        <v>20</v>
      </c>
    </row>
    <row r="6945" spans="1:13" x14ac:dyDescent="0.25">
      <c r="A6945" t="s">
        <v>15355</v>
      </c>
      <c r="B6945" t="s">
        <v>15354</v>
      </c>
      <c r="C6945" t="s">
        <v>151</v>
      </c>
      <c r="G6945" t="s">
        <v>16</v>
      </c>
      <c r="H6945">
        <v>0</v>
      </c>
      <c r="I6945" s="2" t="s">
        <v>993</v>
      </c>
      <c r="J6945" s="2">
        <v>208648</v>
      </c>
      <c r="K6945">
        <v>20</v>
      </c>
      <c r="L6945">
        <v>20</v>
      </c>
      <c r="M6945">
        <v>20</v>
      </c>
    </row>
    <row r="6946" spans="1:13" x14ac:dyDescent="0.25">
      <c r="A6946" t="s">
        <v>15356</v>
      </c>
      <c r="B6946" t="s">
        <v>15357</v>
      </c>
      <c r="C6946" t="s">
        <v>20</v>
      </c>
      <c r="D6946" t="s">
        <v>2477</v>
      </c>
      <c r="F6946">
        <v>1</v>
      </c>
      <c r="G6946" t="s">
        <v>16</v>
      </c>
      <c r="H6946">
        <v>0</v>
      </c>
      <c r="I6946" s="2" t="b">
        <v>1</v>
      </c>
      <c r="J6946" s="2" t="s">
        <v>15358</v>
      </c>
      <c r="K6946">
        <v>20</v>
      </c>
      <c r="L6946">
        <v>20</v>
      </c>
      <c r="M6946">
        <v>20</v>
      </c>
    </row>
    <row r="6947" spans="1:13" x14ac:dyDescent="0.25">
      <c r="A6947" t="s">
        <v>15359</v>
      </c>
      <c r="B6947" t="s">
        <v>15360</v>
      </c>
      <c r="C6947" t="s">
        <v>20</v>
      </c>
      <c r="D6947" t="s">
        <v>2477</v>
      </c>
      <c r="F6947">
        <v>0</v>
      </c>
      <c r="G6947" t="s">
        <v>16</v>
      </c>
      <c r="H6947">
        <v>0</v>
      </c>
      <c r="I6947" s="2" t="s">
        <v>245</v>
      </c>
      <c r="J6947" s="2" t="s">
        <v>15361</v>
      </c>
      <c r="K6947">
        <v>20</v>
      </c>
      <c r="L6947">
        <v>20</v>
      </c>
      <c r="M6947">
        <v>20</v>
      </c>
    </row>
    <row r="6948" spans="1:13" x14ac:dyDescent="0.25">
      <c r="A6948" t="s">
        <v>15362</v>
      </c>
      <c r="B6948" t="s">
        <v>15363</v>
      </c>
      <c r="C6948" t="s">
        <v>20</v>
      </c>
      <c r="D6948" t="s">
        <v>2477</v>
      </c>
      <c r="G6948" t="s">
        <v>16</v>
      </c>
      <c r="H6948">
        <v>0</v>
      </c>
      <c r="I6948" s="2" t="b">
        <v>1</v>
      </c>
      <c r="J6948" s="2" t="s">
        <v>15364</v>
      </c>
      <c r="K6948">
        <v>20</v>
      </c>
      <c r="L6948">
        <v>20</v>
      </c>
      <c r="M6948">
        <v>20</v>
      </c>
    </row>
    <row r="6949" spans="1:13" x14ac:dyDescent="0.25">
      <c r="A6949" t="s">
        <v>15365</v>
      </c>
      <c r="B6949" t="s">
        <v>15366</v>
      </c>
      <c r="C6949" t="s">
        <v>20</v>
      </c>
      <c r="D6949" t="s">
        <v>2477</v>
      </c>
      <c r="G6949" t="s">
        <v>16</v>
      </c>
      <c r="H6949">
        <v>0</v>
      </c>
      <c r="I6949" s="2" t="s">
        <v>737</v>
      </c>
      <c r="J6949" s="2" t="s">
        <v>15367</v>
      </c>
      <c r="K6949">
        <v>20</v>
      </c>
      <c r="L6949">
        <v>20</v>
      </c>
      <c r="M6949">
        <v>20</v>
      </c>
    </row>
    <row r="6950" spans="1:13" x14ac:dyDescent="0.25">
      <c r="A6950" t="s">
        <v>15368</v>
      </c>
      <c r="B6950" t="s">
        <v>15369</v>
      </c>
      <c r="C6950" t="s">
        <v>20</v>
      </c>
      <c r="D6950" t="s">
        <v>2477</v>
      </c>
      <c r="F6950">
        <v>0</v>
      </c>
      <c r="G6950" t="s">
        <v>16</v>
      </c>
      <c r="H6950">
        <v>0</v>
      </c>
      <c r="I6950" s="2" t="s">
        <v>15370</v>
      </c>
      <c r="J6950" s="2" t="s">
        <v>15371</v>
      </c>
      <c r="K6950">
        <v>20</v>
      </c>
      <c r="L6950">
        <v>20</v>
      </c>
      <c r="M6950">
        <v>20</v>
      </c>
    </row>
    <row r="6951" spans="1:13" x14ac:dyDescent="0.25">
      <c r="A6951" t="s">
        <v>15372</v>
      </c>
      <c r="B6951" t="s">
        <v>15374</v>
      </c>
      <c r="C6951" t="s">
        <v>20</v>
      </c>
      <c r="D6951" t="s">
        <v>2477</v>
      </c>
      <c r="F6951">
        <v>0</v>
      </c>
      <c r="G6951" t="s">
        <v>16</v>
      </c>
      <c r="H6951">
        <v>0</v>
      </c>
      <c r="I6951" s="2" t="s">
        <v>288</v>
      </c>
      <c r="J6951" s="2" t="s">
        <v>15373</v>
      </c>
      <c r="K6951">
        <v>20</v>
      </c>
      <c r="L6951">
        <v>20</v>
      </c>
      <c r="M6951">
        <v>20</v>
      </c>
    </row>
    <row r="6952" spans="1:13" x14ac:dyDescent="0.25">
      <c r="A6952" t="s">
        <v>15375</v>
      </c>
      <c r="B6952" t="s">
        <v>15374</v>
      </c>
      <c r="C6952" t="s">
        <v>20</v>
      </c>
      <c r="D6952" t="s">
        <v>2477</v>
      </c>
      <c r="F6952">
        <v>1</v>
      </c>
      <c r="G6952" t="s">
        <v>16</v>
      </c>
      <c r="H6952">
        <v>0</v>
      </c>
      <c r="I6952" s="2" t="b">
        <v>1</v>
      </c>
      <c r="J6952" s="2" t="s">
        <v>15376</v>
      </c>
      <c r="K6952">
        <v>20</v>
      </c>
      <c r="L6952">
        <v>20</v>
      </c>
      <c r="M6952">
        <v>20</v>
      </c>
    </row>
    <row r="6953" spans="1:13" x14ac:dyDescent="0.25">
      <c r="A6953" t="s">
        <v>15377</v>
      </c>
      <c r="B6953" t="s">
        <v>15374</v>
      </c>
      <c r="C6953" t="s">
        <v>20</v>
      </c>
      <c r="D6953" t="s">
        <v>2477</v>
      </c>
      <c r="G6953" t="s">
        <v>16</v>
      </c>
      <c r="H6953">
        <v>0</v>
      </c>
      <c r="I6953" s="2" t="s">
        <v>737</v>
      </c>
      <c r="J6953" s="2" t="s">
        <v>15378</v>
      </c>
      <c r="K6953">
        <v>20</v>
      </c>
      <c r="L6953">
        <v>20</v>
      </c>
      <c r="M6953">
        <v>20</v>
      </c>
    </row>
    <row r="6954" spans="1:13" x14ac:dyDescent="0.25">
      <c r="A6954" t="s">
        <v>15379</v>
      </c>
      <c r="B6954" t="s">
        <v>15380</v>
      </c>
      <c r="C6954" t="s">
        <v>20</v>
      </c>
      <c r="D6954" t="s">
        <v>2477</v>
      </c>
      <c r="G6954" t="s">
        <v>16</v>
      </c>
      <c r="H6954">
        <v>0</v>
      </c>
      <c r="I6954" s="2" t="s">
        <v>245</v>
      </c>
      <c r="J6954" s="2" t="s">
        <v>15381</v>
      </c>
      <c r="K6954">
        <v>20</v>
      </c>
      <c r="L6954">
        <v>20</v>
      </c>
      <c r="M6954">
        <v>20</v>
      </c>
    </row>
    <row r="6955" spans="1:13" x14ac:dyDescent="0.25">
      <c r="A6955" t="s">
        <v>15382</v>
      </c>
      <c r="B6955" t="s">
        <v>15383</v>
      </c>
      <c r="C6955" t="s">
        <v>20</v>
      </c>
      <c r="D6955" t="s">
        <v>2477</v>
      </c>
      <c r="G6955" t="s">
        <v>16</v>
      </c>
      <c r="H6955">
        <v>0</v>
      </c>
      <c r="I6955" s="2" t="s">
        <v>5085</v>
      </c>
      <c r="J6955" s="2" t="s">
        <v>15384</v>
      </c>
      <c r="K6955">
        <v>20</v>
      </c>
      <c r="L6955">
        <v>20</v>
      </c>
      <c r="M6955">
        <v>20</v>
      </c>
    </row>
    <row r="6956" spans="1:13" x14ac:dyDescent="0.25">
      <c r="A6956" t="s">
        <v>15385</v>
      </c>
      <c r="B6956" t="s">
        <v>15383</v>
      </c>
      <c r="C6956" t="s">
        <v>20</v>
      </c>
      <c r="D6956" t="s">
        <v>2477</v>
      </c>
      <c r="G6956" t="s">
        <v>16</v>
      </c>
      <c r="H6956">
        <v>0</v>
      </c>
      <c r="I6956" s="2" t="s">
        <v>285</v>
      </c>
      <c r="J6956" s="2">
        <v>951662</v>
      </c>
      <c r="K6956">
        <v>20</v>
      </c>
      <c r="L6956">
        <v>20</v>
      </c>
      <c r="M6956">
        <v>20</v>
      </c>
    </row>
    <row r="6957" spans="1:13" x14ac:dyDescent="0.25">
      <c r="A6957" t="s">
        <v>15386</v>
      </c>
      <c r="B6957" t="s">
        <v>15383</v>
      </c>
      <c r="C6957" t="s">
        <v>20</v>
      </c>
      <c r="D6957" t="s">
        <v>2477</v>
      </c>
      <c r="G6957" t="s">
        <v>16</v>
      </c>
      <c r="H6957">
        <v>0</v>
      </c>
      <c r="I6957" s="2" t="s">
        <v>737</v>
      </c>
      <c r="J6957" s="2" t="s">
        <v>15387</v>
      </c>
      <c r="K6957">
        <v>20</v>
      </c>
      <c r="L6957">
        <v>20</v>
      </c>
      <c r="M6957">
        <v>20</v>
      </c>
    </row>
    <row r="6958" spans="1:13" x14ac:dyDescent="0.25">
      <c r="A6958" t="s">
        <v>15388</v>
      </c>
      <c r="B6958" t="s">
        <v>15390</v>
      </c>
      <c r="C6958" t="s">
        <v>20</v>
      </c>
      <c r="D6958" t="s">
        <v>2477</v>
      </c>
      <c r="F6958">
        <v>1</v>
      </c>
      <c r="G6958" t="s">
        <v>16</v>
      </c>
      <c r="H6958">
        <v>0</v>
      </c>
      <c r="I6958" s="2" t="s">
        <v>288</v>
      </c>
      <c r="J6958" s="2" t="s">
        <v>15389</v>
      </c>
      <c r="K6958">
        <v>20</v>
      </c>
      <c r="L6958">
        <v>20</v>
      </c>
      <c r="M6958">
        <v>20</v>
      </c>
    </row>
    <row r="6959" spans="1:13" x14ac:dyDescent="0.25">
      <c r="A6959" t="s">
        <v>15391</v>
      </c>
      <c r="B6959" t="s">
        <v>15392</v>
      </c>
      <c r="C6959" t="s">
        <v>20</v>
      </c>
      <c r="D6959" t="s">
        <v>2477</v>
      </c>
      <c r="G6959" t="s">
        <v>16</v>
      </c>
      <c r="H6959">
        <v>0</v>
      </c>
      <c r="I6959" s="2" t="s">
        <v>737</v>
      </c>
      <c r="J6959" s="2" t="s">
        <v>15393</v>
      </c>
      <c r="K6959">
        <v>20</v>
      </c>
      <c r="L6959">
        <v>20</v>
      </c>
      <c r="M6959">
        <v>20</v>
      </c>
    </row>
    <row r="6960" spans="1:13" x14ac:dyDescent="0.25">
      <c r="A6960" t="s">
        <v>15394</v>
      </c>
      <c r="B6960" t="s">
        <v>15396</v>
      </c>
      <c r="C6960" t="s">
        <v>20</v>
      </c>
      <c r="D6960" t="s">
        <v>2477</v>
      </c>
      <c r="G6960" t="s">
        <v>16</v>
      </c>
      <c r="H6960">
        <v>0</v>
      </c>
      <c r="I6960" s="2" t="s">
        <v>737</v>
      </c>
      <c r="J6960" s="2" t="s">
        <v>15395</v>
      </c>
      <c r="K6960">
        <v>20</v>
      </c>
      <c r="L6960">
        <v>20</v>
      </c>
      <c r="M6960">
        <v>20</v>
      </c>
    </row>
    <row r="6961" spans="1:13" x14ac:dyDescent="0.25">
      <c r="A6961" t="s">
        <v>15397</v>
      </c>
      <c r="B6961" t="s">
        <v>15398</v>
      </c>
      <c r="C6961" t="s">
        <v>20</v>
      </c>
      <c r="D6961" t="s">
        <v>2477</v>
      </c>
      <c r="G6961" t="s">
        <v>16</v>
      </c>
      <c r="H6961">
        <v>0</v>
      </c>
      <c r="I6961" s="2" t="b">
        <v>1</v>
      </c>
      <c r="J6961" s="2" t="s">
        <v>15399</v>
      </c>
      <c r="K6961">
        <v>20</v>
      </c>
      <c r="L6961">
        <v>20</v>
      </c>
      <c r="M6961">
        <v>20</v>
      </c>
    </row>
    <row r="6962" spans="1:13" x14ac:dyDescent="0.25">
      <c r="A6962" t="s">
        <v>15400</v>
      </c>
      <c r="B6962" t="s">
        <v>15401</v>
      </c>
      <c r="C6962" t="s">
        <v>540</v>
      </c>
      <c r="D6962" t="s">
        <v>2477</v>
      </c>
      <c r="G6962" t="s">
        <v>16</v>
      </c>
      <c r="H6962">
        <v>0</v>
      </c>
      <c r="I6962" s="2" t="s">
        <v>5085</v>
      </c>
      <c r="J6962" s="2" t="s">
        <v>15402</v>
      </c>
      <c r="K6962">
        <v>20</v>
      </c>
      <c r="L6962">
        <v>20</v>
      </c>
      <c r="M6962">
        <v>20</v>
      </c>
    </row>
    <row r="6963" spans="1:13" x14ac:dyDescent="0.25">
      <c r="A6963" t="s">
        <v>15403</v>
      </c>
      <c r="B6963" t="s">
        <v>15404</v>
      </c>
      <c r="C6963" t="s">
        <v>20</v>
      </c>
      <c r="D6963" t="s">
        <v>2477</v>
      </c>
      <c r="G6963" t="s">
        <v>16</v>
      </c>
      <c r="H6963">
        <v>0</v>
      </c>
      <c r="I6963" s="2" t="s">
        <v>5085</v>
      </c>
      <c r="J6963" s="2" t="s">
        <v>15405</v>
      </c>
      <c r="K6963">
        <v>20</v>
      </c>
      <c r="L6963">
        <v>20</v>
      </c>
      <c r="M6963">
        <v>20</v>
      </c>
    </row>
    <row r="6964" spans="1:13" x14ac:dyDescent="0.25">
      <c r="A6964" t="s">
        <v>15406</v>
      </c>
      <c r="B6964" t="s">
        <v>15407</v>
      </c>
      <c r="C6964" t="s">
        <v>20</v>
      </c>
      <c r="D6964" t="s">
        <v>2477</v>
      </c>
      <c r="F6964">
        <v>3</v>
      </c>
      <c r="G6964" t="s">
        <v>16</v>
      </c>
      <c r="H6964">
        <v>0</v>
      </c>
      <c r="I6964" s="2" t="b">
        <v>1</v>
      </c>
      <c r="J6964" s="2" t="s">
        <v>15408</v>
      </c>
      <c r="K6964">
        <v>20</v>
      </c>
      <c r="L6964">
        <v>20</v>
      </c>
      <c r="M6964">
        <v>20</v>
      </c>
    </row>
    <row r="6965" spans="1:13" x14ac:dyDescent="0.25">
      <c r="A6965" t="s">
        <v>15409</v>
      </c>
      <c r="B6965" t="s">
        <v>15410</v>
      </c>
      <c r="C6965" t="s">
        <v>20</v>
      </c>
      <c r="D6965" t="s">
        <v>2477</v>
      </c>
      <c r="F6965">
        <v>2</v>
      </c>
      <c r="G6965" t="s">
        <v>16</v>
      </c>
      <c r="H6965">
        <v>0</v>
      </c>
      <c r="I6965" s="2" t="b">
        <v>1</v>
      </c>
      <c r="J6965" s="2" t="s">
        <v>15411</v>
      </c>
      <c r="K6965">
        <v>20</v>
      </c>
      <c r="L6965">
        <v>20</v>
      </c>
      <c r="M6965">
        <v>20</v>
      </c>
    </row>
    <row r="6966" spans="1:13" x14ac:dyDescent="0.25">
      <c r="A6966" t="s">
        <v>15412</v>
      </c>
      <c r="B6966" t="s">
        <v>15410</v>
      </c>
      <c r="C6966" t="s">
        <v>20</v>
      </c>
      <c r="D6966" t="s">
        <v>2477</v>
      </c>
      <c r="G6966" t="s">
        <v>16</v>
      </c>
      <c r="H6966">
        <v>0</v>
      </c>
      <c r="I6966" s="2" t="s">
        <v>737</v>
      </c>
      <c r="J6966" s="2" t="s">
        <v>15413</v>
      </c>
      <c r="K6966">
        <v>20</v>
      </c>
      <c r="L6966">
        <v>20</v>
      </c>
      <c r="M6966">
        <v>20</v>
      </c>
    </row>
    <row r="6967" spans="1:13" x14ac:dyDescent="0.25">
      <c r="A6967" t="s">
        <v>15414</v>
      </c>
      <c r="B6967" t="s">
        <v>15415</v>
      </c>
      <c r="C6967" t="s">
        <v>20</v>
      </c>
      <c r="D6967" t="s">
        <v>2477</v>
      </c>
      <c r="F6967">
        <v>1</v>
      </c>
      <c r="G6967" t="s">
        <v>16</v>
      </c>
      <c r="H6967">
        <v>0</v>
      </c>
      <c r="I6967" s="2" t="s">
        <v>737</v>
      </c>
      <c r="J6967" s="2" t="s">
        <v>15416</v>
      </c>
      <c r="K6967">
        <v>20</v>
      </c>
      <c r="L6967">
        <v>20</v>
      </c>
      <c r="M6967">
        <v>20</v>
      </c>
    </row>
    <row r="6968" spans="1:13" x14ac:dyDescent="0.25">
      <c r="A6968" t="s">
        <v>15417</v>
      </c>
      <c r="B6968" t="s">
        <v>15419</v>
      </c>
      <c r="C6968" t="s">
        <v>20</v>
      </c>
      <c r="D6968" t="s">
        <v>2477</v>
      </c>
      <c r="F6968">
        <v>1</v>
      </c>
      <c r="G6968" t="s">
        <v>16</v>
      </c>
      <c r="H6968">
        <v>0</v>
      </c>
      <c r="I6968" s="2" t="s">
        <v>288</v>
      </c>
      <c r="J6968" s="2" t="s">
        <v>15418</v>
      </c>
      <c r="K6968">
        <v>20</v>
      </c>
      <c r="L6968">
        <v>20</v>
      </c>
      <c r="M6968">
        <v>20</v>
      </c>
    </row>
    <row r="6969" spans="1:13" x14ac:dyDescent="0.25">
      <c r="A6969" t="s">
        <v>15420</v>
      </c>
      <c r="B6969" t="s">
        <v>15419</v>
      </c>
      <c r="C6969" t="s">
        <v>20</v>
      </c>
      <c r="D6969" t="s">
        <v>2477</v>
      </c>
      <c r="F6969">
        <v>2</v>
      </c>
      <c r="G6969" t="s">
        <v>16</v>
      </c>
      <c r="H6969">
        <v>0</v>
      </c>
      <c r="I6969" s="2" t="b">
        <v>1</v>
      </c>
      <c r="J6969" s="2" t="s">
        <v>15421</v>
      </c>
      <c r="K6969">
        <v>20</v>
      </c>
      <c r="L6969">
        <v>20</v>
      </c>
      <c r="M6969">
        <v>20</v>
      </c>
    </row>
    <row r="6970" spans="1:13" x14ac:dyDescent="0.25">
      <c r="A6970" t="s">
        <v>15422</v>
      </c>
      <c r="B6970" t="s">
        <v>15419</v>
      </c>
      <c r="C6970" t="s">
        <v>20</v>
      </c>
      <c r="D6970" t="s">
        <v>2477</v>
      </c>
      <c r="G6970" t="s">
        <v>16</v>
      </c>
      <c r="H6970">
        <v>0</v>
      </c>
      <c r="I6970" s="2" t="s">
        <v>737</v>
      </c>
      <c r="J6970" s="2" t="s">
        <v>15423</v>
      </c>
      <c r="K6970">
        <v>20</v>
      </c>
      <c r="L6970">
        <v>20</v>
      </c>
      <c r="M6970">
        <v>20</v>
      </c>
    </row>
    <row r="6971" spans="1:13" x14ac:dyDescent="0.25">
      <c r="A6971" t="s">
        <v>15424</v>
      </c>
      <c r="B6971" t="s">
        <v>15425</v>
      </c>
      <c r="C6971" t="s">
        <v>20</v>
      </c>
      <c r="D6971" t="s">
        <v>2477</v>
      </c>
      <c r="G6971" t="s">
        <v>16</v>
      </c>
      <c r="H6971">
        <v>0</v>
      </c>
      <c r="I6971" s="2" t="s">
        <v>737</v>
      </c>
      <c r="J6971" s="2" t="s">
        <v>15426</v>
      </c>
      <c r="K6971">
        <v>20</v>
      </c>
      <c r="L6971">
        <v>20</v>
      </c>
      <c r="M6971">
        <v>20</v>
      </c>
    </row>
    <row r="6972" spans="1:13" x14ac:dyDescent="0.25">
      <c r="A6972" t="s">
        <v>15427</v>
      </c>
      <c r="B6972" t="s">
        <v>15428</v>
      </c>
      <c r="C6972" t="s">
        <v>20</v>
      </c>
      <c r="D6972" t="s">
        <v>2477</v>
      </c>
      <c r="F6972">
        <v>2</v>
      </c>
      <c r="G6972" t="s">
        <v>16</v>
      </c>
      <c r="H6972">
        <v>0</v>
      </c>
      <c r="I6972" s="2" t="b">
        <v>1</v>
      </c>
      <c r="J6972" s="2" t="s">
        <v>15429</v>
      </c>
      <c r="K6972">
        <v>20</v>
      </c>
      <c r="L6972">
        <v>20</v>
      </c>
      <c r="M6972">
        <v>20</v>
      </c>
    </row>
    <row r="6973" spans="1:13" x14ac:dyDescent="0.25">
      <c r="A6973" t="s">
        <v>15430</v>
      </c>
      <c r="B6973" t="s">
        <v>15428</v>
      </c>
      <c r="C6973" t="s">
        <v>20</v>
      </c>
      <c r="D6973" t="s">
        <v>2477</v>
      </c>
      <c r="G6973" t="s">
        <v>16</v>
      </c>
      <c r="H6973">
        <v>0</v>
      </c>
      <c r="I6973" s="2" t="s">
        <v>245</v>
      </c>
      <c r="J6973" s="2" t="s">
        <v>15431</v>
      </c>
      <c r="K6973">
        <v>20</v>
      </c>
      <c r="L6973">
        <v>20</v>
      </c>
      <c r="M6973">
        <v>20</v>
      </c>
    </row>
    <row r="6974" spans="1:13" x14ac:dyDescent="0.25">
      <c r="A6974" t="s">
        <v>15432</v>
      </c>
      <c r="B6974" t="s">
        <v>15428</v>
      </c>
      <c r="C6974" t="s">
        <v>20</v>
      </c>
      <c r="D6974" t="s">
        <v>2477</v>
      </c>
      <c r="G6974" t="s">
        <v>16</v>
      </c>
      <c r="H6974">
        <v>0</v>
      </c>
      <c r="I6974" s="2" t="s">
        <v>737</v>
      </c>
      <c r="J6974" s="2" t="s">
        <v>15433</v>
      </c>
      <c r="K6974">
        <v>20</v>
      </c>
      <c r="L6974">
        <v>20</v>
      </c>
      <c r="M6974">
        <v>20</v>
      </c>
    </row>
    <row r="6975" spans="1:13" x14ac:dyDescent="0.25">
      <c r="A6975" t="s">
        <v>15434</v>
      </c>
      <c r="B6975" t="s">
        <v>15435</v>
      </c>
      <c r="C6975" t="s">
        <v>20</v>
      </c>
      <c r="D6975" t="s">
        <v>2477</v>
      </c>
      <c r="F6975">
        <v>1</v>
      </c>
      <c r="G6975" t="s">
        <v>16</v>
      </c>
      <c r="H6975">
        <v>0</v>
      </c>
      <c r="I6975" s="2" t="s">
        <v>5085</v>
      </c>
      <c r="J6975" s="2" t="s">
        <v>15436</v>
      </c>
      <c r="K6975">
        <v>20</v>
      </c>
      <c r="L6975">
        <v>20</v>
      </c>
      <c r="M6975">
        <v>20</v>
      </c>
    </row>
    <row r="6976" spans="1:13" x14ac:dyDescent="0.25">
      <c r="A6976" t="s">
        <v>15437</v>
      </c>
      <c r="B6976" t="s">
        <v>15435</v>
      </c>
      <c r="C6976" t="s">
        <v>20</v>
      </c>
      <c r="D6976" t="s">
        <v>2477</v>
      </c>
      <c r="G6976" t="s">
        <v>16</v>
      </c>
      <c r="H6976">
        <v>0</v>
      </c>
      <c r="I6976" s="2" t="s">
        <v>737</v>
      </c>
      <c r="J6976" s="2" t="s">
        <v>15438</v>
      </c>
      <c r="K6976">
        <v>20</v>
      </c>
      <c r="L6976">
        <v>20</v>
      </c>
      <c r="M6976">
        <v>20</v>
      </c>
    </row>
    <row r="6977" spans="1:13" x14ac:dyDescent="0.25">
      <c r="A6977" t="s">
        <v>15439</v>
      </c>
      <c r="B6977" t="s">
        <v>15441</v>
      </c>
      <c r="C6977" t="s">
        <v>20</v>
      </c>
      <c r="D6977" t="s">
        <v>2477</v>
      </c>
      <c r="F6977">
        <v>1</v>
      </c>
      <c r="G6977" t="s">
        <v>16</v>
      </c>
      <c r="H6977">
        <v>0</v>
      </c>
      <c r="I6977" s="2" t="s">
        <v>288</v>
      </c>
      <c r="J6977" s="2" t="s">
        <v>15440</v>
      </c>
      <c r="K6977">
        <v>20</v>
      </c>
      <c r="L6977">
        <v>20</v>
      </c>
      <c r="M6977">
        <v>20</v>
      </c>
    </row>
    <row r="6978" spans="1:13" x14ac:dyDescent="0.25">
      <c r="A6978" t="s">
        <v>15442</v>
      </c>
      <c r="B6978" t="s">
        <v>15441</v>
      </c>
      <c r="C6978" t="s">
        <v>20</v>
      </c>
      <c r="D6978" t="s">
        <v>2477</v>
      </c>
      <c r="F6978">
        <v>5</v>
      </c>
      <c r="G6978" t="s">
        <v>16</v>
      </c>
      <c r="H6978">
        <v>0</v>
      </c>
      <c r="I6978" s="2" t="b">
        <v>1</v>
      </c>
      <c r="J6978" s="2" t="s">
        <v>15443</v>
      </c>
      <c r="K6978">
        <v>20</v>
      </c>
      <c r="L6978">
        <v>20</v>
      </c>
      <c r="M6978">
        <v>20</v>
      </c>
    </row>
    <row r="6979" spans="1:13" x14ac:dyDescent="0.25">
      <c r="A6979" t="s">
        <v>15444</v>
      </c>
      <c r="B6979" t="s">
        <v>15445</v>
      </c>
      <c r="C6979" t="s">
        <v>20</v>
      </c>
      <c r="D6979" t="s">
        <v>2477</v>
      </c>
      <c r="F6979">
        <v>0</v>
      </c>
      <c r="G6979" t="s">
        <v>16</v>
      </c>
      <c r="H6979">
        <v>0</v>
      </c>
      <c r="I6979" s="2" t="s">
        <v>64</v>
      </c>
      <c r="J6979" s="2">
        <v>10010274</v>
      </c>
      <c r="K6979">
        <v>20</v>
      </c>
      <c r="L6979">
        <v>20</v>
      </c>
      <c r="M6979">
        <v>20</v>
      </c>
    </row>
    <row r="6980" spans="1:13" x14ac:dyDescent="0.25">
      <c r="A6980" t="s">
        <v>15446</v>
      </c>
      <c r="B6980" t="s">
        <v>15445</v>
      </c>
      <c r="C6980" t="s">
        <v>20</v>
      </c>
      <c r="D6980" t="s">
        <v>2477</v>
      </c>
      <c r="F6980">
        <v>-1</v>
      </c>
      <c r="G6980" t="s">
        <v>16</v>
      </c>
      <c r="H6980">
        <v>0</v>
      </c>
      <c r="I6980" s="2" t="s">
        <v>737</v>
      </c>
      <c r="J6980" s="2" t="s">
        <v>15447</v>
      </c>
      <c r="K6980">
        <v>20</v>
      </c>
      <c r="L6980">
        <v>20</v>
      </c>
      <c r="M6980">
        <v>20</v>
      </c>
    </row>
    <row r="6981" spans="1:13" x14ac:dyDescent="0.25">
      <c r="A6981" t="s">
        <v>15448</v>
      </c>
      <c r="B6981" t="s">
        <v>15450</v>
      </c>
      <c r="C6981" t="s">
        <v>151</v>
      </c>
      <c r="F6981">
        <v>1</v>
      </c>
      <c r="G6981" t="s">
        <v>16</v>
      </c>
      <c r="H6981">
        <v>0</v>
      </c>
      <c r="I6981" s="2" t="s">
        <v>15451</v>
      </c>
      <c r="J6981" s="2" t="s">
        <v>15449</v>
      </c>
      <c r="K6981">
        <v>20</v>
      </c>
      <c r="L6981">
        <v>20</v>
      </c>
      <c r="M6981">
        <v>20</v>
      </c>
    </row>
    <row r="6982" spans="1:13" x14ac:dyDescent="0.25">
      <c r="A6982" t="s">
        <v>15452</v>
      </c>
      <c r="B6982" t="s">
        <v>15453</v>
      </c>
      <c r="C6982" t="s">
        <v>151</v>
      </c>
      <c r="D6982" t="s">
        <v>6347</v>
      </c>
      <c r="G6982" t="s">
        <v>16</v>
      </c>
      <c r="H6982">
        <v>0</v>
      </c>
      <c r="I6982" s="2" t="s">
        <v>941</v>
      </c>
      <c r="J6982" s="2" t="s">
        <v>15454</v>
      </c>
      <c r="K6982">
        <v>20</v>
      </c>
      <c r="L6982">
        <v>20</v>
      </c>
      <c r="M6982">
        <v>20</v>
      </c>
    </row>
    <row r="6983" spans="1:13" x14ac:dyDescent="0.25">
      <c r="A6983" t="s">
        <v>15455</v>
      </c>
      <c r="B6983" t="s">
        <v>15457</v>
      </c>
      <c r="C6983" t="s">
        <v>20</v>
      </c>
      <c r="F6983">
        <v>2</v>
      </c>
      <c r="G6983" t="s">
        <v>16</v>
      </c>
      <c r="H6983">
        <v>0</v>
      </c>
      <c r="I6983" s="2" t="s">
        <v>2098</v>
      </c>
      <c r="J6983" s="2" t="s">
        <v>15456</v>
      </c>
      <c r="K6983">
        <v>20</v>
      </c>
      <c r="L6983">
        <v>20</v>
      </c>
      <c r="M6983">
        <v>20</v>
      </c>
    </row>
    <row r="6984" spans="1:13" x14ac:dyDescent="0.25">
      <c r="A6984" t="s">
        <v>15458</v>
      </c>
      <c r="B6984" t="s">
        <v>15459</v>
      </c>
      <c r="C6984" t="s">
        <v>540</v>
      </c>
      <c r="F6984">
        <v>87</v>
      </c>
      <c r="G6984" t="s">
        <v>16</v>
      </c>
      <c r="H6984">
        <v>0</v>
      </c>
      <c r="I6984" s="2" t="s">
        <v>15460</v>
      </c>
      <c r="J6984" s="2">
        <v>3384</v>
      </c>
      <c r="K6984">
        <v>20</v>
      </c>
      <c r="L6984">
        <v>20</v>
      </c>
      <c r="M6984">
        <v>20</v>
      </c>
    </row>
    <row r="6985" spans="1:13" x14ac:dyDescent="0.25">
      <c r="A6985" t="s">
        <v>15461</v>
      </c>
      <c r="B6985" t="s">
        <v>15462</v>
      </c>
      <c r="C6985" t="s">
        <v>241</v>
      </c>
      <c r="D6985" t="s">
        <v>262</v>
      </c>
      <c r="F6985">
        <v>1</v>
      </c>
      <c r="G6985" t="s">
        <v>16</v>
      </c>
      <c r="H6985">
        <v>0</v>
      </c>
      <c r="I6985" s="2" t="s">
        <v>2114</v>
      </c>
      <c r="J6985" s="2" t="s">
        <v>15463</v>
      </c>
      <c r="K6985">
        <v>20</v>
      </c>
      <c r="L6985">
        <v>20</v>
      </c>
      <c r="M6985">
        <v>20</v>
      </c>
    </row>
    <row r="6986" spans="1:13" x14ac:dyDescent="0.25">
      <c r="A6986" t="s">
        <v>15464</v>
      </c>
      <c r="B6986" t="s">
        <v>15465</v>
      </c>
      <c r="C6986" t="s">
        <v>540</v>
      </c>
      <c r="F6986">
        <v>1</v>
      </c>
      <c r="G6986" t="s">
        <v>16</v>
      </c>
      <c r="H6986">
        <v>0</v>
      </c>
      <c r="I6986" s="2" t="s">
        <v>1137</v>
      </c>
      <c r="J6986" s="2">
        <v>37704014</v>
      </c>
      <c r="K6986">
        <v>20</v>
      </c>
      <c r="L6986">
        <v>20</v>
      </c>
      <c r="M6986">
        <v>20</v>
      </c>
    </row>
    <row r="6987" spans="1:13" x14ac:dyDescent="0.25">
      <c r="A6987" t="s">
        <v>15466</v>
      </c>
      <c r="B6987" t="s">
        <v>15467</v>
      </c>
      <c r="C6987" t="s">
        <v>151</v>
      </c>
      <c r="G6987" t="s">
        <v>16</v>
      </c>
      <c r="H6987">
        <v>0</v>
      </c>
      <c r="I6987" s="2" t="s">
        <v>11290</v>
      </c>
      <c r="K6987">
        <v>20</v>
      </c>
      <c r="L6987">
        <v>20</v>
      </c>
      <c r="M6987">
        <v>20</v>
      </c>
    </row>
    <row r="6988" spans="1:13" x14ac:dyDescent="0.25">
      <c r="A6988" t="s">
        <v>15468</v>
      </c>
      <c r="B6988" t="s">
        <v>15469</v>
      </c>
      <c r="C6988" t="s">
        <v>1432</v>
      </c>
      <c r="G6988" t="s">
        <v>16</v>
      </c>
      <c r="H6988">
        <v>0</v>
      </c>
      <c r="I6988" s="2" t="s">
        <v>297</v>
      </c>
      <c r="J6988" s="2">
        <v>712037910</v>
      </c>
      <c r="K6988">
        <v>20</v>
      </c>
      <c r="L6988">
        <v>20</v>
      </c>
      <c r="M6988">
        <v>20</v>
      </c>
    </row>
    <row r="6989" spans="1:13" x14ac:dyDescent="0.25">
      <c r="A6989" t="s">
        <v>15470</v>
      </c>
      <c r="B6989" t="s">
        <v>15471</v>
      </c>
      <c r="C6989" t="s">
        <v>540</v>
      </c>
      <c r="F6989">
        <v>0</v>
      </c>
      <c r="G6989" t="s">
        <v>16</v>
      </c>
      <c r="H6989">
        <v>0</v>
      </c>
      <c r="I6989" s="2" t="s">
        <v>613</v>
      </c>
      <c r="J6989" s="2" t="str">
        <f>"0020.7104.GG-URT"</f>
        <v>0020.7104.GG-URT</v>
      </c>
      <c r="K6989">
        <v>20</v>
      </c>
      <c r="L6989">
        <v>20</v>
      </c>
      <c r="M6989">
        <v>20</v>
      </c>
    </row>
    <row r="6990" spans="1:13" x14ac:dyDescent="0.25">
      <c r="A6990" t="s">
        <v>15472</v>
      </c>
      <c r="B6990" t="s">
        <v>15473</v>
      </c>
      <c r="C6990" t="s">
        <v>540</v>
      </c>
      <c r="F6990">
        <v>1</v>
      </c>
      <c r="G6990" t="s">
        <v>16</v>
      </c>
      <c r="H6990">
        <v>0</v>
      </c>
      <c r="I6990" s="2" t="s">
        <v>5956</v>
      </c>
      <c r="J6990" s="2" t="s">
        <v>15474</v>
      </c>
      <c r="K6990">
        <v>20</v>
      </c>
      <c r="L6990">
        <v>20</v>
      </c>
      <c r="M6990">
        <v>20</v>
      </c>
    </row>
    <row r="6991" spans="1:13" x14ac:dyDescent="0.25">
      <c r="A6991" t="s">
        <v>15475</v>
      </c>
      <c r="B6991" t="s">
        <v>15476</v>
      </c>
      <c r="C6991" t="s">
        <v>540</v>
      </c>
      <c r="F6991">
        <v>1</v>
      </c>
      <c r="G6991" t="s">
        <v>16</v>
      </c>
      <c r="H6991">
        <v>0</v>
      </c>
      <c r="I6991" s="2" t="s">
        <v>5956</v>
      </c>
      <c r="J6991" s="2" t="s">
        <v>15477</v>
      </c>
      <c r="K6991">
        <v>20</v>
      </c>
      <c r="L6991">
        <v>20</v>
      </c>
      <c r="M6991">
        <v>20</v>
      </c>
    </row>
    <row r="6992" spans="1:13" x14ac:dyDescent="0.25">
      <c r="A6992" t="s">
        <v>15478</v>
      </c>
      <c r="B6992" t="s">
        <v>15479</v>
      </c>
      <c r="C6992" t="s">
        <v>540</v>
      </c>
      <c r="F6992">
        <v>0</v>
      </c>
      <c r="G6992" t="s">
        <v>16</v>
      </c>
      <c r="H6992">
        <v>0</v>
      </c>
      <c r="I6992" s="2" t="s">
        <v>15480</v>
      </c>
      <c r="J6992" s="2" t="s">
        <v>15481</v>
      </c>
      <c r="K6992">
        <v>20</v>
      </c>
      <c r="L6992">
        <v>20</v>
      </c>
      <c r="M6992">
        <v>20</v>
      </c>
    </row>
    <row r="6993" spans="1:13" x14ac:dyDescent="0.25">
      <c r="A6993" t="s">
        <v>15482</v>
      </c>
      <c r="B6993" t="s">
        <v>15483</v>
      </c>
      <c r="C6993" t="s">
        <v>540</v>
      </c>
      <c r="F6993">
        <v>0</v>
      </c>
      <c r="G6993" t="s">
        <v>16</v>
      </c>
      <c r="H6993">
        <v>0</v>
      </c>
      <c r="I6993" s="2" t="s">
        <v>2542</v>
      </c>
      <c r="J6993" s="2" t="s">
        <v>15484</v>
      </c>
      <c r="K6993">
        <v>20</v>
      </c>
      <c r="L6993">
        <v>20</v>
      </c>
      <c r="M6993">
        <v>20</v>
      </c>
    </row>
    <row r="6994" spans="1:13" x14ac:dyDescent="0.25">
      <c r="A6994" t="s">
        <v>15485</v>
      </c>
      <c r="B6994" t="s">
        <v>15486</v>
      </c>
      <c r="C6994" t="s">
        <v>540</v>
      </c>
      <c r="F6994">
        <v>0</v>
      </c>
      <c r="G6994" t="s">
        <v>16</v>
      </c>
      <c r="H6994">
        <v>0</v>
      </c>
      <c r="I6994" s="2" t="s">
        <v>64</v>
      </c>
      <c r="J6994" s="2" t="str">
        <f>"09050661"</f>
        <v>09050661</v>
      </c>
      <c r="K6994">
        <v>20</v>
      </c>
      <c r="L6994">
        <v>20</v>
      </c>
      <c r="M6994">
        <v>20</v>
      </c>
    </row>
    <row r="6995" spans="1:13" x14ac:dyDescent="0.25">
      <c r="A6995" t="s">
        <v>15487</v>
      </c>
      <c r="B6995" t="s">
        <v>15488</v>
      </c>
      <c r="C6995" t="s">
        <v>540</v>
      </c>
      <c r="F6995">
        <v>1</v>
      </c>
      <c r="G6995" t="s">
        <v>16</v>
      </c>
      <c r="H6995">
        <v>0</v>
      </c>
      <c r="I6995" s="2" t="s">
        <v>649</v>
      </c>
      <c r="J6995" s="2" t="s">
        <v>15489</v>
      </c>
      <c r="K6995">
        <v>20</v>
      </c>
      <c r="L6995">
        <v>20</v>
      </c>
      <c r="M6995">
        <v>20</v>
      </c>
    </row>
    <row r="6996" spans="1:13" x14ac:dyDescent="0.25">
      <c r="A6996" t="s">
        <v>15490</v>
      </c>
      <c r="B6996" t="s">
        <v>15491</v>
      </c>
      <c r="C6996" t="s">
        <v>540</v>
      </c>
      <c r="F6996">
        <v>1</v>
      </c>
      <c r="G6996" t="s">
        <v>16</v>
      </c>
      <c r="H6996">
        <v>0</v>
      </c>
      <c r="I6996" s="2" t="s">
        <v>649</v>
      </c>
      <c r="J6996" s="2" t="s">
        <v>15492</v>
      </c>
      <c r="K6996">
        <v>20</v>
      </c>
      <c r="L6996">
        <v>20</v>
      </c>
      <c r="M6996">
        <v>20</v>
      </c>
    </row>
    <row r="6997" spans="1:13" x14ac:dyDescent="0.25">
      <c r="A6997" t="s">
        <v>15493</v>
      </c>
      <c r="B6997" t="s">
        <v>15491</v>
      </c>
      <c r="C6997" t="s">
        <v>540</v>
      </c>
      <c r="G6997" t="s">
        <v>16</v>
      </c>
      <c r="H6997">
        <v>0</v>
      </c>
      <c r="I6997" s="2" t="s">
        <v>15494</v>
      </c>
      <c r="J6997" s="2" t="s">
        <v>15495</v>
      </c>
      <c r="K6997">
        <v>20</v>
      </c>
      <c r="L6997">
        <v>20</v>
      </c>
      <c r="M6997">
        <v>20</v>
      </c>
    </row>
    <row r="6998" spans="1:13" x14ac:dyDescent="0.25">
      <c r="A6998" t="s">
        <v>15496</v>
      </c>
      <c r="B6998" t="s">
        <v>15497</v>
      </c>
      <c r="C6998" t="s">
        <v>540</v>
      </c>
      <c r="F6998">
        <v>1</v>
      </c>
      <c r="G6998" t="s">
        <v>16</v>
      </c>
      <c r="H6998">
        <v>0</v>
      </c>
      <c r="I6998" s="2" t="s">
        <v>649</v>
      </c>
      <c r="J6998" s="2" t="s">
        <v>15498</v>
      </c>
      <c r="K6998">
        <v>20</v>
      </c>
      <c r="L6998">
        <v>20</v>
      </c>
      <c r="M6998">
        <v>20</v>
      </c>
    </row>
    <row r="6999" spans="1:13" x14ac:dyDescent="0.25">
      <c r="A6999" t="s">
        <v>15499</v>
      </c>
      <c r="B6999" t="s">
        <v>15501</v>
      </c>
      <c r="C6999" t="s">
        <v>540</v>
      </c>
      <c r="F6999">
        <v>1</v>
      </c>
      <c r="G6999" t="s">
        <v>16</v>
      </c>
      <c r="H6999">
        <v>0</v>
      </c>
      <c r="I6999" s="2" t="s">
        <v>15494</v>
      </c>
      <c r="J6999" s="2" t="s">
        <v>15500</v>
      </c>
      <c r="K6999">
        <v>20</v>
      </c>
      <c r="L6999">
        <v>20</v>
      </c>
      <c r="M6999">
        <v>20</v>
      </c>
    </row>
    <row r="7000" spans="1:13" x14ac:dyDescent="0.25">
      <c r="A7000" t="s">
        <v>15502</v>
      </c>
      <c r="B7000" t="s">
        <v>15504</v>
      </c>
      <c r="C7000" t="s">
        <v>540</v>
      </c>
      <c r="F7000">
        <v>2</v>
      </c>
      <c r="G7000" t="s">
        <v>16</v>
      </c>
      <c r="H7000">
        <v>0</v>
      </c>
      <c r="I7000" s="2" t="s">
        <v>15494</v>
      </c>
      <c r="J7000" s="2" t="s">
        <v>15503</v>
      </c>
      <c r="K7000">
        <v>20</v>
      </c>
      <c r="L7000">
        <v>20</v>
      </c>
      <c r="M7000">
        <v>20</v>
      </c>
    </row>
    <row r="7001" spans="1:13" x14ac:dyDescent="0.25">
      <c r="A7001" t="s">
        <v>15505</v>
      </c>
      <c r="B7001" t="s">
        <v>15506</v>
      </c>
      <c r="C7001" t="s">
        <v>540</v>
      </c>
      <c r="F7001">
        <v>1</v>
      </c>
      <c r="G7001" t="s">
        <v>16</v>
      </c>
      <c r="H7001">
        <v>0</v>
      </c>
      <c r="I7001" s="2" t="s">
        <v>649</v>
      </c>
      <c r="J7001" s="2" t="s">
        <v>15507</v>
      </c>
      <c r="K7001">
        <v>20</v>
      </c>
      <c r="L7001">
        <v>20</v>
      </c>
      <c r="M7001">
        <v>20</v>
      </c>
    </row>
    <row r="7002" spans="1:13" x14ac:dyDescent="0.25">
      <c r="A7002" t="s">
        <v>15508</v>
      </c>
      <c r="B7002" t="s">
        <v>15506</v>
      </c>
      <c r="C7002" t="s">
        <v>540</v>
      </c>
      <c r="F7002">
        <v>1</v>
      </c>
      <c r="G7002" t="s">
        <v>16</v>
      </c>
      <c r="H7002">
        <v>0</v>
      </c>
      <c r="I7002" s="2" t="s">
        <v>15494</v>
      </c>
      <c r="J7002" s="2" t="str">
        <f>"011B"</f>
        <v>011B</v>
      </c>
      <c r="K7002">
        <v>20</v>
      </c>
      <c r="L7002">
        <v>20</v>
      </c>
      <c r="M7002">
        <v>20</v>
      </c>
    </row>
    <row r="7003" spans="1:13" x14ac:dyDescent="0.25">
      <c r="A7003" t="s">
        <v>15509</v>
      </c>
      <c r="B7003" t="s">
        <v>15510</v>
      </c>
      <c r="C7003" t="s">
        <v>540</v>
      </c>
      <c r="F7003">
        <v>1</v>
      </c>
      <c r="G7003" t="s">
        <v>16</v>
      </c>
      <c r="H7003">
        <v>0</v>
      </c>
      <c r="I7003" s="2" t="s">
        <v>587</v>
      </c>
      <c r="J7003" s="2" t="s">
        <v>15511</v>
      </c>
      <c r="K7003">
        <v>20</v>
      </c>
      <c r="L7003">
        <v>20</v>
      </c>
      <c r="M7003">
        <v>20</v>
      </c>
    </row>
    <row r="7004" spans="1:13" x14ac:dyDescent="0.25">
      <c r="A7004" t="s">
        <v>15512</v>
      </c>
      <c r="B7004" t="s">
        <v>15510</v>
      </c>
      <c r="C7004" t="s">
        <v>540</v>
      </c>
      <c r="F7004">
        <v>1</v>
      </c>
      <c r="G7004" t="s">
        <v>16</v>
      </c>
      <c r="H7004">
        <v>0</v>
      </c>
      <c r="I7004" s="2" t="s">
        <v>15494</v>
      </c>
      <c r="J7004" s="2" t="str">
        <f>"011A"</f>
        <v>011A</v>
      </c>
      <c r="K7004">
        <v>20</v>
      </c>
      <c r="L7004">
        <v>20</v>
      </c>
      <c r="M7004">
        <v>20</v>
      </c>
    </row>
    <row r="7005" spans="1:13" x14ac:dyDescent="0.25">
      <c r="A7005" t="s">
        <v>15513</v>
      </c>
      <c r="B7005" t="s">
        <v>15514</v>
      </c>
      <c r="C7005" t="s">
        <v>540</v>
      </c>
      <c r="F7005">
        <v>0</v>
      </c>
      <c r="G7005" t="s">
        <v>16</v>
      </c>
      <c r="H7005">
        <v>0</v>
      </c>
      <c r="I7005" s="2" t="s">
        <v>64</v>
      </c>
      <c r="J7005" s="2" t="str">
        <f>"09050662"</f>
        <v>09050662</v>
      </c>
      <c r="K7005">
        <v>20</v>
      </c>
      <c r="L7005">
        <v>20</v>
      </c>
      <c r="M7005">
        <v>20</v>
      </c>
    </row>
    <row r="7006" spans="1:13" x14ac:dyDescent="0.25">
      <c r="A7006" t="s">
        <v>15515</v>
      </c>
      <c r="B7006" t="s">
        <v>15516</v>
      </c>
      <c r="C7006" t="s">
        <v>540</v>
      </c>
      <c r="F7006">
        <v>0</v>
      </c>
      <c r="G7006" t="s">
        <v>16</v>
      </c>
      <c r="H7006">
        <v>0</v>
      </c>
      <c r="I7006" s="2" t="s">
        <v>587</v>
      </c>
      <c r="J7006" s="2" t="s">
        <v>15517</v>
      </c>
      <c r="K7006">
        <v>20</v>
      </c>
      <c r="L7006">
        <v>20</v>
      </c>
      <c r="M7006">
        <v>20</v>
      </c>
    </row>
    <row r="7007" spans="1:13" x14ac:dyDescent="0.25">
      <c r="A7007" t="s">
        <v>15518</v>
      </c>
      <c r="B7007" t="s">
        <v>15519</v>
      </c>
      <c r="C7007" t="s">
        <v>1432</v>
      </c>
      <c r="F7007">
        <v>1</v>
      </c>
      <c r="G7007" t="s">
        <v>16</v>
      </c>
      <c r="H7007">
        <v>0</v>
      </c>
      <c r="I7007" s="2" t="s">
        <v>73</v>
      </c>
      <c r="J7007" s="2">
        <v>82033854</v>
      </c>
      <c r="K7007">
        <v>20</v>
      </c>
      <c r="L7007">
        <v>20</v>
      </c>
      <c r="M7007">
        <v>20</v>
      </c>
    </row>
    <row r="7008" spans="1:13" x14ac:dyDescent="0.25">
      <c r="A7008" t="s">
        <v>15520</v>
      </c>
      <c r="B7008" t="s">
        <v>15521</v>
      </c>
      <c r="C7008" t="s">
        <v>20</v>
      </c>
      <c r="D7008" t="s">
        <v>26</v>
      </c>
      <c r="F7008">
        <v>2</v>
      </c>
      <c r="G7008" t="s">
        <v>16</v>
      </c>
      <c r="H7008">
        <v>0</v>
      </c>
      <c r="K7008">
        <v>20</v>
      </c>
      <c r="L7008">
        <v>20</v>
      </c>
      <c r="M7008">
        <v>20</v>
      </c>
    </row>
    <row r="7009" spans="1:13" x14ac:dyDescent="0.25">
      <c r="A7009" t="s">
        <v>15522</v>
      </c>
      <c r="B7009" t="s">
        <v>15523</v>
      </c>
      <c r="C7009" t="s">
        <v>20</v>
      </c>
      <c r="D7009" t="s">
        <v>26</v>
      </c>
      <c r="F7009">
        <v>3</v>
      </c>
      <c r="G7009" t="s">
        <v>16</v>
      </c>
      <c r="H7009">
        <v>0</v>
      </c>
      <c r="K7009">
        <v>20</v>
      </c>
      <c r="L7009">
        <v>20</v>
      </c>
      <c r="M7009">
        <v>20</v>
      </c>
    </row>
    <row r="7010" spans="1:13" x14ac:dyDescent="0.25">
      <c r="A7010" t="s">
        <v>15524</v>
      </c>
      <c r="B7010" t="s">
        <v>15525</v>
      </c>
      <c r="C7010" t="s">
        <v>1736</v>
      </c>
      <c r="F7010">
        <v>1</v>
      </c>
      <c r="G7010" t="s">
        <v>16</v>
      </c>
      <c r="H7010">
        <v>0</v>
      </c>
      <c r="I7010" s="2" t="s">
        <v>1748</v>
      </c>
      <c r="J7010" s="2" t="s">
        <v>15526</v>
      </c>
      <c r="K7010">
        <v>20</v>
      </c>
      <c r="L7010">
        <v>20</v>
      </c>
      <c r="M7010">
        <v>20</v>
      </c>
    </row>
    <row r="7011" spans="1:13" x14ac:dyDescent="0.25">
      <c r="A7011" t="s">
        <v>15527</v>
      </c>
      <c r="B7011" t="s">
        <v>15528</v>
      </c>
      <c r="C7011" t="s">
        <v>540</v>
      </c>
      <c r="F7011">
        <v>2</v>
      </c>
      <c r="G7011" t="s">
        <v>16</v>
      </c>
      <c r="H7011">
        <v>0</v>
      </c>
      <c r="K7011">
        <v>20</v>
      </c>
      <c r="L7011">
        <v>20</v>
      </c>
      <c r="M7011">
        <v>20</v>
      </c>
    </row>
    <row r="7012" spans="1:13" x14ac:dyDescent="0.25">
      <c r="A7012" t="s">
        <v>15529</v>
      </c>
      <c r="B7012" t="s">
        <v>15530</v>
      </c>
      <c r="C7012" t="s">
        <v>540</v>
      </c>
      <c r="F7012">
        <v>1</v>
      </c>
      <c r="G7012" t="s">
        <v>16</v>
      </c>
      <c r="H7012">
        <v>0</v>
      </c>
      <c r="K7012">
        <v>20</v>
      </c>
      <c r="L7012">
        <v>20</v>
      </c>
      <c r="M7012">
        <v>20</v>
      </c>
    </row>
    <row r="7013" spans="1:13" x14ac:dyDescent="0.25">
      <c r="A7013" t="s">
        <v>15531</v>
      </c>
      <c r="B7013" t="s">
        <v>15533</v>
      </c>
      <c r="C7013" t="s">
        <v>540</v>
      </c>
      <c r="F7013">
        <v>0</v>
      </c>
      <c r="G7013" t="s">
        <v>16</v>
      </c>
      <c r="H7013">
        <v>0</v>
      </c>
      <c r="I7013" s="2" t="s">
        <v>69</v>
      </c>
      <c r="J7013" s="2" t="s">
        <v>15532</v>
      </c>
      <c r="K7013">
        <v>20</v>
      </c>
      <c r="L7013">
        <v>20</v>
      </c>
      <c r="M7013">
        <v>20</v>
      </c>
    </row>
    <row r="7014" spans="1:13" x14ac:dyDescent="0.25">
      <c r="A7014" t="s">
        <v>15534</v>
      </c>
      <c r="B7014" t="s">
        <v>15535</v>
      </c>
      <c r="C7014" t="s">
        <v>151</v>
      </c>
      <c r="F7014">
        <v>4</v>
      </c>
      <c r="G7014" t="s">
        <v>16</v>
      </c>
      <c r="H7014">
        <v>0</v>
      </c>
      <c r="I7014" s="2" t="s">
        <v>165</v>
      </c>
      <c r="J7014" s="2">
        <v>201534</v>
      </c>
      <c r="K7014">
        <v>20</v>
      </c>
      <c r="L7014">
        <v>20</v>
      </c>
      <c r="M7014">
        <v>20</v>
      </c>
    </row>
    <row r="7015" spans="1:13" x14ac:dyDescent="0.25">
      <c r="A7015" t="s">
        <v>15536</v>
      </c>
      <c r="B7015" t="s">
        <v>15537</v>
      </c>
      <c r="C7015" t="s">
        <v>1426</v>
      </c>
      <c r="F7015">
        <v>10</v>
      </c>
      <c r="G7015" t="s">
        <v>16</v>
      </c>
      <c r="H7015">
        <v>0</v>
      </c>
      <c r="I7015" s="2" t="s">
        <v>64</v>
      </c>
      <c r="J7015" s="2">
        <v>21030224</v>
      </c>
      <c r="K7015">
        <v>20</v>
      </c>
      <c r="L7015">
        <v>20</v>
      </c>
      <c r="M7015">
        <v>20</v>
      </c>
    </row>
    <row r="7016" spans="1:13" x14ac:dyDescent="0.25">
      <c r="A7016" t="s">
        <v>15538</v>
      </c>
      <c r="B7016" t="s">
        <v>15539</v>
      </c>
      <c r="C7016" t="s">
        <v>1426</v>
      </c>
      <c r="F7016">
        <v>4</v>
      </c>
      <c r="G7016" t="s">
        <v>16</v>
      </c>
      <c r="H7016">
        <v>0</v>
      </c>
      <c r="I7016" s="2" t="s">
        <v>500</v>
      </c>
      <c r="J7016" s="2" t="s">
        <v>15540</v>
      </c>
      <c r="K7016">
        <v>20</v>
      </c>
      <c r="L7016">
        <v>20</v>
      </c>
      <c r="M7016">
        <v>20</v>
      </c>
    </row>
    <row r="7017" spans="1:13" x14ac:dyDescent="0.25">
      <c r="A7017" t="s">
        <v>15541</v>
      </c>
      <c r="B7017" t="s">
        <v>15542</v>
      </c>
      <c r="C7017" t="s">
        <v>540</v>
      </c>
      <c r="D7017" t="s">
        <v>4589</v>
      </c>
      <c r="F7017">
        <v>1</v>
      </c>
      <c r="G7017" t="s">
        <v>16</v>
      </c>
      <c r="H7017">
        <v>0</v>
      </c>
      <c r="I7017" s="2" t="s">
        <v>15543</v>
      </c>
      <c r="J7017" s="2" t="s">
        <v>15544</v>
      </c>
      <c r="K7017">
        <v>20</v>
      </c>
      <c r="L7017">
        <v>20</v>
      </c>
      <c r="M7017">
        <v>20</v>
      </c>
    </row>
    <row r="7018" spans="1:13" x14ac:dyDescent="0.25">
      <c r="A7018" t="s">
        <v>15545</v>
      </c>
      <c r="B7018" t="s">
        <v>15546</v>
      </c>
      <c r="C7018" t="s">
        <v>1432</v>
      </c>
      <c r="G7018" t="s">
        <v>16</v>
      </c>
      <c r="H7018">
        <v>0</v>
      </c>
      <c r="K7018">
        <v>20</v>
      </c>
      <c r="L7018">
        <v>20</v>
      </c>
      <c r="M7018">
        <v>20</v>
      </c>
    </row>
    <row r="7019" spans="1:13" x14ac:dyDescent="0.25">
      <c r="A7019" t="s">
        <v>15547</v>
      </c>
      <c r="B7019" t="s">
        <v>15548</v>
      </c>
      <c r="C7019" t="s">
        <v>1432</v>
      </c>
      <c r="F7019">
        <v>1</v>
      </c>
      <c r="G7019" t="s">
        <v>16</v>
      </c>
      <c r="H7019">
        <v>0</v>
      </c>
      <c r="I7019" s="2" t="s">
        <v>759</v>
      </c>
      <c r="J7019" s="2" t="s">
        <v>15549</v>
      </c>
      <c r="K7019">
        <v>20</v>
      </c>
      <c r="L7019">
        <v>20</v>
      </c>
      <c r="M7019">
        <v>20</v>
      </c>
    </row>
    <row r="7020" spans="1:13" x14ac:dyDescent="0.25">
      <c r="A7020" t="s">
        <v>15550</v>
      </c>
      <c r="B7020" t="s">
        <v>15548</v>
      </c>
      <c r="C7020" t="s">
        <v>1432</v>
      </c>
      <c r="G7020" t="s">
        <v>16</v>
      </c>
      <c r="H7020">
        <v>0</v>
      </c>
      <c r="I7020" s="2" t="s">
        <v>64</v>
      </c>
      <c r="J7020" s="2">
        <v>21030929</v>
      </c>
      <c r="K7020">
        <v>20</v>
      </c>
      <c r="L7020">
        <v>20</v>
      </c>
      <c r="M7020">
        <v>20</v>
      </c>
    </row>
    <row r="7021" spans="1:13" x14ac:dyDescent="0.25">
      <c r="A7021" t="s">
        <v>15551</v>
      </c>
      <c r="B7021" t="s">
        <v>15552</v>
      </c>
      <c r="C7021" t="s">
        <v>1426</v>
      </c>
      <c r="G7021" t="s">
        <v>16</v>
      </c>
      <c r="H7021">
        <v>0</v>
      </c>
      <c r="I7021" s="2" t="s">
        <v>591</v>
      </c>
      <c r="J7021" s="2">
        <v>220616</v>
      </c>
      <c r="K7021">
        <v>20</v>
      </c>
      <c r="L7021">
        <v>20</v>
      </c>
      <c r="M7021">
        <v>20</v>
      </c>
    </row>
    <row r="7022" spans="1:13" x14ac:dyDescent="0.25">
      <c r="A7022" t="s">
        <v>15553</v>
      </c>
      <c r="B7022" t="s">
        <v>15554</v>
      </c>
      <c r="C7022" t="s">
        <v>1426</v>
      </c>
      <c r="G7022" t="s">
        <v>16</v>
      </c>
      <c r="H7022">
        <v>0</v>
      </c>
      <c r="I7022" s="2" t="s">
        <v>511</v>
      </c>
      <c r="J7022" s="2">
        <v>220614</v>
      </c>
      <c r="K7022">
        <v>20</v>
      </c>
      <c r="L7022">
        <v>20</v>
      </c>
      <c r="M7022">
        <v>20</v>
      </c>
    </row>
    <row r="7023" spans="1:13" x14ac:dyDescent="0.25">
      <c r="A7023" t="s">
        <v>15555</v>
      </c>
      <c r="B7023" t="s">
        <v>15556</v>
      </c>
      <c r="C7023" t="s">
        <v>1432</v>
      </c>
      <c r="F7023">
        <v>2</v>
      </c>
      <c r="G7023" t="s">
        <v>16</v>
      </c>
      <c r="H7023">
        <v>0</v>
      </c>
      <c r="K7023">
        <v>20</v>
      </c>
      <c r="L7023">
        <v>20</v>
      </c>
      <c r="M7023">
        <v>20</v>
      </c>
    </row>
    <row r="7024" spans="1:13" x14ac:dyDescent="0.25">
      <c r="A7024" t="s">
        <v>15557</v>
      </c>
      <c r="B7024" t="s">
        <v>15558</v>
      </c>
      <c r="C7024" t="s">
        <v>540</v>
      </c>
      <c r="F7024">
        <v>0</v>
      </c>
      <c r="G7024" t="s">
        <v>16</v>
      </c>
      <c r="H7024">
        <v>0</v>
      </c>
      <c r="I7024" s="2" t="s">
        <v>6467</v>
      </c>
      <c r="J7024" s="2" t="s">
        <v>15559</v>
      </c>
      <c r="K7024">
        <v>20</v>
      </c>
      <c r="L7024">
        <v>20</v>
      </c>
      <c r="M7024">
        <v>20</v>
      </c>
    </row>
    <row r="7025" spans="1:13" x14ac:dyDescent="0.25">
      <c r="A7025" t="s">
        <v>15560</v>
      </c>
      <c r="B7025" t="s">
        <v>15561</v>
      </c>
      <c r="C7025" t="s">
        <v>540</v>
      </c>
      <c r="G7025" t="s">
        <v>16</v>
      </c>
      <c r="H7025">
        <v>0</v>
      </c>
      <c r="I7025" s="2" t="s">
        <v>6467</v>
      </c>
      <c r="J7025" s="2" t="s">
        <v>15562</v>
      </c>
      <c r="K7025">
        <v>20</v>
      </c>
      <c r="L7025">
        <v>20</v>
      </c>
      <c r="M7025">
        <v>20</v>
      </c>
    </row>
    <row r="7026" spans="1:13" x14ac:dyDescent="0.25">
      <c r="A7026" t="s">
        <v>15563</v>
      </c>
      <c r="B7026" t="s">
        <v>15564</v>
      </c>
      <c r="C7026" t="s">
        <v>540</v>
      </c>
      <c r="G7026" t="s">
        <v>16</v>
      </c>
      <c r="H7026">
        <v>0</v>
      </c>
      <c r="I7026" s="2" t="s">
        <v>734</v>
      </c>
      <c r="J7026" s="2">
        <v>131104</v>
      </c>
      <c r="K7026">
        <v>20</v>
      </c>
      <c r="L7026">
        <v>20</v>
      </c>
      <c r="M7026">
        <v>20</v>
      </c>
    </row>
    <row r="7027" spans="1:13" x14ac:dyDescent="0.25">
      <c r="A7027" t="s">
        <v>15565</v>
      </c>
      <c r="B7027" t="s">
        <v>15566</v>
      </c>
      <c r="C7027" t="s">
        <v>540</v>
      </c>
      <c r="F7027">
        <v>1</v>
      </c>
      <c r="G7027" t="s">
        <v>16</v>
      </c>
      <c r="H7027">
        <v>0</v>
      </c>
      <c r="I7027" s="2" t="s">
        <v>4260</v>
      </c>
      <c r="J7027" s="2" t="s">
        <v>15567</v>
      </c>
      <c r="K7027">
        <v>20</v>
      </c>
      <c r="L7027">
        <v>20</v>
      </c>
      <c r="M7027">
        <v>20</v>
      </c>
    </row>
    <row r="7028" spans="1:13" x14ac:dyDescent="0.25">
      <c r="A7028" t="s">
        <v>15568</v>
      </c>
      <c r="B7028" t="s">
        <v>15569</v>
      </c>
      <c r="C7028" t="s">
        <v>540</v>
      </c>
      <c r="F7028">
        <v>0</v>
      </c>
      <c r="G7028" t="s">
        <v>16</v>
      </c>
      <c r="H7028">
        <v>0</v>
      </c>
      <c r="I7028" s="2" t="s">
        <v>15570</v>
      </c>
      <c r="J7028" s="2" t="s">
        <v>15571</v>
      </c>
      <c r="K7028">
        <v>20</v>
      </c>
      <c r="L7028">
        <v>20</v>
      </c>
      <c r="M7028">
        <v>20</v>
      </c>
    </row>
    <row r="7029" spans="1:13" x14ac:dyDescent="0.25">
      <c r="A7029" t="s">
        <v>15572</v>
      </c>
      <c r="B7029" t="s">
        <v>15574</v>
      </c>
      <c r="C7029" t="s">
        <v>540</v>
      </c>
      <c r="F7029">
        <v>0</v>
      </c>
      <c r="G7029" t="s">
        <v>16</v>
      </c>
      <c r="H7029">
        <v>0</v>
      </c>
      <c r="I7029" s="2" t="s">
        <v>69</v>
      </c>
      <c r="J7029" s="2" t="s">
        <v>15573</v>
      </c>
      <c r="K7029">
        <v>20</v>
      </c>
      <c r="L7029">
        <v>20</v>
      </c>
      <c r="M7029">
        <v>20</v>
      </c>
    </row>
    <row r="7030" spans="1:13" x14ac:dyDescent="0.25">
      <c r="A7030" t="s">
        <v>15575</v>
      </c>
      <c r="B7030" t="s">
        <v>15577</v>
      </c>
      <c r="C7030" t="s">
        <v>540</v>
      </c>
      <c r="F7030">
        <v>1</v>
      </c>
      <c r="G7030" t="s">
        <v>16</v>
      </c>
      <c r="H7030">
        <v>0</v>
      </c>
      <c r="I7030" s="2" t="s">
        <v>69</v>
      </c>
      <c r="J7030" s="2" t="s">
        <v>15576</v>
      </c>
      <c r="K7030">
        <v>20</v>
      </c>
      <c r="L7030">
        <v>20</v>
      </c>
      <c r="M7030">
        <v>20</v>
      </c>
    </row>
    <row r="7031" spans="1:13" x14ac:dyDescent="0.25">
      <c r="A7031" t="s">
        <v>15578</v>
      </c>
      <c r="B7031" t="s">
        <v>15580</v>
      </c>
      <c r="C7031" t="s">
        <v>540</v>
      </c>
      <c r="F7031">
        <v>1</v>
      </c>
      <c r="G7031" t="s">
        <v>16</v>
      </c>
      <c r="H7031">
        <v>0</v>
      </c>
      <c r="I7031" s="2" t="s">
        <v>69</v>
      </c>
      <c r="J7031" s="2" t="s">
        <v>15579</v>
      </c>
      <c r="K7031">
        <v>20</v>
      </c>
      <c r="L7031">
        <v>20</v>
      </c>
      <c r="M7031">
        <v>20</v>
      </c>
    </row>
    <row r="7032" spans="1:13" x14ac:dyDescent="0.25">
      <c r="A7032" t="s">
        <v>15581</v>
      </c>
      <c r="B7032" t="s">
        <v>15582</v>
      </c>
      <c r="C7032" t="s">
        <v>540</v>
      </c>
      <c r="F7032">
        <v>0</v>
      </c>
      <c r="G7032" t="s">
        <v>16</v>
      </c>
      <c r="H7032">
        <v>0</v>
      </c>
      <c r="I7032" s="2" t="s">
        <v>6467</v>
      </c>
      <c r="J7032" s="2" t="s">
        <v>15583</v>
      </c>
      <c r="K7032">
        <v>20</v>
      </c>
      <c r="L7032">
        <v>20</v>
      </c>
      <c r="M7032">
        <v>20</v>
      </c>
    </row>
    <row r="7033" spans="1:13" x14ac:dyDescent="0.25">
      <c r="A7033" t="s">
        <v>15584</v>
      </c>
      <c r="B7033" t="s">
        <v>15585</v>
      </c>
      <c r="C7033" t="s">
        <v>540</v>
      </c>
      <c r="F7033">
        <v>0</v>
      </c>
      <c r="G7033" t="s">
        <v>16</v>
      </c>
      <c r="H7033">
        <v>0</v>
      </c>
      <c r="I7033" s="2" t="s">
        <v>6467</v>
      </c>
      <c r="J7033" s="2">
        <v>25400416</v>
      </c>
      <c r="K7033">
        <v>20</v>
      </c>
      <c r="L7033">
        <v>20</v>
      </c>
      <c r="M7033">
        <v>20</v>
      </c>
    </row>
    <row r="7034" spans="1:13" x14ac:dyDescent="0.25">
      <c r="A7034" t="s">
        <v>15586</v>
      </c>
      <c r="B7034" t="s">
        <v>15587</v>
      </c>
      <c r="C7034" t="s">
        <v>540</v>
      </c>
      <c r="F7034">
        <v>0</v>
      </c>
      <c r="G7034" t="s">
        <v>16</v>
      </c>
      <c r="H7034">
        <v>0</v>
      </c>
      <c r="I7034" s="2" t="s">
        <v>6467</v>
      </c>
      <c r="J7034" s="2">
        <v>25400417</v>
      </c>
      <c r="K7034">
        <v>20</v>
      </c>
      <c r="L7034">
        <v>20</v>
      </c>
      <c r="M7034">
        <v>20</v>
      </c>
    </row>
    <row r="7035" spans="1:13" x14ac:dyDescent="0.25">
      <c r="A7035" t="s">
        <v>15588</v>
      </c>
      <c r="B7035" t="s">
        <v>15589</v>
      </c>
      <c r="C7035" t="s">
        <v>540</v>
      </c>
      <c r="F7035">
        <v>0</v>
      </c>
      <c r="G7035" t="s">
        <v>16</v>
      </c>
      <c r="H7035">
        <v>0</v>
      </c>
      <c r="I7035" s="2" t="s">
        <v>2542</v>
      </c>
      <c r="J7035" s="2" t="s">
        <v>15590</v>
      </c>
      <c r="K7035">
        <v>20</v>
      </c>
      <c r="L7035">
        <v>20</v>
      </c>
      <c r="M7035">
        <v>20</v>
      </c>
    </row>
    <row r="7036" spans="1:13" x14ac:dyDescent="0.25">
      <c r="A7036" t="s">
        <v>15591</v>
      </c>
      <c r="B7036" t="s">
        <v>15592</v>
      </c>
      <c r="C7036" t="s">
        <v>540</v>
      </c>
      <c r="F7036">
        <v>1</v>
      </c>
      <c r="G7036" t="s">
        <v>16</v>
      </c>
      <c r="H7036">
        <v>0</v>
      </c>
      <c r="K7036">
        <v>20</v>
      </c>
      <c r="L7036">
        <v>20</v>
      </c>
      <c r="M7036">
        <v>20</v>
      </c>
    </row>
    <row r="7037" spans="1:13" x14ac:dyDescent="0.25">
      <c r="A7037" t="s">
        <v>15593</v>
      </c>
      <c r="B7037" t="s">
        <v>15594</v>
      </c>
      <c r="C7037" t="s">
        <v>540</v>
      </c>
      <c r="F7037">
        <v>1</v>
      </c>
      <c r="G7037" t="s">
        <v>16</v>
      </c>
      <c r="H7037">
        <v>0</v>
      </c>
      <c r="K7037">
        <v>20</v>
      </c>
      <c r="L7037">
        <v>20</v>
      </c>
      <c r="M7037">
        <v>20</v>
      </c>
    </row>
    <row r="7038" spans="1:13" x14ac:dyDescent="0.25">
      <c r="A7038" t="s">
        <v>15595</v>
      </c>
      <c r="B7038" t="s">
        <v>15597</v>
      </c>
      <c r="C7038" t="s">
        <v>540</v>
      </c>
      <c r="F7038">
        <v>1</v>
      </c>
      <c r="G7038" t="s">
        <v>16</v>
      </c>
      <c r="H7038">
        <v>0</v>
      </c>
      <c r="I7038" s="2" t="s">
        <v>2098</v>
      </c>
      <c r="J7038" s="2" t="s">
        <v>15596</v>
      </c>
      <c r="K7038">
        <v>20</v>
      </c>
      <c r="L7038">
        <v>20</v>
      </c>
      <c r="M7038">
        <v>20</v>
      </c>
    </row>
    <row r="7039" spans="1:13" x14ac:dyDescent="0.25">
      <c r="A7039" t="s">
        <v>15598</v>
      </c>
      <c r="B7039" t="s">
        <v>15597</v>
      </c>
      <c r="C7039" t="s">
        <v>540</v>
      </c>
      <c r="F7039">
        <v>1</v>
      </c>
      <c r="G7039" t="s">
        <v>16</v>
      </c>
      <c r="H7039">
        <v>0</v>
      </c>
      <c r="K7039">
        <v>20</v>
      </c>
      <c r="L7039">
        <v>20</v>
      </c>
      <c r="M7039">
        <v>20</v>
      </c>
    </row>
    <row r="7040" spans="1:13" x14ac:dyDescent="0.25">
      <c r="A7040" t="s">
        <v>15599</v>
      </c>
      <c r="B7040" t="s">
        <v>15600</v>
      </c>
      <c r="C7040" t="s">
        <v>540</v>
      </c>
      <c r="F7040">
        <v>0</v>
      </c>
      <c r="G7040" t="s">
        <v>16</v>
      </c>
      <c r="H7040">
        <v>0</v>
      </c>
      <c r="I7040" s="2" t="s">
        <v>6467</v>
      </c>
      <c r="J7040" s="2">
        <v>25300560</v>
      </c>
      <c r="K7040">
        <v>20</v>
      </c>
      <c r="L7040">
        <v>20</v>
      </c>
      <c r="M7040">
        <v>20</v>
      </c>
    </row>
    <row r="7041" spans="1:13" x14ac:dyDescent="0.25">
      <c r="A7041" t="s">
        <v>15601</v>
      </c>
      <c r="B7041" t="s">
        <v>15603</v>
      </c>
      <c r="C7041" t="s">
        <v>540</v>
      </c>
      <c r="F7041">
        <v>0</v>
      </c>
      <c r="G7041" t="s">
        <v>16</v>
      </c>
      <c r="H7041">
        <v>0</v>
      </c>
      <c r="I7041" s="2" t="s">
        <v>69</v>
      </c>
      <c r="J7041" s="2" t="s">
        <v>15602</v>
      </c>
      <c r="K7041">
        <v>20</v>
      </c>
      <c r="L7041">
        <v>20</v>
      </c>
      <c r="M7041">
        <v>20</v>
      </c>
    </row>
    <row r="7042" spans="1:13" x14ac:dyDescent="0.25">
      <c r="A7042" t="s">
        <v>15604</v>
      </c>
      <c r="B7042" t="s">
        <v>15606</v>
      </c>
      <c r="C7042" t="s">
        <v>540</v>
      </c>
      <c r="F7042">
        <v>1</v>
      </c>
      <c r="G7042" t="s">
        <v>16</v>
      </c>
      <c r="H7042">
        <v>0</v>
      </c>
      <c r="I7042" s="2" t="s">
        <v>69</v>
      </c>
      <c r="J7042" s="2" t="s">
        <v>15605</v>
      </c>
      <c r="K7042">
        <v>20</v>
      </c>
      <c r="L7042">
        <v>20</v>
      </c>
      <c r="M7042">
        <v>20</v>
      </c>
    </row>
    <row r="7043" spans="1:13" x14ac:dyDescent="0.25">
      <c r="A7043" t="s">
        <v>15607</v>
      </c>
      <c r="B7043" t="s">
        <v>15608</v>
      </c>
      <c r="C7043" t="s">
        <v>540</v>
      </c>
      <c r="F7043">
        <v>0</v>
      </c>
      <c r="G7043" t="s">
        <v>16</v>
      </c>
      <c r="H7043">
        <v>0</v>
      </c>
      <c r="I7043" s="2" t="s">
        <v>1137</v>
      </c>
      <c r="J7043" s="2">
        <v>37704002</v>
      </c>
      <c r="K7043">
        <v>20</v>
      </c>
      <c r="L7043">
        <v>20</v>
      </c>
      <c r="M7043">
        <v>20</v>
      </c>
    </row>
    <row r="7044" spans="1:13" x14ac:dyDescent="0.25">
      <c r="A7044" t="s">
        <v>15609</v>
      </c>
      <c r="B7044" t="s">
        <v>15610</v>
      </c>
      <c r="C7044" t="s">
        <v>540</v>
      </c>
      <c r="F7044">
        <v>0</v>
      </c>
      <c r="G7044" t="s">
        <v>16</v>
      </c>
      <c r="H7044">
        <v>0</v>
      </c>
      <c r="I7044" s="2" t="s">
        <v>613</v>
      </c>
      <c r="J7044" s="2" t="s">
        <v>15611</v>
      </c>
      <c r="K7044">
        <v>20</v>
      </c>
      <c r="L7044">
        <v>20</v>
      </c>
      <c r="M7044">
        <v>20</v>
      </c>
    </row>
    <row r="7045" spans="1:13" x14ac:dyDescent="0.25">
      <c r="A7045" t="s">
        <v>15612</v>
      </c>
      <c r="B7045" t="s">
        <v>15613</v>
      </c>
      <c r="C7045" t="s">
        <v>540</v>
      </c>
      <c r="F7045">
        <v>0</v>
      </c>
      <c r="G7045" t="s">
        <v>16</v>
      </c>
      <c r="H7045">
        <v>0</v>
      </c>
      <c r="I7045" s="2" t="s">
        <v>2542</v>
      </c>
      <c r="J7045" s="2">
        <v>741678</v>
      </c>
      <c r="K7045">
        <v>20</v>
      </c>
      <c r="L7045">
        <v>20</v>
      </c>
      <c r="M7045">
        <v>20</v>
      </c>
    </row>
    <row r="7046" spans="1:13" x14ac:dyDescent="0.25">
      <c r="A7046" t="s">
        <v>15614</v>
      </c>
      <c r="B7046" t="s">
        <v>15615</v>
      </c>
      <c r="C7046" t="s">
        <v>540</v>
      </c>
      <c r="F7046">
        <v>0</v>
      </c>
      <c r="G7046" t="s">
        <v>16</v>
      </c>
      <c r="H7046">
        <v>0</v>
      </c>
      <c r="I7046" s="2" t="s">
        <v>2542</v>
      </c>
      <c r="J7046" s="2" t="s">
        <v>15616</v>
      </c>
      <c r="K7046">
        <v>20</v>
      </c>
      <c r="L7046">
        <v>20</v>
      </c>
      <c r="M7046">
        <v>20</v>
      </c>
    </row>
    <row r="7047" spans="1:13" x14ac:dyDescent="0.25">
      <c r="A7047" t="s">
        <v>15617</v>
      </c>
      <c r="B7047" t="s">
        <v>15618</v>
      </c>
      <c r="C7047" t="s">
        <v>540</v>
      </c>
      <c r="F7047">
        <v>0</v>
      </c>
      <c r="G7047" t="s">
        <v>16</v>
      </c>
      <c r="H7047">
        <v>0</v>
      </c>
      <c r="I7047" s="2" t="s">
        <v>613</v>
      </c>
      <c r="J7047" s="2" t="str">
        <f>"0020.7416.F8"</f>
        <v>0020.7416.F8</v>
      </c>
      <c r="K7047">
        <v>20</v>
      </c>
      <c r="L7047">
        <v>20</v>
      </c>
      <c r="M7047">
        <v>20</v>
      </c>
    </row>
    <row r="7048" spans="1:13" x14ac:dyDescent="0.25">
      <c r="A7048" t="s">
        <v>15619</v>
      </c>
      <c r="B7048" t="s">
        <v>15620</v>
      </c>
      <c r="C7048" t="s">
        <v>540</v>
      </c>
      <c r="F7048">
        <v>0</v>
      </c>
      <c r="G7048" t="s">
        <v>16</v>
      </c>
      <c r="H7048">
        <v>0</v>
      </c>
      <c r="I7048" s="2" t="s">
        <v>51</v>
      </c>
      <c r="J7048" s="2" t="s">
        <v>15619</v>
      </c>
      <c r="K7048">
        <v>20</v>
      </c>
      <c r="L7048">
        <v>20</v>
      </c>
      <c r="M7048">
        <v>20</v>
      </c>
    </row>
    <row r="7049" spans="1:13" x14ac:dyDescent="0.25">
      <c r="A7049" t="s">
        <v>15621</v>
      </c>
      <c r="B7049" t="s">
        <v>15622</v>
      </c>
      <c r="C7049" t="s">
        <v>540</v>
      </c>
      <c r="F7049">
        <v>1</v>
      </c>
      <c r="G7049" t="s">
        <v>16</v>
      </c>
      <c r="H7049">
        <v>0</v>
      </c>
      <c r="I7049" s="2" t="s">
        <v>6467</v>
      </c>
      <c r="J7049" s="2" t="s">
        <v>15623</v>
      </c>
      <c r="K7049">
        <v>20</v>
      </c>
      <c r="L7049">
        <v>20</v>
      </c>
      <c r="M7049">
        <v>20</v>
      </c>
    </row>
    <row r="7050" spans="1:13" x14ac:dyDescent="0.25">
      <c r="A7050" t="s">
        <v>15624</v>
      </c>
      <c r="B7050" t="s">
        <v>15626</v>
      </c>
      <c r="C7050" t="s">
        <v>540</v>
      </c>
      <c r="F7050">
        <v>1</v>
      </c>
      <c r="G7050" t="s">
        <v>16</v>
      </c>
      <c r="H7050">
        <v>0</v>
      </c>
      <c r="I7050" s="2" t="s">
        <v>69</v>
      </c>
      <c r="J7050" s="2" t="s">
        <v>15625</v>
      </c>
      <c r="K7050">
        <v>20</v>
      </c>
      <c r="L7050">
        <v>20</v>
      </c>
      <c r="M7050">
        <v>20</v>
      </c>
    </row>
    <row r="7051" spans="1:13" x14ac:dyDescent="0.25">
      <c r="A7051" t="s">
        <v>15627</v>
      </c>
      <c r="B7051" t="s">
        <v>15628</v>
      </c>
      <c r="C7051" t="s">
        <v>540</v>
      </c>
      <c r="F7051">
        <v>1</v>
      </c>
      <c r="G7051" t="s">
        <v>16</v>
      </c>
      <c r="H7051">
        <v>0</v>
      </c>
      <c r="I7051" s="2" t="s">
        <v>2542</v>
      </c>
      <c r="J7051" s="2" t="s">
        <v>15629</v>
      </c>
      <c r="K7051">
        <v>20</v>
      </c>
      <c r="L7051">
        <v>20</v>
      </c>
      <c r="M7051">
        <v>20</v>
      </c>
    </row>
    <row r="7052" spans="1:13" x14ac:dyDescent="0.25">
      <c r="A7052" t="s">
        <v>15630</v>
      </c>
      <c r="B7052" t="s">
        <v>15631</v>
      </c>
      <c r="C7052" t="s">
        <v>540</v>
      </c>
      <c r="F7052">
        <v>2</v>
      </c>
      <c r="G7052" t="s">
        <v>16</v>
      </c>
      <c r="H7052">
        <v>0</v>
      </c>
      <c r="I7052" s="2" t="s">
        <v>613</v>
      </c>
      <c r="J7052" s="2" t="str">
        <f>"0020.7416.J6-URT"</f>
        <v>0020.7416.J6-URT</v>
      </c>
      <c r="K7052">
        <v>20</v>
      </c>
      <c r="L7052">
        <v>20</v>
      </c>
      <c r="M7052">
        <v>20</v>
      </c>
    </row>
    <row r="7053" spans="1:13" x14ac:dyDescent="0.25">
      <c r="A7053" t="s">
        <v>15632</v>
      </c>
      <c r="B7053" t="s">
        <v>15633</v>
      </c>
      <c r="C7053" t="s">
        <v>540</v>
      </c>
      <c r="F7053">
        <v>1</v>
      </c>
      <c r="G7053" t="s">
        <v>16</v>
      </c>
      <c r="H7053">
        <v>0</v>
      </c>
      <c r="I7053" s="2" t="s">
        <v>613</v>
      </c>
      <c r="J7053" s="2" t="str">
        <f>"0020.7416.S9-URT"</f>
        <v>0020.7416.S9-URT</v>
      </c>
      <c r="K7053">
        <v>20</v>
      </c>
      <c r="L7053">
        <v>20</v>
      </c>
      <c r="M7053">
        <v>20</v>
      </c>
    </row>
    <row r="7054" spans="1:13" x14ac:dyDescent="0.25">
      <c r="A7054" t="s">
        <v>15634</v>
      </c>
      <c r="B7054" t="s">
        <v>15635</v>
      </c>
      <c r="C7054" t="s">
        <v>540</v>
      </c>
      <c r="G7054" t="s">
        <v>16</v>
      </c>
      <c r="H7054">
        <v>0</v>
      </c>
      <c r="I7054" s="2" t="s">
        <v>15636</v>
      </c>
      <c r="J7054" s="2" t="str">
        <f>"0020.7422.79"</f>
        <v>0020.7422.79</v>
      </c>
      <c r="K7054">
        <v>20</v>
      </c>
      <c r="L7054">
        <v>20</v>
      </c>
      <c r="M7054">
        <v>20</v>
      </c>
    </row>
    <row r="7055" spans="1:13" x14ac:dyDescent="0.25">
      <c r="A7055" t="s">
        <v>15637</v>
      </c>
      <c r="B7055" t="s">
        <v>15638</v>
      </c>
      <c r="C7055" t="s">
        <v>540</v>
      </c>
      <c r="F7055">
        <v>1</v>
      </c>
      <c r="G7055" t="s">
        <v>16</v>
      </c>
      <c r="H7055">
        <v>0</v>
      </c>
      <c r="I7055" s="2" t="s">
        <v>613</v>
      </c>
      <c r="J7055" s="2" t="str">
        <f>"0020.7452.HF"</f>
        <v>0020.7452.HF</v>
      </c>
      <c r="K7055">
        <v>20</v>
      </c>
      <c r="L7055">
        <v>20</v>
      </c>
      <c r="M7055">
        <v>20</v>
      </c>
    </row>
    <row r="7056" spans="1:13" x14ac:dyDescent="0.25">
      <c r="A7056" t="s">
        <v>15639</v>
      </c>
      <c r="B7056" t="s">
        <v>15641</v>
      </c>
      <c r="C7056" t="s">
        <v>540</v>
      </c>
      <c r="F7056">
        <v>0</v>
      </c>
      <c r="G7056" t="s">
        <v>16</v>
      </c>
      <c r="H7056">
        <v>0</v>
      </c>
      <c r="I7056" s="2" t="s">
        <v>69</v>
      </c>
      <c r="J7056" s="2" t="s">
        <v>15640</v>
      </c>
      <c r="K7056">
        <v>20</v>
      </c>
      <c r="L7056">
        <v>20</v>
      </c>
      <c r="M7056">
        <v>20</v>
      </c>
    </row>
    <row r="7057" spans="1:13" x14ac:dyDescent="0.25">
      <c r="A7057" t="s">
        <v>15642</v>
      </c>
      <c r="B7057" t="s">
        <v>15643</v>
      </c>
      <c r="C7057" t="s">
        <v>540</v>
      </c>
      <c r="F7057">
        <v>1</v>
      </c>
      <c r="G7057" t="s">
        <v>16</v>
      </c>
      <c r="H7057">
        <v>0</v>
      </c>
      <c r="I7057" s="2" t="s">
        <v>613</v>
      </c>
      <c r="J7057" s="2" t="str">
        <f>"0011.7452.SS"</f>
        <v>0011.7452.SS</v>
      </c>
      <c r="K7057">
        <v>20</v>
      </c>
      <c r="L7057">
        <v>20</v>
      </c>
      <c r="M7057">
        <v>20</v>
      </c>
    </row>
    <row r="7058" spans="1:13" x14ac:dyDescent="0.25">
      <c r="A7058" t="s">
        <v>15644</v>
      </c>
      <c r="B7058" t="s">
        <v>15645</v>
      </c>
      <c r="C7058" t="s">
        <v>540</v>
      </c>
      <c r="F7058">
        <v>1</v>
      </c>
      <c r="G7058" t="s">
        <v>16</v>
      </c>
      <c r="H7058">
        <v>0</v>
      </c>
      <c r="I7058" s="2" t="s">
        <v>64</v>
      </c>
      <c r="J7058" s="2">
        <v>21030539</v>
      </c>
      <c r="K7058">
        <v>20</v>
      </c>
      <c r="L7058">
        <v>20</v>
      </c>
      <c r="M7058">
        <v>20</v>
      </c>
    </row>
    <row r="7059" spans="1:13" x14ac:dyDescent="0.25">
      <c r="A7059" t="s">
        <v>15646</v>
      </c>
      <c r="B7059" t="s">
        <v>15647</v>
      </c>
      <c r="C7059" t="s">
        <v>540</v>
      </c>
      <c r="F7059">
        <v>1</v>
      </c>
      <c r="G7059" t="s">
        <v>16</v>
      </c>
      <c r="H7059">
        <v>0</v>
      </c>
      <c r="I7059" s="2" t="s">
        <v>64</v>
      </c>
      <c r="J7059" s="2">
        <v>21030538</v>
      </c>
      <c r="K7059">
        <v>20</v>
      </c>
      <c r="L7059">
        <v>20</v>
      </c>
      <c r="M7059">
        <v>20</v>
      </c>
    </row>
    <row r="7060" spans="1:13" x14ac:dyDescent="0.25">
      <c r="A7060" t="s">
        <v>15648</v>
      </c>
      <c r="B7060" t="s">
        <v>15649</v>
      </c>
      <c r="C7060" t="s">
        <v>540</v>
      </c>
      <c r="F7060">
        <v>1</v>
      </c>
      <c r="G7060" t="s">
        <v>16</v>
      </c>
      <c r="H7060">
        <v>0</v>
      </c>
      <c r="K7060">
        <v>20</v>
      </c>
      <c r="L7060">
        <v>20</v>
      </c>
      <c r="M7060">
        <v>20</v>
      </c>
    </row>
    <row r="7061" spans="1:13" x14ac:dyDescent="0.25">
      <c r="A7061" t="s">
        <v>15650</v>
      </c>
      <c r="B7061" t="s">
        <v>15651</v>
      </c>
      <c r="C7061" t="s">
        <v>540</v>
      </c>
      <c r="F7061">
        <v>1</v>
      </c>
      <c r="G7061" t="s">
        <v>16</v>
      </c>
      <c r="H7061">
        <v>0</v>
      </c>
      <c r="I7061" s="2" t="s">
        <v>15652</v>
      </c>
      <c r="J7061" s="2" t="s">
        <v>15653</v>
      </c>
      <c r="K7061">
        <v>20</v>
      </c>
      <c r="L7061">
        <v>20</v>
      </c>
      <c r="M7061">
        <v>20</v>
      </c>
    </row>
    <row r="7062" spans="1:13" x14ac:dyDescent="0.25">
      <c r="A7062" t="s">
        <v>15654</v>
      </c>
      <c r="B7062" t="s">
        <v>15655</v>
      </c>
      <c r="C7062" t="s">
        <v>540</v>
      </c>
      <c r="F7062">
        <v>1</v>
      </c>
      <c r="G7062" t="s">
        <v>16</v>
      </c>
      <c r="H7062">
        <v>0</v>
      </c>
      <c r="I7062" s="2" t="s">
        <v>15652</v>
      </c>
      <c r="J7062" s="2" t="s">
        <v>15656</v>
      </c>
      <c r="K7062">
        <v>20</v>
      </c>
      <c r="L7062">
        <v>20</v>
      </c>
      <c r="M7062">
        <v>20</v>
      </c>
    </row>
    <row r="7063" spans="1:13" x14ac:dyDescent="0.25">
      <c r="A7063" t="s">
        <v>15657</v>
      </c>
      <c r="B7063" t="s">
        <v>15658</v>
      </c>
      <c r="C7063" t="s">
        <v>1432</v>
      </c>
      <c r="F7063">
        <v>5</v>
      </c>
      <c r="G7063" t="s">
        <v>16</v>
      </c>
      <c r="H7063">
        <v>0</v>
      </c>
      <c r="I7063" s="2" t="s">
        <v>759</v>
      </c>
      <c r="J7063" s="2" t="s">
        <v>15659</v>
      </c>
      <c r="K7063">
        <v>20</v>
      </c>
      <c r="L7063">
        <v>20</v>
      </c>
      <c r="M7063">
        <v>20</v>
      </c>
    </row>
    <row r="7064" spans="1:13" x14ac:dyDescent="0.25">
      <c r="A7064" t="s">
        <v>15660</v>
      </c>
      <c r="B7064" t="s">
        <v>15658</v>
      </c>
      <c r="C7064" t="s">
        <v>1432</v>
      </c>
      <c r="F7064">
        <v>4</v>
      </c>
      <c r="G7064" t="s">
        <v>16</v>
      </c>
      <c r="H7064">
        <v>0</v>
      </c>
      <c r="I7064" s="2" t="s">
        <v>64</v>
      </c>
      <c r="J7064" s="2">
        <v>10060151</v>
      </c>
      <c r="K7064">
        <v>20</v>
      </c>
      <c r="L7064">
        <v>20</v>
      </c>
      <c r="M7064">
        <v>20</v>
      </c>
    </row>
    <row r="7065" spans="1:13" x14ac:dyDescent="0.25">
      <c r="A7065" t="s">
        <v>15661</v>
      </c>
      <c r="B7065" t="s">
        <v>15658</v>
      </c>
      <c r="C7065" t="s">
        <v>1432</v>
      </c>
      <c r="G7065" t="s">
        <v>16</v>
      </c>
      <c r="H7065">
        <v>0</v>
      </c>
      <c r="I7065" s="2" t="s">
        <v>737</v>
      </c>
      <c r="J7065" s="2" t="s">
        <v>15662</v>
      </c>
      <c r="K7065">
        <v>20</v>
      </c>
      <c r="L7065">
        <v>20</v>
      </c>
      <c r="M7065">
        <v>20</v>
      </c>
    </row>
    <row r="7066" spans="1:13" x14ac:dyDescent="0.25">
      <c r="A7066" t="s">
        <v>15663</v>
      </c>
      <c r="B7066" t="s">
        <v>15664</v>
      </c>
      <c r="C7066" t="s">
        <v>1432</v>
      </c>
      <c r="F7066">
        <v>1</v>
      </c>
      <c r="G7066" t="s">
        <v>16</v>
      </c>
      <c r="H7066">
        <v>0</v>
      </c>
      <c r="K7066">
        <v>20</v>
      </c>
      <c r="L7066">
        <v>20</v>
      </c>
      <c r="M7066">
        <v>20</v>
      </c>
    </row>
    <row r="7067" spans="1:13" x14ac:dyDescent="0.25">
      <c r="A7067" t="s">
        <v>15665</v>
      </c>
      <c r="B7067" t="s">
        <v>15667</v>
      </c>
      <c r="C7067" t="s">
        <v>1432</v>
      </c>
      <c r="F7067">
        <v>2</v>
      </c>
      <c r="G7067" t="s">
        <v>16</v>
      </c>
      <c r="H7067">
        <v>0</v>
      </c>
      <c r="I7067" s="2" t="s">
        <v>2098</v>
      </c>
      <c r="J7067" s="2" t="s">
        <v>15666</v>
      </c>
      <c r="K7067">
        <v>20</v>
      </c>
      <c r="L7067">
        <v>20</v>
      </c>
      <c r="M7067">
        <v>20</v>
      </c>
    </row>
    <row r="7068" spans="1:13" x14ac:dyDescent="0.25">
      <c r="A7068" t="s">
        <v>15668</v>
      </c>
      <c r="B7068" t="s">
        <v>15667</v>
      </c>
      <c r="C7068" t="s">
        <v>1432</v>
      </c>
      <c r="F7068">
        <v>1</v>
      </c>
      <c r="G7068" t="s">
        <v>16</v>
      </c>
      <c r="H7068">
        <v>0</v>
      </c>
      <c r="K7068">
        <v>20</v>
      </c>
      <c r="L7068">
        <v>20</v>
      </c>
      <c r="M7068">
        <v>20</v>
      </c>
    </row>
    <row r="7069" spans="1:13" x14ac:dyDescent="0.25">
      <c r="A7069" t="s">
        <v>15669</v>
      </c>
      <c r="B7069" t="s">
        <v>15670</v>
      </c>
      <c r="C7069" t="s">
        <v>1432</v>
      </c>
      <c r="G7069" t="s">
        <v>16</v>
      </c>
      <c r="H7069">
        <v>0</v>
      </c>
      <c r="K7069">
        <v>20</v>
      </c>
      <c r="L7069">
        <v>20</v>
      </c>
      <c r="M7069">
        <v>20</v>
      </c>
    </row>
    <row r="7070" spans="1:13" x14ac:dyDescent="0.25">
      <c r="A7070" t="s">
        <v>15671</v>
      </c>
      <c r="B7070" t="s">
        <v>15672</v>
      </c>
      <c r="C7070" t="s">
        <v>1432</v>
      </c>
      <c r="F7070">
        <v>4</v>
      </c>
      <c r="G7070" t="s">
        <v>16</v>
      </c>
      <c r="H7070">
        <v>0</v>
      </c>
      <c r="I7070" s="2" t="s">
        <v>1175</v>
      </c>
      <c r="J7070" s="2" t="s">
        <v>15673</v>
      </c>
      <c r="K7070">
        <v>20</v>
      </c>
      <c r="L7070">
        <v>20</v>
      </c>
      <c r="M7070">
        <v>20</v>
      </c>
    </row>
    <row r="7071" spans="1:13" x14ac:dyDescent="0.25">
      <c r="A7071" t="s">
        <v>15674</v>
      </c>
      <c r="B7071" t="s">
        <v>15675</v>
      </c>
      <c r="C7071" t="s">
        <v>1432</v>
      </c>
      <c r="F7071">
        <v>2</v>
      </c>
      <c r="G7071" t="s">
        <v>16</v>
      </c>
      <c r="H7071">
        <v>0</v>
      </c>
      <c r="I7071" s="2" t="s">
        <v>165</v>
      </c>
      <c r="J7071" s="2">
        <v>206327</v>
      </c>
      <c r="K7071">
        <v>20</v>
      </c>
      <c r="L7071">
        <v>20</v>
      </c>
      <c r="M7071">
        <v>20</v>
      </c>
    </row>
    <row r="7072" spans="1:13" x14ac:dyDescent="0.25">
      <c r="A7072">
        <v>758817</v>
      </c>
      <c r="B7072" t="s">
        <v>15676</v>
      </c>
      <c r="C7072" t="s">
        <v>1432</v>
      </c>
      <c r="F7072">
        <v>3</v>
      </c>
      <c r="G7072" t="s">
        <v>16</v>
      </c>
      <c r="H7072">
        <v>0</v>
      </c>
      <c r="I7072" s="2" t="s">
        <v>497</v>
      </c>
      <c r="J7072" s="2">
        <v>55350346</v>
      </c>
      <c r="K7072">
        <v>20</v>
      </c>
      <c r="L7072">
        <v>20</v>
      </c>
      <c r="M7072">
        <v>20</v>
      </c>
    </row>
    <row r="7073" spans="1:13" x14ac:dyDescent="0.25">
      <c r="A7073" t="s">
        <v>15677</v>
      </c>
      <c r="B7073" t="s">
        <v>15676</v>
      </c>
      <c r="C7073" t="s">
        <v>1432</v>
      </c>
      <c r="F7073">
        <v>0</v>
      </c>
      <c r="G7073" t="s">
        <v>16</v>
      </c>
      <c r="H7073">
        <v>0</v>
      </c>
      <c r="I7073" s="2" t="s">
        <v>1713</v>
      </c>
      <c r="J7073" s="2">
        <v>5914601</v>
      </c>
      <c r="K7073">
        <v>20</v>
      </c>
      <c r="L7073">
        <v>20</v>
      </c>
      <c r="M7073">
        <v>20</v>
      </c>
    </row>
    <row r="7074" spans="1:13" x14ac:dyDescent="0.25">
      <c r="A7074" t="s">
        <v>15678</v>
      </c>
      <c r="B7074" t="s">
        <v>15679</v>
      </c>
      <c r="C7074" t="s">
        <v>1426</v>
      </c>
      <c r="F7074">
        <v>1</v>
      </c>
      <c r="G7074" t="s">
        <v>16</v>
      </c>
      <c r="H7074">
        <v>0</v>
      </c>
      <c r="I7074" s="2" t="s">
        <v>1737</v>
      </c>
      <c r="J7074" s="2">
        <v>2837597</v>
      </c>
      <c r="K7074">
        <v>20</v>
      </c>
      <c r="L7074">
        <v>20</v>
      </c>
      <c r="M7074">
        <v>20</v>
      </c>
    </row>
    <row r="7075" spans="1:13" x14ac:dyDescent="0.25">
      <c r="A7075" t="s">
        <v>15680</v>
      </c>
      <c r="B7075" t="s">
        <v>15681</v>
      </c>
      <c r="C7075" t="s">
        <v>1432</v>
      </c>
      <c r="F7075">
        <v>10</v>
      </c>
      <c r="G7075" t="s">
        <v>16</v>
      </c>
      <c r="H7075">
        <v>0</v>
      </c>
      <c r="I7075" s="2" t="s">
        <v>737</v>
      </c>
      <c r="J7075" s="2" t="s">
        <v>15682</v>
      </c>
      <c r="K7075">
        <v>20</v>
      </c>
      <c r="L7075">
        <v>20</v>
      </c>
      <c r="M7075">
        <v>20</v>
      </c>
    </row>
    <row r="7076" spans="1:13" x14ac:dyDescent="0.25">
      <c r="A7076" t="s">
        <v>15683</v>
      </c>
      <c r="B7076" t="s">
        <v>15684</v>
      </c>
      <c r="C7076" t="s">
        <v>1432</v>
      </c>
      <c r="F7076">
        <v>2</v>
      </c>
      <c r="G7076" t="s">
        <v>16</v>
      </c>
      <c r="H7076">
        <v>0</v>
      </c>
      <c r="I7076" s="2" t="s">
        <v>1175</v>
      </c>
      <c r="J7076" s="2" t="s">
        <v>15685</v>
      </c>
      <c r="K7076">
        <v>20</v>
      </c>
      <c r="L7076">
        <v>20</v>
      </c>
      <c r="M7076">
        <v>20</v>
      </c>
    </row>
    <row r="7077" spans="1:13" x14ac:dyDescent="0.25">
      <c r="A7077" t="s">
        <v>15686</v>
      </c>
      <c r="B7077" t="s">
        <v>15687</v>
      </c>
      <c r="C7077" t="s">
        <v>1432</v>
      </c>
      <c r="F7077">
        <v>2</v>
      </c>
      <c r="G7077" t="s">
        <v>16</v>
      </c>
      <c r="H7077">
        <v>0</v>
      </c>
      <c r="I7077" s="2" t="s">
        <v>504</v>
      </c>
      <c r="J7077" s="2" t="s">
        <v>15688</v>
      </c>
      <c r="K7077">
        <v>20</v>
      </c>
      <c r="L7077">
        <v>20</v>
      </c>
      <c r="M7077">
        <v>20</v>
      </c>
    </row>
    <row r="7078" spans="1:13" x14ac:dyDescent="0.25">
      <c r="A7078" t="s">
        <v>15689</v>
      </c>
      <c r="B7078" t="s">
        <v>15690</v>
      </c>
      <c r="C7078" t="s">
        <v>1432</v>
      </c>
      <c r="F7078">
        <v>3</v>
      </c>
      <c r="G7078" t="s">
        <v>16</v>
      </c>
      <c r="H7078">
        <v>0</v>
      </c>
      <c r="I7078" s="2" t="s">
        <v>1175</v>
      </c>
      <c r="J7078" s="2" t="s">
        <v>15691</v>
      </c>
      <c r="K7078">
        <v>20</v>
      </c>
      <c r="L7078">
        <v>20</v>
      </c>
      <c r="M7078">
        <v>20</v>
      </c>
    </row>
    <row r="7079" spans="1:13" x14ac:dyDescent="0.25">
      <c r="A7079" t="s">
        <v>15692</v>
      </c>
      <c r="B7079" t="s">
        <v>15690</v>
      </c>
      <c r="C7079" t="s">
        <v>1432</v>
      </c>
      <c r="F7079">
        <v>4</v>
      </c>
      <c r="G7079" t="s">
        <v>16</v>
      </c>
      <c r="H7079">
        <v>0</v>
      </c>
      <c r="I7079" s="2" t="s">
        <v>504</v>
      </c>
      <c r="J7079" s="2" t="s">
        <v>15693</v>
      </c>
      <c r="K7079">
        <v>20</v>
      </c>
      <c r="L7079">
        <v>20</v>
      </c>
      <c r="M7079">
        <v>20</v>
      </c>
    </row>
    <row r="7080" spans="1:13" x14ac:dyDescent="0.25">
      <c r="A7080" t="s">
        <v>15694</v>
      </c>
      <c r="B7080" t="s">
        <v>15690</v>
      </c>
      <c r="C7080" t="s">
        <v>1432</v>
      </c>
      <c r="G7080" t="s">
        <v>16</v>
      </c>
      <c r="H7080">
        <v>0</v>
      </c>
      <c r="I7080" s="2" t="s">
        <v>737</v>
      </c>
      <c r="J7080" s="2" t="s">
        <v>15695</v>
      </c>
      <c r="K7080">
        <v>20</v>
      </c>
      <c r="L7080">
        <v>20</v>
      </c>
      <c r="M7080">
        <v>20</v>
      </c>
    </row>
    <row r="7081" spans="1:13" x14ac:dyDescent="0.25">
      <c r="A7081" t="s">
        <v>15696</v>
      </c>
      <c r="B7081" t="s">
        <v>15697</v>
      </c>
      <c r="C7081" t="s">
        <v>540</v>
      </c>
      <c r="F7081">
        <v>1</v>
      </c>
      <c r="G7081" t="s">
        <v>16</v>
      </c>
      <c r="H7081">
        <v>0</v>
      </c>
      <c r="I7081" s="2" t="s">
        <v>64</v>
      </c>
      <c r="J7081" s="2" t="str">
        <f>"09020123"</f>
        <v>09020123</v>
      </c>
      <c r="K7081">
        <v>20</v>
      </c>
      <c r="L7081">
        <v>20</v>
      </c>
      <c r="M7081">
        <v>20</v>
      </c>
    </row>
    <row r="7082" spans="1:13" x14ac:dyDescent="0.25">
      <c r="A7082" t="s">
        <v>15698</v>
      </c>
      <c r="B7082" t="s">
        <v>15699</v>
      </c>
      <c r="C7082" t="s">
        <v>1432</v>
      </c>
      <c r="F7082">
        <v>6</v>
      </c>
      <c r="G7082" t="s">
        <v>16</v>
      </c>
      <c r="H7082">
        <v>0</v>
      </c>
      <c r="I7082" s="2" t="s">
        <v>522</v>
      </c>
      <c r="J7082" s="2" t="str">
        <f>"067580"</f>
        <v>067580</v>
      </c>
      <c r="K7082">
        <v>20</v>
      </c>
      <c r="L7082">
        <v>20</v>
      </c>
      <c r="M7082">
        <v>20</v>
      </c>
    </row>
    <row r="7083" spans="1:13" x14ac:dyDescent="0.25">
      <c r="A7083" t="s">
        <v>15700</v>
      </c>
      <c r="B7083" t="s">
        <v>15701</v>
      </c>
      <c r="C7083" t="s">
        <v>926</v>
      </c>
      <c r="F7083">
        <v>2</v>
      </c>
      <c r="G7083" t="s">
        <v>16</v>
      </c>
      <c r="H7083">
        <v>0</v>
      </c>
      <c r="I7083" s="2" t="s">
        <v>2896</v>
      </c>
      <c r="J7083" s="2">
        <v>77014</v>
      </c>
      <c r="K7083">
        <v>20</v>
      </c>
      <c r="L7083">
        <v>20</v>
      </c>
      <c r="M7083">
        <v>20</v>
      </c>
    </row>
    <row r="7084" spans="1:13" x14ac:dyDescent="0.25">
      <c r="A7084" t="s">
        <v>15702</v>
      </c>
      <c r="B7084" t="s">
        <v>15703</v>
      </c>
      <c r="C7084" t="s">
        <v>496</v>
      </c>
      <c r="D7084" t="s">
        <v>2360</v>
      </c>
      <c r="F7084">
        <v>2</v>
      </c>
      <c r="G7084" t="s">
        <v>16</v>
      </c>
      <c r="H7084">
        <v>0</v>
      </c>
      <c r="I7084" s="2" t="s">
        <v>108</v>
      </c>
      <c r="J7084" s="3">
        <v>2131233001</v>
      </c>
      <c r="K7084">
        <v>20</v>
      </c>
      <c r="L7084">
        <v>20</v>
      </c>
      <c r="M7084">
        <v>20</v>
      </c>
    </row>
    <row r="7085" spans="1:13" x14ac:dyDescent="0.25">
      <c r="A7085" t="s">
        <v>15704</v>
      </c>
      <c r="B7085" t="s">
        <v>15705</v>
      </c>
      <c r="C7085" t="s">
        <v>20</v>
      </c>
      <c r="F7085">
        <v>1</v>
      </c>
      <c r="G7085" t="s">
        <v>16</v>
      </c>
      <c r="H7085">
        <v>0</v>
      </c>
      <c r="I7085" s="2" t="s">
        <v>29</v>
      </c>
      <c r="J7085" s="2" t="s">
        <v>15706</v>
      </c>
      <c r="K7085">
        <v>20</v>
      </c>
      <c r="L7085">
        <v>20</v>
      </c>
      <c r="M7085">
        <v>20</v>
      </c>
    </row>
    <row r="7086" spans="1:13" x14ac:dyDescent="0.25">
      <c r="A7086" t="s">
        <v>15707</v>
      </c>
      <c r="B7086" t="s">
        <v>15705</v>
      </c>
      <c r="C7086" t="s">
        <v>20</v>
      </c>
      <c r="G7086" t="s">
        <v>16</v>
      </c>
      <c r="H7086">
        <v>0</v>
      </c>
      <c r="I7086" s="2" t="s">
        <v>35</v>
      </c>
      <c r="J7086" s="2" t="s">
        <v>15708</v>
      </c>
      <c r="K7086">
        <v>20</v>
      </c>
      <c r="L7086">
        <v>20</v>
      </c>
      <c r="M7086">
        <v>20</v>
      </c>
    </row>
    <row r="7087" spans="1:13" x14ac:dyDescent="0.25">
      <c r="A7087" t="s">
        <v>15709</v>
      </c>
      <c r="B7087" t="s">
        <v>15710</v>
      </c>
      <c r="C7087" t="s">
        <v>20</v>
      </c>
      <c r="F7087">
        <v>1</v>
      </c>
      <c r="G7087" t="s">
        <v>16</v>
      </c>
      <c r="H7087">
        <v>0</v>
      </c>
      <c r="I7087" s="2" t="s">
        <v>40</v>
      </c>
      <c r="J7087" s="2">
        <v>77272610</v>
      </c>
      <c r="K7087">
        <v>20</v>
      </c>
      <c r="L7087">
        <v>20</v>
      </c>
      <c r="M7087">
        <v>20</v>
      </c>
    </row>
    <row r="7088" spans="1:13" x14ac:dyDescent="0.25">
      <c r="A7088" t="s">
        <v>15711</v>
      </c>
      <c r="B7088" t="s">
        <v>15712</v>
      </c>
      <c r="C7088" t="s">
        <v>20</v>
      </c>
      <c r="G7088" t="s">
        <v>16</v>
      </c>
      <c r="H7088">
        <v>0</v>
      </c>
      <c r="I7088" s="2" t="s">
        <v>35</v>
      </c>
      <c r="J7088" s="2" t="s">
        <v>15713</v>
      </c>
      <c r="K7088">
        <v>20</v>
      </c>
      <c r="L7088">
        <v>20</v>
      </c>
      <c r="M7088">
        <v>20</v>
      </c>
    </row>
    <row r="7089" spans="1:13" x14ac:dyDescent="0.25">
      <c r="A7089" t="s">
        <v>15714</v>
      </c>
      <c r="B7089" t="s">
        <v>13408</v>
      </c>
      <c r="C7089" t="s">
        <v>20</v>
      </c>
      <c r="F7089">
        <v>2</v>
      </c>
      <c r="G7089" t="s">
        <v>16</v>
      </c>
      <c r="H7089">
        <v>0</v>
      </c>
      <c r="I7089" s="2" t="s">
        <v>35</v>
      </c>
      <c r="J7089" s="2" t="s">
        <v>15715</v>
      </c>
      <c r="K7089">
        <v>20</v>
      </c>
      <c r="L7089">
        <v>20</v>
      </c>
      <c r="M7089">
        <v>20</v>
      </c>
    </row>
    <row r="7090" spans="1:13" x14ac:dyDescent="0.25">
      <c r="A7090" t="s">
        <v>15716</v>
      </c>
      <c r="B7090" t="s">
        <v>15717</v>
      </c>
      <c r="C7090" t="s">
        <v>20</v>
      </c>
      <c r="F7090">
        <v>2</v>
      </c>
      <c r="G7090" t="s">
        <v>16</v>
      </c>
      <c r="H7090">
        <v>0</v>
      </c>
      <c r="I7090" s="2" t="s">
        <v>35</v>
      </c>
      <c r="J7090" s="2" t="s">
        <v>15718</v>
      </c>
      <c r="K7090">
        <v>20</v>
      </c>
      <c r="L7090">
        <v>20</v>
      </c>
      <c r="M7090">
        <v>20</v>
      </c>
    </row>
    <row r="7091" spans="1:13" x14ac:dyDescent="0.25">
      <c r="A7091" t="s">
        <v>15719</v>
      </c>
      <c r="B7091" t="s">
        <v>15720</v>
      </c>
      <c r="C7091" t="s">
        <v>20</v>
      </c>
      <c r="F7091">
        <v>0</v>
      </c>
      <c r="G7091" t="s">
        <v>16</v>
      </c>
      <c r="H7091">
        <v>0</v>
      </c>
      <c r="I7091" s="2" t="s">
        <v>35</v>
      </c>
      <c r="J7091" s="2" t="s">
        <v>15721</v>
      </c>
      <c r="K7091">
        <v>20</v>
      </c>
      <c r="L7091">
        <v>20</v>
      </c>
      <c r="M7091">
        <v>20</v>
      </c>
    </row>
    <row r="7092" spans="1:13" x14ac:dyDescent="0.25">
      <c r="A7092" t="s">
        <v>15722</v>
      </c>
      <c r="B7092" t="s">
        <v>15723</v>
      </c>
      <c r="C7092" t="s">
        <v>540</v>
      </c>
      <c r="F7092">
        <v>1</v>
      </c>
      <c r="G7092" t="s">
        <v>16</v>
      </c>
      <c r="H7092">
        <v>0</v>
      </c>
      <c r="I7092" s="2" t="s">
        <v>5956</v>
      </c>
      <c r="J7092" s="2" t="s">
        <v>15724</v>
      </c>
      <c r="K7092">
        <v>20</v>
      </c>
      <c r="L7092">
        <v>20</v>
      </c>
      <c r="M7092">
        <v>20</v>
      </c>
    </row>
    <row r="7093" spans="1:13" x14ac:dyDescent="0.25">
      <c r="A7093" t="s">
        <v>15725</v>
      </c>
      <c r="B7093" t="s">
        <v>15727</v>
      </c>
      <c r="C7093" t="s">
        <v>540</v>
      </c>
      <c r="F7093">
        <v>1</v>
      </c>
      <c r="G7093" t="s">
        <v>16</v>
      </c>
      <c r="H7093">
        <v>0</v>
      </c>
      <c r="I7093" s="2" t="s">
        <v>69</v>
      </c>
      <c r="J7093" s="2" t="s">
        <v>15726</v>
      </c>
      <c r="K7093">
        <v>20</v>
      </c>
      <c r="L7093">
        <v>20</v>
      </c>
      <c r="M7093">
        <v>20</v>
      </c>
    </row>
    <row r="7094" spans="1:13" x14ac:dyDescent="0.25">
      <c r="A7094" t="s">
        <v>15728</v>
      </c>
      <c r="B7094" t="s">
        <v>15729</v>
      </c>
      <c r="C7094" t="s">
        <v>540</v>
      </c>
      <c r="F7094">
        <v>2</v>
      </c>
      <c r="G7094" t="s">
        <v>16</v>
      </c>
      <c r="H7094">
        <v>0</v>
      </c>
      <c r="I7094" s="2" t="s">
        <v>613</v>
      </c>
      <c r="J7094" s="2" t="str">
        <f>"0020.7810.95.URT"</f>
        <v>0020.7810.95.URT</v>
      </c>
      <c r="K7094">
        <v>20</v>
      </c>
      <c r="L7094">
        <v>20</v>
      </c>
      <c r="M7094">
        <v>20</v>
      </c>
    </row>
    <row r="7095" spans="1:13" x14ac:dyDescent="0.25">
      <c r="A7095" t="s">
        <v>15730</v>
      </c>
      <c r="B7095" t="s">
        <v>15731</v>
      </c>
      <c r="C7095" t="s">
        <v>540</v>
      </c>
      <c r="F7095">
        <v>2</v>
      </c>
      <c r="G7095" t="s">
        <v>16</v>
      </c>
      <c r="H7095">
        <v>0</v>
      </c>
      <c r="I7095" s="2" t="s">
        <v>613</v>
      </c>
      <c r="J7095" s="2" t="str">
        <f>"0200.7810.96.URT"</f>
        <v>0200.7810.96.URT</v>
      </c>
      <c r="K7095">
        <v>20</v>
      </c>
      <c r="L7095">
        <v>20</v>
      </c>
      <c r="M7095">
        <v>20</v>
      </c>
    </row>
    <row r="7096" spans="1:13" x14ac:dyDescent="0.25">
      <c r="A7096" t="s">
        <v>15732</v>
      </c>
      <c r="B7096" t="s">
        <v>15733</v>
      </c>
      <c r="C7096" t="s">
        <v>540</v>
      </c>
      <c r="F7096">
        <v>1</v>
      </c>
      <c r="G7096" t="s">
        <v>16</v>
      </c>
      <c r="H7096">
        <v>0</v>
      </c>
      <c r="I7096" s="2" t="s">
        <v>5956</v>
      </c>
      <c r="J7096" s="2" t="s">
        <v>15734</v>
      </c>
      <c r="K7096">
        <v>20</v>
      </c>
      <c r="L7096">
        <v>20</v>
      </c>
      <c r="M7096">
        <v>20</v>
      </c>
    </row>
    <row r="7097" spans="1:13" x14ac:dyDescent="0.25">
      <c r="A7097" t="s">
        <v>15735</v>
      </c>
      <c r="B7097" t="s">
        <v>15736</v>
      </c>
      <c r="C7097" t="s">
        <v>20</v>
      </c>
      <c r="D7097" t="s">
        <v>597</v>
      </c>
      <c r="F7097">
        <v>1</v>
      </c>
      <c r="G7097" t="s">
        <v>16</v>
      </c>
      <c r="H7097">
        <v>0</v>
      </c>
      <c r="I7097" s="2" t="s">
        <v>598</v>
      </c>
      <c r="J7097" s="2">
        <v>344350</v>
      </c>
      <c r="K7097">
        <v>20</v>
      </c>
      <c r="L7097">
        <v>20</v>
      </c>
      <c r="M7097">
        <v>20</v>
      </c>
    </row>
    <row r="7098" spans="1:13" x14ac:dyDescent="0.25">
      <c r="A7098" t="s">
        <v>15737</v>
      </c>
      <c r="B7098" t="s">
        <v>15738</v>
      </c>
      <c r="C7098" t="s">
        <v>540</v>
      </c>
      <c r="G7098" t="s">
        <v>16</v>
      </c>
      <c r="H7098">
        <v>0</v>
      </c>
      <c r="I7098" s="2" t="s">
        <v>55</v>
      </c>
      <c r="J7098" s="2" t="s">
        <v>15737</v>
      </c>
      <c r="K7098">
        <v>20</v>
      </c>
      <c r="L7098">
        <v>20</v>
      </c>
      <c r="M7098">
        <v>20</v>
      </c>
    </row>
    <row r="7099" spans="1:13" x14ac:dyDescent="0.25">
      <c r="A7099" t="s">
        <v>15739</v>
      </c>
      <c r="B7099" t="s">
        <v>15740</v>
      </c>
      <c r="C7099" t="s">
        <v>540</v>
      </c>
      <c r="F7099">
        <v>1</v>
      </c>
      <c r="G7099" t="s">
        <v>16</v>
      </c>
      <c r="H7099">
        <v>0</v>
      </c>
      <c r="I7099" s="2" t="s">
        <v>5956</v>
      </c>
      <c r="J7099" s="2" t="s">
        <v>15741</v>
      </c>
      <c r="K7099">
        <v>20</v>
      </c>
      <c r="L7099">
        <v>20</v>
      </c>
      <c r="M7099">
        <v>20</v>
      </c>
    </row>
    <row r="7100" spans="1:13" x14ac:dyDescent="0.25">
      <c r="A7100" t="s">
        <v>15742</v>
      </c>
      <c r="B7100" t="s">
        <v>15743</v>
      </c>
      <c r="C7100" t="s">
        <v>540</v>
      </c>
      <c r="F7100">
        <v>0</v>
      </c>
      <c r="G7100" t="s">
        <v>16</v>
      </c>
      <c r="H7100">
        <v>0</v>
      </c>
      <c r="I7100" s="2" t="s">
        <v>6467</v>
      </c>
      <c r="J7100" s="2" t="s">
        <v>15744</v>
      </c>
      <c r="K7100">
        <v>20</v>
      </c>
      <c r="L7100">
        <v>20</v>
      </c>
      <c r="M7100">
        <v>20</v>
      </c>
    </row>
    <row r="7101" spans="1:13" x14ac:dyDescent="0.25">
      <c r="A7101" t="s">
        <v>15745</v>
      </c>
      <c r="B7101" t="s">
        <v>15746</v>
      </c>
      <c r="C7101" t="s">
        <v>1432</v>
      </c>
      <c r="F7101">
        <v>2</v>
      </c>
      <c r="G7101" t="s">
        <v>16</v>
      </c>
      <c r="H7101">
        <v>0</v>
      </c>
      <c r="I7101" s="2" t="s">
        <v>142</v>
      </c>
      <c r="J7101" s="2" t="s">
        <v>15747</v>
      </c>
      <c r="K7101">
        <v>20</v>
      </c>
      <c r="L7101">
        <v>20</v>
      </c>
      <c r="M7101">
        <v>20</v>
      </c>
    </row>
    <row r="7102" spans="1:13" x14ac:dyDescent="0.25">
      <c r="A7102" t="s">
        <v>15748</v>
      </c>
      <c r="B7102" t="s">
        <v>15746</v>
      </c>
      <c r="C7102" t="s">
        <v>1432</v>
      </c>
      <c r="G7102" t="s">
        <v>16</v>
      </c>
      <c r="H7102">
        <v>0</v>
      </c>
      <c r="I7102" s="2" t="s">
        <v>64</v>
      </c>
      <c r="J7102" s="2">
        <v>21030912</v>
      </c>
      <c r="K7102">
        <v>20</v>
      </c>
      <c r="L7102">
        <v>20</v>
      </c>
      <c r="M7102">
        <v>20</v>
      </c>
    </row>
    <row r="7103" spans="1:13" x14ac:dyDescent="0.25">
      <c r="A7103" t="s">
        <v>15749</v>
      </c>
      <c r="B7103" t="s">
        <v>15750</v>
      </c>
      <c r="C7103" t="s">
        <v>1432</v>
      </c>
      <c r="F7103">
        <v>1</v>
      </c>
      <c r="G7103" t="s">
        <v>16</v>
      </c>
      <c r="H7103">
        <v>0</v>
      </c>
      <c r="I7103" s="2" t="s">
        <v>1585</v>
      </c>
      <c r="J7103" s="2" t="s">
        <v>15751</v>
      </c>
      <c r="K7103">
        <v>20</v>
      </c>
      <c r="L7103">
        <v>20</v>
      </c>
      <c r="M7103">
        <v>20</v>
      </c>
    </row>
    <row r="7104" spans="1:13" x14ac:dyDescent="0.25">
      <c r="A7104" t="s">
        <v>15752</v>
      </c>
      <c r="B7104" t="s">
        <v>15753</v>
      </c>
      <c r="C7104" t="s">
        <v>540</v>
      </c>
      <c r="F7104">
        <v>1</v>
      </c>
      <c r="G7104" t="s">
        <v>16</v>
      </c>
      <c r="H7104">
        <v>0</v>
      </c>
      <c r="I7104" s="2" t="s">
        <v>5956</v>
      </c>
      <c r="J7104" s="2" t="s">
        <v>15754</v>
      </c>
      <c r="K7104">
        <v>20</v>
      </c>
      <c r="L7104">
        <v>20</v>
      </c>
      <c r="M7104">
        <v>20</v>
      </c>
    </row>
    <row r="7105" spans="1:13" x14ac:dyDescent="0.25">
      <c r="A7105" t="s">
        <v>15755</v>
      </c>
      <c r="B7105" t="s">
        <v>15757</v>
      </c>
      <c r="C7105" t="s">
        <v>540</v>
      </c>
      <c r="G7105" t="s">
        <v>16</v>
      </c>
      <c r="H7105">
        <v>0</v>
      </c>
      <c r="I7105" s="2" t="s">
        <v>15758</v>
      </c>
      <c r="J7105" s="2" t="s">
        <v>15756</v>
      </c>
      <c r="K7105">
        <v>20</v>
      </c>
      <c r="L7105">
        <v>20</v>
      </c>
      <c r="M7105">
        <v>20</v>
      </c>
    </row>
    <row r="7106" spans="1:13" x14ac:dyDescent="0.25">
      <c r="A7106" t="s">
        <v>15759</v>
      </c>
      <c r="B7106" t="s">
        <v>15761</v>
      </c>
      <c r="C7106" t="s">
        <v>540</v>
      </c>
      <c r="F7106">
        <v>1</v>
      </c>
      <c r="G7106" t="s">
        <v>16</v>
      </c>
      <c r="H7106">
        <v>0</v>
      </c>
      <c r="I7106" s="2" t="s">
        <v>69</v>
      </c>
      <c r="J7106" s="2" t="s">
        <v>15760</v>
      </c>
      <c r="K7106">
        <v>20</v>
      </c>
      <c r="L7106">
        <v>20</v>
      </c>
      <c r="M7106">
        <v>20</v>
      </c>
    </row>
    <row r="7107" spans="1:13" x14ac:dyDescent="0.25">
      <c r="A7107" t="s">
        <v>15762</v>
      </c>
      <c r="B7107" t="s">
        <v>15763</v>
      </c>
      <c r="C7107" t="s">
        <v>540</v>
      </c>
      <c r="F7107">
        <v>0</v>
      </c>
      <c r="G7107" t="s">
        <v>16</v>
      </c>
      <c r="H7107">
        <v>0</v>
      </c>
      <c r="K7107">
        <v>20</v>
      </c>
      <c r="L7107">
        <v>20</v>
      </c>
      <c r="M7107">
        <v>20</v>
      </c>
    </row>
    <row r="7108" spans="1:13" x14ac:dyDescent="0.25">
      <c r="A7108" t="s">
        <v>15764</v>
      </c>
      <c r="B7108" t="s">
        <v>15765</v>
      </c>
      <c r="C7108" t="s">
        <v>540</v>
      </c>
      <c r="F7108">
        <v>0</v>
      </c>
      <c r="G7108" t="s">
        <v>16</v>
      </c>
      <c r="H7108">
        <v>0</v>
      </c>
      <c r="I7108" s="2" t="s">
        <v>51</v>
      </c>
      <c r="J7108" s="2" t="s">
        <v>15764</v>
      </c>
      <c r="K7108">
        <v>20</v>
      </c>
      <c r="L7108">
        <v>20</v>
      </c>
      <c r="M7108">
        <v>20</v>
      </c>
    </row>
    <row r="7109" spans="1:13" x14ac:dyDescent="0.25">
      <c r="A7109" t="s">
        <v>15766</v>
      </c>
      <c r="B7109" t="s">
        <v>15768</v>
      </c>
      <c r="C7109" t="s">
        <v>540</v>
      </c>
      <c r="F7109">
        <v>1</v>
      </c>
      <c r="G7109" t="s">
        <v>16</v>
      </c>
      <c r="H7109">
        <v>0</v>
      </c>
      <c r="I7109" s="2" t="s">
        <v>69</v>
      </c>
      <c r="J7109" s="2" t="s">
        <v>15767</v>
      </c>
      <c r="K7109">
        <v>20</v>
      </c>
      <c r="L7109">
        <v>20</v>
      </c>
      <c r="M7109">
        <v>20</v>
      </c>
    </row>
    <row r="7110" spans="1:13" x14ac:dyDescent="0.25">
      <c r="A7110" t="s">
        <v>15769</v>
      </c>
      <c r="B7110" t="s">
        <v>15771</v>
      </c>
      <c r="C7110" t="s">
        <v>540</v>
      </c>
      <c r="F7110">
        <v>1</v>
      </c>
      <c r="G7110" t="s">
        <v>16</v>
      </c>
      <c r="H7110">
        <v>0</v>
      </c>
      <c r="I7110" s="2" t="s">
        <v>69</v>
      </c>
      <c r="J7110" s="2" t="s">
        <v>15770</v>
      </c>
      <c r="K7110">
        <v>20</v>
      </c>
      <c r="L7110">
        <v>20</v>
      </c>
      <c r="M7110">
        <v>20</v>
      </c>
    </row>
    <row r="7111" spans="1:13" x14ac:dyDescent="0.25">
      <c r="A7111" t="s">
        <v>15772</v>
      </c>
      <c r="B7111" t="s">
        <v>15773</v>
      </c>
      <c r="C7111" t="s">
        <v>540</v>
      </c>
      <c r="F7111">
        <v>4</v>
      </c>
      <c r="G7111" t="s">
        <v>16</v>
      </c>
      <c r="H7111">
        <v>0</v>
      </c>
      <c r="I7111" s="2" t="s">
        <v>2508</v>
      </c>
      <c r="J7111" s="2" t="s">
        <v>15774</v>
      </c>
      <c r="K7111">
        <v>20</v>
      </c>
      <c r="L7111">
        <v>20</v>
      </c>
      <c r="M7111">
        <v>20</v>
      </c>
    </row>
    <row r="7112" spans="1:13" x14ac:dyDescent="0.25">
      <c r="A7112" t="s">
        <v>15775</v>
      </c>
      <c r="B7112" t="s">
        <v>15776</v>
      </c>
      <c r="C7112" t="s">
        <v>540</v>
      </c>
      <c r="F7112">
        <v>2</v>
      </c>
      <c r="G7112" t="s">
        <v>16</v>
      </c>
      <c r="H7112">
        <v>0</v>
      </c>
      <c r="I7112" s="2" t="s">
        <v>15777</v>
      </c>
      <c r="J7112" s="2">
        <v>613007</v>
      </c>
      <c r="K7112">
        <v>20</v>
      </c>
      <c r="L7112">
        <v>20</v>
      </c>
      <c r="M7112">
        <v>20</v>
      </c>
    </row>
    <row r="7113" spans="1:13" x14ac:dyDescent="0.25">
      <c r="A7113" t="s">
        <v>15778</v>
      </c>
      <c r="B7113" t="s">
        <v>15779</v>
      </c>
      <c r="C7113" t="s">
        <v>540</v>
      </c>
      <c r="F7113">
        <v>1</v>
      </c>
      <c r="G7113" t="s">
        <v>16</v>
      </c>
      <c r="H7113">
        <v>0</v>
      </c>
      <c r="I7113" s="2" t="s">
        <v>55</v>
      </c>
      <c r="J7113" s="2" t="s">
        <v>15778</v>
      </c>
      <c r="K7113">
        <v>20</v>
      </c>
      <c r="L7113">
        <v>20</v>
      </c>
      <c r="M7113">
        <v>20</v>
      </c>
    </row>
    <row r="7114" spans="1:13" x14ac:dyDescent="0.25">
      <c r="A7114" t="s">
        <v>15780</v>
      </c>
      <c r="B7114" t="s">
        <v>15781</v>
      </c>
      <c r="C7114" t="s">
        <v>540</v>
      </c>
      <c r="F7114">
        <v>2</v>
      </c>
      <c r="G7114" t="s">
        <v>16</v>
      </c>
      <c r="H7114">
        <v>0</v>
      </c>
      <c r="I7114" s="2" t="s">
        <v>55</v>
      </c>
      <c r="J7114" s="2" t="s">
        <v>15780</v>
      </c>
      <c r="K7114">
        <v>20</v>
      </c>
      <c r="L7114">
        <v>20</v>
      </c>
      <c r="M7114">
        <v>20</v>
      </c>
    </row>
    <row r="7115" spans="1:13" x14ac:dyDescent="0.25">
      <c r="A7115" t="s">
        <v>15782</v>
      </c>
      <c r="B7115" t="s">
        <v>15783</v>
      </c>
      <c r="C7115" t="s">
        <v>540</v>
      </c>
      <c r="F7115">
        <v>1</v>
      </c>
      <c r="G7115" t="s">
        <v>16</v>
      </c>
      <c r="H7115">
        <v>0</v>
      </c>
      <c r="I7115" s="2" t="s">
        <v>87</v>
      </c>
      <c r="J7115" s="2" t="s">
        <v>15784</v>
      </c>
      <c r="K7115">
        <v>20</v>
      </c>
      <c r="L7115">
        <v>20</v>
      </c>
      <c r="M7115">
        <v>20</v>
      </c>
    </row>
    <row r="7116" spans="1:13" x14ac:dyDescent="0.25">
      <c r="A7116" s="1" t="s">
        <v>15785</v>
      </c>
      <c r="B7116" t="s">
        <v>15786</v>
      </c>
      <c r="C7116" t="s">
        <v>540</v>
      </c>
      <c r="G7116" t="s">
        <v>16</v>
      </c>
      <c r="H7116">
        <v>0</v>
      </c>
      <c r="I7116" s="2" t="s">
        <v>6464</v>
      </c>
      <c r="J7116" s="2" t="s">
        <v>15787</v>
      </c>
      <c r="K7116">
        <v>20</v>
      </c>
      <c r="L7116">
        <v>20</v>
      </c>
      <c r="M7116">
        <v>20</v>
      </c>
    </row>
    <row r="7117" spans="1:13" x14ac:dyDescent="0.25">
      <c r="A7117" s="1" t="s">
        <v>15788</v>
      </c>
      <c r="B7117" t="s">
        <v>15789</v>
      </c>
      <c r="C7117" t="s">
        <v>540</v>
      </c>
      <c r="G7117" t="s">
        <v>16</v>
      </c>
      <c r="H7117">
        <v>0</v>
      </c>
      <c r="I7117" s="2" t="s">
        <v>6464</v>
      </c>
      <c r="J7117" s="2" t="s">
        <v>15790</v>
      </c>
      <c r="K7117">
        <v>20</v>
      </c>
      <c r="L7117">
        <v>20</v>
      </c>
      <c r="M7117">
        <v>20</v>
      </c>
    </row>
    <row r="7118" spans="1:13" x14ac:dyDescent="0.25">
      <c r="A7118" s="1" t="s">
        <v>15791</v>
      </c>
      <c r="B7118" t="s">
        <v>15792</v>
      </c>
      <c r="C7118" t="s">
        <v>1436</v>
      </c>
      <c r="D7118" t="s">
        <v>1437</v>
      </c>
      <c r="F7118">
        <v>0</v>
      </c>
      <c r="G7118" t="s">
        <v>16</v>
      </c>
      <c r="H7118">
        <v>0</v>
      </c>
      <c r="I7118" s="2" t="s">
        <v>383</v>
      </c>
      <c r="J7118" s="2" t="str">
        <f>"058020300F"</f>
        <v>058020300F</v>
      </c>
      <c r="K7118">
        <v>20</v>
      </c>
      <c r="L7118">
        <v>20</v>
      </c>
      <c r="M7118">
        <v>20</v>
      </c>
    </row>
    <row r="7119" spans="1:13" x14ac:dyDescent="0.25">
      <c r="A7119" t="s">
        <v>15793</v>
      </c>
      <c r="B7119" t="s">
        <v>15794</v>
      </c>
      <c r="C7119" t="s">
        <v>362</v>
      </c>
      <c r="D7119" t="s">
        <v>363</v>
      </c>
      <c r="F7119">
        <v>2</v>
      </c>
      <c r="G7119" t="s">
        <v>16</v>
      </c>
      <c r="H7119">
        <v>0</v>
      </c>
      <c r="I7119" s="2" t="s">
        <v>685</v>
      </c>
      <c r="J7119" s="2" t="str">
        <f>"0986479R84"</f>
        <v>0986479R84</v>
      </c>
      <c r="K7119">
        <v>20</v>
      </c>
      <c r="L7119">
        <v>20</v>
      </c>
      <c r="M7119">
        <v>20</v>
      </c>
    </row>
    <row r="7120" spans="1:13" x14ac:dyDescent="0.25">
      <c r="A7120" t="s">
        <v>15795</v>
      </c>
      <c r="B7120" t="s">
        <v>15796</v>
      </c>
      <c r="C7120" t="s">
        <v>362</v>
      </c>
      <c r="D7120" t="s">
        <v>4091</v>
      </c>
      <c r="F7120">
        <v>1</v>
      </c>
      <c r="G7120" t="s">
        <v>16</v>
      </c>
      <c r="H7120">
        <v>0</v>
      </c>
      <c r="I7120" s="2" t="s">
        <v>685</v>
      </c>
      <c r="J7120" s="2" t="str">
        <f>"0986494107"</f>
        <v>0986494107</v>
      </c>
      <c r="K7120">
        <v>20</v>
      </c>
      <c r="L7120">
        <v>20</v>
      </c>
      <c r="M7120">
        <v>20</v>
      </c>
    </row>
    <row r="7121" spans="1:13" x14ac:dyDescent="0.25">
      <c r="A7121" t="s">
        <v>15797</v>
      </c>
      <c r="B7121" t="s">
        <v>15798</v>
      </c>
      <c r="C7121" t="s">
        <v>20</v>
      </c>
      <c r="F7121">
        <v>1</v>
      </c>
      <c r="G7121" t="s">
        <v>16</v>
      </c>
      <c r="H7121">
        <v>0</v>
      </c>
      <c r="I7121" s="2" t="s">
        <v>238</v>
      </c>
      <c r="J7121" s="2">
        <v>188346</v>
      </c>
      <c r="K7121">
        <v>20</v>
      </c>
      <c r="L7121">
        <v>20</v>
      </c>
      <c r="M7121">
        <v>20</v>
      </c>
    </row>
    <row r="7122" spans="1:13" x14ac:dyDescent="0.25">
      <c r="A7122" t="s">
        <v>15799</v>
      </c>
      <c r="B7122" t="s">
        <v>15800</v>
      </c>
      <c r="C7122" t="s">
        <v>241</v>
      </c>
      <c r="D7122" t="s">
        <v>1436</v>
      </c>
      <c r="F7122">
        <v>1</v>
      </c>
      <c r="G7122" t="s">
        <v>16</v>
      </c>
      <c r="H7122">
        <v>0</v>
      </c>
      <c r="I7122" s="2" t="s">
        <v>221</v>
      </c>
      <c r="J7122" s="2">
        <v>21522</v>
      </c>
      <c r="K7122">
        <v>20</v>
      </c>
      <c r="L7122">
        <v>20</v>
      </c>
      <c r="M7122">
        <v>20</v>
      </c>
    </row>
    <row r="7123" spans="1:13" x14ac:dyDescent="0.25">
      <c r="A7123" t="s">
        <v>15801</v>
      </c>
      <c r="B7123" t="s">
        <v>15800</v>
      </c>
      <c r="C7123" t="s">
        <v>241</v>
      </c>
      <c r="D7123" t="s">
        <v>1436</v>
      </c>
      <c r="F7123">
        <v>1</v>
      </c>
      <c r="G7123" t="s">
        <v>16</v>
      </c>
      <c r="H7123">
        <v>0</v>
      </c>
      <c r="I7123" s="2" t="s">
        <v>245</v>
      </c>
      <c r="J7123" s="2" t="s">
        <v>15802</v>
      </c>
      <c r="K7123">
        <v>20</v>
      </c>
      <c r="L7123">
        <v>20</v>
      </c>
      <c r="M7123">
        <v>20</v>
      </c>
    </row>
    <row r="7124" spans="1:13" x14ac:dyDescent="0.25">
      <c r="A7124" t="s">
        <v>15803</v>
      </c>
      <c r="B7124" t="s">
        <v>15804</v>
      </c>
      <c r="C7124" t="s">
        <v>241</v>
      </c>
      <c r="D7124" t="s">
        <v>1436</v>
      </c>
      <c r="F7124">
        <v>1</v>
      </c>
      <c r="G7124" t="s">
        <v>16</v>
      </c>
      <c r="H7124">
        <v>0</v>
      </c>
      <c r="I7124" s="2" t="s">
        <v>64</v>
      </c>
      <c r="J7124" s="2">
        <v>10030237</v>
      </c>
      <c r="K7124">
        <v>20</v>
      </c>
      <c r="L7124">
        <v>20</v>
      </c>
      <c r="M7124">
        <v>20</v>
      </c>
    </row>
    <row r="7125" spans="1:13" x14ac:dyDescent="0.25">
      <c r="A7125" t="s">
        <v>15805</v>
      </c>
      <c r="B7125" t="s">
        <v>15804</v>
      </c>
      <c r="C7125" t="s">
        <v>241</v>
      </c>
      <c r="D7125" t="s">
        <v>1436</v>
      </c>
      <c r="F7125">
        <v>1</v>
      </c>
      <c r="G7125" t="s">
        <v>16</v>
      </c>
      <c r="H7125">
        <v>0</v>
      </c>
      <c r="I7125" s="2" t="s">
        <v>221</v>
      </c>
      <c r="J7125" s="2">
        <v>21444</v>
      </c>
      <c r="K7125">
        <v>20</v>
      </c>
      <c r="L7125">
        <v>20</v>
      </c>
      <c r="M7125">
        <v>20</v>
      </c>
    </row>
    <row r="7126" spans="1:13" x14ac:dyDescent="0.25">
      <c r="A7126" t="s">
        <v>15806</v>
      </c>
      <c r="B7126" t="s">
        <v>15804</v>
      </c>
      <c r="C7126" t="s">
        <v>241</v>
      </c>
      <c r="D7126" t="s">
        <v>1436</v>
      </c>
      <c r="F7126">
        <v>1</v>
      </c>
      <c r="G7126" t="s">
        <v>16</v>
      </c>
      <c r="H7126">
        <v>0</v>
      </c>
      <c r="I7126" s="2" t="s">
        <v>245</v>
      </c>
      <c r="J7126" s="2" t="s">
        <v>15807</v>
      </c>
      <c r="K7126">
        <v>20</v>
      </c>
      <c r="L7126">
        <v>20</v>
      </c>
      <c r="M7126">
        <v>20</v>
      </c>
    </row>
    <row r="7127" spans="1:13" x14ac:dyDescent="0.25">
      <c r="A7127" t="s">
        <v>15808</v>
      </c>
      <c r="B7127" t="s">
        <v>15804</v>
      </c>
      <c r="C7127" t="s">
        <v>241</v>
      </c>
      <c r="D7127" t="s">
        <v>1436</v>
      </c>
      <c r="G7127" t="s">
        <v>16</v>
      </c>
      <c r="H7127">
        <v>0</v>
      </c>
      <c r="I7127" s="2" t="s">
        <v>737</v>
      </c>
      <c r="J7127" s="2" t="s">
        <v>15809</v>
      </c>
      <c r="K7127">
        <v>20</v>
      </c>
      <c r="L7127">
        <v>20</v>
      </c>
      <c r="M7127">
        <v>20</v>
      </c>
    </row>
    <row r="7128" spans="1:13" x14ac:dyDescent="0.25">
      <c r="A7128" t="s">
        <v>15810</v>
      </c>
      <c r="B7128" t="s">
        <v>15811</v>
      </c>
      <c r="C7128" t="s">
        <v>241</v>
      </c>
      <c r="D7128" t="s">
        <v>1436</v>
      </c>
      <c r="F7128">
        <v>3</v>
      </c>
      <c r="G7128" t="s">
        <v>16</v>
      </c>
      <c r="H7128">
        <v>0</v>
      </c>
      <c r="I7128" s="2" t="s">
        <v>737</v>
      </c>
      <c r="J7128" s="2" t="s">
        <v>15812</v>
      </c>
      <c r="K7128">
        <v>20</v>
      </c>
      <c r="L7128">
        <v>20</v>
      </c>
      <c r="M7128">
        <v>20</v>
      </c>
    </row>
    <row r="7129" spans="1:13" x14ac:dyDescent="0.25">
      <c r="A7129" t="s">
        <v>15813</v>
      </c>
      <c r="B7129" t="s">
        <v>15814</v>
      </c>
      <c r="C7129" t="s">
        <v>241</v>
      </c>
      <c r="D7129" t="s">
        <v>1436</v>
      </c>
      <c r="F7129">
        <v>1</v>
      </c>
      <c r="G7129" t="s">
        <v>16</v>
      </c>
      <c r="H7129">
        <v>0</v>
      </c>
      <c r="I7129" s="2" t="s">
        <v>737</v>
      </c>
      <c r="J7129" s="2" t="s">
        <v>15815</v>
      </c>
      <c r="K7129">
        <v>20</v>
      </c>
      <c r="L7129">
        <v>20</v>
      </c>
      <c r="M7129">
        <v>20</v>
      </c>
    </row>
    <row r="7130" spans="1:13" x14ac:dyDescent="0.25">
      <c r="A7130" t="s">
        <v>15816</v>
      </c>
      <c r="B7130" t="s">
        <v>15818</v>
      </c>
      <c r="C7130" t="s">
        <v>241</v>
      </c>
      <c r="D7130" t="s">
        <v>1436</v>
      </c>
      <c r="F7130">
        <v>2</v>
      </c>
      <c r="G7130" t="s">
        <v>16</v>
      </c>
      <c r="H7130">
        <v>0</v>
      </c>
      <c r="I7130" s="2" t="s">
        <v>288</v>
      </c>
      <c r="J7130" s="2" t="s">
        <v>15817</v>
      </c>
      <c r="K7130">
        <v>20</v>
      </c>
      <c r="L7130">
        <v>20</v>
      </c>
      <c r="M7130">
        <v>20</v>
      </c>
    </row>
    <row r="7131" spans="1:13" x14ac:dyDescent="0.25">
      <c r="A7131" t="s">
        <v>15819</v>
      </c>
      <c r="B7131" t="s">
        <v>15818</v>
      </c>
      <c r="C7131" t="s">
        <v>241</v>
      </c>
      <c r="D7131" t="s">
        <v>1436</v>
      </c>
      <c r="F7131">
        <v>1</v>
      </c>
      <c r="G7131" t="s">
        <v>16</v>
      </c>
      <c r="H7131">
        <v>0</v>
      </c>
      <c r="I7131" s="2" t="s">
        <v>3088</v>
      </c>
      <c r="J7131" s="2" t="s">
        <v>15820</v>
      </c>
      <c r="K7131">
        <v>20</v>
      </c>
      <c r="L7131">
        <v>20</v>
      </c>
      <c r="M7131">
        <v>20</v>
      </c>
    </row>
    <row r="7132" spans="1:13" x14ac:dyDescent="0.25">
      <c r="A7132" t="s">
        <v>15821</v>
      </c>
      <c r="B7132" t="s">
        <v>15818</v>
      </c>
      <c r="C7132" t="s">
        <v>241</v>
      </c>
      <c r="D7132" t="s">
        <v>1436</v>
      </c>
      <c r="F7132">
        <v>1</v>
      </c>
      <c r="G7132" t="s">
        <v>16</v>
      </c>
      <c r="H7132">
        <v>0</v>
      </c>
      <c r="I7132" s="2" t="s">
        <v>737</v>
      </c>
      <c r="J7132" s="2" t="s">
        <v>15822</v>
      </c>
      <c r="K7132">
        <v>20</v>
      </c>
      <c r="L7132">
        <v>20</v>
      </c>
      <c r="M7132">
        <v>20</v>
      </c>
    </row>
    <row r="7133" spans="1:13" x14ac:dyDescent="0.25">
      <c r="A7133">
        <v>807010</v>
      </c>
      <c r="B7133" t="s">
        <v>15823</v>
      </c>
      <c r="C7133" t="s">
        <v>1436</v>
      </c>
      <c r="F7133">
        <v>1</v>
      </c>
      <c r="G7133" t="s">
        <v>16</v>
      </c>
      <c r="H7133">
        <v>0</v>
      </c>
      <c r="I7133" s="2" t="s">
        <v>1444</v>
      </c>
      <c r="J7133" s="2">
        <v>55566387</v>
      </c>
      <c r="K7133">
        <v>20</v>
      </c>
      <c r="L7133">
        <v>20</v>
      </c>
      <c r="M7133">
        <v>20</v>
      </c>
    </row>
    <row r="7134" spans="1:13" x14ac:dyDescent="0.25">
      <c r="A7134" t="s">
        <v>15824</v>
      </c>
      <c r="B7134" t="s">
        <v>15825</v>
      </c>
      <c r="C7134" t="s">
        <v>20</v>
      </c>
      <c r="F7134">
        <v>3</v>
      </c>
      <c r="G7134" t="s">
        <v>16</v>
      </c>
      <c r="H7134">
        <v>0</v>
      </c>
      <c r="I7134" s="2" t="s">
        <v>685</v>
      </c>
      <c r="J7134" s="2" t="str">
        <f>"0280142488"</f>
        <v>0280142488</v>
      </c>
      <c r="K7134">
        <v>20</v>
      </c>
      <c r="L7134">
        <v>20</v>
      </c>
      <c r="M7134">
        <v>20</v>
      </c>
    </row>
    <row r="7135" spans="1:13" x14ac:dyDescent="0.25">
      <c r="A7135" t="s">
        <v>15826</v>
      </c>
      <c r="B7135" t="s">
        <v>15827</v>
      </c>
      <c r="C7135" t="s">
        <v>1436</v>
      </c>
      <c r="F7135">
        <v>1</v>
      </c>
      <c r="G7135" t="s">
        <v>16</v>
      </c>
      <c r="H7135">
        <v>0</v>
      </c>
      <c r="I7135" s="2" t="s">
        <v>2542</v>
      </c>
      <c r="J7135" s="2">
        <v>93189063</v>
      </c>
      <c r="K7135">
        <v>20</v>
      </c>
      <c r="L7135">
        <v>20</v>
      </c>
      <c r="M7135">
        <v>20</v>
      </c>
    </row>
    <row r="7136" spans="1:13" x14ac:dyDescent="0.25">
      <c r="A7136" t="s">
        <v>15828</v>
      </c>
      <c r="B7136" t="s">
        <v>15829</v>
      </c>
      <c r="C7136" t="s">
        <v>1436</v>
      </c>
      <c r="F7136">
        <v>1</v>
      </c>
      <c r="G7136" t="s">
        <v>16</v>
      </c>
      <c r="H7136">
        <v>0</v>
      </c>
      <c r="I7136" s="2" t="s">
        <v>993</v>
      </c>
      <c r="J7136" s="2">
        <v>205928</v>
      </c>
      <c r="K7136">
        <v>20</v>
      </c>
      <c r="L7136">
        <v>20</v>
      </c>
      <c r="M7136">
        <v>20</v>
      </c>
    </row>
    <row r="7137" spans="1:13" x14ac:dyDescent="0.25">
      <c r="A7137" t="s">
        <v>15830</v>
      </c>
      <c r="B7137" t="s">
        <v>15832</v>
      </c>
      <c r="C7137" t="s">
        <v>1436</v>
      </c>
      <c r="F7137">
        <v>1</v>
      </c>
      <c r="G7137" t="s">
        <v>16</v>
      </c>
      <c r="H7137">
        <v>0</v>
      </c>
      <c r="I7137" s="2" t="s">
        <v>765</v>
      </c>
      <c r="J7137" s="2" t="s">
        <v>15831</v>
      </c>
      <c r="K7137">
        <v>20</v>
      </c>
      <c r="L7137">
        <v>20</v>
      </c>
      <c r="M7137">
        <v>20</v>
      </c>
    </row>
    <row r="7138" spans="1:13" x14ac:dyDescent="0.25">
      <c r="A7138" t="s">
        <v>15833</v>
      </c>
      <c r="B7138" t="s">
        <v>15834</v>
      </c>
      <c r="C7138" t="s">
        <v>1436</v>
      </c>
      <c r="F7138">
        <v>2</v>
      </c>
      <c r="G7138" t="s">
        <v>16</v>
      </c>
      <c r="H7138">
        <v>0</v>
      </c>
      <c r="I7138" s="2" t="s">
        <v>993</v>
      </c>
      <c r="J7138" s="2">
        <v>102747</v>
      </c>
      <c r="K7138">
        <v>20</v>
      </c>
      <c r="L7138">
        <v>20</v>
      </c>
      <c r="M7138">
        <v>20</v>
      </c>
    </row>
    <row r="7139" spans="1:13" x14ac:dyDescent="0.25">
      <c r="A7139" t="s">
        <v>15835</v>
      </c>
      <c r="B7139" t="s">
        <v>15836</v>
      </c>
      <c r="C7139" t="s">
        <v>14</v>
      </c>
      <c r="D7139" t="s">
        <v>2620</v>
      </c>
      <c r="F7139">
        <v>1</v>
      </c>
      <c r="G7139" t="s">
        <v>16</v>
      </c>
      <c r="H7139">
        <v>0</v>
      </c>
      <c r="I7139" s="2" t="s">
        <v>7200</v>
      </c>
      <c r="J7139" s="2">
        <v>5512500</v>
      </c>
      <c r="K7139">
        <v>20</v>
      </c>
      <c r="L7139">
        <v>20</v>
      </c>
      <c r="M7139">
        <v>20</v>
      </c>
    </row>
    <row r="7140" spans="1:13" x14ac:dyDescent="0.25">
      <c r="A7140" t="s">
        <v>15837</v>
      </c>
      <c r="B7140" t="s">
        <v>15839</v>
      </c>
      <c r="C7140" t="s">
        <v>14</v>
      </c>
      <c r="D7140" t="s">
        <v>2620</v>
      </c>
      <c r="G7140" t="s">
        <v>16</v>
      </c>
      <c r="H7140">
        <v>0</v>
      </c>
      <c r="I7140" s="2" t="s">
        <v>4748</v>
      </c>
      <c r="J7140" s="2" t="s">
        <v>15838</v>
      </c>
      <c r="K7140">
        <v>20</v>
      </c>
      <c r="L7140">
        <v>20</v>
      </c>
      <c r="M7140">
        <v>20</v>
      </c>
    </row>
    <row r="7141" spans="1:13" x14ac:dyDescent="0.25">
      <c r="A7141" t="s">
        <v>15840</v>
      </c>
      <c r="B7141" t="s">
        <v>15842</v>
      </c>
      <c r="C7141" t="s">
        <v>14</v>
      </c>
      <c r="D7141" t="s">
        <v>2620</v>
      </c>
      <c r="F7141">
        <v>7</v>
      </c>
      <c r="G7141" t="s">
        <v>16</v>
      </c>
      <c r="H7141">
        <v>0</v>
      </c>
      <c r="I7141" s="2" t="s">
        <v>4748</v>
      </c>
      <c r="J7141" s="2" t="s">
        <v>15841</v>
      </c>
      <c r="K7141">
        <v>20</v>
      </c>
      <c r="L7141">
        <v>20</v>
      </c>
      <c r="M7141">
        <v>20</v>
      </c>
    </row>
    <row r="7142" spans="1:13" x14ac:dyDescent="0.25">
      <c r="A7142" t="s">
        <v>15843</v>
      </c>
      <c r="B7142" t="s">
        <v>15842</v>
      </c>
      <c r="C7142" t="s">
        <v>14</v>
      </c>
      <c r="D7142" t="s">
        <v>2620</v>
      </c>
      <c r="G7142" t="s">
        <v>16</v>
      </c>
      <c r="H7142">
        <v>0</v>
      </c>
      <c r="I7142" s="2" t="s">
        <v>14816</v>
      </c>
      <c r="J7142" s="2" t="s">
        <v>15844</v>
      </c>
      <c r="K7142">
        <v>20</v>
      </c>
      <c r="L7142">
        <v>20</v>
      </c>
      <c r="M7142">
        <v>20</v>
      </c>
    </row>
    <row r="7143" spans="1:13" x14ac:dyDescent="0.25">
      <c r="A7143" t="s">
        <v>15845</v>
      </c>
      <c r="B7143" t="s">
        <v>15842</v>
      </c>
      <c r="C7143" t="s">
        <v>14</v>
      </c>
      <c r="D7143" t="s">
        <v>2620</v>
      </c>
      <c r="G7143" t="s">
        <v>16</v>
      </c>
      <c r="H7143">
        <v>0</v>
      </c>
      <c r="I7143" s="2" t="s">
        <v>4807</v>
      </c>
      <c r="J7143" s="2" t="s">
        <v>15846</v>
      </c>
      <c r="K7143">
        <v>20</v>
      </c>
      <c r="L7143">
        <v>20</v>
      </c>
      <c r="M7143">
        <v>20</v>
      </c>
    </row>
    <row r="7144" spans="1:13" x14ac:dyDescent="0.25">
      <c r="A7144" t="s">
        <v>15847</v>
      </c>
      <c r="B7144" t="s">
        <v>15848</v>
      </c>
      <c r="C7144" t="s">
        <v>14</v>
      </c>
      <c r="D7144" t="s">
        <v>2620</v>
      </c>
      <c r="F7144">
        <v>1</v>
      </c>
      <c r="G7144" t="s">
        <v>16</v>
      </c>
      <c r="H7144">
        <v>0</v>
      </c>
      <c r="I7144" s="2" t="s">
        <v>4829</v>
      </c>
      <c r="J7144" s="2" t="s">
        <v>15849</v>
      </c>
      <c r="K7144">
        <v>20</v>
      </c>
      <c r="L7144">
        <v>20</v>
      </c>
      <c r="M7144">
        <v>20</v>
      </c>
    </row>
    <row r="7145" spans="1:13" x14ac:dyDescent="0.25">
      <c r="A7145" t="s">
        <v>15850</v>
      </c>
      <c r="B7145" t="s">
        <v>15848</v>
      </c>
      <c r="C7145" t="s">
        <v>14</v>
      </c>
      <c r="D7145" t="s">
        <v>2620</v>
      </c>
      <c r="F7145">
        <v>0</v>
      </c>
      <c r="G7145" t="s">
        <v>16</v>
      </c>
      <c r="H7145">
        <v>0</v>
      </c>
      <c r="I7145" s="2" t="s">
        <v>662</v>
      </c>
      <c r="J7145" s="2" t="s">
        <v>15851</v>
      </c>
      <c r="K7145">
        <v>20</v>
      </c>
      <c r="L7145">
        <v>20</v>
      </c>
      <c r="M7145">
        <v>20</v>
      </c>
    </row>
    <row r="7146" spans="1:13" x14ac:dyDescent="0.25">
      <c r="A7146" t="s">
        <v>15852</v>
      </c>
      <c r="B7146" t="s">
        <v>15848</v>
      </c>
      <c r="C7146" t="s">
        <v>14</v>
      </c>
      <c r="D7146" t="s">
        <v>2620</v>
      </c>
      <c r="G7146" t="s">
        <v>16</v>
      </c>
      <c r="H7146">
        <v>0</v>
      </c>
      <c r="I7146" s="2" t="s">
        <v>64</v>
      </c>
      <c r="J7146" s="2" t="str">
        <f>"06030039"</f>
        <v>06030039</v>
      </c>
      <c r="K7146">
        <v>20</v>
      </c>
      <c r="L7146">
        <v>20</v>
      </c>
      <c r="M7146">
        <v>20</v>
      </c>
    </row>
    <row r="7147" spans="1:13" x14ac:dyDescent="0.25">
      <c r="A7147" t="s">
        <v>15853</v>
      </c>
      <c r="B7147" t="s">
        <v>15848</v>
      </c>
      <c r="C7147" t="s">
        <v>14</v>
      </c>
      <c r="D7147" t="s">
        <v>2620</v>
      </c>
      <c r="F7147">
        <v>1</v>
      </c>
      <c r="G7147" t="s">
        <v>16</v>
      </c>
      <c r="H7147">
        <v>0</v>
      </c>
      <c r="I7147" s="2" t="s">
        <v>17</v>
      </c>
      <c r="J7147" s="2" t="s">
        <v>15854</v>
      </c>
      <c r="K7147">
        <v>20</v>
      </c>
      <c r="L7147">
        <v>20</v>
      </c>
      <c r="M7147">
        <v>20</v>
      </c>
    </row>
    <row r="7148" spans="1:13" x14ac:dyDescent="0.25">
      <c r="A7148" t="s">
        <v>15855</v>
      </c>
      <c r="B7148" t="s">
        <v>15848</v>
      </c>
      <c r="C7148" t="s">
        <v>14</v>
      </c>
      <c r="D7148" t="s">
        <v>2620</v>
      </c>
      <c r="F7148">
        <v>3</v>
      </c>
      <c r="G7148" t="s">
        <v>16</v>
      </c>
      <c r="H7148">
        <v>0</v>
      </c>
      <c r="I7148" s="2" t="s">
        <v>7200</v>
      </c>
      <c r="J7148" s="2">
        <v>2409900</v>
      </c>
      <c r="K7148">
        <v>20</v>
      </c>
      <c r="L7148">
        <v>20</v>
      </c>
      <c r="M7148">
        <v>20</v>
      </c>
    </row>
    <row r="7149" spans="1:13" x14ac:dyDescent="0.25">
      <c r="A7149" t="s">
        <v>15856</v>
      </c>
      <c r="B7149" t="s">
        <v>15848</v>
      </c>
      <c r="C7149" t="s">
        <v>14</v>
      </c>
      <c r="D7149" t="s">
        <v>2620</v>
      </c>
      <c r="G7149" t="s">
        <v>16</v>
      </c>
      <c r="H7149">
        <v>0</v>
      </c>
      <c r="I7149" s="2" t="s">
        <v>4807</v>
      </c>
      <c r="J7149" s="2" t="s">
        <v>15857</v>
      </c>
      <c r="K7149">
        <v>20</v>
      </c>
      <c r="L7149">
        <v>20</v>
      </c>
      <c r="M7149">
        <v>20</v>
      </c>
    </row>
    <row r="7150" spans="1:13" x14ac:dyDescent="0.25">
      <c r="A7150">
        <v>813569</v>
      </c>
      <c r="B7150" t="s">
        <v>15858</v>
      </c>
      <c r="C7150" t="s">
        <v>14</v>
      </c>
      <c r="D7150" t="s">
        <v>2620</v>
      </c>
      <c r="F7150">
        <v>5</v>
      </c>
      <c r="G7150" t="s">
        <v>16</v>
      </c>
      <c r="H7150">
        <v>0</v>
      </c>
      <c r="I7150" s="2" t="s">
        <v>497</v>
      </c>
      <c r="J7150" s="2">
        <v>95599700</v>
      </c>
      <c r="K7150">
        <v>20</v>
      </c>
      <c r="L7150">
        <v>20</v>
      </c>
      <c r="M7150">
        <v>20</v>
      </c>
    </row>
    <row r="7151" spans="1:13" x14ac:dyDescent="0.25">
      <c r="A7151" t="s">
        <v>15859</v>
      </c>
      <c r="B7151" t="s">
        <v>15858</v>
      </c>
      <c r="C7151" t="s">
        <v>14</v>
      </c>
      <c r="D7151" t="s">
        <v>2620</v>
      </c>
      <c r="F7151">
        <v>3</v>
      </c>
      <c r="G7151" t="s">
        <v>16</v>
      </c>
      <c r="H7151">
        <v>0</v>
      </c>
      <c r="I7151" s="2" t="s">
        <v>707</v>
      </c>
      <c r="J7151" s="2" t="s">
        <v>15860</v>
      </c>
      <c r="K7151">
        <v>20</v>
      </c>
      <c r="L7151">
        <v>20</v>
      </c>
      <c r="M7151">
        <v>20</v>
      </c>
    </row>
    <row r="7152" spans="1:13" x14ac:dyDescent="0.25">
      <c r="A7152" t="s">
        <v>15861</v>
      </c>
      <c r="B7152" t="s">
        <v>15858</v>
      </c>
      <c r="C7152" t="s">
        <v>14</v>
      </c>
      <c r="D7152" t="s">
        <v>2620</v>
      </c>
      <c r="G7152" t="s">
        <v>16</v>
      </c>
      <c r="H7152">
        <v>0</v>
      </c>
      <c r="I7152" s="2" t="s">
        <v>4778</v>
      </c>
      <c r="J7152" s="2" t="s">
        <v>15862</v>
      </c>
      <c r="K7152">
        <v>20</v>
      </c>
      <c r="L7152">
        <v>20</v>
      </c>
      <c r="M7152">
        <v>20</v>
      </c>
    </row>
    <row r="7153" spans="1:13" x14ac:dyDescent="0.25">
      <c r="A7153" t="s">
        <v>15863</v>
      </c>
      <c r="B7153" t="s">
        <v>15858</v>
      </c>
      <c r="C7153" t="s">
        <v>14</v>
      </c>
      <c r="D7153" t="s">
        <v>2620</v>
      </c>
      <c r="F7153">
        <v>5</v>
      </c>
      <c r="G7153" t="s">
        <v>16</v>
      </c>
      <c r="H7153">
        <v>0</v>
      </c>
      <c r="I7153" s="2" t="s">
        <v>522</v>
      </c>
      <c r="J7153" s="2" t="s">
        <v>15864</v>
      </c>
      <c r="K7153">
        <v>20</v>
      </c>
      <c r="L7153">
        <v>20</v>
      </c>
      <c r="M7153">
        <v>20</v>
      </c>
    </row>
    <row r="7154" spans="1:13" x14ac:dyDescent="0.25">
      <c r="A7154" t="s">
        <v>15865</v>
      </c>
      <c r="B7154" t="s">
        <v>15858</v>
      </c>
      <c r="C7154" t="s">
        <v>14</v>
      </c>
      <c r="D7154" t="s">
        <v>2620</v>
      </c>
      <c r="G7154" t="s">
        <v>16</v>
      </c>
      <c r="H7154">
        <v>0</v>
      </c>
      <c r="I7154" s="2" t="s">
        <v>17</v>
      </c>
      <c r="J7154" s="2" t="s">
        <v>15866</v>
      </c>
      <c r="K7154">
        <v>20</v>
      </c>
      <c r="L7154">
        <v>20</v>
      </c>
      <c r="M7154">
        <v>20</v>
      </c>
    </row>
    <row r="7155" spans="1:13" x14ac:dyDescent="0.25">
      <c r="A7155" t="s">
        <v>15867</v>
      </c>
      <c r="B7155" t="s">
        <v>15858</v>
      </c>
      <c r="C7155" t="s">
        <v>14</v>
      </c>
      <c r="D7155" t="s">
        <v>2620</v>
      </c>
      <c r="F7155">
        <v>6</v>
      </c>
      <c r="G7155" t="s">
        <v>16</v>
      </c>
      <c r="H7155">
        <v>0</v>
      </c>
      <c r="I7155" s="2" t="s">
        <v>4711</v>
      </c>
      <c r="J7155" s="2" t="s">
        <v>15868</v>
      </c>
      <c r="K7155">
        <v>20</v>
      </c>
      <c r="L7155">
        <v>20</v>
      </c>
      <c r="M7155">
        <v>20</v>
      </c>
    </row>
    <row r="7156" spans="1:13" x14ac:dyDescent="0.25">
      <c r="A7156" t="s">
        <v>15869</v>
      </c>
      <c r="B7156" t="s">
        <v>15858</v>
      </c>
      <c r="C7156" t="s">
        <v>14</v>
      </c>
      <c r="D7156" t="s">
        <v>2620</v>
      </c>
      <c r="F7156">
        <v>16</v>
      </c>
      <c r="G7156" t="s">
        <v>16</v>
      </c>
      <c r="H7156">
        <v>0</v>
      </c>
      <c r="I7156" s="2" t="s">
        <v>854</v>
      </c>
      <c r="J7156" s="2">
        <v>587914</v>
      </c>
      <c r="K7156">
        <v>20</v>
      </c>
      <c r="L7156">
        <v>20</v>
      </c>
      <c r="M7156">
        <v>20</v>
      </c>
    </row>
    <row r="7157" spans="1:13" x14ac:dyDescent="0.25">
      <c r="A7157" t="s">
        <v>15870</v>
      </c>
      <c r="B7157" t="s">
        <v>15871</v>
      </c>
      <c r="C7157" t="s">
        <v>540</v>
      </c>
      <c r="D7157" t="s">
        <v>4589</v>
      </c>
      <c r="F7157">
        <v>1</v>
      </c>
      <c r="G7157" t="s">
        <v>16</v>
      </c>
      <c r="H7157">
        <v>0</v>
      </c>
      <c r="I7157" s="2" t="s">
        <v>4590</v>
      </c>
      <c r="J7157" s="2" t="s">
        <v>15872</v>
      </c>
      <c r="K7157">
        <v>20</v>
      </c>
      <c r="L7157">
        <v>20</v>
      </c>
      <c r="M7157">
        <v>20</v>
      </c>
    </row>
    <row r="7158" spans="1:13" x14ac:dyDescent="0.25">
      <c r="A7158" t="s">
        <v>15873</v>
      </c>
      <c r="B7158" t="s">
        <v>15874</v>
      </c>
      <c r="C7158" t="s">
        <v>540</v>
      </c>
      <c r="D7158" t="s">
        <v>4589</v>
      </c>
      <c r="G7158" t="s">
        <v>16</v>
      </c>
      <c r="H7158">
        <v>0</v>
      </c>
      <c r="I7158" s="2" t="s">
        <v>4625</v>
      </c>
      <c r="J7158" s="2" t="s">
        <v>15875</v>
      </c>
      <c r="K7158">
        <v>20</v>
      </c>
      <c r="L7158">
        <v>20</v>
      </c>
      <c r="M7158">
        <v>20</v>
      </c>
    </row>
    <row r="7159" spans="1:13" x14ac:dyDescent="0.25">
      <c r="A7159" t="s">
        <v>15876</v>
      </c>
      <c r="B7159" t="s">
        <v>15877</v>
      </c>
      <c r="C7159" t="s">
        <v>540</v>
      </c>
      <c r="D7159" t="s">
        <v>4589</v>
      </c>
      <c r="G7159" t="s">
        <v>16</v>
      </c>
      <c r="H7159">
        <v>0</v>
      </c>
      <c r="I7159" s="2" t="s">
        <v>4625</v>
      </c>
      <c r="J7159" s="2" t="s">
        <v>15878</v>
      </c>
      <c r="K7159">
        <v>20</v>
      </c>
      <c r="L7159">
        <v>20</v>
      </c>
      <c r="M7159">
        <v>20</v>
      </c>
    </row>
    <row r="7160" spans="1:13" x14ac:dyDescent="0.25">
      <c r="A7160" t="s">
        <v>15879</v>
      </c>
      <c r="B7160" t="s">
        <v>15880</v>
      </c>
      <c r="C7160" t="s">
        <v>540</v>
      </c>
      <c r="D7160" t="s">
        <v>4589</v>
      </c>
      <c r="F7160">
        <v>1</v>
      </c>
      <c r="G7160" t="s">
        <v>16</v>
      </c>
      <c r="H7160">
        <v>0</v>
      </c>
      <c r="I7160" s="2" t="s">
        <v>4593</v>
      </c>
      <c r="J7160" s="2" t="s">
        <v>15881</v>
      </c>
      <c r="K7160">
        <v>20</v>
      </c>
      <c r="L7160">
        <v>20</v>
      </c>
      <c r="M7160">
        <v>20</v>
      </c>
    </row>
    <row r="7161" spans="1:13" x14ac:dyDescent="0.25">
      <c r="A7161" t="s">
        <v>15882</v>
      </c>
      <c r="B7161" t="s">
        <v>15883</v>
      </c>
      <c r="C7161" t="s">
        <v>1436</v>
      </c>
      <c r="D7161" t="s">
        <v>15884</v>
      </c>
      <c r="F7161">
        <v>1</v>
      </c>
      <c r="G7161" t="s">
        <v>16</v>
      </c>
      <c r="H7161">
        <v>0</v>
      </c>
      <c r="I7161" s="2" t="s">
        <v>142</v>
      </c>
      <c r="J7161" s="2" t="s">
        <v>15885</v>
      </c>
      <c r="K7161">
        <v>20</v>
      </c>
      <c r="L7161">
        <v>20</v>
      </c>
      <c r="M7161">
        <v>20</v>
      </c>
    </row>
    <row r="7162" spans="1:13" x14ac:dyDescent="0.25">
      <c r="A7162" t="s">
        <v>15886</v>
      </c>
      <c r="B7162" t="s">
        <v>15887</v>
      </c>
      <c r="C7162" t="s">
        <v>1436</v>
      </c>
      <c r="D7162" t="s">
        <v>15884</v>
      </c>
      <c r="G7162" t="s">
        <v>16</v>
      </c>
      <c r="H7162">
        <v>0</v>
      </c>
      <c r="I7162" s="2" t="s">
        <v>707</v>
      </c>
      <c r="J7162" s="2" t="s">
        <v>15888</v>
      </c>
      <c r="K7162">
        <v>20</v>
      </c>
      <c r="L7162">
        <v>20</v>
      </c>
      <c r="M7162">
        <v>20</v>
      </c>
    </row>
    <row r="7163" spans="1:13" x14ac:dyDescent="0.25">
      <c r="A7163" t="s">
        <v>15889</v>
      </c>
      <c r="B7163" t="s">
        <v>15887</v>
      </c>
      <c r="C7163" t="s">
        <v>1436</v>
      </c>
      <c r="D7163" t="s">
        <v>15884</v>
      </c>
      <c r="G7163" t="s">
        <v>16</v>
      </c>
      <c r="H7163">
        <v>0</v>
      </c>
      <c r="I7163" s="2" t="s">
        <v>491</v>
      </c>
      <c r="J7163" s="2">
        <v>359001800120</v>
      </c>
      <c r="K7163">
        <v>20</v>
      </c>
      <c r="L7163">
        <v>20</v>
      </c>
      <c r="M7163">
        <v>20</v>
      </c>
    </row>
    <row r="7164" spans="1:13" x14ac:dyDescent="0.25">
      <c r="A7164" t="s">
        <v>15890</v>
      </c>
      <c r="B7164" t="s">
        <v>15891</v>
      </c>
      <c r="C7164" t="s">
        <v>1436</v>
      </c>
      <c r="D7164" t="s">
        <v>15884</v>
      </c>
      <c r="F7164">
        <v>1</v>
      </c>
      <c r="G7164" t="s">
        <v>16</v>
      </c>
      <c r="H7164">
        <v>0</v>
      </c>
      <c r="I7164" s="2" t="s">
        <v>759</v>
      </c>
      <c r="J7164" s="2" t="s">
        <v>15892</v>
      </c>
      <c r="K7164">
        <v>20</v>
      </c>
      <c r="L7164">
        <v>20</v>
      </c>
      <c r="M7164">
        <v>20</v>
      </c>
    </row>
    <row r="7165" spans="1:13" x14ac:dyDescent="0.25">
      <c r="A7165" t="s">
        <v>15893</v>
      </c>
      <c r="B7165" t="s">
        <v>15894</v>
      </c>
      <c r="C7165" t="s">
        <v>1436</v>
      </c>
      <c r="D7165" t="s">
        <v>15884</v>
      </c>
      <c r="G7165" t="s">
        <v>16</v>
      </c>
      <c r="H7165">
        <v>0</v>
      </c>
      <c r="I7165" s="2" t="s">
        <v>941</v>
      </c>
      <c r="J7165" s="2" t="s">
        <v>15895</v>
      </c>
      <c r="K7165">
        <v>20</v>
      </c>
      <c r="L7165">
        <v>20</v>
      </c>
      <c r="M7165">
        <v>20</v>
      </c>
    </row>
    <row r="7166" spans="1:13" x14ac:dyDescent="0.25">
      <c r="A7166" t="s">
        <v>15896</v>
      </c>
      <c r="B7166" t="s">
        <v>15894</v>
      </c>
      <c r="C7166" t="s">
        <v>1436</v>
      </c>
      <c r="D7166" t="s">
        <v>15884</v>
      </c>
      <c r="F7166">
        <v>2</v>
      </c>
      <c r="G7166" t="s">
        <v>16</v>
      </c>
      <c r="H7166">
        <v>0</v>
      </c>
      <c r="I7166" s="2" t="s">
        <v>64</v>
      </c>
      <c r="J7166" s="2" t="str">
        <f>"05050100"</f>
        <v>05050100</v>
      </c>
      <c r="K7166">
        <v>20</v>
      </c>
      <c r="L7166">
        <v>20</v>
      </c>
      <c r="M7166">
        <v>20</v>
      </c>
    </row>
    <row r="7167" spans="1:13" x14ac:dyDescent="0.25">
      <c r="A7167" t="s">
        <v>15897</v>
      </c>
      <c r="B7167" t="s">
        <v>15891</v>
      </c>
      <c r="C7167" t="s">
        <v>1436</v>
      </c>
      <c r="D7167" t="s">
        <v>15884</v>
      </c>
      <c r="G7167" t="s">
        <v>16</v>
      </c>
      <c r="H7167">
        <v>0</v>
      </c>
      <c r="I7167" s="2" t="s">
        <v>2896</v>
      </c>
      <c r="J7167" s="2" t="s">
        <v>15898</v>
      </c>
      <c r="K7167">
        <v>20</v>
      </c>
      <c r="L7167">
        <v>20</v>
      </c>
      <c r="M7167">
        <v>20</v>
      </c>
    </row>
    <row r="7168" spans="1:13" x14ac:dyDescent="0.25">
      <c r="A7168" t="s">
        <v>15899</v>
      </c>
      <c r="B7168" t="s">
        <v>15900</v>
      </c>
      <c r="C7168" t="s">
        <v>1436</v>
      </c>
      <c r="D7168" t="s">
        <v>15884</v>
      </c>
      <c r="F7168">
        <v>1</v>
      </c>
      <c r="G7168" t="s">
        <v>16</v>
      </c>
      <c r="H7168">
        <v>0</v>
      </c>
      <c r="I7168" s="2" t="s">
        <v>15901</v>
      </c>
      <c r="J7168" s="2">
        <v>60201407</v>
      </c>
      <c r="K7168">
        <v>20</v>
      </c>
      <c r="L7168">
        <v>20</v>
      </c>
      <c r="M7168">
        <v>20</v>
      </c>
    </row>
    <row r="7169" spans="1:13" x14ac:dyDescent="0.25">
      <c r="A7169" t="s">
        <v>15902</v>
      </c>
      <c r="B7169" t="s">
        <v>15900</v>
      </c>
      <c r="C7169" t="s">
        <v>1436</v>
      </c>
      <c r="D7169" t="s">
        <v>15884</v>
      </c>
      <c r="F7169">
        <v>2</v>
      </c>
      <c r="G7169" t="s">
        <v>16</v>
      </c>
      <c r="H7169">
        <v>0</v>
      </c>
      <c r="I7169" s="2" t="s">
        <v>759</v>
      </c>
      <c r="J7169" s="2" t="s">
        <v>15903</v>
      </c>
      <c r="K7169">
        <v>20</v>
      </c>
      <c r="L7169">
        <v>20</v>
      </c>
      <c r="M7169">
        <v>20</v>
      </c>
    </row>
    <row r="7170" spans="1:13" x14ac:dyDescent="0.25">
      <c r="A7170" t="s">
        <v>15904</v>
      </c>
      <c r="B7170" t="s">
        <v>15900</v>
      </c>
      <c r="C7170" t="s">
        <v>1436</v>
      </c>
      <c r="D7170" t="s">
        <v>15884</v>
      </c>
      <c r="F7170">
        <v>1</v>
      </c>
      <c r="G7170" t="s">
        <v>16</v>
      </c>
      <c r="H7170">
        <v>0</v>
      </c>
      <c r="I7170" s="2" t="s">
        <v>383</v>
      </c>
      <c r="J7170" s="2" t="str">
        <f>"0580454168"</f>
        <v>0580454168</v>
      </c>
      <c r="K7170">
        <v>20</v>
      </c>
      <c r="L7170">
        <v>20</v>
      </c>
      <c r="M7170">
        <v>20</v>
      </c>
    </row>
    <row r="7171" spans="1:13" x14ac:dyDescent="0.25">
      <c r="A7171" t="s">
        <v>15905</v>
      </c>
      <c r="B7171" t="s">
        <v>15900</v>
      </c>
      <c r="C7171" t="s">
        <v>1436</v>
      </c>
      <c r="D7171" t="s">
        <v>15884</v>
      </c>
      <c r="G7171" t="s">
        <v>16</v>
      </c>
      <c r="H7171">
        <v>0</v>
      </c>
      <c r="I7171" s="2" t="s">
        <v>707</v>
      </c>
      <c r="J7171" s="2" t="s">
        <v>15906</v>
      </c>
      <c r="K7171">
        <v>20</v>
      </c>
      <c r="L7171">
        <v>20</v>
      </c>
      <c r="M7171">
        <v>20</v>
      </c>
    </row>
    <row r="7172" spans="1:13" x14ac:dyDescent="0.25">
      <c r="A7172" t="s">
        <v>15907</v>
      </c>
      <c r="B7172" t="s">
        <v>15900</v>
      </c>
      <c r="C7172" t="s">
        <v>1436</v>
      </c>
      <c r="D7172" t="s">
        <v>15884</v>
      </c>
      <c r="G7172" t="s">
        <v>16</v>
      </c>
      <c r="H7172">
        <v>0</v>
      </c>
      <c r="I7172" s="2" t="s">
        <v>941</v>
      </c>
      <c r="J7172" s="2" t="s">
        <v>15908</v>
      </c>
      <c r="K7172">
        <v>20</v>
      </c>
      <c r="L7172">
        <v>20</v>
      </c>
      <c r="M7172">
        <v>20</v>
      </c>
    </row>
    <row r="7173" spans="1:13" x14ac:dyDescent="0.25">
      <c r="A7173" t="s">
        <v>15909</v>
      </c>
      <c r="B7173" t="s">
        <v>15900</v>
      </c>
      <c r="C7173" t="s">
        <v>1436</v>
      </c>
      <c r="D7173" t="s">
        <v>15884</v>
      </c>
      <c r="F7173">
        <v>1</v>
      </c>
      <c r="G7173" t="s">
        <v>16</v>
      </c>
      <c r="H7173">
        <v>0</v>
      </c>
      <c r="I7173" s="2" t="s">
        <v>937</v>
      </c>
      <c r="J7173" s="2" t="s">
        <v>15910</v>
      </c>
      <c r="K7173">
        <v>20</v>
      </c>
      <c r="L7173">
        <v>20</v>
      </c>
      <c r="M7173">
        <v>20</v>
      </c>
    </row>
    <row r="7174" spans="1:13" x14ac:dyDescent="0.25">
      <c r="A7174" t="s">
        <v>15911</v>
      </c>
      <c r="B7174" t="s">
        <v>15900</v>
      </c>
      <c r="C7174" t="s">
        <v>1436</v>
      </c>
      <c r="D7174" t="s">
        <v>15884</v>
      </c>
      <c r="F7174">
        <v>0</v>
      </c>
      <c r="G7174" t="s">
        <v>16</v>
      </c>
      <c r="H7174">
        <v>0</v>
      </c>
      <c r="I7174" s="2" t="s">
        <v>1603</v>
      </c>
      <c r="J7174" s="2">
        <v>7506539</v>
      </c>
      <c r="K7174">
        <v>20</v>
      </c>
      <c r="L7174">
        <v>20</v>
      </c>
      <c r="M7174">
        <v>20</v>
      </c>
    </row>
    <row r="7175" spans="1:13" x14ac:dyDescent="0.25">
      <c r="A7175" t="s">
        <v>15912</v>
      </c>
      <c r="B7175" t="s">
        <v>15900</v>
      </c>
      <c r="C7175" t="s">
        <v>1436</v>
      </c>
      <c r="D7175" t="s">
        <v>15884</v>
      </c>
      <c r="F7175">
        <v>1</v>
      </c>
      <c r="G7175" t="s">
        <v>16</v>
      </c>
      <c r="H7175">
        <v>0</v>
      </c>
      <c r="I7175" s="2" t="s">
        <v>2896</v>
      </c>
      <c r="J7175" s="2">
        <v>30165</v>
      </c>
      <c r="K7175">
        <v>20</v>
      </c>
      <c r="L7175">
        <v>20</v>
      </c>
      <c r="M7175">
        <v>20</v>
      </c>
    </row>
    <row r="7176" spans="1:13" x14ac:dyDescent="0.25">
      <c r="A7176" t="s">
        <v>15913</v>
      </c>
      <c r="B7176" t="s">
        <v>15914</v>
      </c>
      <c r="C7176" t="s">
        <v>1436</v>
      </c>
      <c r="D7176" t="s">
        <v>1437</v>
      </c>
      <c r="G7176" t="s">
        <v>16</v>
      </c>
      <c r="H7176">
        <v>0</v>
      </c>
      <c r="I7176" s="2" t="s">
        <v>737</v>
      </c>
      <c r="J7176" s="2" t="s">
        <v>15915</v>
      </c>
      <c r="K7176">
        <v>20</v>
      </c>
      <c r="L7176">
        <v>20</v>
      </c>
      <c r="M7176">
        <v>20</v>
      </c>
    </row>
    <row r="7177" spans="1:13" x14ac:dyDescent="0.25">
      <c r="A7177" t="s">
        <v>15916</v>
      </c>
      <c r="B7177" t="s">
        <v>15917</v>
      </c>
      <c r="C7177" t="s">
        <v>540</v>
      </c>
      <c r="D7177" t="s">
        <v>4589</v>
      </c>
      <c r="F7177">
        <v>2</v>
      </c>
      <c r="G7177" t="s">
        <v>16</v>
      </c>
      <c r="H7177">
        <v>0</v>
      </c>
      <c r="I7177" s="2" t="s">
        <v>613</v>
      </c>
      <c r="J7177" s="2" t="str">
        <f>"0020.8152.40-URT"</f>
        <v>0020.8152.40-URT</v>
      </c>
      <c r="K7177">
        <v>20</v>
      </c>
      <c r="L7177">
        <v>20</v>
      </c>
      <c r="M7177">
        <v>20</v>
      </c>
    </row>
    <row r="7178" spans="1:13" x14ac:dyDescent="0.25">
      <c r="A7178" t="s">
        <v>15918</v>
      </c>
      <c r="B7178" t="s">
        <v>15919</v>
      </c>
      <c r="C7178" t="s">
        <v>540</v>
      </c>
      <c r="D7178" t="s">
        <v>4589</v>
      </c>
      <c r="F7178">
        <v>2</v>
      </c>
      <c r="G7178" t="s">
        <v>16</v>
      </c>
      <c r="H7178">
        <v>0</v>
      </c>
      <c r="I7178" s="2" t="s">
        <v>613</v>
      </c>
      <c r="J7178" s="2" t="str">
        <f>"0020.8152.41-URT"</f>
        <v>0020.8152.41-URT</v>
      </c>
      <c r="K7178">
        <v>20</v>
      </c>
      <c r="L7178">
        <v>20</v>
      </c>
      <c r="M7178">
        <v>20</v>
      </c>
    </row>
    <row r="7179" spans="1:13" x14ac:dyDescent="0.25">
      <c r="A7179" t="s">
        <v>15920</v>
      </c>
      <c r="B7179" t="s">
        <v>15921</v>
      </c>
      <c r="C7179" t="s">
        <v>540</v>
      </c>
      <c r="D7179" t="s">
        <v>4589</v>
      </c>
      <c r="F7179">
        <v>1</v>
      </c>
      <c r="G7179" t="s">
        <v>16</v>
      </c>
      <c r="H7179">
        <v>0</v>
      </c>
      <c r="I7179" s="2" t="s">
        <v>4590</v>
      </c>
      <c r="J7179" s="2" t="s">
        <v>15922</v>
      </c>
      <c r="K7179">
        <v>20</v>
      </c>
      <c r="L7179">
        <v>20</v>
      </c>
      <c r="M7179">
        <v>20</v>
      </c>
    </row>
    <row r="7180" spans="1:13" x14ac:dyDescent="0.25">
      <c r="A7180" t="s">
        <v>15923</v>
      </c>
      <c r="B7180" t="s">
        <v>15924</v>
      </c>
      <c r="C7180" t="s">
        <v>540</v>
      </c>
      <c r="D7180" t="s">
        <v>4589</v>
      </c>
      <c r="F7180">
        <v>1</v>
      </c>
      <c r="G7180" t="s">
        <v>16</v>
      </c>
      <c r="H7180">
        <v>0</v>
      </c>
      <c r="I7180" s="2" t="s">
        <v>4593</v>
      </c>
      <c r="J7180" s="2" t="s">
        <v>15925</v>
      </c>
      <c r="K7180">
        <v>20</v>
      </c>
      <c r="L7180">
        <v>20</v>
      </c>
      <c r="M7180">
        <v>20</v>
      </c>
    </row>
    <row r="7181" spans="1:13" x14ac:dyDescent="0.25">
      <c r="A7181" t="s">
        <v>15926</v>
      </c>
      <c r="B7181" t="s">
        <v>15927</v>
      </c>
      <c r="C7181" t="s">
        <v>540</v>
      </c>
      <c r="D7181" t="s">
        <v>4589</v>
      </c>
      <c r="F7181">
        <v>1</v>
      </c>
      <c r="G7181" t="s">
        <v>16</v>
      </c>
      <c r="H7181">
        <v>0</v>
      </c>
      <c r="I7181" s="2" t="s">
        <v>4590</v>
      </c>
      <c r="J7181" s="2" t="s">
        <v>15928</v>
      </c>
      <c r="K7181">
        <v>20</v>
      </c>
      <c r="L7181">
        <v>20</v>
      </c>
      <c r="M7181">
        <v>20</v>
      </c>
    </row>
    <row r="7182" spans="1:13" x14ac:dyDescent="0.25">
      <c r="A7182" t="s">
        <v>15929</v>
      </c>
      <c r="B7182" t="s">
        <v>15930</v>
      </c>
      <c r="C7182" t="s">
        <v>540</v>
      </c>
      <c r="D7182" t="s">
        <v>4589</v>
      </c>
      <c r="F7182">
        <v>1</v>
      </c>
      <c r="G7182" t="s">
        <v>16</v>
      </c>
      <c r="H7182">
        <v>0</v>
      </c>
      <c r="I7182" s="2" t="s">
        <v>4590</v>
      </c>
      <c r="J7182" s="2" t="s">
        <v>15931</v>
      </c>
      <c r="K7182">
        <v>20</v>
      </c>
      <c r="L7182">
        <v>20</v>
      </c>
      <c r="M7182">
        <v>20</v>
      </c>
    </row>
    <row r="7183" spans="1:13" x14ac:dyDescent="0.25">
      <c r="A7183" t="s">
        <v>15932</v>
      </c>
      <c r="B7183" t="s">
        <v>15933</v>
      </c>
      <c r="C7183" t="s">
        <v>540</v>
      </c>
      <c r="D7183" t="s">
        <v>4589</v>
      </c>
      <c r="F7183">
        <v>1</v>
      </c>
      <c r="G7183" t="s">
        <v>16</v>
      </c>
      <c r="H7183">
        <v>0</v>
      </c>
      <c r="I7183" s="2" t="s">
        <v>4625</v>
      </c>
      <c r="J7183" s="2" t="s">
        <v>15934</v>
      </c>
      <c r="K7183">
        <v>20</v>
      </c>
      <c r="L7183">
        <v>20</v>
      </c>
      <c r="M7183">
        <v>20</v>
      </c>
    </row>
    <row r="7184" spans="1:13" x14ac:dyDescent="0.25">
      <c r="A7184" t="s">
        <v>15935</v>
      </c>
      <c r="B7184" t="s">
        <v>15936</v>
      </c>
      <c r="C7184" t="s">
        <v>540</v>
      </c>
      <c r="F7184">
        <v>0</v>
      </c>
      <c r="G7184" t="s">
        <v>16</v>
      </c>
      <c r="H7184">
        <v>0</v>
      </c>
      <c r="I7184" s="2" t="s">
        <v>4625</v>
      </c>
      <c r="J7184" s="2" t="s">
        <v>15937</v>
      </c>
      <c r="K7184">
        <v>20</v>
      </c>
      <c r="L7184">
        <v>20</v>
      </c>
      <c r="M7184">
        <v>20</v>
      </c>
    </row>
    <row r="7185" spans="1:13" x14ac:dyDescent="0.25">
      <c r="A7185" t="s">
        <v>15938</v>
      </c>
      <c r="B7185" t="s">
        <v>15939</v>
      </c>
      <c r="C7185" t="s">
        <v>540</v>
      </c>
      <c r="D7185" t="s">
        <v>4589</v>
      </c>
      <c r="F7185">
        <v>0</v>
      </c>
      <c r="G7185" t="s">
        <v>16</v>
      </c>
      <c r="H7185">
        <v>0</v>
      </c>
      <c r="I7185" s="2" t="s">
        <v>15940</v>
      </c>
      <c r="J7185" s="2" t="s">
        <v>15941</v>
      </c>
      <c r="K7185">
        <v>20</v>
      </c>
      <c r="L7185">
        <v>20</v>
      </c>
      <c r="M7185">
        <v>20</v>
      </c>
    </row>
    <row r="7186" spans="1:13" x14ac:dyDescent="0.25">
      <c r="A7186" t="s">
        <v>15942</v>
      </c>
      <c r="B7186" t="s">
        <v>15943</v>
      </c>
      <c r="C7186" t="s">
        <v>1436</v>
      </c>
      <c r="F7186">
        <v>1</v>
      </c>
      <c r="G7186" t="s">
        <v>16</v>
      </c>
      <c r="H7186">
        <v>0</v>
      </c>
      <c r="K7186">
        <v>20</v>
      </c>
      <c r="L7186">
        <v>20</v>
      </c>
      <c r="M7186">
        <v>20</v>
      </c>
    </row>
    <row r="7187" spans="1:13" x14ac:dyDescent="0.25">
      <c r="A7187" t="s">
        <v>15944</v>
      </c>
      <c r="B7187" t="s">
        <v>15943</v>
      </c>
      <c r="C7187" t="s">
        <v>1436</v>
      </c>
      <c r="G7187" t="s">
        <v>16</v>
      </c>
      <c r="H7187">
        <v>0</v>
      </c>
      <c r="K7187">
        <v>20</v>
      </c>
      <c r="L7187">
        <v>20</v>
      </c>
      <c r="M7187">
        <v>20</v>
      </c>
    </row>
    <row r="7188" spans="1:13" x14ac:dyDescent="0.25">
      <c r="A7188" t="s">
        <v>15945</v>
      </c>
      <c r="B7188" t="s">
        <v>15946</v>
      </c>
      <c r="C7188" t="s">
        <v>1436</v>
      </c>
      <c r="G7188" t="s">
        <v>16</v>
      </c>
      <c r="H7188">
        <v>0</v>
      </c>
      <c r="I7188" s="2" t="s">
        <v>383</v>
      </c>
      <c r="J7188" s="2" t="str">
        <f>"0280160615"</f>
        <v>0280160615</v>
      </c>
      <c r="K7188">
        <v>20</v>
      </c>
      <c r="L7188">
        <v>20</v>
      </c>
      <c r="M7188">
        <v>20</v>
      </c>
    </row>
    <row r="7189" spans="1:13" x14ac:dyDescent="0.25">
      <c r="A7189" t="s">
        <v>15947</v>
      </c>
      <c r="B7189" t="s">
        <v>15946</v>
      </c>
      <c r="C7189" t="s">
        <v>1436</v>
      </c>
      <c r="D7189" t="s">
        <v>1437</v>
      </c>
      <c r="F7189">
        <v>1</v>
      </c>
      <c r="G7189" t="s">
        <v>16</v>
      </c>
      <c r="H7189">
        <v>0</v>
      </c>
      <c r="K7189">
        <v>20</v>
      </c>
      <c r="L7189">
        <v>20</v>
      </c>
      <c r="M7189">
        <v>20</v>
      </c>
    </row>
    <row r="7190" spans="1:13" x14ac:dyDescent="0.25">
      <c r="A7190" t="s">
        <v>15948</v>
      </c>
      <c r="B7190" t="s">
        <v>15949</v>
      </c>
      <c r="C7190" t="s">
        <v>1436</v>
      </c>
      <c r="F7190">
        <v>2</v>
      </c>
      <c r="G7190" t="s">
        <v>16</v>
      </c>
      <c r="H7190">
        <v>0</v>
      </c>
      <c r="I7190" s="2" t="s">
        <v>64</v>
      </c>
      <c r="J7190" s="2">
        <v>10030477</v>
      </c>
      <c r="K7190">
        <v>20</v>
      </c>
      <c r="L7190">
        <v>20</v>
      </c>
      <c r="M7190">
        <v>20</v>
      </c>
    </row>
    <row r="7191" spans="1:13" x14ac:dyDescent="0.25">
      <c r="A7191" t="s">
        <v>15950</v>
      </c>
      <c r="B7191" t="s">
        <v>15949</v>
      </c>
      <c r="C7191" t="s">
        <v>1436</v>
      </c>
      <c r="D7191" t="s">
        <v>1437</v>
      </c>
      <c r="F7191">
        <v>1</v>
      </c>
      <c r="G7191" t="s">
        <v>16</v>
      </c>
      <c r="H7191">
        <v>0</v>
      </c>
      <c r="I7191" s="2" t="s">
        <v>737</v>
      </c>
      <c r="J7191" s="2" t="s">
        <v>15951</v>
      </c>
      <c r="K7191">
        <v>20</v>
      </c>
      <c r="L7191">
        <v>20</v>
      </c>
      <c r="M7191">
        <v>20</v>
      </c>
    </row>
    <row r="7192" spans="1:13" x14ac:dyDescent="0.25">
      <c r="A7192" t="s">
        <v>15952</v>
      </c>
      <c r="B7192" t="s">
        <v>15953</v>
      </c>
      <c r="C7192" t="s">
        <v>1436</v>
      </c>
      <c r="D7192" t="s">
        <v>1437</v>
      </c>
      <c r="F7192">
        <v>2</v>
      </c>
      <c r="G7192" t="s">
        <v>16</v>
      </c>
      <c r="H7192">
        <v>0</v>
      </c>
      <c r="I7192" s="2" t="s">
        <v>383</v>
      </c>
      <c r="J7192" s="2" t="str">
        <f>"0986580807"</f>
        <v>0986580807</v>
      </c>
      <c r="K7192">
        <v>20</v>
      </c>
      <c r="L7192">
        <v>20</v>
      </c>
      <c r="M7192">
        <v>20</v>
      </c>
    </row>
    <row r="7193" spans="1:13" x14ac:dyDescent="0.25">
      <c r="A7193" t="s">
        <v>15954</v>
      </c>
      <c r="B7193" t="s">
        <v>15953</v>
      </c>
      <c r="C7193" t="s">
        <v>1436</v>
      </c>
      <c r="D7193" t="s">
        <v>1437</v>
      </c>
      <c r="G7193" t="s">
        <v>16</v>
      </c>
      <c r="H7193">
        <v>0</v>
      </c>
      <c r="I7193" s="2" t="s">
        <v>941</v>
      </c>
      <c r="J7193" s="2" t="s">
        <v>15955</v>
      </c>
      <c r="K7193">
        <v>20</v>
      </c>
      <c r="L7193">
        <v>20</v>
      </c>
      <c r="M7193">
        <v>20</v>
      </c>
    </row>
    <row r="7194" spans="1:13" x14ac:dyDescent="0.25">
      <c r="A7194" t="s">
        <v>15956</v>
      </c>
      <c r="B7194" t="s">
        <v>15957</v>
      </c>
      <c r="C7194" t="s">
        <v>1436</v>
      </c>
      <c r="D7194" t="s">
        <v>15884</v>
      </c>
      <c r="G7194" t="s">
        <v>16</v>
      </c>
      <c r="H7194">
        <v>0</v>
      </c>
      <c r="I7194" s="2" t="s">
        <v>842</v>
      </c>
      <c r="J7194" s="2">
        <v>247095</v>
      </c>
      <c r="K7194">
        <v>20</v>
      </c>
      <c r="L7194">
        <v>20</v>
      </c>
      <c r="M7194">
        <v>20</v>
      </c>
    </row>
    <row r="7195" spans="1:13" x14ac:dyDescent="0.25">
      <c r="A7195" t="s">
        <v>15958</v>
      </c>
      <c r="B7195" t="s">
        <v>15960</v>
      </c>
      <c r="C7195" t="s">
        <v>241</v>
      </c>
      <c r="D7195" t="s">
        <v>1436</v>
      </c>
      <c r="F7195">
        <v>1</v>
      </c>
      <c r="G7195" t="s">
        <v>16</v>
      </c>
      <c r="H7195">
        <v>0</v>
      </c>
      <c r="I7195" s="2" t="s">
        <v>2389</v>
      </c>
      <c r="J7195" s="2" t="s">
        <v>15959</v>
      </c>
      <c r="K7195">
        <v>20</v>
      </c>
      <c r="L7195">
        <v>20</v>
      </c>
      <c r="M7195">
        <v>20</v>
      </c>
    </row>
    <row r="7196" spans="1:13" x14ac:dyDescent="0.25">
      <c r="A7196" t="s">
        <v>15961</v>
      </c>
      <c r="B7196" t="s">
        <v>15962</v>
      </c>
      <c r="C7196" t="s">
        <v>20</v>
      </c>
      <c r="F7196">
        <v>1</v>
      </c>
      <c r="G7196" t="s">
        <v>16</v>
      </c>
      <c r="H7196">
        <v>0</v>
      </c>
      <c r="I7196" s="2" t="s">
        <v>639</v>
      </c>
      <c r="J7196" s="2" t="s">
        <v>15963</v>
      </c>
      <c r="K7196">
        <v>20</v>
      </c>
      <c r="L7196">
        <v>20</v>
      </c>
      <c r="M7196">
        <v>20</v>
      </c>
    </row>
    <row r="7197" spans="1:13" x14ac:dyDescent="0.25">
      <c r="A7197" t="s">
        <v>15964</v>
      </c>
      <c r="B7197" t="s">
        <v>15965</v>
      </c>
      <c r="C7197" t="s">
        <v>151</v>
      </c>
      <c r="D7197" t="s">
        <v>215</v>
      </c>
      <c r="F7197">
        <v>1</v>
      </c>
      <c r="G7197" t="s">
        <v>16</v>
      </c>
      <c r="H7197">
        <v>0</v>
      </c>
      <c r="I7197" s="2" t="s">
        <v>988</v>
      </c>
      <c r="J7197" s="2" t="s">
        <v>15966</v>
      </c>
      <c r="K7197">
        <v>20</v>
      </c>
      <c r="L7197">
        <v>20</v>
      </c>
      <c r="M7197">
        <v>20</v>
      </c>
    </row>
    <row r="7198" spans="1:13" x14ac:dyDescent="0.25">
      <c r="A7198" t="s">
        <v>15967</v>
      </c>
      <c r="B7198" t="s">
        <v>15968</v>
      </c>
      <c r="C7198" t="s">
        <v>151</v>
      </c>
      <c r="G7198" t="s">
        <v>16</v>
      </c>
      <c r="H7198">
        <v>0</v>
      </c>
      <c r="I7198" s="2" t="s">
        <v>165</v>
      </c>
      <c r="J7198" s="2">
        <v>206167</v>
      </c>
      <c r="K7198">
        <v>20</v>
      </c>
      <c r="L7198">
        <v>20</v>
      </c>
      <c r="M7198">
        <v>20</v>
      </c>
    </row>
    <row r="7199" spans="1:13" x14ac:dyDescent="0.25">
      <c r="A7199" t="s">
        <v>15969</v>
      </c>
      <c r="B7199" t="s">
        <v>15970</v>
      </c>
      <c r="C7199" t="s">
        <v>241</v>
      </c>
      <c r="D7199" t="s">
        <v>1436</v>
      </c>
      <c r="G7199" t="s">
        <v>16</v>
      </c>
      <c r="H7199">
        <v>0</v>
      </c>
      <c r="I7199" s="2" t="s">
        <v>243</v>
      </c>
      <c r="J7199" s="2">
        <v>15077</v>
      </c>
      <c r="K7199">
        <v>20</v>
      </c>
      <c r="L7199">
        <v>20</v>
      </c>
      <c r="M7199">
        <v>20</v>
      </c>
    </row>
    <row r="7200" spans="1:13" x14ac:dyDescent="0.25">
      <c r="A7200" t="s">
        <v>15971</v>
      </c>
      <c r="B7200" t="s">
        <v>15970</v>
      </c>
      <c r="C7200" t="s">
        <v>241</v>
      </c>
      <c r="D7200" t="s">
        <v>1436</v>
      </c>
      <c r="G7200" t="s">
        <v>16</v>
      </c>
      <c r="H7200">
        <v>0</v>
      </c>
      <c r="I7200" s="2" t="s">
        <v>245</v>
      </c>
      <c r="J7200" s="2" t="s">
        <v>15972</v>
      </c>
      <c r="K7200">
        <v>20</v>
      </c>
      <c r="L7200">
        <v>20</v>
      </c>
      <c r="M7200">
        <v>20</v>
      </c>
    </row>
    <row r="7201" spans="1:13" x14ac:dyDescent="0.25">
      <c r="A7201" t="s">
        <v>15973</v>
      </c>
      <c r="B7201" t="s">
        <v>15970</v>
      </c>
      <c r="C7201" t="s">
        <v>241</v>
      </c>
      <c r="D7201" t="s">
        <v>1436</v>
      </c>
      <c r="G7201" t="s">
        <v>16</v>
      </c>
      <c r="H7201">
        <v>0</v>
      </c>
      <c r="I7201" s="2" t="s">
        <v>784</v>
      </c>
      <c r="J7201" s="2" t="s">
        <v>15974</v>
      </c>
      <c r="K7201">
        <v>20</v>
      </c>
      <c r="L7201">
        <v>20</v>
      </c>
      <c r="M7201">
        <v>20</v>
      </c>
    </row>
    <row r="7202" spans="1:13" x14ac:dyDescent="0.25">
      <c r="A7202" t="s">
        <v>15975</v>
      </c>
      <c r="B7202" t="s">
        <v>15970</v>
      </c>
      <c r="C7202" t="s">
        <v>241</v>
      </c>
      <c r="D7202" t="s">
        <v>1436</v>
      </c>
      <c r="F7202">
        <v>2</v>
      </c>
      <c r="G7202" t="s">
        <v>16</v>
      </c>
      <c r="H7202">
        <v>0</v>
      </c>
      <c r="I7202" s="2" t="s">
        <v>737</v>
      </c>
      <c r="J7202" s="2" t="s">
        <v>15976</v>
      </c>
      <c r="K7202">
        <v>20</v>
      </c>
      <c r="L7202">
        <v>20</v>
      </c>
      <c r="M7202">
        <v>20</v>
      </c>
    </row>
    <row r="7203" spans="1:13" x14ac:dyDescent="0.25">
      <c r="A7203" t="s">
        <v>15977</v>
      </c>
      <c r="B7203" t="s">
        <v>15979</v>
      </c>
      <c r="C7203" t="s">
        <v>1436</v>
      </c>
      <c r="F7203">
        <v>4</v>
      </c>
      <c r="G7203" t="s">
        <v>16</v>
      </c>
      <c r="H7203">
        <v>0</v>
      </c>
      <c r="I7203" s="2" t="s">
        <v>765</v>
      </c>
      <c r="J7203" s="2" t="s">
        <v>15978</v>
      </c>
      <c r="K7203">
        <v>20</v>
      </c>
      <c r="L7203">
        <v>20</v>
      </c>
      <c r="M7203">
        <v>20</v>
      </c>
    </row>
    <row r="7204" spans="1:13" x14ac:dyDescent="0.25">
      <c r="A7204" t="s">
        <v>15980</v>
      </c>
      <c r="B7204" t="s">
        <v>15981</v>
      </c>
      <c r="C7204" t="s">
        <v>1436</v>
      </c>
      <c r="F7204">
        <v>4</v>
      </c>
      <c r="G7204" t="s">
        <v>16</v>
      </c>
      <c r="H7204">
        <v>0</v>
      </c>
      <c r="I7204" s="2" t="s">
        <v>500</v>
      </c>
      <c r="J7204" s="2" t="s">
        <v>15982</v>
      </c>
      <c r="K7204">
        <v>20</v>
      </c>
      <c r="L7204">
        <v>20</v>
      </c>
      <c r="M7204">
        <v>20</v>
      </c>
    </row>
    <row r="7205" spans="1:13" x14ac:dyDescent="0.25">
      <c r="A7205" t="s">
        <v>15983</v>
      </c>
      <c r="B7205" t="s">
        <v>15984</v>
      </c>
      <c r="C7205" t="s">
        <v>1436</v>
      </c>
      <c r="F7205">
        <v>4</v>
      </c>
      <c r="G7205" t="s">
        <v>16</v>
      </c>
      <c r="H7205">
        <v>0</v>
      </c>
      <c r="I7205" s="2" t="s">
        <v>142</v>
      </c>
      <c r="J7205" s="2">
        <v>817402</v>
      </c>
      <c r="K7205">
        <v>20</v>
      </c>
      <c r="L7205">
        <v>20</v>
      </c>
      <c r="M7205">
        <v>20</v>
      </c>
    </row>
    <row r="7206" spans="1:13" x14ac:dyDescent="0.25">
      <c r="A7206" t="s">
        <v>15985</v>
      </c>
      <c r="B7206" t="s">
        <v>15986</v>
      </c>
      <c r="C7206" t="s">
        <v>1436</v>
      </c>
      <c r="G7206" t="s">
        <v>16</v>
      </c>
      <c r="H7206">
        <v>0</v>
      </c>
      <c r="I7206" s="2" t="s">
        <v>685</v>
      </c>
      <c r="J7206" s="2" t="str">
        <f>"0280156337"</f>
        <v>0280156337</v>
      </c>
      <c r="K7206">
        <v>20</v>
      </c>
      <c r="L7206">
        <v>20</v>
      </c>
      <c r="M7206">
        <v>20</v>
      </c>
    </row>
    <row r="7207" spans="1:13" x14ac:dyDescent="0.25">
      <c r="A7207" t="s">
        <v>15987</v>
      </c>
      <c r="B7207" t="s">
        <v>15988</v>
      </c>
      <c r="C7207" t="s">
        <v>1436</v>
      </c>
      <c r="F7207">
        <v>4</v>
      </c>
      <c r="G7207" t="s">
        <v>16</v>
      </c>
      <c r="H7207">
        <v>0</v>
      </c>
      <c r="I7207" s="2" t="s">
        <v>500</v>
      </c>
      <c r="J7207" s="2" t="s">
        <v>15989</v>
      </c>
      <c r="K7207">
        <v>20</v>
      </c>
      <c r="L7207">
        <v>20</v>
      </c>
      <c r="M7207">
        <v>20</v>
      </c>
    </row>
    <row r="7208" spans="1:13" x14ac:dyDescent="0.25">
      <c r="A7208" t="s">
        <v>15990</v>
      </c>
      <c r="B7208" t="s">
        <v>15991</v>
      </c>
      <c r="C7208" t="s">
        <v>1436</v>
      </c>
      <c r="F7208">
        <v>4</v>
      </c>
      <c r="G7208" t="s">
        <v>16</v>
      </c>
      <c r="H7208">
        <v>0</v>
      </c>
      <c r="I7208" s="2" t="s">
        <v>759</v>
      </c>
      <c r="J7208" s="2">
        <v>817456</v>
      </c>
      <c r="K7208">
        <v>20</v>
      </c>
      <c r="L7208">
        <v>20</v>
      </c>
      <c r="M7208">
        <v>20</v>
      </c>
    </row>
    <row r="7209" spans="1:13" x14ac:dyDescent="0.25">
      <c r="A7209" t="s">
        <v>15992</v>
      </c>
      <c r="B7209" t="s">
        <v>15993</v>
      </c>
      <c r="C7209" t="s">
        <v>1436</v>
      </c>
      <c r="F7209">
        <v>1</v>
      </c>
      <c r="G7209" t="s">
        <v>16</v>
      </c>
      <c r="H7209">
        <v>0</v>
      </c>
      <c r="I7209" s="2" t="s">
        <v>500</v>
      </c>
      <c r="J7209" s="2" t="s">
        <v>15994</v>
      </c>
      <c r="K7209">
        <v>20</v>
      </c>
      <c r="L7209">
        <v>20</v>
      </c>
      <c r="M7209">
        <v>20</v>
      </c>
    </row>
    <row r="7210" spans="1:13" x14ac:dyDescent="0.25">
      <c r="A7210" t="s">
        <v>15995</v>
      </c>
      <c r="B7210" t="s">
        <v>15996</v>
      </c>
      <c r="C7210" t="s">
        <v>14</v>
      </c>
      <c r="D7210" t="s">
        <v>4956</v>
      </c>
      <c r="F7210">
        <v>1</v>
      </c>
      <c r="G7210" t="s">
        <v>16</v>
      </c>
      <c r="H7210">
        <v>0</v>
      </c>
      <c r="I7210" s="2" t="s">
        <v>64</v>
      </c>
      <c r="J7210" s="2" t="str">
        <f>"06030096"</f>
        <v>06030096</v>
      </c>
      <c r="K7210">
        <v>20</v>
      </c>
      <c r="L7210">
        <v>20</v>
      </c>
      <c r="M7210">
        <v>20</v>
      </c>
    </row>
    <row r="7211" spans="1:13" x14ac:dyDescent="0.25">
      <c r="A7211" t="s">
        <v>15997</v>
      </c>
      <c r="B7211" t="s">
        <v>15996</v>
      </c>
      <c r="C7211" t="s">
        <v>14</v>
      </c>
      <c r="D7211" t="s">
        <v>4956</v>
      </c>
      <c r="F7211">
        <v>2</v>
      </c>
      <c r="G7211" t="s">
        <v>16</v>
      </c>
      <c r="H7211">
        <v>0</v>
      </c>
      <c r="I7211" s="2" t="s">
        <v>522</v>
      </c>
      <c r="J7211" s="2" t="s">
        <v>15998</v>
      </c>
      <c r="K7211">
        <v>20</v>
      </c>
      <c r="L7211">
        <v>20</v>
      </c>
      <c r="M7211">
        <v>20</v>
      </c>
    </row>
    <row r="7212" spans="1:13" x14ac:dyDescent="0.25">
      <c r="A7212" t="s">
        <v>15999</v>
      </c>
      <c r="B7212" t="s">
        <v>15996</v>
      </c>
      <c r="C7212" t="s">
        <v>14</v>
      </c>
      <c r="D7212" t="s">
        <v>4956</v>
      </c>
      <c r="G7212" t="s">
        <v>16</v>
      </c>
      <c r="H7212">
        <v>0</v>
      </c>
      <c r="I7212" s="2" t="s">
        <v>4748</v>
      </c>
      <c r="J7212" s="2" t="s">
        <v>16000</v>
      </c>
      <c r="K7212">
        <v>20</v>
      </c>
      <c r="L7212">
        <v>20</v>
      </c>
      <c r="M7212">
        <v>20</v>
      </c>
    </row>
    <row r="7213" spans="1:13" x14ac:dyDescent="0.25">
      <c r="A7213" t="s">
        <v>16001</v>
      </c>
      <c r="B7213" t="s">
        <v>15996</v>
      </c>
      <c r="C7213" t="s">
        <v>14</v>
      </c>
      <c r="D7213" t="s">
        <v>4956</v>
      </c>
      <c r="G7213" t="s">
        <v>16</v>
      </c>
      <c r="H7213">
        <v>0</v>
      </c>
      <c r="I7213" s="2" t="s">
        <v>4807</v>
      </c>
      <c r="J7213" s="2" t="s">
        <v>16002</v>
      </c>
      <c r="K7213">
        <v>20</v>
      </c>
      <c r="L7213">
        <v>20</v>
      </c>
      <c r="M7213">
        <v>20</v>
      </c>
    </row>
    <row r="7214" spans="1:13" x14ac:dyDescent="0.25">
      <c r="A7214" t="s">
        <v>16003</v>
      </c>
      <c r="B7214" t="s">
        <v>16004</v>
      </c>
      <c r="C7214" t="s">
        <v>14</v>
      </c>
      <c r="D7214" t="s">
        <v>2620</v>
      </c>
      <c r="F7214">
        <v>3</v>
      </c>
      <c r="G7214" t="s">
        <v>16</v>
      </c>
      <c r="H7214">
        <v>0</v>
      </c>
      <c r="I7214" s="2" t="s">
        <v>707</v>
      </c>
      <c r="J7214" s="2" t="s">
        <v>16005</v>
      </c>
      <c r="K7214">
        <v>20</v>
      </c>
      <c r="L7214">
        <v>20</v>
      </c>
      <c r="M7214">
        <v>20</v>
      </c>
    </row>
    <row r="7215" spans="1:13" x14ac:dyDescent="0.25">
      <c r="A7215" t="s">
        <v>16006</v>
      </c>
      <c r="B7215" t="s">
        <v>16004</v>
      </c>
      <c r="C7215" t="s">
        <v>14</v>
      </c>
      <c r="D7215" t="s">
        <v>2620</v>
      </c>
      <c r="G7215" t="s">
        <v>16</v>
      </c>
      <c r="H7215">
        <v>0</v>
      </c>
      <c r="I7215" s="2" t="s">
        <v>6196</v>
      </c>
      <c r="J7215" s="2" t="s">
        <v>16007</v>
      </c>
      <c r="K7215">
        <v>20</v>
      </c>
      <c r="L7215">
        <v>20</v>
      </c>
      <c r="M7215">
        <v>20</v>
      </c>
    </row>
    <row r="7216" spans="1:13" x14ac:dyDescent="0.25">
      <c r="A7216" t="s">
        <v>16008</v>
      </c>
      <c r="B7216" t="s">
        <v>16004</v>
      </c>
      <c r="C7216" t="s">
        <v>14</v>
      </c>
      <c r="D7216" t="s">
        <v>2620</v>
      </c>
      <c r="G7216" t="s">
        <v>16</v>
      </c>
      <c r="H7216">
        <v>0</v>
      </c>
      <c r="I7216" s="2" t="s">
        <v>17</v>
      </c>
      <c r="J7216" s="2" t="s">
        <v>16009</v>
      </c>
      <c r="K7216">
        <v>20</v>
      </c>
      <c r="L7216">
        <v>20</v>
      </c>
      <c r="M7216">
        <v>20</v>
      </c>
    </row>
    <row r="7217" spans="1:13" x14ac:dyDescent="0.25">
      <c r="A7217" t="s">
        <v>16010</v>
      </c>
      <c r="B7217" t="s">
        <v>16011</v>
      </c>
      <c r="C7217" t="s">
        <v>14</v>
      </c>
      <c r="D7217" t="s">
        <v>2620</v>
      </c>
      <c r="F7217">
        <v>5</v>
      </c>
      <c r="G7217" t="s">
        <v>16</v>
      </c>
      <c r="H7217">
        <v>0</v>
      </c>
      <c r="I7217" s="2" t="s">
        <v>842</v>
      </c>
      <c r="J7217" s="2">
        <v>587902</v>
      </c>
      <c r="K7217">
        <v>20</v>
      </c>
      <c r="L7217">
        <v>20</v>
      </c>
      <c r="M7217">
        <v>20</v>
      </c>
    </row>
    <row r="7218" spans="1:13" x14ac:dyDescent="0.25">
      <c r="A7218" t="s">
        <v>16012</v>
      </c>
      <c r="B7218" t="s">
        <v>16011</v>
      </c>
      <c r="C7218" t="s">
        <v>14</v>
      </c>
      <c r="D7218" t="s">
        <v>2620</v>
      </c>
      <c r="G7218" t="s">
        <v>16</v>
      </c>
      <c r="H7218">
        <v>0</v>
      </c>
      <c r="I7218" s="2" t="s">
        <v>4736</v>
      </c>
      <c r="J7218" s="2" t="s">
        <v>16013</v>
      </c>
      <c r="K7218">
        <v>20</v>
      </c>
      <c r="L7218">
        <v>20</v>
      </c>
      <c r="M7218">
        <v>20</v>
      </c>
    </row>
    <row r="7219" spans="1:13" x14ac:dyDescent="0.25">
      <c r="A7219" t="s">
        <v>16014</v>
      </c>
      <c r="B7219" t="s">
        <v>16015</v>
      </c>
      <c r="C7219" t="s">
        <v>14</v>
      </c>
      <c r="D7219" t="s">
        <v>4956</v>
      </c>
      <c r="F7219">
        <v>1</v>
      </c>
      <c r="G7219" t="s">
        <v>16</v>
      </c>
      <c r="H7219">
        <v>0</v>
      </c>
      <c r="I7219" s="2" t="s">
        <v>389</v>
      </c>
      <c r="J7219" s="2" t="s">
        <v>16016</v>
      </c>
      <c r="K7219">
        <v>20</v>
      </c>
      <c r="L7219">
        <v>20</v>
      </c>
      <c r="M7219">
        <v>20</v>
      </c>
    </row>
    <row r="7220" spans="1:13" x14ac:dyDescent="0.25">
      <c r="A7220" t="s">
        <v>16017</v>
      </c>
      <c r="B7220" t="s">
        <v>16015</v>
      </c>
      <c r="C7220" t="s">
        <v>14</v>
      </c>
      <c r="D7220" t="s">
        <v>4956</v>
      </c>
      <c r="G7220" t="s">
        <v>16</v>
      </c>
      <c r="H7220">
        <v>0</v>
      </c>
      <c r="I7220" s="2" t="s">
        <v>662</v>
      </c>
      <c r="J7220" s="2" t="s">
        <v>16018</v>
      </c>
      <c r="K7220">
        <v>20</v>
      </c>
      <c r="L7220">
        <v>20</v>
      </c>
      <c r="M7220">
        <v>20</v>
      </c>
    </row>
    <row r="7221" spans="1:13" x14ac:dyDescent="0.25">
      <c r="A7221" t="s">
        <v>16019</v>
      </c>
      <c r="B7221" t="s">
        <v>16015</v>
      </c>
      <c r="C7221" t="s">
        <v>14</v>
      </c>
      <c r="D7221" t="s">
        <v>4956</v>
      </c>
      <c r="G7221" t="s">
        <v>16</v>
      </c>
      <c r="H7221">
        <v>0</v>
      </c>
      <c r="I7221" s="2" t="s">
        <v>64</v>
      </c>
      <c r="J7221" s="2" t="str">
        <f>"06030032"</f>
        <v>06030032</v>
      </c>
      <c r="K7221">
        <v>20</v>
      </c>
      <c r="L7221">
        <v>20</v>
      </c>
      <c r="M7221">
        <v>20</v>
      </c>
    </row>
    <row r="7222" spans="1:13" x14ac:dyDescent="0.25">
      <c r="A7222" t="s">
        <v>16020</v>
      </c>
      <c r="B7222" t="s">
        <v>16015</v>
      </c>
      <c r="C7222" t="s">
        <v>14</v>
      </c>
      <c r="D7222" t="s">
        <v>4956</v>
      </c>
      <c r="F7222">
        <v>2</v>
      </c>
      <c r="G7222" t="s">
        <v>16</v>
      </c>
      <c r="H7222">
        <v>0</v>
      </c>
      <c r="I7222" s="2" t="s">
        <v>522</v>
      </c>
      <c r="J7222" s="2" t="s">
        <v>16021</v>
      </c>
      <c r="K7222">
        <v>20</v>
      </c>
      <c r="L7222">
        <v>20</v>
      </c>
      <c r="M7222">
        <v>20</v>
      </c>
    </row>
    <row r="7223" spans="1:13" x14ac:dyDescent="0.25">
      <c r="A7223" t="s">
        <v>16022</v>
      </c>
      <c r="B7223" t="s">
        <v>16015</v>
      </c>
      <c r="C7223" t="s">
        <v>14</v>
      </c>
      <c r="D7223" t="s">
        <v>4956</v>
      </c>
      <c r="F7223">
        <v>2</v>
      </c>
      <c r="G7223" t="s">
        <v>16</v>
      </c>
      <c r="H7223">
        <v>0</v>
      </c>
      <c r="I7223" s="2" t="s">
        <v>4748</v>
      </c>
      <c r="J7223" s="2" t="s">
        <v>16023</v>
      </c>
      <c r="K7223">
        <v>20</v>
      </c>
      <c r="L7223">
        <v>20</v>
      </c>
      <c r="M7223">
        <v>20</v>
      </c>
    </row>
    <row r="7224" spans="1:13" x14ac:dyDescent="0.25">
      <c r="A7224" t="s">
        <v>16024</v>
      </c>
      <c r="B7224" t="s">
        <v>16015</v>
      </c>
      <c r="C7224" t="s">
        <v>14</v>
      </c>
      <c r="D7224" t="s">
        <v>4956</v>
      </c>
      <c r="G7224" t="s">
        <v>16</v>
      </c>
      <c r="H7224">
        <v>0</v>
      </c>
      <c r="I7224" s="2" t="s">
        <v>4807</v>
      </c>
      <c r="J7224" s="2" t="s">
        <v>16025</v>
      </c>
      <c r="K7224">
        <v>20</v>
      </c>
      <c r="L7224">
        <v>20</v>
      </c>
      <c r="M7224">
        <v>20</v>
      </c>
    </row>
    <row r="7225" spans="1:13" x14ac:dyDescent="0.25">
      <c r="A7225" t="s">
        <v>16026</v>
      </c>
      <c r="B7225" t="s">
        <v>16027</v>
      </c>
      <c r="C7225" t="s">
        <v>496</v>
      </c>
      <c r="F7225">
        <v>1</v>
      </c>
      <c r="G7225" t="s">
        <v>16</v>
      </c>
      <c r="H7225">
        <v>0</v>
      </c>
      <c r="I7225" s="2" t="s">
        <v>162</v>
      </c>
      <c r="J7225" s="2">
        <v>91113</v>
      </c>
      <c r="K7225">
        <v>20</v>
      </c>
      <c r="L7225">
        <v>20</v>
      </c>
      <c r="M7225">
        <v>20</v>
      </c>
    </row>
    <row r="7226" spans="1:13" x14ac:dyDescent="0.25">
      <c r="A7226" t="s">
        <v>16028</v>
      </c>
      <c r="B7226" t="s">
        <v>16029</v>
      </c>
      <c r="C7226" t="s">
        <v>496</v>
      </c>
      <c r="F7226">
        <v>1</v>
      </c>
      <c r="G7226" t="s">
        <v>16</v>
      </c>
      <c r="H7226">
        <v>0</v>
      </c>
      <c r="I7226" s="2" t="s">
        <v>162</v>
      </c>
      <c r="J7226" s="2">
        <v>90136</v>
      </c>
      <c r="K7226">
        <v>20</v>
      </c>
      <c r="L7226">
        <v>20</v>
      </c>
      <c r="M7226">
        <v>20</v>
      </c>
    </row>
    <row r="7227" spans="1:13" x14ac:dyDescent="0.25">
      <c r="A7227">
        <v>820330</v>
      </c>
      <c r="B7227" t="s">
        <v>16030</v>
      </c>
      <c r="C7227" t="s">
        <v>1436</v>
      </c>
      <c r="D7227" t="s">
        <v>15884</v>
      </c>
      <c r="F7227">
        <v>5</v>
      </c>
      <c r="G7227" t="s">
        <v>16</v>
      </c>
      <c r="H7227">
        <v>0</v>
      </c>
      <c r="I7227" s="2" t="s">
        <v>497</v>
      </c>
      <c r="J7227" s="2">
        <v>90531973</v>
      </c>
      <c r="K7227">
        <v>20</v>
      </c>
      <c r="L7227">
        <v>20</v>
      </c>
      <c r="M7227">
        <v>20</v>
      </c>
    </row>
    <row r="7228" spans="1:13" x14ac:dyDescent="0.25">
      <c r="A7228" t="s">
        <v>16031</v>
      </c>
      <c r="B7228" t="s">
        <v>16032</v>
      </c>
      <c r="C7228" t="s">
        <v>1436</v>
      </c>
      <c r="G7228" t="s">
        <v>16</v>
      </c>
      <c r="H7228">
        <v>0</v>
      </c>
      <c r="K7228">
        <v>20</v>
      </c>
      <c r="L7228">
        <v>20</v>
      </c>
      <c r="M7228">
        <v>20</v>
      </c>
    </row>
    <row r="7229" spans="1:13" x14ac:dyDescent="0.25">
      <c r="A7229" t="s">
        <v>16033</v>
      </c>
      <c r="B7229" t="s">
        <v>16034</v>
      </c>
      <c r="C7229" t="s">
        <v>241</v>
      </c>
      <c r="D7229" t="s">
        <v>1436</v>
      </c>
      <c r="F7229">
        <v>1</v>
      </c>
      <c r="G7229" t="s">
        <v>16</v>
      </c>
      <c r="H7229">
        <v>0</v>
      </c>
      <c r="I7229" s="2" t="s">
        <v>221</v>
      </c>
      <c r="J7229" s="2">
        <v>21160</v>
      </c>
      <c r="K7229">
        <v>20</v>
      </c>
      <c r="L7229">
        <v>20</v>
      </c>
      <c r="M7229">
        <v>20</v>
      </c>
    </row>
    <row r="7230" spans="1:13" x14ac:dyDescent="0.25">
      <c r="A7230" t="s">
        <v>16035</v>
      </c>
      <c r="B7230" t="s">
        <v>16036</v>
      </c>
      <c r="C7230" t="s">
        <v>1436</v>
      </c>
      <c r="G7230" t="s">
        <v>16</v>
      </c>
      <c r="H7230">
        <v>0</v>
      </c>
      <c r="K7230">
        <v>20</v>
      </c>
      <c r="L7230">
        <v>20</v>
      </c>
      <c r="M7230">
        <v>20</v>
      </c>
    </row>
    <row r="7231" spans="1:13" x14ac:dyDescent="0.25">
      <c r="A7231" t="s">
        <v>16037</v>
      </c>
      <c r="B7231" t="s">
        <v>16038</v>
      </c>
      <c r="C7231" t="s">
        <v>20</v>
      </c>
      <c r="G7231" t="s">
        <v>16</v>
      </c>
      <c r="H7231">
        <v>0</v>
      </c>
      <c r="I7231" s="2" t="s">
        <v>383</v>
      </c>
      <c r="J7231" s="2" t="str">
        <f>"0280750498"</f>
        <v>0280750498</v>
      </c>
      <c r="K7231">
        <v>20</v>
      </c>
      <c r="L7231">
        <v>20</v>
      </c>
      <c r="M7231">
        <v>20</v>
      </c>
    </row>
    <row r="7232" spans="1:13" x14ac:dyDescent="0.25">
      <c r="A7232" t="s">
        <v>16039</v>
      </c>
      <c r="B7232" t="s">
        <v>16040</v>
      </c>
      <c r="C7232" t="s">
        <v>357</v>
      </c>
      <c r="D7232" t="s">
        <v>241</v>
      </c>
      <c r="G7232" t="s">
        <v>16</v>
      </c>
      <c r="H7232">
        <v>0</v>
      </c>
      <c r="I7232" s="2" t="s">
        <v>765</v>
      </c>
      <c r="J7232" s="2">
        <v>476003116</v>
      </c>
      <c r="K7232">
        <v>20</v>
      </c>
      <c r="L7232">
        <v>20</v>
      </c>
      <c r="M7232">
        <v>20</v>
      </c>
    </row>
    <row r="7233" spans="1:13" x14ac:dyDescent="0.25">
      <c r="A7233" t="s">
        <v>16041</v>
      </c>
      <c r="B7233" t="s">
        <v>16042</v>
      </c>
      <c r="C7233" t="s">
        <v>151</v>
      </c>
      <c r="G7233" t="s">
        <v>16</v>
      </c>
      <c r="H7233">
        <v>0</v>
      </c>
      <c r="I7233" s="2" t="s">
        <v>707</v>
      </c>
      <c r="J7233" s="2" t="s">
        <v>16043</v>
      </c>
      <c r="K7233">
        <v>20</v>
      </c>
      <c r="L7233">
        <v>20</v>
      </c>
      <c r="M7233">
        <v>20</v>
      </c>
    </row>
    <row r="7234" spans="1:13" x14ac:dyDescent="0.25">
      <c r="A7234" t="s">
        <v>16044</v>
      </c>
      <c r="B7234" t="s">
        <v>16042</v>
      </c>
      <c r="C7234" t="s">
        <v>151</v>
      </c>
      <c r="G7234" t="s">
        <v>16</v>
      </c>
      <c r="H7234">
        <v>0</v>
      </c>
      <c r="I7234" s="2" t="s">
        <v>1710</v>
      </c>
      <c r="J7234" s="2">
        <v>359000603590</v>
      </c>
      <c r="K7234">
        <v>20</v>
      </c>
      <c r="L7234">
        <v>20</v>
      </c>
      <c r="M7234">
        <v>20</v>
      </c>
    </row>
    <row r="7235" spans="1:13" x14ac:dyDescent="0.25">
      <c r="A7235" t="s">
        <v>16045</v>
      </c>
      <c r="B7235" t="s">
        <v>16047</v>
      </c>
      <c r="C7235" t="s">
        <v>357</v>
      </c>
      <c r="D7235" t="s">
        <v>241</v>
      </c>
      <c r="F7235">
        <v>4</v>
      </c>
      <c r="G7235" t="s">
        <v>16</v>
      </c>
      <c r="H7235">
        <v>0</v>
      </c>
      <c r="I7235" s="2" t="s">
        <v>142</v>
      </c>
      <c r="J7235" s="2" t="s">
        <v>16046</v>
      </c>
      <c r="K7235">
        <v>20</v>
      </c>
      <c r="L7235">
        <v>20</v>
      </c>
      <c r="M7235">
        <v>20</v>
      </c>
    </row>
    <row r="7236" spans="1:13" x14ac:dyDescent="0.25">
      <c r="A7236" t="s">
        <v>16048</v>
      </c>
      <c r="B7236" t="s">
        <v>16047</v>
      </c>
      <c r="C7236" t="s">
        <v>241</v>
      </c>
      <c r="D7236" t="s">
        <v>2216</v>
      </c>
      <c r="G7236" t="s">
        <v>16</v>
      </c>
      <c r="H7236">
        <v>0</v>
      </c>
      <c r="I7236" s="2" t="s">
        <v>288</v>
      </c>
      <c r="J7236" s="2" t="s">
        <v>16049</v>
      </c>
      <c r="K7236">
        <v>20</v>
      </c>
      <c r="L7236">
        <v>20</v>
      </c>
      <c r="M7236">
        <v>20</v>
      </c>
    </row>
    <row r="7237" spans="1:13" x14ac:dyDescent="0.25">
      <c r="A7237" t="s">
        <v>16050</v>
      </c>
      <c r="B7237" t="s">
        <v>16047</v>
      </c>
      <c r="C7237" t="s">
        <v>357</v>
      </c>
      <c r="D7237" t="s">
        <v>241</v>
      </c>
      <c r="F7237">
        <v>4</v>
      </c>
      <c r="G7237" t="s">
        <v>16</v>
      </c>
      <c r="H7237">
        <v>0</v>
      </c>
      <c r="I7237" s="2" t="s">
        <v>64</v>
      </c>
      <c r="J7237" s="2">
        <v>10030890</v>
      </c>
      <c r="K7237">
        <v>20</v>
      </c>
      <c r="L7237">
        <v>20</v>
      </c>
      <c r="M7237">
        <v>20</v>
      </c>
    </row>
    <row r="7238" spans="1:13" x14ac:dyDescent="0.25">
      <c r="A7238" t="s">
        <v>16051</v>
      </c>
      <c r="B7238" t="s">
        <v>16047</v>
      </c>
      <c r="C7238" t="s">
        <v>357</v>
      </c>
      <c r="D7238" t="s">
        <v>241</v>
      </c>
      <c r="F7238">
        <v>6</v>
      </c>
      <c r="G7238" t="s">
        <v>16</v>
      </c>
      <c r="H7238">
        <v>0</v>
      </c>
      <c r="I7238" s="2" t="s">
        <v>784</v>
      </c>
      <c r="J7238" s="2" t="s">
        <v>16052</v>
      </c>
      <c r="K7238">
        <v>20</v>
      </c>
      <c r="L7238">
        <v>20</v>
      </c>
      <c r="M7238">
        <v>20</v>
      </c>
    </row>
    <row r="7239" spans="1:13" x14ac:dyDescent="0.25">
      <c r="A7239" t="s">
        <v>16053</v>
      </c>
      <c r="B7239" t="s">
        <v>16047</v>
      </c>
      <c r="C7239" t="s">
        <v>357</v>
      </c>
      <c r="D7239" t="s">
        <v>241</v>
      </c>
      <c r="F7239">
        <v>6</v>
      </c>
      <c r="G7239" t="s">
        <v>16</v>
      </c>
      <c r="H7239">
        <v>0</v>
      </c>
      <c r="I7239" s="2" t="s">
        <v>737</v>
      </c>
      <c r="J7239" s="2" t="s">
        <v>16054</v>
      </c>
      <c r="K7239">
        <v>20</v>
      </c>
      <c r="L7239">
        <v>20</v>
      </c>
      <c r="M7239">
        <v>20</v>
      </c>
    </row>
    <row r="7240" spans="1:13" x14ac:dyDescent="0.25">
      <c r="A7240" t="s">
        <v>16055</v>
      </c>
      <c r="B7240" t="s">
        <v>16056</v>
      </c>
      <c r="C7240" t="s">
        <v>1426</v>
      </c>
      <c r="F7240">
        <v>2</v>
      </c>
      <c r="G7240" t="s">
        <v>16</v>
      </c>
      <c r="H7240">
        <v>0</v>
      </c>
      <c r="I7240" s="2" t="s">
        <v>1737</v>
      </c>
      <c r="J7240" s="2" t="s">
        <v>16057</v>
      </c>
      <c r="K7240">
        <v>20</v>
      </c>
      <c r="L7240">
        <v>20</v>
      </c>
      <c r="M7240">
        <v>20</v>
      </c>
    </row>
    <row r="7241" spans="1:13" x14ac:dyDescent="0.25">
      <c r="A7241" t="s">
        <v>16058</v>
      </c>
      <c r="B7241" t="s">
        <v>16059</v>
      </c>
      <c r="C7241" t="s">
        <v>151</v>
      </c>
      <c r="D7241" t="s">
        <v>215</v>
      </c>
      <c r="F7241">
        <v>2</v>
      </c>
      <c r="G7241" t="s">
        <v>16</v>
      </c>
      <c r="H7241">
        <v>0</v>
      </c>
      <c r="I7241" s="2" t="s">
        <v>491</v>
      </c>
      <c r="J7241" s="2">
        <v>359000600910</v>
      </c>
      <c r="K7241">
        <v>20</v>
      </c>
      <c r="L7241">
        <v>20</v>
      </c>
      <c r="M7241">
        <v>20</v>
      </c>
    </row>
    <row r="7242" spans="1:13" x14ac:dyDescent="0.25">
      <c r="A7242" t="s">
        <v>16060</v>
      </c>
      <c r="B7242" t="s">
        <v>16059</v>
      </c>
      <c r="C7242" t="s">
        <v>151</v>
      </c>
      <c r="D7242" t="s">
        <v>215</v>
      </c>
      <c r="G7242" t="s">
        <v>16</v>
      </c>
      <c r="H7242">
        <v>0</v>
      </c>
      <c r="I7242" s="2" t="s">
        <v>285</v>
      </c>
      <c r="J7242" s="2">
        <v>33600</v>
      </c>
      <c r="K7242">
        <v>20</v>
      </c>
      <c r="L7242">
        <v>20</v>
      </c>
      <c r="M7242">
        <v>20</v>
      </c>
    </row>
    <row r="7243" spans="1:13" x14ac:dyDescent="0.25">
      <c r="A7243" t="s">
        <v>16061</v>
      </c>
      <c r="B7243" t="s">
        <v>16059</v>
      </c>
      <c r="C7243" t="s">
        <v>151</v>
      </c>
      <c r="D7243" t="s">
        <v>215</v>
      </c>
      <c r="F7243">
        <v>3</v>
      </c>
      <c r="G7243" t="s">
        <v>16</v>
      </c>
      <c r="H7243">
        <v>0</v>
      </c>
      <c r="I7243" s="2" t="s">
        <v>16062</v>
      </c>
      <c r="J7243" s="2">
        <v>17113196</v>
      </c>
      <c r="K7243">
        <v>20</v>
      </c>
      <c r="L7243">
        <v>20</v>
      </c>
      <c r="M7243">
        <v>20</v>
      </c>
    </row>
    <row r="7244" spans="1:13" x14ac:dyDescent="0.25">
      <c r="A7244" t="s">
        <v>16063</v>
      </c>
      <c r="B7244" t="s">
        <v>16059</v>
      </c>
      <c r="C7244" t="s">
        <v>151</v>
      </c>
      <c r="D7244" t="s">
        <v>215</v>
      </c>
      <c r="G7244" t="s">
        <v>16</v>
      </c>
      <c r="H7244">
        <v>0</v>
      </c>
      <c r="I7244" s="2" t="s">
        <v>639</v>
      </c>
      <c r="J7244" s="2" t="s">
        <v>16064</v>
      </c>
      <c r="K7244">
        <v>20</v>
      </c>
      <c r="L7244">
        <v>20</v>
      </c>
      <c r="M7244">
        <v>20</v>
      </c>
    </row>
    <row r="7245" spans="1:13" x14ac:dyDescent="0.25">
      <c r="A7245" t="s">
        <v>16065</v>
      </c>
      <c r="B7245" t="s">
        <v>16059</v>
      </c>
      <c r="C7245" t="s">
        <v>151</v>
      </c>
      <c r="D7245" t="s">
        <v>215</v>
      </c>
      <c r="F7245">
        <v>1</v>
      </c>
      <c r="G7245" t="s">
        <v>16</v>
      </c>
      <c r="H7245">
        <v>0</v>
      </c>
      <c r="I7245" s="2" t="s">
        <v>16066</v>
      </c>
      <c r="J7245" s="2">
        <v>62007550</v>
      </c>
      <c r="K7245">
        <v>20</v>
      </c>
      <c r="L7245">
        <v>20</v>
      </c>
      <c r="M7245">
        <v>20</v>
      </c>
    </row>
    <row r="7246" spans="1:13" x14ac:dyDescent="0.25">
      <c r="A7246" t="s">
        <v>16067</v>
      </c>
      <c r="B7246" t="s">
        <v>16068</v>
      </c>
      <c r="C7246" t="s">
        <v>151</v>
      </c>
      <c r="F7246">
        <v>1</v>
      </c>
      <c r="G7246" t="s">
        <v>16</v>
      </c>
      <c r="H7246">
        <v>0</v>
      </c>
      <c r="I7246" s="2" t="s">
        <v>383</v>
      </c>
      <c r="J7246" s="2" t="str">
        <f>"0280122001"</f>
        <v>0280122001</v>
      </c>
      <c r="K7246">
        <v>20</v>
      </c>
      <c r="L7246">
        <v>20</v>
      </c>
      <c r="M7246">
        <v>20</v>
      </c>
    </row>
    <row r="7247" spans="1:13" x14ac:dyDescent="0.25">
      <c r="A7247" t="s">
        <v>16069</v>
      </c>
      <c r="B7247" t="s">
        <v>16070</v>
      </c>
      <c r="C7247" t="s">
        <v>540</v>
      </c>
      <c r="F7247">
        <v>1</v>
      </c>
      <c r="G7247" t="s">
        <v>16</v>
      </c>
      <c r="H7247">
        <v>0</v>
      </c>
      <c r="I7247" s="2" t="s">
        <v>51</v>
      </c>
      <c r="J7247" s="2" t="s">
        <v>16069</v>
      </c>
      <c r="K7247">
        <v>20</v>
      </c>
      <c r="L7247">
        <v>20</v>
      </c>
      <c r="M7247">
        <v>20</v>
      </c>
    </row>
    <row r="7248" spans="1:13" x14ac:dyDescent="0.25">
      <c r="A7248" t="s">
        <v>16071</v>
      </c>
      <c r="B7248" t="s">
        <v>16072</v>
      </c>
      <c r="C7248" t="s">
        <v>1436</v>
      </c>
      <c r="F7248">
        <v>1</v>
      </c>
      <c r="G7248" t="s">
        <v>16</v>
      </c>
      <c r="H7248">
        <v>0</v>
      </c>
      <c r="I7248" s="2" t="s">
        <v>504</v>
      </c>
      <c r="J7248" s="2" t="s">
        <v>16073</v>
      </c>
      <c r="K7248">
        <v>20</v>
      </c>
      <c r="L7248">
        <v>20</v>
      </c>
      <c r="M7248">
        <v>20</v>
      </c>
    </row>
    <row r="7249" spans="1:13" x14ac:dyDescent="0.25">
      <c r="A7249" t="s">
        <v>16074</v>
      </c>
      <c r="B7249" t="s">
        <v>16072</v>
      </c>
      <c r="C7249" t="s">
        <v>1436</v>
      </c>
      <c r="G7249" t="s">
        <v>16</v>
      </c>
      <c r="H7249">
        <v>0</v>
      </c>
      <c r="I7249" s="2" t="s">
        <v>737</v>
      </c>
      <c r="J7249" s="2" t="s">
        <v>16075</v>
      </c>
      <c r="K7249">
        <v>20</v>
      </c>
      <c r="L7249">
        <v>20</v>
      </c>
      <c r="M7249">
        <v>20</v>
      </c>
    </row>
    <row r="7250" spans="1:13" x14ac:dyDescent="0.25">
      <c r="A7250" t="s">
        <v>16076</v>
      </c>
      <c r="B7250" t="s">
        <v>16077</v>
      </c>
      <c r="C7250" t="s">
        <v>14</v>
      </c>
      <c r="D7250" t="s">
        <v>191</v>
      </c>
      <c r="G7250" t="s">
        <v>16</v>
      </c>
      <c r="H7250">
        <v>0</v>
      </c>
      <c r="I7250" s="2" t="s">
        <v>4708</v>
      </c>
      <c r="J7250" s="2" t="s">
        <v>16078</v>
      </c>
      <c r="K7250">
        <v>20</v>
      </c>
      <c r="L7250">
        <v>20</v>
      </c>
      <c r="M7250">
        <v>20</v>
      </c>
    </row>
    <row r="7251" spans="1:13" x14ac:dyDescent="0.25">
      <c r="A7251" t="s">
        <v>16079</v>
      </c>
      <c r="B7251" t="s">
        <v>16077</v>
      </c>
      <c r="C7251" t="s">
        <v>14</v>
      </c>
      <c r="D7251" t="s">
        <v>191</v>
      </c>
      <c r="G7251" t="s">
        <v>16</v>
      </c>
      <c r="H7251">
        <v>0</v>
      </c>
      <c r="I7251" s="2" t="s">
        <v>8700</v>
      </c>
      <c r="J7251" s="2" t="s">
        <v>16080</v>
      </c>
      <c r="K7251">
        <v>20</v>
      </c>
      <c r="L7251">
        <v>20</v>
      </c>
      <c r="M7251">
        <v>20</v>
      </c>
    </row>
    <row r="7252" spans="1:13" x14ac:dyDescent="0.25">
      <c r="A7252" t="s">
        <v>16081</v>
      </c>
      <c r="B7252" t="s">
        <v>16077</v>
      </c>
      <c r="C7252" t="s">
        <v>14</v>
      </c>
      <c r="D7252" t="s">
        <v>191</v>
      </c>
      <c r="F7252">
        <v>1</v>
      </c>
      <c r="G7252" t="s">
        <v>16</v>
      </c>
      <c r="H7252">
        <v>0</v>
      </c>
      <c r="I7252" s="2" t="s">
        <v>669</v>
      </c>
      <c r="J7252" s="2" t="s">
        <v>16082</v>
      </c>
      <c r="K7252">
        <v>20</v>
      </c>
      <c r="L7252">
        <v>20</v>
      </c>
      <c r="M7252">
        <v>20</v>
      </c>
    </row>
    <row r="7253" spans="1:13" x14ac:dyDescent="0.25">
      <c r="A7253" t="s">
        <v>16083</v>
      </c>
      <c r="B7253" t="s">
        <v>16077</v>
      </c>
      <c r="C7253" t="s">
        <v>14</v>
      </c>
      <c r="D7253" t="s">
        <v>191</v>
      </c>
      <c r="F7253">
        <v>2</v>
      </c>
      <c r="G7253" t="s">
        <v>16</v>
      </c>
      <c r="H7253">
        <v>0</v>
      </c>
      <c r="I7253" s="2" t="s">
        <v>1175</v>
      </c>
      <c r="J7253" s="2" t="s">
        <v>16084</v>
      </c>
      <c r="K7253">
        <v>20</v>
      </c>
      <c r="L7253">
        <v>20</v>
      </c>
      <c r="M7253">
        <v>20</v>
      </c>
    </row>
    <row r="7254" spans="1:13" x14ac:dyDescent="0.25">
      <c r="A7254" t="s">
        <v>16085</v>
      </c>
      <c r="B7254" t="s">
        <v>16077</v>
      </c>
      <c r="C7254" t="s">
        <v>14</v>
      </c>
      <c r="D7254" t="s">
        <v>191</v>
      </c>
      <c r="G7254" t="s">
        <v>16</v>
      </c>
      <c r="H7254">
        <v>0</v>
      </c>
      <c r="I7254" s="2" t="s">
        <v>17</v>
      </c>
      <c r="J7254" s="2" t="s">
        <v>16086</v>
      </c>
      <c r="K7254">
        <v>20</v>
      </c>
      <c r="L7254">
        <v>20</v>
      </c>
      <c r="M7254">
        <v>20</v>
      </c>
    </row>
    <row r="7255" spans="1:13" x14ac:dyDescent="0.25">
      <c r="A7255" t="s">
        <v>16087</v>
      </c>
      <c r="B7255" t="s">
        <v>16077</v>
      </c>
      <c r="C7255" t="s">
        <v>14</v>
      </c>
      <c r="D7255" t="s">
        <v>191</v>
      </c>
      <c r="F7255">
        <v>0</v>
      </c>
      <c r="G7255" t="s">
        <v>16</v>
      </c>
      <c r="H7255">
        <v>0</v>
      </c>
      <c r="I7255" s="2" t="s">
        <v>4753</v>
      </c>
      <c r="J7255" s="2" t="s">
        <v>16088</v>
      </c>
      <c r="K7255">
        <v>20</v>
      </c>
      <c r="L7255">
        <v>20</v>
      </c>
      <c r="M7255">
        <v>20</v>
      </c>
    </row>
    <row r="7256" spans="1:13" x14ac:dyDescent="0.25">
      <c r="A7256" t="s">
        <v>16089</v>
      </c>
      <c r="B7256" t="s">
        <v>16077</v>
      </c>
      <c r="C7256" t="s">
        <v>14</v>
      </c>
      <c r="D7256" t="s">
        <v>191</v>
      </c>
      <c r="G7256" t="s">
        <v>16</v>
      </c>
      <c r="H7256">
        <v>0</v>
      </c>
      <c r="I7256" s="2" t="s">
        <v>4807</v>
      </c>
      <c r="J7256" s="2" t="s">
        <v>16090</v>
      </c>
      <c r="K7256">
        <v>20</v>
      </c>
      <c r="L7256">
        <v>20</v>
      </c>
      <c r="M7256">
        <v>20</v>
      </c>
    </row>
    <row r="7257" spans="1:13" x14ac:dyDescent="0.25">
      <c r="A7257" t="s">
        <v>16091</v>
      </c>
      <c r="B7257" t="s">
        <v>16077</v>
      </c>
      <c r="C7257" t="s">
        <v>14</v>
      </c>
      <c r="D7257" t="s">
        <v>191</v>
      </c>
      <c r="F7257">
        <v>6</v>
      </c>
      <c r="G7257" t="s">
        <v>16</v>
      </c>
      <c r="H7257">
        <v>0</v>
      </c>
      <c r="I7257" s="2" t="s">
        <v>4736</v>
      </c>
      <c r="J7257" s="2" t="s">
        <v>16092</v>
      </c>
      <c r="K7257">
        <v>20</v>
      </c>
      <c r="L7257">
        <v>20</v>
      </c>
      <c r="M7257">
        <v>20</v>
      </c>
    </row>
    <row r="7258" spans="1:13" x14ac:dyDescent="0.25">
      <c r="A7258" t="s">
        <v>16093</v>
      </c>
      <c r="B7258" t="s">
        <v>16094</v>
      </c>
      <c r="C7258" t="s">
        <v>14</v>
      </c>
      <c r="D7258" t="s">
        <v>191</v>
      </c>
      <c r="F7258">
        <v>8</v>
      </c>
      <c r="G7258" t="s">
        <v>16</v>
      </c>
      <c r="H7258">
        <v>0</v>
      </c>
      <c r="I7258" s="2" t="s">
        <v>1741</v>
      </c>
      <c r="J7258" s="2" t="s">
        <v>16095</v>
      </c>
      <c r="K7258">
        <v>20</v>
      </c>
      <c r="L7258">
        <v>20</v>
      </c>
      <c r="M7258">
        <v>20</v>
      </c>
    </row>
    <row r="7259" spans="1:13" x14ac:dyDescent="0.25">
      <c r="A7259" t="s">
        <v>16096</v>
      </c>
      <c r="B7259" t="s">
        <v>16094</v>
      </c>
      <c r="C7259" t="s">
        <v>14</v>
      </c>
      <c r="D7259" t="s">
        <v>191</v>
      </c>
      <c r="F7259">
        <v>19</v>
      </c>
      <c r="G7259" t="s">
        <v>16</v>
      </c>
      <c r="H7259">
        <v>0</v>
      </c>
      <c r="I7259" s="2" t="s">
        <v>4783</v>
      </c>
      <c r="J7259" s="2">
        <v>834126</v>
      </c>
      <c r="K7259">
        <v>20</v>
      </c>
      <c r="L7259">
        <v>20</v>
      </c>
      <c r="M7259">
        <v>20</v>
      </c>
    </row>
    <row r="7260" spans="1:13" x14ac:dyDescent="0.25">
      <c r="A7260" t="s">
        <v>16097</v>
      </c>
      <c r="B7260" t="s">
        <v>16094</v>
      </c>
      <c r="C7260" t="s">
        <v>14</v>
      </c>
      <c r="D7260" t="s">
        <v>191</v>
      </c>
      <c r="F7260">
        <v>10</v>
      </c>
      <c r="G7260" t="s">
        <v>16</v>
      </c>
      <c r="H7260">
        <v>0</v>
      </c>
      <c r="I7260" s="2" t="s">
        <v>500</v>
      </c>
      <c r="J7260" s="2" t="s">
        <v>16098</v>
      </c>
      <c r="K7260">
        <v>20</v>
      </c>
      <c r="L7260">
        <v>20</v>
      </c>
      <c r="M7260">
        <v>20</v>
      </c>
    </row>
    <row r="7261" spans="1:13" x14ac:dyDescent="0.25">
      <c r="A7261" t="s">
        <v>16099</v>
      </c>
      <c r="B7261" t="s">
        <v>16094</v>
      </c>
      <c r="C7261" t="s">
        <v>14</v>
      </c>
      <c r="D7261" t="s">
        <v>191</v>
      </c>
      <c r="F7261">
        <v>2</v>
      </c>
      <c r="G7261" t="s">
        <v>16</v>
      </c>
      <c r="H7261">
        <v>0</v>
      </c>
      <c r="I7261" s="2" t="s">
        <v>4748</v>
      </c>
      <c r="J7261" s="2" t="s">
        <v>16100</v>
      </c>
      <c r="K7261">
        <v>20</v>
      </c>
      <c r="L7261">
        <v>20</v>
      </c>
      <c r="M7261">
        <v>20</v>
      </c>
    </row>
    <row r="7262" spans="1:13" x14ac:dyDescent="0.25">
      <c r="A7262" t="s">
        <v>16101</v>
      </c>
      <c r="B7262" t="s">
        <v>16094</v>
      </c>
      <c r="C7262" t="s">
        <v>14</v>
      </c>
      <c r="D7262" t="s">
        <v>191</v>
      </c>
      <c r="F7262">
        <v>6</v>
      </c>
      <c r="G7262" t="s">
        <v>16</v>
      </c>
      <c r="H7262">
        <v>0</v>
      </c>
      <c r="I7262" s="2" t="s">
        <v>7690</v>
      </c>
      <c r="J7262" s="2" t="s">
        <v>16102</v>
      </c>
      <c r="K7262">
        <v>20</v>
      </c>
      <c r="L7262">
        <v>20</v>
      </c>
      <c r="M7262">
        <v>20</v>
      </c>
    </row>
    <row r="7263" spans="1:13" x14ac:dyDescent="0.25">
      <c r="A7263" t="s">
        <v>16103</v>
      </c>
      <c r="B7263" t="s">
        <v>16094</v>
      </c>
      <c r="C7263" t="s">
        <v>14</v>
      </c>
      <c r="D7263" t="s">
        <v>191</v>
      </c>
      <c r="G7263" t="s">
        <v>16</v>
      </c>
      <c r="H7263">
        <v>0</v>
      </c>
      <c r="I7263" s="2" t="s">
        <v>4807</v>
      </c>
      <c r="J7263" s="2" t="s">
        <v>16104</v>
      </c>
      <c r="K7263">
        <v>20</v>
      </c>
      <c r="L7263">
        <v>20</v>
      </c>
      <c r="M7263">
        <v>20</v>
      </c>
    </row>
    <row r="7264" spans="1:13" x14ac:dyDescent="0.25">
      <c r="A7264" t="s">
        <v>16105</v>
      </c>
      <c r="B7264" t="s">
        <v>16094</v>
      </c>
      <c r="C7264" t="s">
        <v>14</v>
      </c>
      <c r="D7264" t="s">
        <v>191</v>
      </c>
      <c r="G7264" t="s">
        <v>16</v>
      </c>
      <c r="H7264">
        <v>0</v>
      </c>
      <c r="I7264" s="2" t="s">
        <v>4810</v>
      </c>
      <c r="J7264" s="2" t="s">
        <v>16106</v>
      </c>
      <c r="K7264">
        <v>20</v>
      </c>
      <c r="L7264">
        <v>20</v>
      </c>
      <c r="M7264">
        <v>20</v>
      </c>
    </row>
    <row r="7265" spans="1:13" x14ac:dyDescent="0.25">
      <c r="A7265" t="s">
        <v>16107</v>
      </c>
      <c r="B7265" t="s">
        <v>16108</v>
      </c>
      <c r="C7265" t="s">
        <v>14</v>
      </c>
      <c r="D7265" t="s">
        <v>191</v>
      </c>
      <c r="G7265" t="s">
        <v>16</v>
      </c>
      <c r="H7265">
        <v>0</v>
      </c>
      <c r="I7265" s="2" t="s">
        <v>4708</v>
      </c>
      <c r="J7265" s="2" t="s">
        <v>16109</v>
      </c>
      <c r="K7265">
        <v>20</v>
      </c>
      <c r="L7265">
        <v>20</v>
      </c>
      <c r="M7265">
        <v>20</v>
      </c>
    </row>
    <row r="7266" spans="1:13" x14ac:dyDescent="0.25">
      <c r="A7266" t="s">
        <v>16110</v>
      </c>
      <c r="B7266" t="s">
        <v>16108</v>
      </c>
      <c r="C7266" t="s">
        <v>14</v>
      </c>
      <c r="D7266" t="s">
        <v>191</v>
      </c>
      <c r="G7266" t="s">
        <v>16</v>
      </c>
      <c r="H7266">
        <v>0</v>
      </c>
      <c r="I7266" s="2" t="s">
        <v>8700</v>
      </c>
      <c r="J7266" s="2" t="s">
        <v>16111</v>
      </c>
      <c r="K7266">
        <v>20</v>
      </c>
      <c r="L7266">
        <v>20</v>
      </c>
      <c r="M7266">
        <v>20</v>
      </c>
    </row>
    <row r="7267" spans="1:13" x14ac:dyDescent="0.25">
      <c r="A7267" t="s">
        <v>16112</v>
      </c>
      <c r="B7267" t="s">
        <v>16108</v>
      </c>
      <c r="C7267" t="s">
        <v>14</v>
      </c>
      <c r="D7267" t="s">
        <v>191</v>
      </c>
      <c r="F7267">
        <v>2</v>
      </c>
      <c r="G7267" t="s">
        <v>16</v>
      </c>
      <c r="H7267">
        <v>0</v>
      </c>
      <c r="I7267" s="2" t="s">
        <v>4753</v>
      </c>
      <c r="J7267" s="2" t="s">
        <v>16113</v>
      </c>
      <c r="K7267">
        <v>20</v>
      </c>
      <c r="L7267">
        <v>20</v>
      </c>
      <c r="M7267">
        <v>20</v>
      </c>
    </row>
    <row r="7268" spans="1:13" x14ac:dyDescent="0.25">
      <c r="A7268" t="s">
        <v>16114</v>
      </c>
      <c r="B7268" t="s">
        <v>16115</v>
      </c>
      <c r="C7268" t="s">
        <v>14</v>
      </c>
      <c r="D7268" t="s">
        <v>191</v>
      </c>
      <c r="F7268">
        <v>2</v>
      </c>
      <c r="G7268" t="s">
        <v>16</v>
      </c>
      <c r="H7268">
        <v>0</v>
      </c>
      <c r="I7268" s="2" t="s">
        <v>64</v>
      </c>
      <c r="J7268" s="2" t="str">
        <f>"06010292"</f>
        <v>06010292</v>
      </c>
      <c r="K7268">
        <v>20</v>
      </c>
      <c r="L7268">
        <v>20</v>
      </c>
      <c r="M7268">
        <v>20</v>
      </c>
    </row>
    <row r="7269" spans="1:13" x14ac:dyDescent="0.25">
      <c r="A7269" t="s">
        <v>16116</v>
      </c>
      <c r="B7269" t="s">
        <v>16117</v>
      </c>
      <c r="C7269" t="s">
        <v>14</v>
      </c>
      <c r="D7269" t="s">
        <v>191</v>
      </c>
      <c r="G7269" t="s">
        <v>16</v>
      </c>
      <c r="H7269">
        <v>0</v>
      </c>
      <c r="I7269" s="2" t="s">
        <v>662</v>
      </c>
      <c r="J7269" s="2" t="s">
        <v>16118</v>
      </c>
      <c r="K7269">
        <v>20</v>
      </c>
      <c r="L7269">
        <v>20</v>
      </c>
      <c r="M7269">
        <v>20</v>
      </c>
    </row>
    <row r="7270" spans="1:13" x14ac:dyDescent="0.25">
      <c r="A7270" t="s">
        <v>16119</v>
      </c>
      <c r="B7270" t="s">
        <v>16117</v>
      </c>
      <c r="C7270" t="s">
        <v>14</v>
      </c>
      <c r="D7270" t="s">
        <v>191</v>
      </c>
      <c r="G7270" t="s">
        <v>16</v>
      </c>
      <c r="H7270">
        <v>0</v>
      </c>
      <c r="I7270" s="2" t="s">
        <v>17</v>
      </c>
      <c r="J7270" s="2" t="s">
        <v>16120</v>
      </c>
      <c r="K7270">
        <v>20</v>
      </c>
      <c r="L7270">
        <v>20</v>
      </c>
      <c r="M7270">
        <v>20</v>
      </c>
    </row>
    <row r="7271" spans="1:13" x14ac:dyDescent="0.25">
      <c r="A7271" t="s">
        <v>16121</v>
      </c>
      <c r="B7271" t="s">
        <v>16117</v>
      </c>
      <c r="C7271" t="s">
        <v>14</v>
      </c>
      <c r="D7271" t="s">
        <v>191</v>
      </c>
      <c r="F7271">
        <v>8</v>
      </c>
      <c r="G7271" t="s">
        <v>16</v>
      </c>
      <c r="H7271">
        <v>0</v>
      </c>
      <c r="I7271" s="2" t="s">
        <v>4753</v>
      </c>
      <c r="J7271" s="2" t="s">
        <v>16122</v>
      </c>
      <c r="K7271">
        <v>20</v>
      </c>
      <c r="L7271">
        <v>20</v>
      </c>
      <c r="M7271">
        <v>20</v>
      </c>
    </row>
    <row r="7272" spans="1:13" x14ac:dyDescent="0.25">
      <c r="A7272" t="s">
        <v>16123</v>
      </c>
      <c r="B7272" t="s">
        <v>16117</v>
      </c>
      <c r="C7272" t="s">
        <v>14</v>
      </c>
      <c r="D7272" t="s">
        <v>191</v>
      </c>
      <c r="G7272" t="s">
        <v>16</v>
      </c>
      <c r="H7272">
        <v>0</v>
      </c>
      <c r="I7272" s="2" t="s">
        <v>4807</v>
      </c>
      <c r="J7272" s="2" t="s">
        <v>16124</v>
      </c>
      <c r="K7272">
        <v>20</v>
      </c>
      <c r="L7272">
        <v>20</v>
      </c>
      <c r="M7272">
        <v>20</v>
      </c>
    </row>
    <row r="7273" spans="1:13" x14ac:dyDescent="0.25">
      <c r="A7273" t="s">
        <v>16125</v>
      </c>
      <c r="B7273" t="s">
        <v>16126</v>
      </c>
      <c r="C7273" t="s">
        <v>14</v>
      </c>
      <c r="D7273" t="s">
        <v>191</v>
      </c>
      <c r="F7273">
        <v>-1</v>
      </c>
      <c r="G7273" t="s">
        <v>16</v>
      </c>
      <c r="H7273">
        <v>0</v>
      </c>
      <c r="I7273" s="2" t="s">
        <v>1763</v>
      </c>
      <c r="J7273" s="2" t="s">
        <v>16127</v>
      </c>
      <c r="K7273">
        <v>20</v>
      </c>
      <c r="L7273">
        <v>20</v>
      </c>
      <c r="M7273">
        <v>20</v>
      </c>
    </row>
    <row r="7274" spans="1:13" x14ac:dyDescent="0.25">
      <c r="A7274" t="s">
        <v>16128</v>
      </c>
      <c r="B7274" t="s">
        <v>16126</v>
      </c>
      <c r="C7274" t="s">
        <v>14</v>
      </c>
      <c r="D7274" t="s">
        <v>191</v>
      </c>
      <c r="F7274">
        <v>8</v>
      </c>
      <c r="G7274" t="s">
        <v>16</v>
      </c>
      <c r="H7274">
        <v>0</v>
      </c>
      <c r="I7274" s="2" t="s">
        <v>4783</v>
      </c>
      <c r="J7274" s="2">
        <v>835056</v>
      </c>
      <c r="K7274">
        <v>20</v>
      </c>
      <c r="L7274">
        <v>20</v>
      </c>
      <c r="M7274">
        <v>20</v>
      </c>
    </row>
    <row r="7275" spans="1:13" x14ac:dyDescent="0.25">
      <c r="A7275" t="s">
        <v>16129</v>
      </c>
      <c r="B7275" t="s">
        <v>16126</v>
      </c>
      <c r="C7275" t="s">
        <v>14</v>
      </c>
      <c r="D7275" t="s">
        <v>191</v>
      </c>
      <c r="G7275" t="s">
        <v>16</v>
      </c>
      <c r="H7275">
        <v>0</v>
      </c>
      <c r="I7275" s="2" t="s">
        <v>6196</v>
      </c>
      <c r="J7275" s="2" t="s">
        <v>16130</v>
      </c>
      <c r="K7275">
        <v>20</v>
      </c>
      <c r="L7275">
        <v>20</v>
      </c>
      <c r="M7275">
        <v>20</v>
      </c>
    </row>
    <row r="7276" spans="1:13" x14ac:dyDescent="0.25">
      <c r="A7276" t="s">
        <v>16131</v>
      </c>
      <c r="B7276" t="s">
        <v>16126</v>
      </c>
      <c r="C7276" t="s">
        <v>14</v>
      </c>
      <c r="D7276" t="s">
        <v>191</v>
      </c>
      <c r="F7276">
        <v>10</v>
      </c>
      <c r="G7276" t="s">
        <v>16</v>
      </c>
      <c r="H7276">
        <v>0</v>
      </c>
      <c r="I7276" s="2" t="s">
        <v>4711</v>
      </c>
      <c r="J7276" s="2" t="s">
        <v>16132</v>
      </c>
      <c r="K7276">
        <v>20</v>
      </c>
      <c r="L7276">
        <v>20</v>
      </c>
      <c r="M7276">
        <v>20</v>
      </c>
    </row>
    <row r="7277" spans="1:13" x14ac:dyDescent="0.25">
      <c r="A7277" t="s">
        <v>16133</v>
      </c>
      <c r="B7277" t="s">
        <v>16126</v>
      </c>
      <c r="C7277" t="s">
        <v>14</v>
      </c>
      <c r="D7277" t="s">
        <v>191</v>
      </c>
      <c r="F7277">
        <v>4</v>
      </c>
      <c r="G7277" t="s">
        <v>16</v>
      </c>
      <c r="H7277">
        <v>0</v>
      </c>
      <c r="I7277" s="2" t="s">
        <v>7690</v>
      </c>
      <c r="J7277" s="2" t="s">
        <v>16134</v>
      </c>
      <c r="K7277">
        <v>20</v>
      </c>
      <c r="L7277">
        <v>20</v>
      </c>
      <c r="M7277">
        <v>20</v>
      </c>
    </row>
    <row r="7278" spans="1:13" x14ac:dyDescent="0.25">
      <c r="A7278" t="s">
        <v>16135</v>
      </c>
      <c r="B7278" t="s">
        <v>16126</v>
      </c>
      <c r="C7278" t="s">
        <v>14</v>
      </c>
      <c r="D7278" t="s">
        <v>191</v>
      </c>
      <c r="G7278" t="s">
        <v>16</v>
      </c>
      <c r="H7278">
        <v>0</v>
      </c>
      <c r="I7278" s="2" t="s">
        <v>4807</v>
      </c>
      <c r="J7278" s="2" t="s">
        <v>16136</v>
      </c>
      <c r="K7278">
        <v>20</v>
      </c>
      <c r="L7278">
        <v>20</v>
      </c>
      <c r="M7278">
        <v>20</v>
      </c>
    </row>
    <row r="7279" spans="1:13" x14ac:dyDescent="0.25">
      <c r="A7279" t="s">
        <v>16137</v>
      </c>
      <c r="B7279" t="s">
        <v>16126</v>
      </c>
      <c r="C7279" t="s">
        <v>14</v>
      </c>
      <c r="D7279" t="s">
        <v>191</v>
      </c>
      <c r="F7279">
        <v>5</v>
      </c>
      <c r="G7279" t="s">
        <v>16</v>
      </c>
      <c r="H7279">
        <v>0</v>
      </c>
      <c r="I7279" s="2" t="s">
        <v>4810</v>
      </c>
      <c r="J7279" s="2" t="s">
        <v>16138</v>
      </c>
      <c r="K7279">
        <v>20</v>
      </c>
      <c r="L7279">
        <v>20</v>
      </c>
      <c r="M7279">
        <v>20</v>
      </c>
    </row>
    <row r="7280" spans="1:13" x14ac:dyDescent="0.25">
      <c r="A7280" t="s">
        <v>16139</v>
      </c>
      <c r="B7280" t="s">
        <v>16140</v>
      </c>
      <c r="C7280" t="s">
        <v>14</v>
      </c>
      <c r="D7280" t="s">
        <v>191</v>
      </c>
      <c r="G7280" t="s">
        <v>16</v>
      </c>
      <c r="H7280">
        <v>0</v>
      </c>
      <c r="I7280" s="2" t="s">
        <v>4708</v>
      </c>
      <c r="K7280">
        <v>20</v>
      </c>
      <c r="L7280">
        <v>20</v>
      </c>
      <c r="M7280">
        <v>20</v>
      </c>
    </row>
    <row r="7281" spans="1:13" x14ac:dyDescent="0.25">
      <c r="A7281" t="s">
        <v>16141</v>
      </c>
      <c r="B7281" t="s">
        <v>16140</v>
      </c>
      <c r="C7281" t="s">
        <v>14</v>
      </c>
      <c r="D7281" t="s">
        <v>191</v>
      </c>
      <c r="G7281" t="s">
        <v>16</v>
      </c>
      <c r="H7281">
        <v>0</v>
      </c>
      <c r="I7281" s="2" t="s">
        <v>500</v>
      </c>
      <c r="J7281" s="2" t="s">
        <v>16142</v>
      </c>
      <c r="K7281">
        <v>20</v>
      </c>
      <c r="L7281">
        <v>20</v>
      </c>
      <c r="M7281">
        <v>20</v>
      </c>
    </row>
    <row r="7282" spans="1:13" x14ac:dyDescent="0.25">
      <c r="A7282" t="s">
        <v>16143</v>
      </c>
      <c r="B7282" t="s">
        <v>16140</v>
      </c>
      <c r="C7282" t="s">
        <v>14</v>
      </c>
      <c r="D7282" t="s">
        <v>191</v>
      </c>
      <c r="F7282">
        <v>9</v>
      </c>
      <c r="G7282" t="s">
        <v>16</v>
      </c>
      <c r="H7282">
        <v>0</v>
      </c>
      <c r="I7282" s="2" t="s">
        <v>4753</v>
      </c>
      <c r="J7282" s="2" t="s">
        <v>16144</v>
      </c>
      <c r="K7282">
        <v>20</v>
      </c>
      <c r="L7282">
        <v>20</v>
      </c>
      <c r="M7282">
        <v>20</v>
      </c>
    </row>
    <row r="7283" spans="1:13" x14ac:dyDescent="0.25">
      <c r="A7283" t="s">
        <v>16145</v>
      </c>
      <c r="B7283" t="s">
        <v>16140</v>
      </c>
      <c r="C7283" t="s">
        <v>14</v>
      </c>
      <c r="D7283" t="s">
        <v>191</v>
      </c>
      <c r="G7283" t="s">
        <v>16</v>
      </c>
      <c r="H7283">
        <v>0</v>
      </c>
      <c r="I7283" s="2" t="s">
        <v>4732</v>
      </c>
      <c r="J7283" s="2" t="s">
        <v>16146</v>
      </c>
      <c r="K7283">
        <v>20</v>
      </c>
      <c r="L7283">
        <v>20</v>
      </c>
      <c r="M7283">
        <v>20</v>
      </c>
    </row>
    <row r="7284" spans="1:13" x14ac:dyDescent="0.25">
      <c r="A7284" t="s">
        <v>16147</v>
      </c>
      <c r="B7284" t="s">
        <v>16148</v>
      </c>
      <c r="C7284" t="s">
        <v>14</v>
      </c>
      <c r="D7284" t="s">
        <v>191</v>
      </c>
      <c r="F7284">
        <v>2</v>
      </c>
      <c r="G7284" t="s">
        <v>16</v>
      </c>
      <c r="H7284">
        <v>0</v>
      </c>
      <c r="I7284" s="2" t="s">
        <v>4753</v>
      </c>
      <c r="J7284" s="2" t="s">
        <v>16149</v>
      </c>
      <c r="K7284">
        <v>20</v>
      </c>
      <c r="L7284">
        <v>20</v>
      </c>
      <c r="M7284">
        <v>20</v>
      </c>
    </row>
    <row r="7285" spans="1:13" x14ac:dyDescent="0.25">
      <c r="A7285" t="s">
        <v>16150</v>
      </c>
      <c r="B7285" t="s">
        <v>16151</v>
      </c>
      <c r="C7285" t="s">
        <v>540</v>
      </c>
      <c r="G7285" t="s">
        <v>16</v>
      </c>
      <c r="H7285">
        <v>0</v>
      </c>
      <c r="I7285" s="2" t="s">
        <v>288</v>
      </c>
      <c r="J7285" s="2">
        <v>94036116</v>
      </c>
      <c r="K7285">
        <v>20</v>
      </c>
      <c r="L7285">
        <v>20</v>
      </c>
      <c r="M7285">
        <v>20</v>
      </c>
    </row>
    <row r="7286" spans="1:13" x14ac:dyDescent="0.25">
      <c r="A7286" t="s">
        <v>16152</v>
      </c>
      <c r="B7286" t="s">
        <v>16153</v>
      </c>
      <c r="C7286" t="s">
        <v>241</v>
      </c>
      <c r="D7286" t="s">
        <v>242</v>
      </c>
      <c r="G7286" t="s">
        <v>16</v>
      </c>
      <c r="H7286">
        <v>0</v>
      </c>
      <c r="I7286" s="2" t="s">
        <v>737</v>
      </c>
      <c r="J7286" s="2" t="s">
        <v>16154</v>
      </c>
      <c r="K7286">
        <v>20</v>
      </c>
      <c r="L7286">
        <v>20</v>
      </c>
      <c r="M7286">
        <v>20</v>
      </c>
    </row>
    <row r="7287" spans="1:13" x14ac:dyDescent="0.25">
      <c r="A7287" t="s">
        <v>16155</v>
      </c>
      <c r="B7287" t="s">
        <v>16156</v>
      </c>
      <c r="C7287" t="s">
        <v>241</v>
      </c>
      <c r="D7287" t="s">
        <v>242</v>
      </c>
      <c r="G7287" t="s">
        <v>16</v>
      </c>
      <c r="H7287">
        <v>0</v>
      </c>
      <c r="I7287" s="2" t="s">
        <v>737</v>
      </c>
      <c r="J7287" s="2" t="s">
        <v>16157</v>
      </c>
      <c r="K7287">
        <v>20</v>
      </c>
      <c r="L7287">
        <v>20</v>
      </c>
      <c r="M7287">
        <v>20</v>
      </c>
    </row>
    <row r="7288" spans="1:13" x14ac:dyDescent="0.25">
      <c r="A7288" t="s">
        <v>16158</v>
      </c>
      <c r="B7288" t="s">
        <v>16160</v>
      </c>
      <c r="C7288" t="s">
        <v>241</v>
      </c>
      <c r="D7288" t="s">
        <v>262</v>
      </c>
      <c r="F7288">
        <v>1</v>
      </c>
      <c r="G7288" t="s">
        <v>16</v>
      </c>
      <c r="H7288">
        <v>0</v>
      </c>
      <c r="I7288" s="2" t="s">
        <v>288</v>
      </c>
      <c r="J7288" s="2" t="s">
        <v>16159</v>
      </c>
      <c r="K7288">
        <v>20</v>
      </c>
      <c r="L7288">
        <v>20</v>
      </c>
      <c r="M7288">
        <v>20</v>
      </c>
    </row>
    <row r="7289" spans="1:13" x14ac:dyDescent="0.25">
      <c r="A7289" t="s">
        <v>16161</v>
      </c>
      <c r="B7289" t="s">
        <v>16160</v>
      </c>
      <c r="C7289" t="s">
        <v>241</v>
      </c>
      <c r="D7289" t="s">
        <v>262</v>
      </c>
      <c r="F7289">
        <v>1</v>
      </c>
      <c r="G7289" t="s">
        <v>16</v>
      </c>
      <c r="H7289">
        <v>0</v>
      </c>
      <c r="I7289" s="2" t="s">
        <v>243</v>
      </c>
      <c r="J7289" s="2">
        <v>21240</v>
      </c>
      <c r="K7289">
        <v>20</v>
      </c>
      <c r="L7289">
        <v>20</v>
      </c>
      <c r="M7289">
        <v>20</v>
      </c>
    </row>
    <row r="7290" spans="1:13" x14ac:dyDescent="0.25">
      <c r="A7290" t="s">
        <v>16162</v>
      </c>
      <c r="B7290" t="s">
        <v>16163</v>
      </c>
      <c r="C7290" t="s">
        <v>14</v>
      </c>
      <c r="D7290" t="s">
        <v>191</v>
      </c>
      <c r="G7290" t="s">
        <v>16</v>
      </c>
      <c r="H7290">
        <v>0</v>
      </c>
      <c r="I7290" s="2" t="s">
        <v>500</v>
      </c>
      <c r="J7290" s="2" t="s">
        <v>16164</v>
      </c>
      <c r="K7290">
        <v>20</v>
      </c>
      <c r="L7290">
        <v>20</v>
      </c>
      <c r="M7290">
        <v>20</v>
      </c>
    </row>
    <row r="7291" spans="1:13" x14ac:dyDescent="0.25">
      <c r="A7291" t="s">
        <v>16165</v>
      </c>
      <c r="B7291" t="s">
        <v>16163</v>
      </c>
      <c r="C7291" t="s">
        <v>14</v>
      </c>
      <c r="D7291" t="s">
        <v>191</v>
      </c>
      <c r="G7291" t="s">
        <v>16</v>
      </c>
      <c r="H7291">
        <v>0</v>
      </c>
      <c r="I7291" s="2" t="s">
        <v>4748</v>
      </c>
      <c r="J7291" s="2" t="s">
        <v>16166</v>
      </c>
      <c r="K7291">
        <v>20</v>
      </c>
      <c r="L7291">
        <v>20</v>
      </c>
      <c r="M7291">
        <v>20</v>
      </c>
    </row>
    <row r="7292" spans="1:13" x14ac:dyDescent="0.25">
      <c r="A7292" t="s">
        <v>16167</v>
      </c>
      <c r="B7292" t="s">
        <v>16163</v>
      </c>
      <c r="C7292" t="s">
        <v>14</v>
      </c>
      <c r="D7292" t="s">
        <v>191</v>
      </c>
      <c r="G7292" t="s">
        <v>16</v>
      </c>
      <c r="H7292">
        <v>0</v>
      </c>
      <c r="I7292" s="2" t="s">
        <v>4807</v>
      </c>
      <c r="J7292" s="2" t="s">
        <v>16168</v>
      </c>
      <c r="K7292">
        <v>20</v>
      </c>
      <c r="L7292">
        <v>20</v>
      </c>
      <c r="M7292">
        <v>20</v>
      </c>
    </row>
    <row r="7293" spans="1:13" x14ac:dyDescent="0.25">
      <c r="A7293" t="s">
        <v>16169</v>
      </c>
      <c r="B7293" t="s">
        <v>16163</v>
      </c>
      <c r="C7293" t="s">
        <v>14</v>
      </c>
      <c r="D7293" t="s">
        <v>191</v>
      </c>
      <c r="F7293">
        <v>10</v>
      </c>
      <c r="G7293" t="s">
        <v>16</v>
      </c>
      <c r="H7293">
        <v>0</v>
      </c>
      <c r="I7293" s="2" t="s">
        <v>4736</v>
      </c>
      <c r="J7293" s="2" t="s">
        <v>16170</v>
      </c>
      <c r="K7293">
        <v>20</v>
      </c>
      <c r="L7293">
        <v>20</v>
      </c>
      <c r="M7293">
        <v>20</v>
      </c>
    </row>
    <row r="7294" spans="1:13" x14ac:dyDescent="0.25">
      <c r="A7294" t="s">
        <v>16171</v>
      </c>
      <c r="B7294" t="s">
        <v>16172</v>
      </c>
      <c r="C7294" t="s">
        <v>14</v>
      </c>
      <c r="D7294" t="s">
        <v>191</v>
      </c>
      <c r="G7294" t="s">
        <v>16</v>
      </c>
      <c r="H7294">
        <v>0</v>
      </c>
      <c r="I7294" s="2" t="s">
        <v>4708</v>
      </c>
      <c r="J7294" s="2" t="s">
        <v>16173</v>
      </c>
      <c r="K7294">
        <v>20</v>
      </c>
      <c r="L7294">
        <v>20</v>
      </c>
      <c r="M7294">
        <v>20</v>
      </c>
    </row>
    <row r="7295" spans="1:13" x14ac:dyDescent="0.25">
      <c r="A7295" t="s">
        <v>16174</v>
      </c>
      <c r="B7295" t="s">
        <v>16172</v>
      </c>
      <c r="C7295" t="s">
        <v>14</v>
      </c>
      <c r="D7295" t="s">
        <v>191</v>
      </c>
      <c r="G7295" t="s">
        <v>16</v>
      </c>
      <c r="H7295">
        <v>0</v>
      </c>
      <c r="I7295" s="2" t="s">
        <v>1763</v>
      </c>
      <c r="J7295" s="2" t="s">
        <v>16175</v>
      </c>
      <c r="K7295">
        <v>20</v>
      </c>
      <c r="L7295">
        <v>20</v>
      </c>
      <c r="M7295">
        <v>20</v>
      </c>
    </row>
    <row r="7296" spans="1:13" x14ac:dyDescent="0.25">
      <c r="A7296" t="s">
        <v>16176</v>
      </c>
      <c r="B7296" t="s">
        <v>16172</v>
      </c>
      <c r="C7296" t="s">
        <v>14</v>
      </c>
      <c r="D7296" t="s">
        <v>191</v>
      </c>
      <c r="G7296" t="s">
        <v>16</v>
      </c>
      <c r="H7296">
        <v>0</v>
      </c>
      <c r="I7296" s="2" t="s">
        <v>8700</v>
      </c>
      <c r="J7296" s="2" t="s">
        <v>16177</v>
      </c>
      <c r="K7296">
        <v>20</v>
      </c>
      <c r="L7296">
        <v>20</v>
      </c>
      <c r="M7296">
        <v>20</v>
      </c>
    </row>
    <row r="7297" spans="1:13" x14ac:dyDescent="0.25">
      <c r="A7297" t="s">
        <v>16178</v>
      </c>
      <c r="B7297" t="s">
        <v>16172</v>
      </c>
      <c r="C7297" t="s">
        <v>14</v>
      </c>
      <c r="D7297" t="s">
        <v>191</v>
      </c>
      <c r="F7297">
        <v>3</v>
      </c>
      <c r="G7297" t="s">
        <v>16</v>
      </c>
      <c r="H7297">
        <v>0</v>
      </c>
      <c r="I7297" s="2" t="s">
        <v>500</v>
      </c>
      <c r="J7297" s="2" t="s">
        <v>16179</v>
      </c>
      <c r="K7297">
        <v>20</v>
      </c>
      <c r="L7297">
        <v>20</v>
      </c>
      <c r="M7297">
        <v>20</v>
      </c>
    </row>
    <row r="7298" spans="1:13" x14ac:dyDescent="0.25">
      <c r="A7298" t="s">
        <v>16180</v>
      </c>
      <c r="B7298" t="s">
        <v>16172</v>
      </c>
      <c r="C7298" t="s">
        <v>14</v>
      </c>
      <c r="D7298" t="s">
        <v>191</v>
      </c>
      <c r="G7298" t="s">
        <v>16</v>
      </c>
      <c r="H7298">
        <v>0</v>
      </c>
      <c r="I7298" s="2" t="s">
        <v>17</v>
      </c>
      <c r="J7298" s="2" t="s">
        <v>16181</v>
      </c>
      <c r="K7298">
        <v>20</v>
      </c>
      <c r="L7298">
        <v>20</v>
      </c>
      <c r="M7298">
        <v>20</v>
      </c>
    </row>
    <row r="7299" spans="1:13" x14ac:dyDescent="0.25">
      <c r="A7299" t="s">
        <v>16182</v>
      </c>
      <c r="B7299" t="s">
        <v>16172</v>
      </c>
      <c r="C7299" t="s">
        <v>14</v>
      </c>
      <c r="D7299" t="s">
        <v>191</v>
      </c>
      <c r="F7299">
        <v>1</v>
      </c>
      <c r="G7299" t="s">
        <v>16</v>
      </c>
      <c r="H7299">
        <v>0</v>
      </c>
      <c r="I7299" s="2" t="s">
        <v>7690</v>
      </c>
      <c r="J7299" s="2" t="s">
        <v>16183</v>
      </c>
      <c r="K7299">
        <v>20</v>
      </c>
      <c r="L7299">
        <v>20</v>
      </c>
      <c r="M7299">
        <v>20</v>
      </c>
    </row>
    <row r="7300" spans="1:13" x14ac:dyDescent="0.25">
      <c r="A7300" t="s">
        <v>16184</v>
      </c>
      <c r="B7300" t="s">
        <v>16172</v>
      </c>
      <c r="C7300" t="s">
        <v>14</v>
      </c>
      <c r="D7300" t="s">
        <v>191</v>
      </c>
      <c r="G7300" t="s">
        <v>16</v>
      </c>
      <c r="H7300">
        <v>0</v>
      </c>
      <c r="I7300" s="2" t="s">
        <v>4807</v>
      </c>
      <c r="J7300" s="2" t="s">
        <v>16185</v>
      </c>
      <c r="K7300">
        <v>20</v>
      </c>
      <c r="L7300">
        <v>20</v>
      </c>
      <c r="M7300">
        <v>20</v>
      </c>
    </row>
    <row r="7301" spans="1:13" x14ac:dyDescent="0.25">
      <c r="A7301" t="s">
        <v>16186</v>
      </c>
      <c r="B7301" t="s">
        <v>16172</v>
      </c>
      <c r="C7301" t="s">
        <v>14</v>
      </c>
      <c r="D7301" t="s">
        <v>191</v>
      </c>
      <c r="F7301">
        <v>10</v>
      </c>
      <c r="G7301" t="s">
        <v>16</v>
      </c>
      <c r="H7301">
        <v>0</v>
      </c>
      <c r="I7301" s="2" t="s">
        <v>4736</v>
      </c>
      <c r="J7301" s="2" t="s">
        <v>16187</v>
      </c>
      <c r="K7301">
        <v>20</v>
      </c>
      <c r="L7301">
        <v>20</v>
      </c>
      <c r="M7301">
        <v>20</v>
      </c>
    </row>
    <row r="7302" spans="1:13" x14ac:dyDescent="0.25">
      <c r="A7302" t="s">
        <v>16188</v>
      </c>
      <c r="B7302" t="s">
        <v>16189</v>
      </c>
      <c r="C7302" t="s">
        <v>14</v>
      </c>
      <c r="D7302" t="s">
        <v>191</v>
      </c>
      <c r="F7302">
        <v>9</v>
      </c>
      <c r="G7302" t="s">
        <v>16</v>
      </c>
      <c r="H7302">
        <v>0</v>
      </c>
      <c r="I7302" s="2" t="s">
        <v>4783</v>
      </c>
      <c r="J7302" s="2">
        <v>835622</v>
      </c>
      <c r="K7302">
        <v>20</v>
      </c>
      <c r="L7302">
        <v>20</v>
      </c>
      <c r="M7302">
        <v>20</v>
      </c>
    </row>
    <row r="7303" spans="1:13" x14ac:dyDescent="0.25">
      <c r="A7303" t="s">
        <v>16190</v>
      </c>
      <c r="B7303" t="s">
        <v>16189</v>
      </c>
      <c r="C7303" t="s">
        <v>14</v>
      </c>
      <c r="D7303" t="s">
        <v>191</v>
      </c>
      <c r="F7303">
        <v>10</v>
      </c>
      <c r="G7303" t="s">
        <v>16</v>
      </c>
      <c r="H7303">
        <v>0</v>
      </c>
      <c r="I7303" s="2" t="s">
        <v>500</v>
      </c>
      <c r="J7303" s="2" t="s">
        <v>16191</v>
      </c>
      <c r="K7303">
        <v>20</v>
      </c>
      <c r="L7303">
        <v>20</v>
      </c>
      <c r="M7303">
        <v>20</v>
      </c>
    </row>
    <row r="7304" spans="1:13" x14ac:dyDescent="0.25">
      <c r="A7304" t="s">
        <v>16192</v>
      </c>
      <c r="B7304" t="s">
        <v>16189</v>
      </c>
      <c r="C7304" t="s">
        <v>14</v>
      </c>
      <c r="D7304" t="s">
        <v>191</v>
      </c>
      <c r="F7304">
        <v>2</v>
      </c>
      <c r="G7304" t="s">
        <v>16</v>
      </c>
      <c r="H7304">
        <v>0</v>
      </c>
      <c r="I7304" s="2" t="s">
        <v>4711</v>
      </c>
      <c r="J7304" s="2" t="s">
        <v>16193</v>
      </c>
      <c r="K7304">
        <v>20</v>
      </c>
      <c r="L7304">
        <v>20</v>
      </c>
      <c r="M7304">
        <v>20</v>
      </c>
    </row>
    <row r="7305" spans="1:13" x14ac:dyDescent="0.25">
      <c r="A7305" t="s">
        <v>16194</v>
      </c>
      <c r="B7305" t="s">
        <v>16189</v>
      </c>
      <c r="C7305" t="s">
        <v>14</v>
      </c>
      <c r="D7305" t="s">
        <v>191</v>
      </c>
      <c r="F7305">
        <v>5</v>
      </c>
      <c r="G7305" t="s">
        <v>16</v>
      </c>
      <c r="H7305">
        <v>0</v>
      </c>
      <c r="I7305" s="2" t="s">
        <v>7690</v>
      </c>
      <c r="J7305" s="2" t="s">
        <v>16195</v>
      </c>
      <c r="K7305">
        <v>20</v>
      </c>
      <c r="L7305">
        <v>20</v>
      </c>
      <c r="M7305">
        <v>20</v>
      </c>
    </row>
    <row r="7306" spans="1:13" x14ac:dyDescent="0.25">
      <c r="A7306" t="s">
        <v>16196</v>
      </c>
      <c r="B7306" t="s">
        <v>16189</v>
      </c>
      <c r="C7306" t="s">
        <v>14</v>
      </c>
      <c r="D7306" t="s">
        <v>191</v>
      </c>
      <c r="F7306">
        <v>37</v>
      </c>
      <c r="G7306" t="s">
        <v>16</v>
      </c>
      <c r="H7306">
        <v>0</v>
      </c>
      <c r="I7306" s="2" t="s">
        <v>4736</v>
      </c>
      <c r="J7306" s="2" t="s">
        <v>16197</v>
      </c>
      <c r="K7306">
        <v>20</v>
      </c>
      <c r="L7306">
        <v>20</v>
      </c>
      <c r="M7306">
        <v>20</v>
      </c>
    </row>
    <row r="7307" spans="1:13" x14ac:dyDescent="0.25">
      <c r="A7307" t="s">
        <v>16198</v>
      </c>
      <c r="B7307" t="s">
        <v>16199</v>
      </c>
      <c r="C7307" t="s">
        <v>14</v>
      </c>
      <c r="D7307" t="s">
        <v>191</v>
      </c>
      <c r="G7307" t="s">
        <v>16</v>
      </c>
      <c r="H7307">
        <v>0</v>
      </c>
      <c r="I7307" s="2" t="s">
        <v>392</v>
      </c>
      <c r="J7307" s="2">
        <v>1682261580</v>
      </c>
      <c r="K7307">
        <v>20</v>
      </c>
      <c r="L7307">
        <v>20</v>
      </c>
      <c r="M7307">
        <v>20</v>
      </c>
    </row>
    <row r="7308" spans="1:13" x14ac:dyDescent="0.25">
      <c r="A7308" t="s">
        <v>16200</v>
      </c>
      <c r="B7308" t="s">
        <v>16199</v>
      </c>
      <c r="C7308" t="s">
        <v>14</v>
      </c>
      <c r="D7308" t="s">
        <v>191</v>
      </c>
      <c r="F7308">
        <v>9</v>
      </c>
      <c r="G7308" t="s">
        <v>16</v>
      </c>
      <c r="H7308">
        <v>0</v>
      </c>
      <c r="I7308" s="2" t="s">
        <v>4783</v>
      </c>
      <c r="J7308" s="2">
        <v>835626</v>
      </c>
      <c r="K7308">
        <v>20</v>
      </c>
      <c r="L7308">
        <v>20</v>
      </c>
      <c r="M7308">
        <v>20</v>
      </c>
    </row>
    <row r="7309" spans="1:13" x14ac:dyDescent="0.25">
      <c r="A7309" t="s">
        <v>16201</v>
      </c>
      <c r="B7309" t="s">
        <v>16199</v>
      </c>
      <c r="C7309" t="s">
        <v>14</v>
      </c>
      <c r="D7309" t="s">
        <v>191</v>
      </c>
      <c r="G7309" t="s">
        <v>16</v>
      </c>
      <c r="H7309">
        <v>0</v>
      </c>
      <c r="I7309" s="2" t="s">
        <v>500</v>
      </c>
      <c r="J7309" s="2" t="s">
        <v>16202</v>
      </c>
      <c r="K7309">
        <v>20</v>
      </c>
      <c r="L7309">
        <v>20</v>
      </c>
      <c r="M7309">
        <v>20</v>
      </c>
    </row>
    <row r="7310" spans="1:13" x14ac:dyDescent="0.25">
      <c r="A7310" t="s">
        <v>16203</v>
      </c>
      <c r="B7310" t="s">
        <v>16199</v>
      </c>
      <c r="C7310" t="s">
        <v>14</v>
      </c>
      <c r="D7310" t="s">
        <v>191</v>
      </c>
      <c r="F7310">
        <v>9</v>
      </c>
      <c r="G7310" t="s">
        <v>16</v>
      </c>
      <c r="H7310">
        <v>0</v>
      </c>
      <c r="I7310" s="2" t="s">
        <v>522</v>
      </c>
      <c r="J7310" s="2" t="s">
        <v>16204</v>
      </c>
      <c r="K7310">
        <v>20</v>
      </c>
      <c r="L7310">
        <v>20</v>
      </c>
      <c r="M7310">
        <v>20</v>
      </c>
    </row>
    <row r="7311" spans="1:13" x14ac:dyDescent="0.25">
      <c r="A7311" t="s">
        <v>16205</v>
      </c>
      <c r="B7311" t="s">
        <v>16199</v>
      </c>
      <c r="C7311" t="s">
        <v>14</v>
      </c>
      <c r="D7311" t="s">
        <v>191</v>
      </c>
      <c r="F7311">
        <v>1</v>
      </c>
      <c r="G7311" t="s">
        <v>16</v>
      </c>
      <c r="H7311">
        <v>0</v>
      </c>
      <c r="I7311" s="2" t="s">
        <v>4711</v>
      </c>
      <c r="J7311" s="2" t="s">
        <v>16206</v>
      </c>
      <c r="K7311">
        <v>20</v>
      </c>
      <c r="L7311">
        <v>20</v>
      </c>
      <c r="M7311">
        <v>20</v>
      </c>
    </row>
    <row r="7312" spans="1:13" x14ac:dyDescent="0.25">
      <c r="A7312" t="s">
        <v>16207</v>
      </c>
      <c r="B7312" t="s">
        <v>16199</v>
      </c>
      <c r="C7312" t="s">
        <v>14</v>
      </c>
      <c r="D7312" t="s">
        <v>191</v>
      </c>
      <c r="G7312" t="s">
        <v>16</v>
      </c>
      <c r="H7312">
        <v>0</v>
      </c>
      <c r="I7312" s="2" t="s">
        <v>4807</v>
      </c>
      <c r="J7312" s="2" t="s">
        <v>16208</v>
      </c>
      <c r="K7312">
        <v>20</v>
      </c>
      <c r="L7312">
        <v>20</v>
      </c>
      <c r="M7312">
        <v>20</v>
      </c>
    </row>
    <row r="7313" spans="1:13" x14ac:dyDescent="0.25">
      <c r="A7313" t="s">
        <v>16209</v>
      </c>
      <c r="B7313" t="s">
        <v>16199</v>
      </c>
      <c r="C7313" t="s">
        <v>14</v>
      </c>
      <c r="D7313" t="s">
        <v>191</v>
      </c>
      <c r="F7313">
        <v>16</v>
      </c>
      <c r="G7313" t="s">
        <v>16</v>
      </c>
      <c r="H7313">
        <v>0</v>
      </c>
      <c r="I7313" s="2" t="s">
        <v>4736</v>
      </c>
      <c r="J7313" s="2" t="s">
        <v>16210</v>
      </c>
      <c r="K7313">
        <v>20</v>
      </c>
      <c r="L7313">
        <v>20</v>
      </c>
      <c r="M7313">
        <v>20</v>
      </c>
    </row>
    <row r="7314" spans="1:13" x14ac:dyDescent="0.25">
      <c r="A7314" t="s">
        <v>16211</v>
      </c>
      <c r="B7314" t="s">
        <v>16212</v>
      </c>
      <c r="C7314" t="s">
        <v>14</v>
      </c>
      <c r="D7314" t="s">
        <v>191</v>
      </c>
      <c r="G7314" t="s">
        <v>16</v>
      </c>
      <c r="H7314">
        <v>0</v>
      </c>
      <c r="I7314" s="2" t="s">
        <v>8700</v>
      </c>
      <c r="J7314" s="2" t="s">
        <v>16213</v>
      </c>
      <c r="K7314">
        <v>20</v>
      </c>
      <c r="L7314">
        <v>20</v>
      </c>
      <c r="M7314">
        <v>20</v>
      </c>
    </row>
    <row r="7315" spans="1:13" x14ac:dyDescent="0.25">
      <c r="A7315" t="s">
        <v>16214</v>
      </c>
      <c r="B7315" t="s">
        <v>16212</v>
      </c>
      <c r="C7315" t="s">
        <v>14</v>
      </c>
      <c r="D7315" t="s">
        <v>191</v>
      </c>
      <c r="F7315">
        <v>0</v>
      </c>
      <c r="G7315" t="s">
        <v>16</v>
      </c>
      <c r="H7315">
        <v>0</v>
      </c>
      <c r="I7315" s="2" t="s">
        <v>17</v>
      </c>
      <c r="J7315" s="2" t="s">
        <v>16215</v>
      </c>
      <c r="K7315">
        <v>20</v>
      </c>
      <c r="L7315">
        <v>20</v>
      </c>
      <c r="M7315">
        <v>20</v>
      </c>
    </row>
    <row r="7316" spans="1:13" x14ac:dyDescent="0.25">
      <c r="A7316" t="s">
        <v>16216</v>
      </c>
      <c r="B7316" t="s">
        <v>16212</v>
      </c>
      <c r="C7316" t="s">
        <v>14</v>
      </c>
      <c r="D7316" t="s">
        <v>191</v>
      </c>
      <c r="G7316" t="s">
        <v>16</v>
      </c>
      <c r="H7316">
        <v>0</v>
      </c>
      <c r="I7316" s="2" t="s">
        <v>4807</v>
      </c>
      <c r="J7316" s="2" t="s">
        <v>16217</v>
      </c>
      <c r="K7316">
        <v>20</v>
      </c>
      <c r="L7316">
        <v>20</v>
      </c>
      <c r="M7316">
        <v>20</v>
      </c>
    </row>
    <row r="7317" spans="1:13" x14ac:dyDescent="0.25">
      <c r="A7317" t="s">
        <v>16218</v>
      </c>
      <c r="B7317" t="s">
        <v>16212</v>
      </c>
      <c r="C7317" t="s">
        <v>14</v>
      </c>
      <c r="D7317" t="s">
        <v>191</v>
      </c>
      <c r="F7317">
        <v>8</v>
      </c>
      <c r="G7317" t="s">
        <v>16</v>
      </c>
      <c r="H7317">
        <v>0</v>
      </c>
      <c r="I7317" s="2" t="s">
        <v>4736</v>
      </c>
      <c r="J7317" s="2" t="s">
        <v>16219</v>
      </c>
      <c r="K7317">
        <v>20</v>
      </c>
      <c r="L7317">
        <v>20</v>
      </c>
      <c r="M7317">
        <v>20</v>
      </c>
    </row>
    <row r="7318" spans="1:13" x14ac:dyDescent="0.25">
      <c r="A7318" t="s">
        <v>16220</v>
      </c>
      <c r="B7318" t="s">
        <v>16221</v>
      </c>
      <c r="C7318" t="s">
        <v>241</v>
      </c>
      <c r="D7318" t="s">
        <v>242</v>
      </c>
      <c r="F7318">
        <v>1</v>
      </c>
      <c r="G7318" t="s">
        <v>16</v>
      </c>
      <c r="H7318">
        <v>0</v>
      </c>
      <c r="I7318" s="2" t="s">
        <v>245</v>
      </c>
      <c r="J7318" s="2" t="s">
        <v>16222</v>
      </c>
      <c r="K7318">
        <v>20</v>
      </c>
      <c r="L7318">
        <v>20</v>
      </c>
      <c r="M7318">
        <v>20</v>
      </c>
    </row>
    <row r="7319" spans="1:13" x14ac:dyDescent="0.25">
      <c r="A7319" t="s">
        <v>16223</v>
      </c>
      <c r="B7319" t="s">
        <v>16224</v>
      </c>
      <c r="C7319" t="s">
        <v>151</v>
      </c>
      <c r="F7319">
        <v>2</v>
      </c>
      <c r="G7319" t="s">
        <v>16</v>
      </c>
      <c r="H7319">
        <v>0</v>
      </c>
      <c r="I7319" s="2" t="s">
        <v>685</v>
      </c>
      <c r="J7319" s="2" t="str">
        <f>"0280218429"</f>
        <v>0280218429</v>
      </c>
      <c r="K7319">
        <v>20</v>
      </c>
      <c r="L7319">
        <v>20</v>
      </c>
      <c r="M7319">
        <v>20</v>
      </c>
    </row>
    <row r="7320" spans="1:13" x14ac:dyDescent="0.25">
      <c r="A7320" t="s">
        <v>16225</v>
      </c>
      <c r="B7320" t="s">
        <v>16226</v>
      </c>
      <c r="C7320" t="s">
        <v>20</v>
      </c>
      <c r="F7320">
        <v>2</v>
      </c>
      <c r="G7320" t="s">
        <v>16</v>
      </c>
      <c r="H7320">
        <v>0</v>
      </c>
      <c r="I7320" s="2" t="s">
        <v>500</v>
      </c>
      <c r="J7320" s="2" t="s">
        <v>16227</v>
      </c>
      <c r="K7320">
        <v>20</v>
      </c>
      <c r="L7320">
        <v>20</v>
      </c>
      <c r="M7320">
        <v>20</v>
      </c>
    </row>
    <row r="7321" spans="1:13" x14ac:dyDescent="0.25">
      <c r="A7321" t="s">
        <v>16228</v>
      </c>
      <c r="B7321" t="s">
        <v>16230</v>
      </c>
      <c r="C7321" t="s">
        <v>241</v>
      </c>
      <c r="D7321" t="s">
        <v>242</v>
      </c>
      <c r="F7321">
        <v>4</v>
      </c>
      <c r="G7321" t="s">
        <v>16</v>
      </c>
      <c r="H7321">
        <v>0</v>
      </c>
      <c r="I7321" s="2" t="s">
        <v>288</v>
      </c>
      <c r="J7321" s="2" t="s">
        <v>16229</v>
      </c>
      <c r="K7321">
        <v>20</v>
      </c>
      <c r="L7321">
        <v>20</v>
      </c>
      <c r="M7321">
        <v>20</v>
      </c>
    </row>
    <row r="7322" spans="1:13" x14ac:dyDescent="0.25">
      <c r="A7322" t="s">
        <v>16231</v>
      </c>
      <c r="B7322" t="s">
        <v>16230</v>
      </c>
      <c r="C7322" t="s">
        <v>241</v>
      </c>
      <c r="D7322" t="s">
        <v>242</v>
      </c>
      <c r="F7322">
        <v>1</v>
      </c>
      <c r="G7322" t="s">
        <v>16</v>
      </c>
      <c r="H7322">
        <v>0</v>
      </c>
      <c r="I7322" s="2" t="s">
        <v>64</v>
      </c>
      <c r="J7322" s="2">
        <v>10030524</v>
      </c>
      <c r="K7322">
        <v>20</v>
      </c>
      <c r="L7322">
        <v>20</v>
      </c>
      <c r="M7322">
        <v>20</v>
      </c>
    </row>
    <row r="7323" spans="1:13" x14ac:dyDescent="0.25">
      <c r="A7323" t="s">
        <v>16232</v>
      </c>
      <c r="B7323" t="s">
        <v>16230</v>
      </c>
      <c r="C7323" t="s">
        <v>241</v>
      </c>
      <c r="D7323" t="s">
        <v>242</v>
      </c>
      <c r="F7323">
        <v>1</v>
      </c>
      <c r="G7323" t="s">
        <v>16</v>
      </c>
      <c r="H7323">
        <v>0</v>
      </c>
      <c r="I7323" s="2" t="s">
        <v>737</v>
      </c>
      <c r="J7323" s="2" t="s">
        <v>16233</v>
      </c>
      <c r="K7323">
        <v>20</v>
      </c>
      <c r="L7323">
        <v>20</v>
      </c>
      <c r="M7323">
        <v>20</v>
      </c>
    </row>
    <row r="7324" spans="1:13" x14ac:dyDescent="0.25">
      <c r="A7324" t="s">
        <v>16234</v>
      </c>
      <c r="B7324" t="s">
        <v>16235</v>
      </c>
      <c r="C7324" t="s">
        <v>1432</v>
      </c>
      <c r="F7324">
        <v>1</v>
      </c>
      <c r="G7324" t="s">
        <v>16</v>
      </c>
      <c r="H7324">
        <v>0</v>
      </c>
      <c r="I7324" s="2" t="s">
        <v>685</v>
      </c>
      <c r="J7324" s="2" t="str">
        <f>"0280218427"</f>
        <v>0280218427</v>
      </c>
      <c r="K7324">
        <v>20</v>
      </c>
      <c r="L7324">
        <v>20</v>
      </c>
      <c r="M7324">
        <v>20</v>
      </c>
    </row>
    <row r="7325" spans="1:13" x14ac:dyDescent="0.25">
      <c r="A7325" t="s">
        <v>16236</v>
      </c>
      <c r="B7325" t="s">
        <v>16237</v>
      </c>
      <c r="C7325" t="s">
        <v>151</v>
      </c>
      <c r="G7325" t="s">
        <v>16</v>
      </c>
      <c r="H7325">
        <v>0</v>
      </c>
      <c r="I7325" s="2" t="s">
        <v>937</v>
      </c>
      <c r="J7325" s="2" t="s">
        <v>16238</v>
      </c>
      <c r="K7325">
        <v>20</v>
      </c>
      <c r="L7325">
        <v>20</v>
      </c>
      <c r="M7325">
        <v>20</v>
      </c>
    </row>
    <row r="7326" spans="1:13" x14ac:dyDescent="0.25">
      <c r="A7326" t="s">
        <v>16239</v>
      </c>
      <c r="B7326" t="s">
        <v>16240</v>
      </c>
      <c r="C7326" t="s">
        <v>151</v>
      </c>
      <c r="F7326">
        <v>1</v>
      </c>
      <c r="G7326" t="s">
        <v>16</v>
      </c>
      <c r="H7326">
        <v>0</v>
      </c>
      <c r="I7326" s="2" t="s">
        <v>383</v>
      </c>
      <c r="J7326" s="2" t="str">
        <f>"0281006756"</f>
        <v>0281006756</v>
      </c>
      <c r="K7326">
        <v>20</v>
      </c>
      <c r="L7326">
        <v>20</v>
      </c>
      <c r="M7326">
        <v>20</v>
      </c>
    </row>
    <row r="7327" spans="1:13" x14ac:dyDescent="0.25">
      <c r="A7327" t="s">
        <v>16241</v>
      </c>
      <c r="B7327" t="s">
        <v>16240</v>
      </c>
      <c r="C7327" t="s">
        <v>151</v>
      </c>
      <c r="F7327">
        <v>1</v>
      </c>
      <c r="G7327" t="s">
        <v>16</v>
      </c>
      <c r="H7327">
        <v>0</v>
      </c>
      <c r="I7327" s="2" t="s">
        <v>139</v>
      </c>
      <c r="J7327" s="2" t="s">
        <v>16242</v>
      </c>
      <c r="K7327">
        <v>20</v>
      </c>
      <c r="L7327">
        <v>20</v>
      </c>
      <c r="M7327">
        <v>20</v>
      </c>
    </row>
    <row r="7328" spans="1:13" x14ac:dyDescent="0.25">
      <c r="A7328" t="s">
        <v>16243</v>
      </c>
      <c r="B7328" t="s">
        <v>16244</v>
      </c>
      <c r="C7328" t="s">
        <v>151</v>
      </c>
      <c r="F7328">
        <v>1</v>
      </c>
      <c r="G7328" t="s">
        <v>16</v>
      </c>
      <c r="H7328">
        <v>0</v>
      </c>
      <c r="I7328" s="2" t="s">
        <v>950</v>
      </c>
      <c r="J7328" s="2">
        <v>30041</v>
      </c>
      <c r="K7328">
        <v>20</v>
      </c>
      <c r="L7328">
        <v>20</v>
      </c>
      <c r="M7328">
        <v>20</v>
      </c>
    </row>
    <row r="7329" spans="1:13" x14ac:dyDescent="0.25">
      <c r="A7329" t="s">
        <v>16245</v>
      </c>
      <c r="B7329" t="s">
        <v>16246</v>
      </c>
      <c r="C7329" t="s">
        <v>151</v>
      </c>
      <c r="F7329">
        <v>1</v>
      </c>
      <c r="G7329" t="s">
        <v>16</v>
      </c>
      <c r="H7329">
        <v>0</v>
      </c>
      <c r="I7329" s="2" t="s">
        <v>383</v>
      </c>
      <c r="J7329" s="2" t="str">
        <f>"0281002683"</f>
        <v>0281002683</v>
      </c>
      <c r="K7329">
        <v>20</v>
      </c>
      <c r="L7329">
        <v>20</v>
      </c>
      <c r="M7329">
        <v>20</v>
      </c>
    </row>
    <row r="7330" spans="1:13" x14ac:dyDescent="0.25">
      <c r="A7330" t="s">
        <v>16247</v>
      </c>
      <c r="B7330" t="s">
        <v>16248</v>
      </c>
      <c r="C7330" t="s">
        <v>151</v>
      </c>
      <c r="G7330" t="s">
        <v>16</v>
      </c>
      <c r="H7330">
        <v>0</v>
      </c>
      <c r="I7330" s="2" t="s">
        <v>685</v>
      </c>
      <c r="J7330" s="2" t="str">
        <f>"0280218440"</f>
        <v>0280218440</v>
      </c>
      <c r="K7330">
        <v>20</v>
      </c>
      <c r="L7330">
        <v>20</v>
      </c>
      <c r="M7330">
        <v>20</v>
      </c>
    </row>
    <row r="7331" spans="1:13" x14ac:dyDescent="0.25">
      <c r="A7331" t="s">
        <v>16249</v>
      </c>
      <c r="B7331" t="s">
        <v>16250</v>
      </c>
      <c r="C7331" t="s">
        <v>241</v>
      </c>
      <c r="D7331" t="s">
        <v>262</v>
      </c>
      <c r="F7331">
        <v>1</v>
      </c>
      <c r="G7331" t="s">
        <v>16</v>
      </c>
      <c r="H7331">
        <v>0</v>
      </c>
      <c r="I7331" s="2" t="b">
        <v>1</v>
      </c>
      <c r="J7331" s="2" t="s">
        <v>16251</v>
      </c>
      <c r="K7331">
        <v>20</v>
      </c>
      <c r="L7331">
        <v>20</v>
      </c>
      <c r="M7331">
        <v>20</v>
      </c>
    </row>
    <row r="7332" spans="1:13" x14ac:dyDescent="0.25">
      <c r="A7332" t="s">
        <v>16252</v>
      </c>
      <c r="B7332" t="s">
        <v>16250</v>
      </c>
      <c r="C7332" t="s">
        <v>241</v>
      </c>
      <c r="D7332" t="s">
        <v>262</v>
      </c>
      <c r="G7332" t="s">
        <v>16</v>
      </c>
      <c r="H7332">
        <v>0</v>
      </c>
      <c r="I7332" s="2" t="s">
        <v>737</v>
      </c>
      <c r="J7332" s="2" t="s">
        <v>16253</v>
      </c>
      <c r="K7332">
        <v>20</v>
      </c>
      <c r="L7332">
        <v>20</v>
      </c>
      <c r="M7332">
        <v>20</v>
      </c>
    </row>
    <row r="7333" spans="1:13" x14ac:dyDescent="0.25">
      <c r="A7333" t="s">
        <v>16254</v>
      </c>
      <c r="B7333" t="s">
        <v>16255</v>
      </c>
      <c r="C7333" t="s">
        <v>241</v>
      </c>
      <c r="D7333" t="s">
        <v>262</v>
      </c>
      <c r="F7333">
        <v>1</v>
      </c>
      <c r="G7333" t="s">
        <v>16</v>
      </c>
      <c r="H7333">
        <v>0</v>
      </c>
      <c r="I7333" s="2" t="b">
        <v>1</v>
      </c>
      <c r="J7333" s="2" t="s">
        <v>16256</v>
      </c>
      <c r="K7333">
        <v>20</v>
      </c>
      <c r="L7333">
        <v>20</v>
      </c>
      <c r="M7333">
        <v>20</v>
      </c>
    </row>
    <row r="7334" spans="1:13" x14ac:dyDescent="0.25">
      <c r="A7334" t="s">
        <v>16257</v>
      </c>
      <c r="B7334" t="s">
        <v>16259</v>
      </c>
      <c r="C7334" t="s">
        <v>241</v>
      </c>
      <c r="D7334" t="s">
        <v>262</v>
      </c>
      <c r="F7334">
        <v>1</v>
      </c>
      <c r="G7334" t="s">
        <v>16</v>
      </c>
      <c r="H7334">
        <v>0</v>
      </c>
      <c r="I7334" s="2" t="s">
        <v>765</v>
      </c>
      <c r="J7334" s="2" t="s">
        <v>16258</v>
      </c>
      <c r="K7334">
        <v>20</v>
      </c>
      <c r="L7334">
        <v>20</v>
      </c>
      <c r="M7334">
        <v>20</v>
      </c>
    </row>
    <row r="7335" spans="1:13" x14ac:dyDescent="0.25">
      <c r="A7335" t="s">
        <v>16260</v>
      </c>
      <c r="B7335" t="s">
        <v>16261</v>
      </c>
      <c r="C7335" t="s">
        <v>241</v>
      </c>
      <c r="D7335" t="s">
        <v>262</v>
      </c>
      <c r="F7335">
        <v>1</v>
      </c>
      <c r="G7335" t="s">
        <v>16</v>
      </c>
      <c r="H7335">
        <v>0</v>
      </c>
      <c r="I7335" s="2" t="b">
        <v>1</v>
      </c>
      <c r="J7335" s="2" t="s">
        <v>16262</v>
      </c>
      <c r="K7335">
        <v>20</v>
      </c>
      <c r="L7335">
        <v>20</v>
      </c>
      <c r="M7335">
        <v>20</v>
      </c>
    </row>
    <row r="7336" spans="1:13" x14ac:dyDescent="0.25">
      <c r="A7336" t="s">
        <v>16263</v>
      </c>
      <c r="B7336" t="s">
        <v>16259</v>
      </c>
      <c r="C7336" t="s">
        <v>241</v>
      </c>
      <c r="D7336" t="s">
        <v>262</v>
      </c>
      <c r="G7336" t="s">
        <v>16</v>
      </c>
      <c r="H7336">
        <v>0</v>
      </c>
      <c r="I7336" s="2" t="s">
        <v>245</v>
      </c>
      <c r="J7336" s="2" t="s">
        <v>16264</v>
      </c>
      <c r="K7336">
        <v>20</v>
      </c>
      <c r="L7336">
        <v>20</v>
      </c>
      <c r="M7336">
        <v>20</v>
      </c>
    </row>
    <row r="7337" spans="1:13" x14ac:dyDescent="0.25">
      <c r="A7337" t="s">
        <v>16265</v>
      </c>
      <c r="B7337" t="s">
        <v>16259</v>
      </c>
      <c r="C7337" t="s">
        <v>241</v>
      </c>
      <c r="D7337" t="s">
        <v>262</v>
      </c>
      <c r="G7337" t="s">
        <v>16</v>
      </c>
      <c r="H7337">
        <v>0</v>
      </c>
      <c r="I7337" s="2" t="s">
        <v>737</v>
      </c>
      <c r="J7337" s="2" t="s">
        <v>16266</v>
      </c>
      <c r="K7337">
        <v>20</v>
      </c>
      <c r="L7337">
        <v>20</v>
      </c>
      <c r="M7337">
        <v>20</v>
      </c>
    </row>
    <row r="7338" spans="1:13" x14ac:dyDescent="0.25">
      <c r="A7338" t="s">
        <v>16267</v>
      </c>
      <c r="B7338" t="s">
        <v>16268</v>
      </c>
      <c r="C7338" t="s">
        <v>151</v>
      </c>
      <c r="D7338" t="s">
        <v>215</v>
      </c>
      <c r="F7338">
        <v>1</v>
      </c>
      <c r="G7338" t="s">
        <v>16</v>
      </c>
      <c r="H7338">
        <v>0</v>
      </c>
      <c r="I7338" s="2" t="s">
        <v>285</v>
      </c>
      <c r="J7338" s="2">
        <v>33601</v>
      </c>
      <c r="K7338">
        <v>20</v>
      </c>
      <c r="L7338">
        <v>20</v>
      </c>
      <c r="M7338">
        <v>20</v>
      </c>
    </row>
    <row r="7339" spans="1:13" x14ac:dyDescent="0.25">
      <c r="A7339" t="s">
        <v>16269</v>
      </c>
      <c r="B7339" t="s">
        <v>16268</v>
      </c>
      <c r="C7339" t="s">
        <v>151</v>
      </c>
      <c r="F7339">
        <v>1</v>
      </c>
      <c r="G7339" t="s">
        <v>16</v>
      </c>
      <c r="H7339">
        <v>0</v>
      </c>
      <c r="I7339" s="2" t="s">
        <v>165</v>
      </c>
      <c r="J7339" s="2">
        <v>205636</v>
      </c>
      <c r="K7339">
        <v>20</v>
      </c>
      <c r="L7339">
        <v>20</v>
      </c>
      <c r="M7339">
        <v>20</v>
      </c>
    </row>
    <row r="7340" spans="1:13" x14ac:dyDescent="0.25">
      <c r="A7340" t="s">
        <v>16270</v>
      </c>
      <c r="B7340" t="s">
        <v>16271</v>
      </c>
      <c r="C7340" t="s">
        <v>357</v>
      </c>
      <c r="D7340" t="s">
        <v>241</v>
      </c>
      <c r="G7340" t="s">
        <v>16</v>
      </c>
      <c r="H7340">
        <v>0</v>
      </c>
      <c r="I7340" s="2" t="s">
        <v>243</v>
      </c>
      <c r="J7340" s="2">
        <v>21253</v>
      </c>
      <c r="K7340">
        <v>20</v>
      </c>
      <c r="L7340">
        <v>20</v>
      </c>
      <c r="M7340">
        <v>20</v>
      </c>
    </row>
    <row r="7341" spans="1:13" x14ac:dyDescent="0.25">
      <c r="A7341" t="s">
        <v>16272</v>
      </c>
      <c r="B7341" t="s">
        <v>16273</v>
      </c>
      <c r="C7341" t="s">
        <v>241</v>
      </c>
      <c r="D7341" t="s">
        <v>262</v>
      </c>
      <c r="G7341" t="s">
        <v>16</v>
      </c>
      <c r="H7341">
        <v>0</v>
      </c>
      <c r="I7341" s="2" t="s">
        <v>288</v>
      </c>
      <c r="J7341" s="2" t="str">
        <f>"098001116"</f>
        <v>098001116</v>
      </c>
      <c r="K7341">
        <v>20</v>
      </c>
      <c r="L7341">
        <v>20</v>
      </c>
      <c r="M7341">
        <v>20</v>
      </c>
    </row>
    <row r="7342" spans="1:13" x14ac:dyDescent="0.25">
      <c r="A7342" t="s">
        <v>16274</v>
      </c>
      <c r="B7342" t="s">
        <v>16273</v>
      </c>
      <c r="C7342" t="s">
        <v>241</v>
      </c>
      <c r="D7342" t="s">
        <v>262</v>
      </c>
      <c r="F7342">
        <v>5</v>
      </c>
      <c r="G7342" t="s">
        <v>16</v>
      </c>
      <c r="H7342">
        <v>0</v>
      </c>
      <c r="I7342" s="2" t="b">
        <v>1</v>
      </c>
      <c r="J7342" s="2" t="s">
        <v>16275</v>
      </c>
      <c r="K7342">
        <v>20</v>
      </c>
      <c r="L7342">
        <v>20</v>
      </c>
      <c r="M7342">
        <v>20</v>
      </c>
    </row>
    <row r="7343" spans="1:13" x14ac:dyDescent="0.25">
      <c r="A7343" t="s">
        <v>16276</v>
      </c>
      <c r="B7343" t="s">
        <v>16278</v>
      </c>
      <c r="C7343" t="s">
        <v>241</v>
      </c>
      <c r="D7343" t="s">
        <v>1436</v>
      </c>
      <c r="F7343">
        <v>1</v>
      </c>
      <c r="G7343" t="s">
        <v>16</v>
      </c>
      <c r="H7343">
        <v>0</v>
      </c>
      <c r="I7343" s="2" t="s">
        <v>784</v>
      </c>
      <c r="J7343" s="2" t="s">
        <v>16277</v>
      </c>
      <c r="K7343">
        <v>20</v>
      </c>
      <c r="L7343">
        <v>20</v>
      </c>
      <c r="M7343">
        <v>20</v>
      </c>
    </row>
    <row r="7344" spans="1:13" x14ac:dyDescent="0.25">
      <c r="A7344" t="s">
        <v>16279</v>
      </c>
      <c r="B7344" t="s">
        <v>16280</v>
      </c>
      <c r="C7344" t="s">
        <v>2493</v>
      </c>
      <c r="D7344" t="s">
        <v>2360</v>
      </c>
      <c r="F7344">
        <v>2</v>
      </c>
      <c r="G7344" t="s">
        <v>16</v>
      </c>
      <c r="H7344">
        <v>0</v>
      </c>
      <c r="I7344" s="2" t="s">
        <v>2517</v>
      </c>
      <c r="J7344" s="2" t="s">
        <v>16281</v>
      </c>
      <c r="K7344">
        <v>20</v>
      </c>
      <c r="L7344">
        <v>20</v>
      </c>
      <c r="M7344">
        <v>20</v>
      </c>
    </row>
    <row r="7345" spans="1:13" x14ac:dyDescent="0.25">
      <c r="A7345" t="s">
        <v>16282</v>
      </c>
      <c r="B7345" t="s">
        <v>16283</v>
      </c>
      <c r="C7345" t="s">
        <v>2493</v>
      </c>
      <c r="D7345" t="s">
        <v>2360</v>
      </c>
      <c r="F7345">
        <v>2</v>
      </c>
      <c r="G7345" t="s">
        <v>16</v>
      </c>
      <c r="H7345">
        <v>0</v>
      </c>
      <c r="I7345" s="2" t="s">
        <v>2517</v>
      </c>
      <c r="J7345" s="2" t="s">
        <v>16284</v>
      </c>
      <c r="K7345">
        <v>20</v>
      </c>
      <c r="L7345">
        <v>20</v>
      </c>
      <c r="M7345">
        <v>20</v>
      </c>
    </row>
    <row r="7346" spans="1:13" x14ac:dyDescent="0.25">
      <c r="A7346" t="s">
        <v>16285</v>
      </c>
      <c r="B7346" t="s">
        <v>16286</v>
      </c>
      <c r="C7346" t="s">
        <v>496</v>
      </c>
      <c r="D7346" t="s">
        <v>2360</v>
      </c>
      <c r="G7346" t="s">
        <v>16</v>
      </c>
      <c r="H7346">
        <v>0</v>
      </c>
      <c r="I7346" s="2" t="s">
        <v>2533</v>
      </c>
      <c r="J7346" s="2" t="s">
        <v>16287</v>
      </c>
      <c r="K7346">
        <v>20</v>
      </c>
      <c r="L7346">
        <v>20</v>
      </c>
      <c r="M7346">
        <v>20</v>
      </c>
    </row>
    <row r="7347" spans="1:13" x14ac:dyDescent="0.25">
      <c r="A7347" t="s">
        <v>16288</v>
      </c>
      <c r="B7347" t="s">
        <v>16289</v>
      </c>
      <c r="C7347" t="s">
        <v>496</v>
      </c>
      <c r="D7347" t="s">
        <v>2360</v>
      </c>
      <c r="G7347" t="s">
        <v>16</v>
      </c>
      <c r="H7347">
        <v>0</v>
      </c>
      <c r="I7347" s="2" t="s">
        <v>2517</v>
      </c>
      <c r="J7347" s="2" t="s">
        <v>16290</v>
      </c>
      <c r="K7347">
        <v>20</v>
      </c>
      <c r="L7347">
        <v>20</v>
      </c>
      <c r="M7347">
        <v>20</v>
      </c>
    </row>
    <row r="7348" spans="1:13" x14ac:dyDescent="0.25">
      <c r="A7348" t="s">
        <v>16291</v>
      </c>
      <c r="B7348" t="s">
        <v>16292</v>
      </c>
      <c r="C7348" t="s">
        <v>362</v>
      </c>
      <c r="D7348" t="s">
        <v>4091</v>
      </c>
      <c r="F7348">
        <v>1</v>
      </c>
      <c r="G7348" t="s">
        <v>16</v>
      </c>
      <c r="H7348">
        <v>0</v>
      </c>
      <c r="I7348" s="2" t="s">
        <v>4093</v>
      </c>
      <c r="J7348" s="2" t="s">
        <v>16293</v>
      </c>
      <c r="K7348">
        <v>20</v>
      </c>
      <c r="L7348">
        <v>20</v>
      </c>
      <c r="M7348">
        <v>20</v>
      </c>
    </row>
    <row r="7349" spans="1:13" x14ac:dyDescent="0.25">
      <c r="A7349" t="s">
        <v>16294</v>
      </c>
      <c r="B7349" t="s">
        <v>16292</v>
      </c>
      <c r="C7349" t="s">
        <v>362</v>
      </c>
      <c r="D7349" t="s">
        <v>363</v>
      </c>
      <c r="F7349">
        <v>3</v>
      </c>
      <c r="G7349" t="s">
        <v>16</v>
      </c>
      <c r="H7349">
        <v>0</v>
      </c>
      <c r="I7349" s="2" t="s">
        <v>941</v>
      </c>
      <c r="J7349" s="2" t="s">
        <v>16295</v>
      </c>
      <c r="K7349">
        <v>20</v>
      </c>
      <c r="L7349">
        <v>20</v>
      </c>
      <c r="M7349">
        <v>20</v>
      </c>
    </row>
    <row r="7350" spans="1:13" x14ac:dyDescent="0.25">
      <c r="A7350" t="s">
        <v>16296</v>
      </c>
      <c r="B7350" t="s">
        <v>16292</v>
      </c>
      <c r="C7350" t="s">
        <v>362</v>
      </c>
      <c r="D7350" t="s">
        <v>4091</v>
      </c>
      <c r="F7350">
        <v>1</v>
      </c>
      <c r="G7350" t="s">
        <v>16</v>
      </c>
      <c r="H7350">
        <v>0</v>
      </c>
      <c r="I7350" s="2" t="s">
        <v>285</v>
      </c>
      <c r="J7350" s="2" t="s">
        <v>16297</v>
      </c>
      <c r="K7350">
        <v>20</v>
      </c>
      <c r="L7350">
        <v>20</v>
      </c>
      <c r="M7350">
        <v>20</v>
      </c>
    </row>
    <row r="7351" spans="1:13" x14ac:dyDescent="0.25">
      <c r="A7351" t="s">
        <v>16298</v>
      </c>
      <c r="B7351" t="s">
        <v>16299</v>
      </c>
      <c r="C7351" t="s">
        <v>362</v>
      </c>
      <c r="D7351" t="s">
        <v>4091</v>
      </c>
      <c r="F7351">
        <v>1</v>
      </c>
      <c r="G7351" t="s">
        <v>16</v>
      </c>
      <c r="H7351">
        <v>0</v>
      </c>
      <c r="I7351" s="2" t="s">
        <v>5057</v>
      </c>
      <c r="J7351" s="2" t="s">
        <v>16300</v>
      </c>
      <c r="K7351">
        <v>20</v>
      </c>
      <c r="L7351">
        <v>20</v>
      </c>
      <c r="M7351">
        <v>20</v>
      </c>
    </row>
    <row r="7352" spans="1:13" x14ac:dyDescent="0.25">
      <c r="A7352" t="s">
        <v>16301</v>
      </c>
      <c r="B7352" t="s">
        <v>16303</v>
      </c>
      <c r="C7352" t="s">
        <v>362</v>
      </c>
      <c r="D7352" t="s">
        <v>4091</v>
      </c>
      <c r="F7352">
        <v>2</v>
      </c>
      <c r="G7352" t="s">
        <v>16</v>
      </c>
      <c r="H7352">
        <v>0</v>
      </c>
      <c r="I7352" s="2" t="s">
        <v>765</v>
      </c>
      <c r="J7352" s="2" t="s">
        <v>16302</v>
      </c>
      <c r="K7352">
        <v>20</v>
      </c>
      <c r="L7352">
        <v>20</v>
      </c>
      <c r="M7352">
        <v>20</v>
      </c>
    </row>
    <row r="7353" spans="1:13" x14ac:dyDescent="0.25">
      <c r="A7353" t="s">
        <v>16304</v>
      </c>
      <c r="B7353" t="s">
        <v>16303</v>
      </c>
      <c r="C7353" t="s">
        <v>362</v>
      </c>
      <c r="D7353" t="s">
        <v>4091</v>
      </c>
      <c r="F7353">
        <v>2</v>
      </c>
      <c r="G7353" t="s">
        <v>16</v>
      </c>
      <c r="H7353">
        <v>0</v>
      </c>
      <c r="I7353" s="2" t="s">
        <v>285</v>
      </c>
      <c r="J7353" s="2">
        <v>55705</v>
      </c>
      <c r="K7353">
        <v>20</v>
      </c>
      <c r="L7353">
        <v>20</v>
      </c>
      <c r="M7353">
        <v>20</v>
      </c>
    </row>
    <row r="7354" spans="1:13" x14ac:dyDescent="0.25">
      <c r="A7354" t="s">
        <v>16305</v>
      </c>
      <c r="B7354" t="s">
        <v>16306</v>
      </c>
      <c r="C7354" t="s">
        <v>2493</v>
      </c>
      <c r="D7354" t="s">
        <v>2360</v>
      </c>
      <c r="G7354" t="s">
        <v>16</v>
      </c>
      <c r="H7354">
        <v>0</v>
      </c>
      <c r="I7354" s="2" t="s">
        <v>288</v>
      </c>
      <c r="J7354" s="2">
        <v>323078116</v>
      </c>
      <c r="K7354">
        <v>20</v>
      </c>
      <c r="L7354">
        <v>20</v>
      </c>
      <c r="M7354">
        <v>20</v>
      </c>
    </row>
    <row r="7355" spans="1:13" x14ac:dyDescent="0.25">
      <c r="A7355" t="s">
        <v>16307</v>
      </c>
      <c r="B7355" t="s">
        <v>16308</v>
      </c>
      <c r="C7355" t="s">
        <v>14</v>
      </c>
      <c r="D7355" t="s">
        <v>2620</v>
      </c>
      <c r="F7355">
        <v>1</v>
      </c>
      <c r="G7355" t="s">
        <v>16</v>
      </c>
      <c r="H7355">
        <v>0</v>
      </c>
      <c r="I7355" s="2" t="s">
        <v>669</v>
      </c>
      <c r="J7355" s="2" t="s">
        <v>16309</v>
      </c>
      <c r="K7355">
        <v>20</v>
      </c>
      <c r="L7355">
        <v>20</v>
      </c>
      <c r="M7355">
        <v>20</v>
      </c>
    </row>
    <row r="7356" spans="1:13" x14ac:dyDescent="0.25">
      <c r="A7356" t="s">
        <v>16310</v>
      </c>
      <c r="B7356" t="s">
        <v>16308</v>
      </c>
      <c r="C7356" t="s">
        <v>14</v>
      </c>
      <c r="D7356" t="s">
        <v>2620</v>
      </c>
      <c r="F7356">
        <v>4</v>
      </c>
      <c r="G7356" t="s">
        <v>16</v>
      </c>
      <c r="H7356">
        <v>0</v>
      </c>
      <c r="I7356" s="2" t="s">
        <v>7200</v>
      </c>
      <c r="J7356" s="2" t="s">
        <v>16311</v>
      </c>
      <c r="K7356">
        <v>20</v>
      </c>
      <c r="L7356">
        <v>20</v>
      </c>
      <c r="M7356">
        <v>20</v>
      </c>
    </row>
    <row r="7357" spans="1:13" x14ac:dyDescent="0.25">
      <c r="A7357" t="s">
        <v>16312</v>
      </c>
      <c r="B7357" t="s">
        <v>16313</v>
      </c>
      <c r="C7357" t="s">
        <v>14</v>
      </c>
      <c r="D7357" t="s">
        <v>2620</v>
      </c>
      <c r="F7357">
        <v>1</v>
      </c>
      <c r="G7357" t="s">
        <v>16</v>
      </c>
      <c r="H7357">
        <v>0</v>
      </c>
      <c r="I7357" s="2" t="s">
        <v>4736</v>
      </c>
      <c r="J7357" s="2" t="s">
        <v>16314</v>
      </c>
      <c r="K7357">
        <v>20</v>
      </c>
      <c r="L7357">
        <v>20</v>
      </c>
      <c r="M7357">
        <v>20</v>
      </c>
    </row>
    <row r="7358" spans="1:13" x14ac:dyDescent="0.25">
      <c r="A7358" t="s">
        <v>16315</v>
      </c>
      <c r="B7358" t="s">
        <v>16317</v>
      </c>
      <c r="C7358" t="s">
        <v>496</v>
      </c>
      <c r="D7358" t="s">
        <v>2360</v>
      </c>
      <c r="F7358">
        <v>1</v>
      </c>
      <c r="G7358" t="s">
        <v>16</v>
      </c>
      <c r="H7358">
        <v>0</v>
      </c>
      <c r="I7358" s="2" t="s">
        <v>765</v>
      </c>
      <c r="J7358" s="2" t="s">
        <v>16316</v>
      </c>
      <c r="K7358">
        <v>20</v>
      </c>
      <c r="L7358">
        <v>20</v>
      </c>
      <c r="M7358">
        <v>20</v>
      </c>
    </row>
    <row r="7359" spans="1:13" x14ac:dyDescent="0.25">
      <c r="A7359" t="s">
        <v>16318</v>
      </c>
      <c r="B7359" t="s">
        <v>16319</v>
      </c>
      <c r="C7359" t="s">
        <v>496</v>
      </c>
      <c r="D7359" t="s">
        <v>2360</v>
      </c>
      <c r="G7359" t="s">
        <v>16</v>
      </c>
      <c r="H7359">
        <v>0</v>
      </c>
      <c r="I7359" s="2" t="s">
        <v>2533</v>
      </c>
      <c r="J7359" s="2" t="s">
        <v>16320</v>
      </c>
      <c r="K7359">
        <v>20</v>
      </c>
      <c r="L7359">
        <v>20</v>
      </c>
      <c r="M7359">
        <v>20</v>
      </c>
    </row>
    <row r="7360" spans="1:13" x14ac:dyDescent="0.25">
      <c r="A7360" t="s">
        <v>16321</v>
      </c>
      <c r="B7360" t="s">
        <v>16323</v>
      </c>
      <c r="C7360" t="s">
        <v>496</v>
      </c>
      <c r="D7360" t="s">
        <v>2360</v>
      </c>
      <c r="F7360">
        <v>1</v>
      </c>
      <c r="G7360" t="s">
        <v>16</v>
      </c>
      <c r="H7360">
        <v>0</v>
      </c>
      <c r="I7360" s="2" t="s">
        <v>765</v>
      </c>
      <c r="J7360" s="2" t="s">
        <v>16322</v>
      </c>
      <c r="K7360">
        <v>20</v>
      </c>
      <c r="L7360">
        <v>20</v>
      </c>
      <c r="M7360">
        <v>20</v>
      </c>
    </row>
    <row r="7361" spans="1:13" x14ac:dyDescent="0.25">
      <c r="A7361" t="s">
        <v>16324</v>
      </c>
      <c r="B7361" t="s">
        <v>16325</v>
      </c>
      <c r="C7361" t="s">
        <v>20</v>
      </c>
      <c r="D7361" t="s">
        <v>2477</v>
      </c>
      <c r="F7361">
        <v>0</v>
      </c>
      <c r="G7361" t="s">
        <v>16</v>
      </c>
      <c r="H7361">
        <v>0</v>
      </c>
      <c r="I7361" s="2" t="s">
        <v>7609</v>
      </c>
      <c r="J7361" s="2">
        <v>84240118</v>
      </c>
      <c r="K7361">
        <v>20</v>
      </c>
      <c r="L7361">
        <v>20</v>
      </c>
      <c r="M7361">
        <v>20</v>
      </c>
    </row>
    <row r="7362" spans="1:13" x14ac:dyDescent="0.25">
      <c r="A7362" t="s">
        <v>16326</v>
      </c>
      <c r="B7362" t="s">
        <v>16327</v>
      </c>
      <c r="C7362" t="s">
        <v>540</v>
      </c>
      <c r="F7362">
        <v>5</v>
      </c>
      <c r="G7362" t="s">
        <v>16</v>
      </c>
      <c r="H7362">
        <v>0</v>
      </c>
      <c r="I7362" s="2" t="s">
        <v>737</v>
      </c>
      <c r="J7362" s="2" t="s">
        <v>16328</v>
      </c>
      <c r="K7362">
        <v>20</v>
      </c>
      <c r="L7362">
        <v>20</v>
      </c>
      <c r="M7362">
        <v>20</v>
      </c>
    </row>
    <row r="7363" spans="1:13" x14ac:dyDescent="0.25">
      <c r="A7363" t="s">
        <v>16329</v>
      </c>
      <c r="B7363" t="s">
        <v>16330</v>
      </c>
      <c r="C7363" t="s">
        <v>496</v>
      </c>
      <c r="D7363" t="s">
        <v>2360</v>
      </c>
      <c r="F7363">
        <v>2</v>
      </c>
      <c r="G7363" t="s">
        <v>16</v>
      </c>
      <c r="H7363">
        <v>0</v>
      </c>
      <c r="I7363" s="2" t="s">
        <v>2517</v>
      </c>
      <c r="J7363" s="2" t="s">
        <v>16331</v>
      </c>
      <c r="K7363">
        <v>20</v>
      </c>
      <c r="L7363">
        <v>20</v>
      </c>
      <c r="M7363">
        <v>20</v>
      </c>
    </row>
    <row r="7364" spans="1:13" x14ac:dyDescent="0.25">
      <c r="A7364" t="s">
        <v>16332</v>
      </c>
      <c r="B7364" t="s">
        <v>16333</v>
      </c>
      <c r="C7364" t="s">
        <v>496</v>
      </c>
      <c r="D7364" t="s">
        <v>2360</v>
      </c>
      <c r="F7364">
        <v>2</v>
      </c>
      <c r="G7364" t="s">
        <v>16</v>
      </c>
      <c r="H7364">
        <v>0</v>
      </c>
      <c r="I7364" s="2" t="s">
        <v>2517</v>
      </c>
      <c r="J7364" s="2" t="s">
        <v>16334</v>
      </c>
      <c r="K7364">
        <v>20</v>
      </c>
      <c r="L7364">
        <v>20</v>
      </c>
      <c r="M7364">
        <v>20</v>
      </c>
    </row>
    <row r="7365" spans="1:13" x14ac:dyDescent="0.25">
      <c r="A7365" t="s">
        <v>16335</v>
      </c>
      <c r="B7365" t="s">
        <v>16336</v>
      </c>
      <c r="C7365" t="s">
        <v>20</v>
      </c>
      <c r="D7365" t="s">
        <v>2477</v>
      </c>
      <c r="F7365">
        <v>0</v>
      </c>
      <c r="G7365" t="s">
        <v>16</v>
      </c>
      <c r="H7365">
        <v>0</v>
      </c>
      <c r="I7365" s="2" t="s">
        <v>1107</v>
      </c>
      <c r="J7365" s="2" t="s">
        <v>16337</v>
      </c>
      <c r="K7365">
        <v>20</v>
      </c>
      <c r="L7365">
        <v>20</v>
      </c>
      <c r="M7365">
        <v>20</v>
      </c>
    </row>
    <row r="7366" spans="1:13" x14ac:dyDescent="0.25">
      <c r="A7366" t="s">
        <v>16338</v>
      </c>
      <c r="B7366" t="s">
        <v>16340</v>
      </c>
      <c r="C7366" t="s">
        <v>496</v>
      </c>
      <c r="D7366" t="s">
        <v>2360</v>
      </c>
      <c r="F7366">
        <v>2</v>
      </c>
      <c r="G7366" t="s">
        <v>16</v>
      </c>
      <c r="H7366">
        <v>0</v>
      </c>
      <c r="I7366" s="2" t="s">
        <v>288</v>
      </c>
      <c r="J7366" s="2" t="s">
        <v>16339</v>
      </c>
      <c r="K7366">
        <v>20</v>
      </c>
      <c r="L7366">
        <v>20</v>
      </c>
      <c r="M7366">
        <v>20</v>
      </c>
    </row>
    <row r="7367" spans="1:13" x14ac:dyDescent="0.25">
      <c r="A7367" t="s">
        <v>16341</v>
      </c>
      <c r="B7367" t="s">
        <v>16342</v>
      </c>
      <c r="C7367" t="s">
        <v>496</v>
      </c>
      <c r="G7367" t="s">
        <v>16</v>
      </c>
      <c r="H7367">
        <v>0</v>
      </c>
      <c r="I7367" s="2" t="s">
        <v>737</v>
      </c>
      <c r="J7367" s="2" t="s">
        <v>16343</v>
      </c>
      <c r="K7367">
        <v>20</v>
      </c>
      <c r="L7367">
        <v>20</v>
      </c>
      <c r="M7367">
        <v>20</v>
      </c>
    </row>
    <row r="7368" spans="1:13" x14ac:dyDescent="0.25">
      <c r="A7368" t="s">
        <v>16344</v>
      </c>
      <c r="B7368" t="s">
        <v>16345</v>
      </c>
      <c r="C7368" t="s">
        <v>20</v>
      </c>
      <c r="D7368" t="s">
        <v>2477</v>
      </c>
      <c r="G7368" t="s">
        <v>16</v>
      </c>
      <c r="H7368">
        <v>0</v>
      </c>
      <c r="I7368" s="2" t="s">
        <v>288</v>
      </c>
      <c r="J7368" s="2" t="s">
        <v>16346</v>
      </c>
      <c r="K7368">
        <v>20</v>
      </c>
      <c r="L7368">
        <v>20</v>
      </c>
      <c r="M7368">
        <v>20</v>
      </c>
    </row>
    <row r="7369" spans="1:13" x14ac:dyDescent="0.25">
      <c r="A7369" t="s">
        <v>16347</v>
      </c>
      <c r="B7369" t="s">
        <v>16345</v>
      </c>
      <c r="C7369" t="s">
        <v>20</v>
      </c>
      <c r="D7369" t="s">
        <v>2477</v>
      </c>
      <c r="F7369">
        <v>3</v>
      </c>
      <c r="G7369" t="s">
        <v>16</v>
      </c>
      <c r="H7369">
        <v>0</v>
      </c>
      <c r="I7369" s="2" t="b">
        <v>1</v>
      </c>
      <c r="J7369" s="2" t="s">
        <v>16348</v>
      </c>
      <c r="K7369">
        <v>20</v>
      </c>
      <c r="L7369">
        <v>20</v>
      </c>
      <c r="M7369">
        <v>20</v>
      </c>
    </row>
    <row r="7370" spans="1:13" x14ac:dyDescent="0.25">
      <c r="A7370" t="s">
        <v>16349</v>
      </c>
      <c r="B7370" t="s">
        <v>16345</v>
      </c>
      <c r="C7370" t="s">
        <v>20</v>
      </c>
      <c r="D7370" t="s">
        <v>2477</v>
      </c>
      <c r="G7370" t="s">
        <v>16</v>
      </c>
      <c r="H7370">
        <v>0</v>
      </c>
      <c r="I7370" s="2" t="s">
        <v>737</v>
      </c>
      <c r="J7370" s="2" t="s">
        <v>16350</v>
      </c>
      <c r="K7370">
        <v>20</v>
      </c>
      <c r="L7370">
        <v>20</v>
      </c>
      <c r="M7370">
        <v>20</v>
      </c>
    </row>
    <row r="7371" spans="1:13" x14ac:dyDescent="0.25">
      <c r="A7371" t="s">
        <v>16351</v>
      </c>
      <c r="B7371" t="s">
        <v>16353</v>
      </c>
      <c r="C7371" t="s">
        <v>20</v>
      </c>
      <c r="D7371" t="s">
        <v>2477</v>
      </c>
      <c r="F7371">
        <v>2</v>
      </c>
      <c r="G7371" t="s">
        <v>16</v>
      </c>
      <c r="H7371">
        <v>0</v>
      </c>
      <c r="I7371" s="2" t="s">
        <v>288</v>
      </c>
      <c r="J7371" s="2" t="s">
        <v>16352</v>
      </c>
      <c r="K7371">
        <v>20</v>
      </c>
      <c r="L7371">
        <v>20</v>
      </c>
      <c r="M7371">
        <v>20</v>
      </c>
    </row>
    <row r="7372" spans="1:13" x14ac:dyDescent="0.25">
      <c r="A7372" t="s">
        <v>16354</v>
      </c>
      <c r="B7372" t="s">
        <v>16353</v>
      </c>
      <c r="C7372" t="s">
        <v>20</v>
      </c>
      <c r="D7372" t="s">
        <v>2477</v>
      </c>
      <c r="F7372">
        <v>1</v>
      </c>
      <c r="G7372" t="s">
        <v>16</v>
      </c>
      <c r="H7372">
        <v>0</v>
      </c>
      <c r="I7372" s="2" t="s">
        <v>5085</v>
      </c>
      <c r="J7372" s="2" t="s">
        <v>16355</v>
      </c>
      <c r="K7372">
        <v>20</v>
      </c>
      <c r="L7372">
        <v>20</v>
      </c>
      <c r="M7372">
        <v>20</v>
      </c>
    </row>
    <row r="7373" spans="1:13" x14ac:dyDescent="0.25">
      <c r="A7373" t="s">
        <v>16356</v>
      </c>
      <c r="B7373" t="s">
        <v>16353</v>
      </c>
      <c r="C7373" t="s">
        <v>20</v>
      </c>
      <c r="D7373" t="s">
        <v>2477</v>
      </c>
      <c r="F7373">
        <v>-1</v>
      </c>
      <c r="G7373" t="s">
        <v>16</v>
      </c>
      <c r="H7373">
        <v>0</v>
      </c>
      <c r="I7373" s="2" t="s">
        <v>64</v>
      </c>
      <c r="J7373" s="2">
        <v>10010256</v>
      </c>
      <c r="K7373">
        <v>20</v>
      </c>
      <c r="L7373">
        <v>20</v>
      </c>
      <c r="M7373">
        <v>20</v>
      </c>
    </row>
    <row r="7374" spans="1:13" x14ac:dyDescent="0.25">
      <c r="A7374" t="s">
        <v>16357</v>
      </c>
      <c r="B7374" t="s">
        <v>16353</v>
      </c>
      <c r="C7374" t="s">
        <v>20</v>
      </c>
      <c r="D7374" t="s">
        <v>2477</v>
      </c>
      <c r="F7374">
        <v>0</v>
      </c>
      <c r="G7374" t="s">
        <v>16</v>
      </c>
      <c r="H7374">
        <v>0</v>
      </c>
      <c r="I7374" s="2" t="s">
        <v>737</v>
      </c>
      <c r="J7374" s="2" t="s">
        <v>16358</v>
      </c>
      <c r="K7374">
        <v>20</v>
      </c>
      <c r="L7374">
        <v>20</v>
      </c>
      <c r="M7374">
        <v>20</v>
      </c>
    </row>
    <row r="7375" spans="1:13" x14ac:dyDescent="0.25">
      <c r="A7375" t="s">
        <v>16359</v>
      </c>
      <c r="B7375" t="s">
        <v>16360</v>
      </c>
      <c r="C7375" t="s">
        <v>20</v>
      </c>
      <c r="D7375" t="s">
        <v>2477</v>
      </c>
      <c r="G7375" t="s">
        <v>16</v>
      </c>
      <c r="H7375">
        <v>0</v>
      </c>
      <c r="I7375" s="2" t="b">
        <v>1</v>
      </c>
      <c r="J7375" s="2" t="s">
        <v>16361</v>
      </c>
      <c r="K7375">
        <v>20</v>
      </c>
      <c r="L7375">
        <v>20</v>
      </c>
      <c r="M7375">
        <v>20</v>
      </c>
    </row>
    <row r="7376" spans="1:13" x14ac:dyDescent="0.25">
      <c r="A7376" t="s">
        <v>16362</v>
      </c>
      <c r="B7376" t="s">
        <v>16363</v>
      </c>
      <c r="C7376" t="s">
        <v>20</v>
      </c>
      <c r="D7376" t="s">
        <v>2477</v>
      </c>
      <c r="G7376" t="s">
        <v>16</v>
      </c>
      <c r="H7376">
        <v>0</v>
      </c>
      <c r="I7376" s="2" t="s">
        <v>737</v>
      </c>
      <c r="J7376" s="2" t="s">
        <v>16364</v>
      </c>
      <c r="K7376">
        <v>20</v>
      </c>
      <c r="L7376">
        <v>20</v>
      </c>
      <c r="M7376">
        <v>20</v>
      </c>
    </row>
    <row r="7377" spans="1:13" x14ac:dyDescent="0.25">
      <c r="A7377" t="s">
        <v>16365</v>
      </c>
      <c r="B7377" t="s">
        <v>16366</v>
      </c>
      <c r="C7377" t="s">
        <v>20</v>
      </c>
      <c r="F7377">
        <v>1</v>
      </c>
      <c r="G7377" t="s">
        <v>16</v>
      </c>
      <c r="H7377">
        <v>0</v>
      </c>
      <c r="I7377" s="2" t="s">
        <v>1713</v>
      </c>
      <c r="J7377" s="2">
        <v>5903632</v>
      </c>
      <c r="K7377">
        <v>20</v>
      </c>
      <c r="L7377">
        <v>20</v>
      </c>
      <c r="M7377">
        <v>20</v>
      </c>
    </row>
    <row r="7378" spans="1:13" x14ac:dyDescent="0.25">
      <c r="A7378" t="s">
        <v>16367</v>
      </c>
      <c r="B7378" t="s">
        <v>16369</v>
      </c>
      <c r="C7378" t="s">
        <v>362</v>
      </c>
      <c r="D7378" t="s">
        <v>4091</v>
      </c>
      <c r="F7378">
        <v>1</v>
      </c>
      <c r="G7378" t="s">
        <v>16</v>
      </c>
      <c r="H7378">
        <v>0</v>
      </c>
      <c r="I7378" s="2" t="s">
        <v>765</v>
      </c>
      <c r="J7378" s="2" t="s">
        <v>16368</v>
      </c>
      <c r="K7378">
        <v>20</v>
      </c>
      <c r="L7378">
        <v>20</v>
      </c>
      <c r="M7378">
        <v>20</v>
      </c>
    </row>
    <row r="7379" spans="1:13" x14ac:dyDescent="0.25">
      <c r="A7379" t="s">
        <v>16370</v>
      </c>
      <c r="B7379" t="s">
        <v>16369</v>
      </c>
      <c r="C7379" t="s">
        <v>362</v>
      </c>
      <c r="D7379" t="s">
        <v>4091</v>
      </c>
      <c r="F7379">
        <v>2</v>
      </c>
      <c r="G7379" t="s">
        <v>16</v>
      </c>
      <c r="H7379">
        <v>0</v>
      </c>
      <c r="I7379" s="2" t="s">
        <v>707</v>
      </c>
      <c r="J7379" s="2" t="s">
        <v>16371</v>
      </c>
      <c r="K7379">
        <v>20</v>
      </c>
      <c r="L7379">
        <v>20</v>
      </c>
      <c r="M7379">
        <v>20</v>
      </c>
    </row>
    <row r="7380" spans="1:13" x14ac:dyDescent="0.25">
      <c r="A7380" t="s">
        <v>16372</v>
      </c>
      <c r="B7380" t="s">
        <v>16373</v>
      </c>
      <c r="C7380" t="s">
        <v>151</v>
      </c>
      <c r="F7380">
        <v>1</v>
      </c>
      <c r="G7380" t="s">
        <v>16</v>
      </c>
      <c r="H7380">
        <v>0</v>
      </c>
      <c r="I7380" s="2" t="s">
        <v>937</v>
      </c>
      <c r="J7380" s="2" t="s">
        <v>16374</v>
      </c>
      <c r="K7380">
        <v>20</v>
      </c>
      <c r="L7380">
        <v>20</v>
      </c>
      <c r="M7380">
        <v>20</v>
      </c>
    </row>
    <row r="7381" spans="1:13" x14ac:dyDescent="0.25">
      <c r="A7381" t="s">
        <v>16375</v>
      </c>
      <c r="B7381" t="s">
        <v>16376</v>
      </c>
      <c r="C7381" t="s">
        <v>20</v>
      </c>
      <c r="D7381" t="s">
        <v>26</v>
      </c>
      <c r="G7381" t="s">
        <v>16</v>
      </c>
      <c r="H7381">
        <v>0</v>
      </c>
      <c r="I7381" s="2" t="s">
        <v>172</v>
      </c>
      <c r="J7381" s="2">
        <v>42448019</v>
      </c>
      <c r="K7381">
        <v>20</v>
      </c>
      <c r="L7381">
        <v>20</v>
      </c>
      <c r="M7381">
        <v>20</v>
      </c>
    </row>
    <row r="7382" spans="1:13" x14ac:dyDescent="0.25">
      <c r="A7382" t="s">
        <v>16377</v>
      </c>
      <c r="B7382" t="s">
        <v>16376</v>
      </c>
      <c r="C7382" t="s">
        <v>20</v>
      </c>
      <c r="D7382" t="s">
        <v>26</v>
      </c>
      <c r="F7382">
        <v>2</v>
      </c>
      <c r="G7382" t="s">
        <v>16</v>
      </c>
      <c r="H7382">
        <v>0</v>
      </c>
      <c r="I7382" s="2" t="s">
        <v>177</v>
      </c>
      <c r="J7382" s="2" t="s">
        <v>16378</v>
      </c>
      <c r="K7382">
        <v>20</v>
      </c>
      <c r="L7382">
        <v>20</v>
      </c>
      <c r="M7382">
        <v>20</v>
      </c>
    </row>
    <row r="7383" spans="1:13" x14ac:dyDescent="0.25">
      <c r="A7383" t="s">
        <v>16379</v>
      </c>
      <c r="B7383" t="s">
        <v>16376</v>
      </c>
      <c r="C7383" t="s">
        <v>20</v>
      </c>
      <c r="D7383" t="s">
        <v>26</v>
      </c>
      <c r="F7383">
        <v>1</v>
      </c>
      <c r="G7383" t="s">
        <v>16</v>
      </c>
      <c r="H7383">
        <v>0</v>
      </c>
      <c r="I7383" s="2" t="s">
        <v>83</v>
      </c>
      <c r="J7383" s="2" t="s">
        <v>16380</v>
      </c>
      <c r="K7383">
        <v>20</v>
      </c>
      <c r="L7383">
        <v>20</v>
      </c>
      <c r="M7383">
        <v>20</v>
      </c>
    </row>
    <row r="7384" spans="1:13" x14ac:dyDescent="0.25">
      <c r="A7384" t="s">
        <v>16381</v>
      </c>
      <c r="B7384" t="s">
        <v>16382</v>
      </c>
      <c r="C7384" t="s">
        <v>20</v>
      </c>
      <c r="D7384" t="s">
        <v>26</v>
      </c>
      <c r="F7384">
        <v>8</v>
      </c>
      <c r="G7384" t="s">
        <v>16</v>
      </c>
      <c r="H7384">
        <v>0</v>
      </c>
      <c r="I7384" s="2" t="s">
        <v>500</v>
      </c>
      <c r="J7384" s="2" t="s">
        <v>16383</v>
      </c>
      <c r="K7384">
        <v>20</v>
      </c>
      <c r="L7384">
        <v>20</v>
      </c>
      <c r="M7384">
        <v>20</v>
      </c>
    </row>
    <row r="7385" spans="1:13" x14ac:dyDescent="0.25">
      <c r="A7385" t="s">
        <v>16384</v>
      </c>
      <c r="B7385" t="s">
        <v>16385</v>
      </c>
      <c r="C7385" t="s">
        <v>20</v>
      </c>
      <c r="D7385" t="s">
        <v>26</v>
      </c>
      <c r="G7385" t="s">
        <v>16</v>
      </c>
      <c r="H7385">
        <v>0</v>
      </c>
      <c r="I7385" s="2" t="s">
        <v>3421</v>
      </c>
      <c r="J7385" s="2" t="s">
        <v>16386</v>
      </c>
      <c r="K7385">
        <v>20</v>
      </c>
      <c r="L7385">
        <v>20</v>
      </c>
      <c r="M7385">
        <v>20</v>
      </c>
    </row>
    <row r="7386" spans="1:13" x14ac:dyDescent="0.25">
      <c r="A7386" t="s">
        <v>16387</v>
      </c>
      <c r="B7386" t="s">
        <v>16385</v>
      </c>
      <c r="C7386" t="s">
        <v>20</v>
      </c>
      <c r="D7386" t="s">
        <v>26</v>
      </c>
      <c r="G7386" t="s">
        <v>16</v>
      </c>
      <c r="H7386">
        <v>0</v>
      </c>
      <c r="I7386" s="2" t="s">
        <v>99</v>
      </c>
      <c r="J7386" s="2" t="str">
        <f>"081.340"</f>
        <v>081.340</v>
      </c>
      <c r="K7386">
        <v>20</v>
      </c>
      <c r="L7386">
        <v>20</v>
      </c>
      <c r="M7386">
        <v>20</v>
      </c>
    </row>
    <row r="7387" spans="1:13" x14ac:dyDescent="0.25">
      <c r="A7387" t="s">
        <v>16388</v>
      </c>
      <c r="B7387" t="s">
        <v>16389</v>
      </c>
      <c r="C7387" t="s">
        <v>20</v>
      </c>
      <c r="D7387" t="s">
        <v>26</v>
      </c>
      <c r="F7387">
        <v>1</v>
      </c>
      <c r="G7387" t="s">
        <v>16</v>
      </c>
      <c r="H7387">
        <v>0</v>
      </c>
      <c r="I7387" s="2" t="s">
        <v>80</v>
      </c>
      <c r="J7387" s="2" t="s">
        <v>16390</v>
      </c>
      <c r="K7387">
        <v>20</v>
      </c>
      <c r="L7387">
        <v>20</v>
      </c>
      <c r="M7387">
        <v>20</v>
      </c>
    </row>
    <row r="7388" spans="1:13" x14ac:dyDescent="0.25">
      <c r="A7388" t="s">
        <v>16391</v>
      </c>
      <c r="B7388" t="s">
        <v>16389</v>
      </c>
      <c r="C7388" t="s">
        <v>20</v>
      </c>
      <c r="D7388" t="s">
        <v>26</v>
      </c>
      <c r="F7388">
        <v>0</v>
      </c>
      <c r="G7388" t="s">
        <v>16</v>
      </c>
      <c r="H7388">
        <v>0</v>
      </c>
      <c r="K7388">
        <v>20</v>
      </c>
      <c r="L7388">
        <v>20</v>
      </c>
      <c r="M7388">
        <v>20</v>
      </c>
    </row>
    <row r="7389" spans="1:13" x14ac:dyDescent="0.25">
      <c r="A7389" t="s">
        <v>16392</v>
      </c>
      <c r="B7389" t="s">
        <v>16393</v>
      </c>
      <c r="C7389" t="s">
        <v>20</v>
      </c>
      <c r="D7389" t="s">
        <v>26</v>
      </c>
      <c r="F7389">
        <v>2</v>
      </c>
      <c r="G7389" t="s">
        <v>16</v>
      </c>
      <c r="H7389">
        <v>0</v>
      </c>
      <c r="I7389" s="2" t="s">
        <v>99</v>
      </c>
      <c r="J7389" s="3">
        <v>132130</v>
      </c>
      <c r="K7389">
        <v>20</v>
      </c>
      <c r="L7389">
        <v>20</v>
      </c>
      <c r="M7389">
        <v>20</v>
      </c>
    </row>
    <row r="7390" spans="1:13" x14ac:dyDescent="0.25">
      <c r="A7390" t="s">
        <v>16394</v>
      </c>
      <c r="B7390" t="s">
        <v>16393</v>
      </c>
      <c r="C7390" t="s">
        <v>20</v>
      </c>
      <c r="D7390" t="s">
        <v>26</v>
      </c>
      <c r="F7390">
        <v>2</v>
      </c>
      <c r="G7390" t="s">
        <v>16</v>
      </c>
      <c r="H7390">
        <v>0</v>
      </c>
      <c r="I7390" s="2" t="s">
        <v>500</v>
      </c>
      <c r="J7390" s="2" t="s">
        <v>16395</v>
      </c>
      <c r="K7390">
        <v>20</v>
      </c>
      <c r="L7390">
        <v>20</v>
      </c>
      <c r="M7390">
        <v>20</v>
      </c>
    </row>
    <row r="7391" spans="1:13" x14ac:dyDescent="0.25">
      <c r="A7391" t="s">
        <v>16396</v>
      </c>
      <c r="B7391" t="s">
        <v>16393</v>
      </c>
      <c r="C7391" t="s">
        <v>20</v>
      </c>
      <c r="D7391" t="s">
        <v>26</v>
      </c>
      <c r="F7391">
        <v>1</v>
      </c>
      <c r="G7391" t="s">
        <v>16</v>
      </c>
      <c r="H7391">
        <v>0</v>
      </c>
      <c r="I7391" s="2" t="s">
        <v>172</v>
      </c>
      <c r="J7391" s="2">
        <v>42446021</v>
      </c>
      <c r="K7391">
        <v>20</v>
      </c>
      <c r="L7391">
        <v>20</v>
      </c>
      <c r="M7391">
        <v>20</v>
      </c>
    </row>
    <row r="7392" spans="1:13" x14ac:dyDescent="0.25">
      <c r="A7392" t="s">
        <v>16397</v>
      </c>
      <c r="B7392" t="s">
        <v>16398</v>
      </c>
      <c r="C7392" t="s">
        <v>20</v>
      </c>
      <c r="G7392" t="s">
        <v>16</v>
      </c>
      <c r="H7392">
        <v>0</v>
      </c>
      <c r="I7392" s="2" t="s">
        <v>765</v>
      </c>
      <c r="J7392" s="2">
        <v>140050116</v>
      </c>
      <c r="K7392">
        <v>20</v>
      </c>
      <c r="L7392">
        <v>20</v>
      </c>
      <c r="M7392">
        <v>20</v>
      </c>
    </row>
    <row r="7393" spans="1:13" x14ac:dyDescent="0.25">
      <c r="A7393" t="s">
        <v>16399</v>
      </c>
      <c r="B7393" t="s">
        <v>16400</v>
      </c>
      <c r="C7393" t="s">
        <v>20</v>
      </c>
      <c r="D7393" t="s">
        <v>26</v>
      </c>
      <c r="F7393">
        <v>2</v>
      </c>
      <c r="G7393" t="s">
        <v>16</v>
      </c>
      <c r="H7393">
        <v>0</v>
      </c>
      <c r="I7393" s="2" t="s">
        <v>142</v>
      </c>
      <c r="J7393" s="2">
        <v>849533</v>
      </c>
      <c r="K7393">
        <v>20</v>
      </c>
      <c r="L7393">
        <v>20</v>
      </c>
      <c r="M7393">
        <v>20</v>
      </c>
    </row>
    <row r="7394" spans="1:13" x14ac:dyDescent="0.25">
      <c r="A7394" t="s">
        <v>16401</v>
      </c>
      <c r="B7394" t="s">
        <v>16400</v>
      </c>
      <c r="C7394" t="s">
        <v>20</v>
      </c>
      <c r="D7394" t="s">
        <v>26</v>
      </c>
      <c r="G7394" t="s">
        <v>16</v>
      </c>
      <c r="H7394">
        <v>0</v>
      </c>
      <c r="I7394" s="2" t="s">
        <v>97</v>
      </c>
      <c r="J7394" s="3">
        <v>355340</v>
      </c>
      <c r="K7394">
        <v>20</v>
      </c>
      <c r="L7394">
        <v>20</v>
      </c>
      <c r="M7394">
        <v>20</v>
      </c>
    </row>
    <row r="7395" spans="1:13" x14ac:dyDescent="0.25">
      <c r="A7395" t="s">
        <v>16402</v>
      </c>
      <c r="B7395" t="s">
        <v>16400</v>
      </c>
      <c r="C7395" t="s">
        <v>20</v>
      </c>
      <c r="D7395" t="s">
        <v>26</v>
      </c>
      <c r="G7395" t="s">
        <v>16</v>
      </c>
      <c r="H7395">
        <v>0</v>
      </c>
      <c r="I7395" s="2" t="s">
        <v>500</v>
      </c>
      <c r="J7395" s="2" t="s">
        <v>16403</v>
      </c>
      <c r="K7395">
        <v>20</v>
      </c>
      <c r="L7395">
        <v>20</v>
      </c>
      <c r="M7395">
        <v>20</v>
      </c>
    </row>
    <row r="7396" spans="1:13" x14ac:dyDescent="0.25">
      <c r="A7396" t="s">
        <v>16404</v>
      </c>
      <c r="B7396" t="s">
        <v>16400</v>
      </c>
      <c r="C7396" t="s">
        <v>20</v>
      </c>
      <c r="D7396" t="s">
        <v>26</v>
      </c>
      <c r="G7396" t="s">
        <v>16</v>
      </c>
      <c r="H7396">
        <v>0</v>
      </c>
      <c r="I7396" s="2" t="s">
        <v>2694</v>
      </c>
      <c r="J7396" s="2">
        <v>3703406</v>
      </c>
      <c r="K7396">
        <v>20</v>
      </c>
      <c r="L7396">
        <v>20</v>
      </c>
      <c r="M7396">
        <v>20</v>
      </c>
    </row>
    <row r="7397" spans="1:13" x14ac:dyDescent="0.25">
      <c r="A7397" t="s">
        <v>16405</v>
      </c>
      <c r="B7397" t="s">
        <v>16400</v>
      </c>
      <c r="C7397" t="s">
        <v>20</v>
      </c>
      <c r="D7397" t="s">
        <v>26</v>
      </c>
      <c r="G7397" t="s">
        <v>16</v>
      </c>
      <c r="H7397">
        <v>0</v>
      </c>
      <c r="I7397" s="2" t="s">
        <v>174</v>
      </c>
      <c r="J7397" s="2" t="s">
        <v>16406</v>
      </c>
      <c r="K7397">
        <v>20</v>
      </c>
      <c r="L7397">
        <v>20</v>
      </c>
      <c r="M7397">
        <v>20</v>
      </c>
    </row>
    <row r="7398" spans="1:13" x14ac:dyDescent="0.25">
      <c r="A7398" t="s">
        <v>16407</v>
      </c>
      <c r="B7398" t="s">
        <v>16400</v>
      </c>
      <c r="C7398" t="s">
        <v>20</v>
      </c>
      <c r="D7398" t="s">
        <v>26</v>
      </c>
      <c r="G7398" t="s">
        <v>16</v>
      </c>
      <c r="H7398">
        <v>0</v>
      </c>
      <c r="I7398" s="2" t="s">
        <v>80</v>
      </c>
      <c r="J7398" s="2" t="s">
        <v>16408</v>
      </c>
      <c r="K7398">
        <v>20</v>
      </c>
      <c r="L7398">
        <v>20</v>
      </c>
      <c r="M7398">
        <v>20</v>
      </c>
    </row>
    <row r="7399" spans="1:13" x14ac:dyDescent="0.25">
      <c r="A7399" t="s">
        <v>16409</v>
      </c>
      <c r="B7399" t="s">
        <v>16410</v>
      </c>
      <c r="C7399" t="s">
        <v>20</v>
      </c>
      <c r="D7399" t="s">
        <v>26</v>
      </c>
      <c r="F7399">
        <v>1</v>
      </c>
      <c r="G7399" t="s">
        <v>16</v>
      </c>
      <c r="H7399">
        <v>0</v>
      </c>
      <c r="I7399" s="2" t="s">
        <v>97</v>
      </c>
      <c r="J7399" s="3">
        <v>809333</v>
      </c>
      <c r="K7399">
        <v>20</v>
      </c>
      <c r="L7399">
        <v>20</v>
      </c>
      <c r="M7399">
        <v>20</v>
      </c>
    </row>
    <row r="7400" spans="1:13" x14ac:dyDescent="0.25">
      <c r="A7400" t="s">
        <v>16411</v>
      </c>
      <c r="B7400" t="s">
        <v>16410</v>
      </c>
      <c r="C7400" t="s">
        <v>20</v>
      </c>
      <c r="D7400" t="s">
        <v>26</v>
      </c>
      <c r="G7400" t="s">
        <v>16</v>
      </c>
      <c r="H7400">
        <v>0</v>
      </c>
      <c r="I7400" s="2" t="s">
        <v>500</v>
      </c>
      <c r="J7400" s="2" t="s">
        <v>16412</v>
      </c>
      <c r="K7400">
        <v>20</v>
      </c>
      <c r="L7400">
        <v>20</v>
      </c>
      <c r="M7400">
        <v>20</v>
      </c>
    </row>
    <row r="7401" spans="1:13" x14ac:dyDescent="0.25">
      <c r="A7401" t="s">
        <v>16413</v>
      </c>
      <c r="B7401" t="s">
        <v>16414</v>
      </c>
      <c r="C7401" t="s">
        <v>20</v>
      </c>
      <c r="D7401" t="s">
        <v>26</v>
      </c>
      <c r="G7401" t="s">
        <v>16</v>
      </c>
      <c r="H7401">
        <v>0</v>
      </c>
      <c r="I7401" s="2" t="s">
        <v>27</v>
      </c>
      <c r="J7401" s="2">
        <v>42445121</v>
      </c>
      <c r="K7401">
        <v>20</v>
      </c>
      <c r="L7401">
        <v>20</v>
      </c>
      <c r="M7401">
        <v>20</v>
      </c>
    </row>
    <row r="7402" spans="1:13" x14ac:dyDescent="0.25">
      <c r="A7402" t="s">
        <v>16415</v>
      </c>
      <c r="B7402" t="s">
        <v>16416</v>
      </c>
      <c r="C7402" t="s">
        <v>1436</v>
      </c>
      <c r="F7402">
        <v>3</v>
      </c>
      <c r="G7402" t="s">
        <v>16</v>
      </c>
      <c r="H7402">
        <v>0</v>
      </c>
      <c r="I7402" s="2" t="s">
        <v>383</v>
      </c>
      <c r="J7402" s="2" t="str">
        <f>"0280142486"</f>
        <v>0280142486</v>
      </c>
      <c r="K7402">
        <v>20</v>
      </c>
      <c r="L7402">
        <v>20</v>
      </c>
      <c r="M7402">
        <v>20</v>
      </c>
    </row>
    <row r="7403" spans="1:13" x14ac:dyDescent="0.25">
      <c r="A7403" t="s">
        <v>16417</v>
      </c>
      <c r="B7403" t="s">
        <v>16418</v>
      </c>
      <c r="C7403" t="s">
        <v>20</v>
      </c>
      <c r="D7403" t="s">
        <v>26</v>
      </c>
      <c r="F7403">
        <v>1</v>
      </c>
      <c r="G7403" t="s">
        <v>16</v>
      </c>
      <c r="H7403">
        <v>0</v>
      </c>
      <c r="I7403" s="2" t="s">
        <v>5822</v>
      </c>
      <c r="J7403" s="2">
        <v>3704719</v>
      </c>
      <c r="K7403">
        <v>20</v>
      </c>
      <c r="L7403">
        <v>20</v>
      </c>
      <c r="M7403">
        <v>20</v>
      </c>
    </row>
    <row r="7404" spans="1:13" x14ac:dyDescent="0.25">
      <c r="A7404" t="s">
        <v>16419</v>
      </c>
      <c r="B7404" t="s">
        <v>16420</v>
      </c>
      <c r="C7404" t="s">
        <v>151</v>
      </c>
      <c r="D7404" t="s">
        <v>6316</v>
      </c>
      <c r="F7404">
        <v>1</v>
      </c>
      <c r="G7404" t="s">
        <v>16</v>
      </c>
      <c r="H7404">
        <v>0</v>
      </c>
      <c r="I7404" s="2" t="s">
        <v>639</v>
      </c>
      <c r="J7404" s="2" t="s">
        <v>16421</v>
      </c>
      <c r="K7404">
        <v>20</v>
      </c>
      <c r="L7404">
        <v>20</v>
      </c>
      <c r="M7404">
        <v>20</v>
      </c>
    </row>
    <row r="7405" spans="1:13" x14ac:dyDescent="0.25">
      <c r="A7405" t="s">
        <v>16422</v>
      </c>
      <c r="B7405" t="s">
        <v>16423</v>
      </c>
      <c r="C7405" t="s">
        <v>20</v>
      </c>
      <c r="D7405" t="s">
        <v>26</v>
      </c>
      <c r="F7405">
        <v>1</v>
      </c>
      <c r="G7405" t="s">
        <v>16</v>
      </c>
      <c r="H7405">
        <v>0</v>
      </c>
      <c r="I7405" s="2" t="s">
        <v>759</v>
      </c>
      <c r="J7405" s="2">
        <v>850510</v>
      </c>
      <c r="K7405">
        <v>20</v>
      </c>
      <c r="L7405">
        <v>20</v>
      </c>
      <c r="M7405">
        <v>20</v>
      </c>
    </row>
    <row r="7406" spans="1:13" x14ac:dyDescent="0.25">
      <c r="A7406" t="s">
        <v>16424</v>
      </c>
      <c r="B7406" t="s">
        <v>16425</v>
      </c>
      <c r="C7406" t="s">
        <v>20</v>
      </c>
      <c r="D7406" t="s">
        <v>26</v>
      </c>
      <c r="G7406" t="s">
        <v>16</v>
      </c>
      <c r="H7406">
        <v>0</v>
      </c>
      <c r="I7406" s="2" t="s">
        <v>97</v>
      </c>
      <c r="J7406" s="3">
        <v>805080</v>
      </c>
      <c r="K7406">
        <v>20</v>
      </c>
      <c r="L7406">
        <v>20</v>
      </c>
      <c r="M7406">
        <v>20</v>
      </c>
    </row>
    <row r="7407" spans="1:13" x14ac:dyDescent="0.25">
      <c r="A7407" t="s">
        <v>16426</v>
      </c>
      <c r="B7407" t="s">
        <v>16425</v>
      </c>
      <c r="C7407" t="s">
        <v>20</v>
      </c>
      <c r="D7407" t="s">
        <v>26</v>
      </c>
      <c r="F7407">
        <v>1</v>
      </c>
      <c r="G7407" t="s">
        <v>16</v>
      </c>
      <c r="H7407">
        <v>0</v>
      </c>
      <c r="I7407" s="2" t="s">
        <v>174</v>
      </c>
      <c r="J7407" s="2" t="s">
        <v>16427</v>
      </c>
      <c r="K7407">
        <v>20</v>
      </c>
      <c r="L7407">
        <v>20</v>
      </c>
      <c r="M7407">
        <v>20</v>
      </c>
    </row>
    <row r="7408" spans="1:13" x14ac:dyDescent="0.25">
      <c r="A7408" t="s">
        <v>16428</v>
      </c>
      <c r="B7408" t="s">
        <v>16425</v>
      </c>
      <c r="C7408" t="s">
        <v>20</v>
      </c>
      <c r="D7408" t="s">
        <v>26</v>
      </c>
      <c r="F7408">
        <v>2</v>
      </c>
      <c r="G7408" t="s">
        <v>16</v>
      </c>
      <c r="H7408">
        <v>0</v>
      </c>
      <c r="I7408" s="2" t="s">
        <v>80</v>
      </c>
      <c r="J7408" s="2" t="s">
        <v>16429</v>
      </c>
      <c r="K7408">
        <v>20</v>
      </c>
      <c r="L7408">
        <v>20</v>
      </c>
      <c r="M7408">
        <v>20</v>
      </c>
    </row>
    <row r="7409" spans="1:13" x14ac:dyDescent="0.25">
      <c r="A7409">
        <v>850512</v>
      </c>
      <c r="B7409" t="s">
        <v>16430</v>
      </c>
      <c r="C7409" t="s">
        <v>20</v>
      </c>
      <c r="D7409" t="s">
        <v>26</v>
      </c>
      <c r="F7409">
        <v>1</v>
      </c>
      <c r="G7409" t="s">
        <v>16</v>
      </c>
      <c r="H7409">
        <v>0</v>
      </c>
      <c r="I7409" s="2" t="s">
        <v>497</v>
      </c>
      <c r="J7409" s="2">
        <v>90531712</v>
      </c>
      <c r="K7409">
        <v>20</v>
      </c>
      <c r="L7409">
        <v>20</v>
      </c>
      <c r="M7409">
        <v>20</v>
      </c>
    </row>
    <row r="7410" spans="1:13" x14ac:dyDescent="0.25">
      <c r="A7410" t="s">
        <v>16431</v>
      </c>
      <c r="B7410" t="s">
        <v>16430</v>
      </c>
      <c r="C7410" t="s">
        <v>20</v>
      </c>
      <c r="D7410" t="s">
        <v>26</v>
      </c>
      <c r="F7410">
        <v>3</v>
      </c>
      <c r="G7410" t="s">
        <v>16</v>
      </c>
      <c r="H7410">
        <v>0</v>
      </c>
      <c r="I7410" s="2" t="s">
        <v>97</v>
      </c>
      <c r="J7410" s="2" t="str">
        <f>"051.610"</f>
        <v>051.610</v>
      </c>
      <c r="K7410">
        <v>20</v>
      </c>
      <c r="L7410">
        <v>20</v>
      </c>
      <c r="M7410">
        <v>20</v>
      </c>
    </row>
    <row r="7411" spans="1:13" x14ac:dyDescent="0.25">
      <c r="A7411" t="s">
        <v>16432</v>
      </c>
      <c r="B7411" t="s">
        <v>16433</v>
      </c>
      <c r="C7411" t="s">
        <v>20</v>
      </c>
      <c r="D7411" t="s">
        <v>26</v>
      </c>
      <c r="F7411">
        <v>5</v>
      </c>
      <c r="G7411" t="s">
        <v>16</v>
      </c>
      <c r="H7411">
        <v>0</v>
      </c>
      <c r="K7411">
        <v>20</v>
      </c>
      <c r="L7411">
        <v>20</v>
      </c>
      <c r="M7411">
        <v>20</v>
      </c>
    </row>
    <row r="7412" spans="1:13" x14ac:dyDescent="0.25">
      <c r="A7412" t="s">
        <v>16434</v>
      </c>
      <c r="B7412" t="s">
        <v>16435</v>
      </c>
      <c r="C7412" t="s">
        <v>20</v>
      </c>
      <c r="D7412" t="s">
        <v>26</v>
      </c>
      <c r="F7412">
        <v>5</v>
      </c>
      <c r="G7412" t="s">
        <v>16</v>
      </c>
      <c r="H7412">
        <v>0</v>
      </c>
      <c r="K7412">
        <v>20</v>
      </c>
      <c r="L7412">
        <v>20</v>
      </c>
      <c r="M7412">
        <v>20</v>
      </c>
    </row>
    <row r="7413" spans="1:13" x14ac:dyDescent="0.25">
      <c r="A7413" t="s">
        <v>16436</v>
      </c>
      <c r="B7413" t="s">
        <v>16437</v>
      </c>
      <c r="C7413" t="s">
        <v>20</v>
      </c>
      <c r="D7413" t="s">
        <v>26</v>
      </c>
      <c r="F7413">
        <v>5</v>
      </c>
      <c r="G7413" t="s">
        <v>16</v>
      </c>
      <c r="H7413">
        <v>0</v>
      </c>
      <c r="I7413" s="2" t="s">
        <v>169</v>
      </c>
      <c r="J7413" s="2" t="str">
        <f>"091400"</f>
        <v>091400</v>
      </c>
      <c r="K7413">
        <v>20</v>
      </c>
      <c r="L7413">
        <v>20</v>
      </c>
      <c r="M7413">
        <v>20</v>
      </c>
    </row>
    <row r="7414" spans="1:13" x14ac:dyDescent="0.25">
      <c r="A7414" t="s">
        <v>16438</v>
      </c>
      <c r="B7414" t="s">
        <v>16437</v>
      </c>
      <c r="C7414" t="s">
        <v>20</v>
      </c>
      <c r="D7414" t="s">
        <v>26</v>
      </c>
      <c r="F7414">
        <v>8</v>
      </c>
      <c r="G7414" t="s">
        <v>16</v>
      </c>
      <c r="H7414">
        <v>0</v>
      </c>
      <c r="K7414">
        <v>20</v>
      </c>
      <c r="L7414">
        <v>20</v>
      </c>
      <c r="M7414">
        <v>20</v>
      </c>
    </row>
    <row r="7415" spans="1:13" x14ac:dyDescent="0.25">
      <c r="A7415" t="s">
        <v>16439</v>
      </c>
      <c r="B7415" t="s">
        <v>16440</v>
      </c>
      <c r="C7415" t="s">
        <v>20</v>
      </c>
      <c r="D7415" t="s">
        <v>26</v>
      </c>
      <c r="F7415">
        <v>2</v>
      </c>
      <c r="G7415" t="s">
        <v>16</v>
      </c>
      <c r="H7415">
        <v>0</v>
      </c>
      <c r="I7415" s="2" t="s">
        <v>97</v>
      </c>
      <c r="J7415" s="3">
        <v>834793</v>
      </c>
      <c r="K7415">
        <v>20</v>
      </c>
      <c r="L7415">
        <v>20</v>
      </c>
      <c r="M7415">
        <v>20</v>
      </c>
    </row>
    <row r="7416" spans="1:13" x14ac:dyDescent="0.25">
      <c r="A7416" t="s">
        <v>16441</v>
      </c>
      <c r="B7416" t="s">
        <v>16440</v>
      </c>
      <c r="C7416" t="s">
        <v>20</v>
      </c>
      <c r="D7416" t="s">
        <v>26</v>
      </c>
      <c r="G7416" t="s">
        <v>16</v>
      </c>
      <c r="H7416">
        <v>0</v>
      </c>
      <c r="I7416" s="2" t="s">
        <v>11762</v>
      </c>
      <c r="J7416" s="2" t="str">
        <f>"091023"</f>
        <v>091023</v>
      </c>
      <c r="K7416">
        <v>20</v>
      </c>
      <c r="L7416">
        <v>20</v>
      </c>
      <c r="M7416">
        <v>20</v>
      </c>
    </row>
    <row r="7417" spans="1:13" x14ac:dyDescent="0.25">
      <c r="A7417" t="s">
        <v>16442</v>
      </c>
      <c r="B7417" t="s">
        <v>16440</v>
      </c>
      <c r="C7417" t="s">
        <v>20</v>
      </c>
      <c r="D7417" t="s">
        <v>26</v>
      </c>
      <c r="F7417">
        <v>2</v>
      </c>
      <c r="G7417" t="s">
        <v>16</v>
      </c>
      <c r="H7417">
        <v>0</v>
      </c>
      <c r="K7417">
        <v>20</v>
      </c>
      <c r="L7417">
        <v>20</v>
      </c>
      <c r="M7417">
        <v>20</v>
      </c>
    </row>
    <row r="7418" spans="1:13" x14ac:dyDescent="0.25">
      <c r="A7418" t="s">
        <v>16443</v>
      </c>
      <c r="B7418" t="s">
        <v>16444</v>
      </c>
      <c r="C7418" t="s">
        <v>20</v>
      </c>
      <c r="D7418" t="s">
        <v>26</v>
      </c>
      <c r="F7418">
        <v>1</v>
      </c>
      <c r="G7418" t="s">
        <v>16</v>
      </c>
      <c r="H7418">
        <v>0</v>
      </c>
      <c r="I7418" s="2" t="s">
        <v>97</v>
      </c>
      <c r="J7418" s="3">
        <v>432581</v>
      </c>
      <c r="K7418">
        <v>20</v>
      </c>
      <c r="L7418">
        <v>20</v>
      </c>
      <c r="M7418">
        <v>20</v>
      </c>
    </row>
    <row r="7419" spans="1:13" x14ac:dyDescent="0.25">
      <c r="A7419" t="s">
        <v>16445</v>
      </c>
      <c r="B7419" t="s">
        <v>16444</v>
      </c>
      <c r="C7419" t="s">
        <v>20</v>
      </c>
      <c r="D7419" t="s">
        <v>26</v>
      </c>
      <c r="G7419" t="s">
        <v>16</v>
      </c>
      <c r="H7419">
        <v>0</v>
      </c>
      <c r="I7419" s="2" t="s">
        <v>12774</v>
      </c>
      <c r="J7419" s="2">
        <v>3702506</v>
      </c>
      <c r="K7419">
        <v>20</v>
      </c>
      <c r="L7419">
        <v>20</v>
      </c>
      <c r="M7419">
        <v>20</v>
      </c>
    </row>
    <row r="7420" spans="1:13" x14ac:dyDescent="0.25">
      <c r="A7420" t="s">
        <v>16446</v>
      </c>
      <c r="B7420" t="s">
        <v>16444</v>
      </c>
      <c r="C7420" t="s">
        <v>20</v>
      </c>
      <c r="D7420" t="s">
        <v>26</v>
      </c>
      <c r="G7420" t="s">
        <v>16</v>
      </c>
      <c r="H7420">
        <v>0</v>
      </c>
      <c r="I7420" s="2" t="s">
        <v>80</v>
      </c>
      <c r="J7420" s="2" t="s">
        <v>16447</v>
      </c>
      <c r="K7420">
        <v>20</v>
      </c>
      <c r="L7420">
        <v>20</v>
      </c>
      <c r="M7420">
        <v>20</v>
      </c>
    </row>
    <row r="7421" spans="1:13" x14ac:dyDescent="0.25">
      <c r="A7421" t="s">
        <v>16448</v>
      </c>
      <c r="B7421" t="s">
        <v>16449</v>
      </c>
      <c r="C7421" t="s">
        <v>20</v>
      </c>
      <c r="D7421" t="s">
        <v>26</v>
      </c>
      <c r="F7421">
        <v>1</v>
      </c>
      <c r="G7421" t="s">
        <v>16</v>
      </c>
      <c r="H7421">
        <v>0</v>
      </c>
      <c r="I7421" s="2" t="s">
        <v>83</v>
      </c>
      <c r="J7421" s="2" t="s">
        <v>16450</v>
      </c>
      <c r="K7421">
        <v>20</v>
      </c>
      <c r="L7421">
        <v>20</v>
      </c>
      <c r="M7421">
        <v>20</v>
      </c>
    </row>
    <row r="7422" spans="1:13" x14ac:dyDescent="0.25">
      <c r="A7422" t="s">
        <v>16451</v>
      </c>
      <c r="B7422" t="s">
        <v>16452</v>
      </c>
      <c r="C7422" t="s">
        <v>20</v>
      </c>
      <c r="D7422" t="s">
        <v>26</v>
      </c>
      <c r="G7422" t="s">
        <v>16</v>
      </c>
      <c r="H7422">
        <v>0</v>
      </c>
      <c r="I7422" s="2" t="s">
        <v>172</v>
      </c>
      <c r="J7422" s="2">
        <v>42427621</v>
      </c>
      <c r="K7422">
        <v>20</v>
      </c>
      <c r="L7422">
        <v>20</v>
      </c>
      <c r="M7422">
        <v>20</v>
      </c>
    </row>
    <row r="7423" spans="1:13" x14ac:dyDescent="0.25">
      <c r="A7423" t="s">
        <v>16453</v>
      </c>
      <c r="B7423" t="s">
        <v>16454</v>
      </c>
      <c r="C7423" t="s">
        <v>20</v>
      </c>
      <c r="F7423">
        <v>110</v>
      </c>
      <c r="G7423" t="s">
        <v>16</v>
      </c>
      <c r="H7423">
        <v>0</v>
      </c>
      <c r="I7423" s="2" t="s">
        <v>238</v>
      </c>
      <c r="J7423" s="2">
        <v>17706</v>
      </c>
      <c r="K7423">
        <v>20</v>
      </c>
      <c r="L7423">
        <v>20</v>
      </c>
      <c r="M7423">
        <v>20</v>
      </c>
    </row>
    <row r="7424" spans="1:13" x14ac:dyDescent="0.25">
      <c r="A7424" t="s">
        <v>16455</v>
      </c>
      <c r="B7424" t="s">
        <v>16456</v>
      </c>
      <c r="C7424" t="s">
        <v>20</v>
      </c>
      <c r="D7424" t="s">
        <v>26</v>
      </c>
      <c r="F7424">
        <v>1</v>
      </c>
      <c r="G7424" t="s">
        <v>16</v>
      </c>
      <c r="H7424">
        <v>0</v>
      </c>
      <c r="I7424" s="2" t="s">
        <v>64</v>
      </c>
      <c r="J7424" s="2">
        <v>12010287</v>
      </c>
      <c r="K7424">
        <v>20</v>
      </c>
      <c r="L7424">
        <v>20</v>
      </c>
      <c r="M7424">
        <v>20</v>
      </c>
    </row>
    <row r="7425" spans="1:13" x14ac:dyDescent="0.25">
      <c r="A7425" t="s">
        <v>16457</v>
      </c>
      <c r="B7425" t="s">
        <v>16458</v>
      </c>
      <c r="C7425" t="s">
        <v>20</v>
      </c>
      <c r="D7425" t="s">
        <v>26</v>
      </c>
      <c r="G7425" t="s">
        <v>16</v>
      </c>
      <c r="H7425">
        <v>0</v>
      </c>
      <c r="I7425" s="2" t="s">
        <v>500</v>
      </c>
      <c r="J7425" s="2" t="s">
        <v>16459</v>
      </c>
      <c r="K7425">
        <v>20</v>
      </c>
      <c r="L7425">
        <v>20</v>
      </c>
      <c r="M7425">
        <v>20</v>
      </c>
    </row>
    <row r="7426" spans="1:13" x14ac:dyDescent="0.25">
      <c r="A7426" t="s">
        <v>16460</v>
      </c>
      <c r="B7426" t="s">
        <v>16461</v>
      </c>
      <c r="C7426" t="s">
        <v>151</v>
      </c>
      <c r="D7426" t="s">
        <v>6316</v>
      </c>
      <c r="F7426">
        <v>1</v>
      </c>
      <c r="G7426" t="s">
        <v>16</v>
      </c>
      <c r="H7426">
        <v>0</v>
      </c>
      <c r="I7426" s="2" t="s">
        <v>639</v>
      </c>
      <c r="J7426" s="2" t="s">
        <v>16462</v>
      </c>
      <c r="K7426">
        <v>20</v>
      </c>
      <c r="L7426">
        <v>20</v>
      </c>
      <c r="M7426">
        <v>20</v>
      </c>
    </row>
    <row r="7427" spans="1:13" x14ac:dyDescent="0.25">
      <c r="A7427" t="s">
        <v>16463</v>
      </c>
      <c r="B7427" t="s">
        <v>16464</v>
      </c>
      <c r="C7427" t="s">
        <v>151</v>
      </c>
      <c r="G7427" t="s">
        <v>16</v>
      </c>
      <c r="H7427">
        <v>0</v>
      </c>
      <c r="I7427" s="2" t="s">
        <v>639</v>
      </c>
      <c r="J7427" s="2" t="s">
        <v>16465</v>
      </c>
      <c r="K7427">
        <v>20</v>
      </c>
      <c r="L7427">
        <v>20</v>
      </c>
      <c r="M7427">
        <v>20</v>
      </c>
    </row>
    <row r="7428" spans="1:13" x14ac:dyDescent="0.25">
      <c r="A7428" t="s">
        <v>16466</v>
      </c>
      <c r="B7428" t="s">
        <v>16467</v>
      </c>
      <c r="C7428" t="s">
        <v>151</v>
      </c>
      <c r="D7428" t="s">
        <v>6316</v>
      </c>
      <c r="F7428">
        <v>1</v>
      </c>
      <c r="G7428" t="s">
        <v>16</v>
      </c>
      <c r="H7428">
        <v>0</v>
      </c>
      <c r="I7428" s="2" t="s">
        <v>16468</v>
      </c>
      <c r="J7428" s="2" t="s">
        <v>16469</v>
      </c>
      <c r="K7428">
        <v>20</v>
      </c>
      <c r="L7428">
        <v>20</v>
      </c>
      <c r="M7428">
        <v>20</v>
      </c>
    </row>
    <row r="7429" spans="1:13" x14ac:dyDescent="0.25">
      <c r="A7429" t="s">
        <v>16470</v>
      </c>
      <c r="B7429" t="s">
        <v>12782</v>
      </c>
      <c r="C7429" t="s">
        <v>151</v>
      </c>
      <c r="D7429" t="s">
        <v>6316</v>
      </c>
      <c r="F7429">
        <v>1</v>
      </c>
      <c r="G7429" t="s">
        <v>16</v>
      </c>
      <c r="H7429">
        <v>0</v>
      </c>
      <c r="I7429" s="2" t="s">
        <v>639</v>
      </c>
      <c r="J7429" s="2" t="s">
        <v>16471</v>
      </c>
      <c r="K7429">
        <v>20</v>
      </c>
      <c r="L7429">
        <v>20</v>
      </c>
      <c r="M7429">
        <v>20</v>
      </c>
    </row>
    <row r="7430" spans="1:13" x14ac:dyDescent="0.25">
      <c r="A7430" t="s">
        <v>16472</v>
      </c>
      <c r="B7430" t="s">
        <v>16473</v>
      </c>
      <c r="C7430" t="s">
        <v>20</v>
      </c>
      <c r="F7430">
        <v>1</v>
      </c>
      <c r="G7430" t="s">
        <v>16</v>
      </c>
      <c r="H7430">
        <v>0</v>
      </c>
      <c r="I7430" s="2" t="s">
        <v>1488</v>
      </c>
      <c r="J7430" s="3">
        <v>230007</v>
      </c>
      <c r="K7430">
        <v>20</v>
      </c>
      <c r="L7430">
        <v>20</v>
      </c>
      <c r="M7430">
        <v>20</v>
      </c>
    </row>
    <row r="7431" spans="1:13" x14ac:dyDescent="0.25">
      <c r="A7431" t="s">
        <v>16474</v>
      </c>
      <c r="B7431" t="s">
        <v>16475</v>
      </c>
      <c r="C7431" t="s">
        <v>151</v>
      </c>
      <c r="F7431">
        <v>0</v>
      </c>
      <c r="G7431" t="s">
        <v>16</v>
      </c>
      <c r="H7431">
        <v>0</v>
      </c>
      <c r="I7431" s="2" t="s">
        <v>639</v>
      </c>
      <c r="J7431" s="2" t="s">
        <v>16476</v>
      </c>
      <c r="K7431">
        <v>20</v>
      </c>
      <c r="L7431">
        <v>20</v>
      </c>
      <c r="M7431">
        <v>20</v>
      </c>
    </row>
    <row r="7432" spans="1:13" x14ac:dyDescent="0.25">
      <c r="A7432" t="s">
        <v>16477</v>
      </c>
      <c r="B7432" t="s">
        <v>16478</v>
      </c>
      <c r="C7432" t="s">
        <v>151</v>
      </c>
      <c r="F7432">
        <v>1</v>
      </c>
      <c r="G7432" t="s">
        <v>16</v>
      </c>
      <c r="H7432">
        <v>0</v>
      </c>
      <c r="I7432" s="2" t="s">
        <v>1046</v>
      </c>
      <c r="J7432" s="2">
        <v>92125</v>
      </c>
      <c r="K7432">
        <v>20</v>
      </c>
      <c r="L7432">
        <v>20</v>
      </c>
      <c r="M7432">
        <v>20</v>
      </c>
    </row>
    <row r="7433" spans="1:13" x14ac:dyDescent="0.25">
      <c r="A7433" t="s">
        <v>16479</v>
      </c>
      <c r="B7433" t="s">
        <v>16480</v>
      </c>
      <c r="C7433" t="s">
        <v>540</v>
      </c>
      <c r="F7433">
        <v>1</v>
      </c>
      <c r="G7433" t="s">
        <v>16</v>
      </c>
      <c r="H7433">
        <v>0</v>
      </c>
      <c r="I7433" s="2" t="s">
        <v>613</v>
      </c>
      <c r="J7433" s="2" t="str">
        <f>"0020.8544.J5-URT"</f>
        <v>0020.8544.J5-URT</v>
      </c>
      <c r="K7433">
        <v>20</v>
      </c>
      <c r="L7433">
        <v>20</v>
      </c>
      <c r="M7433">
        <v>20</v>
      </c>
    </row>
    <row r="7434" spans="1:13" x14ac:dyDescent="0.25">
      <c r="A7434" t="s">
        <v>16481</v>
      </c>
      <c r="B7434" t="s">
        <v>16482</v>
      </c>
      <c r="C7434" t="s">
        <v>540</v>
      </c>
      <c r="F7434">
        <v>1</v>
      </c>
      <c r="G7434" t="s">
        <v>16</v>
      </c>
      <c r="H7434">
        <v>0</v>
      </c>
      <c r="I7434" s="2" t="s">
        <v>613</v>
      </c>
      <c r="J7434" s="2" t="str">
        <f>"0020.8544.J6-URT"</f>
        <v>0020.8544.J6-URT</v>
      </c>
      <c r="K7434">
        <v>20</v>
      </c>
      <c r="L7434">
        <v>20</v>
      </c>
      <c r="M7434">
        <v>20</v>
      </c>
    </row>
    <row r="7435" spans="1:13" x14ac:dyDescent="0.25">
      <c r="A7435" t="s">
        <v>16483</v>
      </c>
      <c r="B7435" t="s">
        <v>16484</v>
      </c>
      <c r="C7435" t="s">
        <v>540</v>
      </c>
      <c r="F7435">
        <v>1</v>
      </c>
      <c r="G7435" t="s">
        <v>16</v>
      </c>
      <c r="H7435">
        <v>0</v>
      </c>
      <c r="I7435" s="2" t="s">
        <v>2341</v>
      </c>
      <c r="J7435" s="2">
        <v>4282</v>
      </c>
      <c r="K7435">
        <v>20</v>
      </c>
      <c r="L7435">
        <v>20</v>
      </c>
      <c r="M7435">
        <v>20</v>
      </c>
    </row>
    <row r="7436" spans="1:13" x14ac:dyDescent="0.25">
      <c r="A7436" t="s">
        <v>16485</v>
      </c>
      <c r="B7436" t="s">
        <v>16486</v>
      </c>
      <c r="C7436" t="s">
        <v>540</v>
      </c>
      <c r="F7436">
        <v>1</v>
      </c>
      <c r="G7436" t="s">
        <v>16</v>
      </c>
      <c r="H7436">
        <v>0</v>
      </c>
      <c r="I7436" s="2" t="s">
        <v>162</v>
      </c>
      <c r="J7436" s="2">
        <v>942654</v>
      </c>
      <c r="K7436">
        <v>20</v>
      </c>
      <c r="L7436">
        <v>20</v>
      </c>
      <c r="M7436">
        <v>20</v>
      </c>
    </row>
    <row r="7437" spans="1:13" x14ac:dyDescent="0.25">
      <c r="A7437" t="s">
        <v>16487</v>
      </c>
      <c r="B7437" t="s">
        <v>16488</v>
      </c>
      <c r="C7437" t="s">
        <v>540</v>
      </c>
      <c r="F7437">
        <v>1</v>
      </c>
      <c r="G7437" t="s">
        <v>16</v>
      </c>
      <c r="H7437">
        <v>0</v>
      </c>
      <c r="I7437" s="2" t="s">
        <v>162</v>
      </c>
      <c r="J7437" s="2">
        <v>942657</v>
      </c>
      <c r="K7437">
        <v>20</v>
      </c>
      <c r="L7437">
        <v>20</v>
      </c>
      <c r="M7437">
        <v>20</v>
      </c>
    </row>
    <row r="7438" spans="1:13" x14ac:dyDescent="0.25">
      <c r="A7438" t="s">
        <v>16489</v>
      </c>
      <c r="B7438" t="s">
        <v>16490</v>
      </c>
      <c r="C7438" t="s">
        <v>20</v>
      </c>
      <c r="D7438" t="s">
        <v>26</v>
      </c>
      <c r="G7438" t="s">
        <v>16</v>
      </c>
      <c r="H7438">
        <v>0</v>
      </c>
      <c r="I7438" s="2" t="s">
        <v>3421</v>
      </c>
      <c r="J7438" s="2" t="s">
        <v>16491</v>
      </c>
      <c r="K7438">
        <v>20</v>
      </c>
      <c r="L7438">
        <v>20</v>
      </c>
      <c r="M7438">
        <v>20</v>
      </c>
    </row>
    <row r="7439" spans="1:13" x14ac:dyDescent="0.25">
      <c r="A7439" t="s">
        <v>16492</v>
      </c>
      <c r="B7439" t="s">
        <v>16490</v>
      </c>
      <c r="C7439" t="s">
        <v>20</v>
      </c>
      <c r="D7439" t="s">
        <v>26</v>
      </c>
      <c r="F7439">
        <v>4</v>
      </c>
      <c r="G7439" t="s">
        <v>16</v>
      </c>
      <c r="H7439">
        <v>0</v>
      </c>
      <c r="I7439" s="2" t="s">
        <v>83</v>
      </c>
      <c r="J7439" s="2" t="s">
        <v>16493</v>
      </c>
      <c r="K7439">
        <v>20</v>
      </c>
      <c r="L7439">
        <v>20</v>
      </c>
      <c r="M7439">
        <v>20</v>
      </c>
    </row>
    <row r="7440" spans="1:13" x14ac:dyDescent="0.25">
      <c r="A7440" t="s">
        <v>16494</v>
      </c>
      <c r="B7440" t="s">
        <v>16495</v>
      </c>
      <c r="C7440" t="s">
        <v>20</v>
      </c>
      <c r="D7440" t="s">
        <v>26</v>
      </c>
      <c r="F7440">
        <v>1</v>
      </c>
      <c r="G7440" t="s">
        <v>16</v>
      </c>
      <c r="H7440">
        <v>0</v>
      </c>
      <c r="I7440" s="2" t="s">
        <v>759</v>
      </c>
      <c r="J7440" s="2">
        <v>854956</v>
      </c>
      <c r="K7440">
        <v>20</v>
      </c>
      <c r="L7440">
        <v>20</v>
      </c>
      <c r="M7440">
        <v>20</v>
      </c>
    </row>
    <row r="7441" spans="1:13" x14ac:dyDescent="0.25">
      <c r="A7441" t="s">
        <v>16496</v>
      </c>
      <c r="B7441" t="s">
        <v>16497</v>
      </c>
      <c r="C7441" t="s">
        <v>151</v>
      </c>
      <c r="D7441" t="s">
        <v>11302</v>
      </c>
      <c r="F7441">
        <v>2</v>
      </c>
      <c r="G7441" t="s">
        <v>16</v>
      </c>
      <c r="H7441">
        <v>0</v>
      </c>
      <c r="I7441" s="2" t="s">
        <v>383</v>
      </c>
      <c r="J7441" s="2" t="str">
        <f>"0258986729"</f>
        <v>0258986729</v>
      </c>
      <c r="K7441">
        <v>20</v>
      </c>
      <c r="L7441">
        <v>20</v>
      </c>
      <c r="M7441">
        <v>20</v>
      </c>
    </row>
    <row r="7442" spans="1:13" x14ac:dyDescent="0.25">
      <c r="A7442" t="s">
        <v>16498</v>
      </c>
      <c r="B7442" t="s">
        <v>16499</v>
      </c>
      <c r="C7442" t="s">
        <v>151</v>
      </c>
      <c r="D7442" t="s">
        <v>11302</v>
      </c>
      <c r="F7442">
        <v>1</v>
      </c>
      <c r="G7442" t="s">
        <v>16</v>
      </c>
      <c r="H7442">
        <v>0</v>
      </c>
      <c r="I7442" s="2" t="s">
        <v>707</v>
      </c>
      <c r="J7442" s="2" t="s">
        <v>16500</v>
      </c>
      <c r="K7442">
        <v>20</v>
      </c>
      <c r="L7442">
        <v>20</v>
      </c>
      <c r="M7442">
        <v>20</v>
      </c>
    </row>
    <row r="7443" spans="1:13" x14ac:dyDescent="0.25">
      <c r="A7443" t="s">
        <v>16501</v>
      </c>
      <c r="B7443" t="s">
        <v>16502</v>
      </c>
      <c r="C7443" t="s">
        <v>151</v>
      </c>
      <c r="D7443" t="s">
        <v>11302</v>
      </c>
      <c r="F7443">
        <v>2</v>
      </c>
      <c r="G7443" t="s">
        <v>16</v>
      </c>
      <c r="H7443">
        <v>0</v>
      </c>
      <c r="I7443" s="2" t="s">
        <v>707</v>
      </c>
      <c r="J7443" s="2" t="s">
        <v>16503</v>
      </c>
      <c r="K7443">
        <v>20</v>
      </c>
      <c r="L7443">
        <v>20</v>
      </c>
      <c r="M7443">
        <v>20</v>
      </c>
    </row>
    <row r="7444" spans="1:13" x14ac:dyDescent="0.25">
      <c r="A7444" t="s">
        <v>16504</v>
      </c>
      <c r="B7444" t="s">
        <v>16505</v>
      </c>
      <c r="C7444" t="s">
        <v>151</v>
      </c>
      <c r="D7444" t="s">
        <v>11302</v>
      </c>
      <c r="F7444">
        <v>1</v>
      </c>
      <c r="G7444" t="s">
        <v>16</v>
      </c>
      <c r="H7444">
        <v>0</v>
      </c>
      <c r="I7444" s="2" t="s">
        <v>707</v>
      </c>
      <c r="J7444" s="2" t="s">
        <v>16506</v>
      </c>
      <c r="K7444">
        <v>20</v>
      </c>
      <c r="L7444">
        <v>20</v>
      </c>
      <c r="M7444">
        <v>20</v>
      </c>
    </row>
    <row r="7445" spans="1:13" x14ac:dyDescent="0.25">
      <c r="A7445" t="s">
        <v>16507</v>
      </c>
      <c r="B7445" t="s">
        <v>16508</v>
      </c>
      <c r="C7445" t="s">
        <v>151</v>
      </c>
      <c r="D7445" t="s">
        <v>11302</v>
      </c>
      <c r="F7445">
        <v>1</v>
      </c>
      <c r="G7445" t="s">
        <v>16</v>
      </c>
      <c r="H7445">
        <v>0</v>
      </c>
      <c r="I7445" s="2" t="s">
        <v>707</v>
      </c>
      <c r="J7445" s="2" t="s">
        <v>16509</v>
      </c>
      <c r="K7445">
        <v>20</v>
      </c>
      <c r="L7445">
        <v>20</v>
      </c>
      <c r="M7445">
        <v>20</v>
      </c>
    </row>
    <row r="7446" spans="1:13" x14ac:dyDescent="0.25">
      <c r="A7446" t="s">
        <v>16510</v>
      </c>
      <c r="B7446" t="s">
        <v>16511</v>
      </c>
      <c r="C7446" t="s">
        <v>151</v>
      </c>
      <c r="D7446" t="s">
        <v>11302</v>
      </c>
      <c r="F7446">
        <v>1</v>
      </c>
      <c r="G7446" t="s">
        <v>16</v>
      </c>
      <c r="H7446">
        <v>0</v>
      </c>
      <c r="I7446" s="2" t="s">
        <v>941</v>
      </c>
      <c r="J7446" s="2" t="s">
        <v>16512</v>
      </c>
      <c r="K7446">
        <v>20</v>
      </c>
      <c r="L7446">
        <v>20</v>
      </c>
      <c r="M7446">
        <v>20</v>
      </c>
    </row>
    <row r="7447" spans="1:13" x14ac:dyDescent="0.25">
      <c r="A7447" t="s">
        <v>16513</v>
      </c>
      <c r="B7447" t="s">
        <v>16514</v>
      </c>
      <c r="C7447" t="s">
        <v>151</v>
      </c>
      <c r="D7447" t="s">
        <v>11302</v>
      </c>
      <c r="F7447">
        <v>1</v>
      </c>
      <c r="G7447" t="s">
        <v>16</v>
      </c>
      <c r="H7447">
        <v>0</v>
      </c>
      <c r="I7447" s="2" t="s">
        <v>707</v>
      </c>
      <c r="J7447" s="2" t="s">
        <v>16515</v>
      </c>
      <c r="K7447">
        <v>20</v>
      </c>
      <c r="L7447">
        <v>20</v>
      </c>
      <c r="M7447">
        <v>20</v>
      </c>
    </row>
    <row r="7448" spans="1:13" x14ac:dyDescent="0.25">
      <c r="A7448" t="s">
        <v>16516</v>
      </c>
      <c r="B7448" t="s">
        <v>16517</v>
      </c>
      <c r="C7448" t="s">
        <v>151</v>
      </c>
      <c r="D7448" t="s">
        <v>11302</v>
      </c>
      <c r="F7448">
        <v>0</v>
      </c>
      <c r="G7448" t="s">
        <v>16</v>
      </c>
      <c r="H7448">
        <v>0</v>
      </c>
      <c r="I7448" s="2" t="s">
        <v>941</v>
      </c>
      <c r="J7448" s="2" t="s">
        <v>16518</v>
      </c>
      <c r="K7448">
        <v>20</v>
      </c>
      <c r="L7448">
        <v>20</v>
      </c>
      <c r="M7448">
        <v>20</v>
      </c>
    </row>
    <row r="7449" spans="1:13" x14ac:dyDescent="0.25">
      <c r="A7449" t="s">
        <v>16519</v>
      </c>
      <c r="B7449" t="s">
        <v>16520</v>
      </c>
      <c r="C7449" t="s">
        <v>151</v>
      </c>
      <c r="D7449" t="s">
        <v>11302</v>
      </c>
      <c r="F7449">
        <v>1</v>
      </c>
      <c r="G7449" t="s">
        <v>16</v>
      </c>
      <c r="H7449">
        <v>0</v>
      </c>
      <c r="I7449" s="2" t="s">
        <v>707</v>
      </c>
      <c r="J7449" s="2" t="s">
        <v>16521</v>
      </c>
      <c r="K7449">
        <v>20</v>
      </c>
      <c r="L7449">
        <v>20</v>
      </c>
      <c r="M7449">
        <v>20</v>
      </c>
    </row>
    <row r="7450" spans="1:13" x14ac:dyDescent="0.25">
      <c r="A7450" t="s">
        <v>16522</v>
      </c>
      <c r="B7450" t="s">
        <v>16523</v>
      </c>
      <c r="C7450" t="s">
        <v>151</v>
      </c>
      <c r="D7450" t="s">
        <v>11302</v>
      </c>
      <c r="G7450" t="s">
        <v>16</v>
      </c>
      <c r="H7450">
        <v>0</v>
      </c>
      <c r="I7450" s="2" t="s">
        <v>953</v>
      </c>
      <c r="J7450" s="2">
        <v>77156</v>
      </c>
      <c r="K7450">
        <v>20</v>
      </c>
      <c r="L7450">
        <v>20</v>
      </c>
      <c r="M7450">
        <v>20</v>
      </c>
    </row>
    <row r="7451" spans="1:13" x14ac:dyDescent="0.25">
      <c r="A7451" t="s">
        <v>16524</v>
      </c>
      <c r="B7451" t="s">
        <v>16525</v>
      </c>
      <c r="C7451" t="s">
        <v>151</v>
      </c>
      <c r="D7451" t="s">
        <v>11302</v>
      </c>
      <c r="G7451" t="s">
        <v>16</v>
      </c>
      <c r="H7451">
        <v>0</v>
      </c>
      <c r="I7451" s="2" t="s">
        <v>953</v>
      </c>
      <c r="J7451" s="2">
        <v>77155</v>
      </c>
      <c r="K7451">
        <v>20</v>
      </c>
      <c r="L7451">
        <v>20</v>
      </c>
      <c r="M7451">
        <v>20</v>
      </c>
    </row>
    <row r="7452" spans="1:13" x14ac:dyDescent="0.25">
      <c r="A7452" t="s">
        <v>16526</v>
      </c>
      <c r="B7452" t="s">
        <v>16527</v>
      </c>
      <c r="C7452" t="s">
        <v>151</v>
      </c>
      <c r="D7452" t="s">
        <v>11302</v>
      </c>
      <c r="F7452">
        <v>1</v>
      </c>
      <c r="G7452" t="s">
        <v>16</v>
      </c>
      <c r="H7452">
        <v>0</v>
      </c>
      <c r="I7452" s="2" t="s">
        <v>941</v>
      </c>
      <c r="J7452" s="2" t="s">
        <v>16528</v>
      </c>
      <c r="K7452">
        <v>20</v>
      </c>
      <c r="L7452">
        <v>20</v>
      </c>
      <c r="M7452">
        <v>20</v>
      </c>
    </row>
    <row r="7453" spans="1:13" x14ac:dyDescent="0.25">
      <c r="A7453" t="s">
        <v>16529</v>
      </c>
      <c r="B7453" t="s">
        <v>16530</v>
      </c>
      <c r="C7453" t="s">
        <v>151</v>
      </c>
      <c r="D7453" t="s">
        <v>11302</v>
      </c>
      <c r="F7453">
        <v>1</v>
      </c>
      <c r="G7453" t="s">
        <v>16</v>
      </c>
      <c r="H7453">
        <v>0</v>
      </c>
      <c r="I7453" s="2" t="s">
        <v>500</v>
      </c>
      <c r="J7453" s="2" t="s">
        <v>16531</v>
      </c>
      <c r="K7453">
        <v>20</v>
      </c>
      <c r="L7453">
        <v>20</v>
      </c>
      <c r="M7453">
        <v>20</v>
      </c>
    </row>
    <row r="7454" spans="1:13" x14ac:dyDescent="0.25">
      <c r="A7454" t="s">
        <v>16532</v>
      </c>
      <c r="B7454" t="s">
        <v>16533</v>
      </c>
      <c r="C7454" t="s">
        <v>151</v>
      </c>
      <c r="D7454" t="s">
        <v>11302</v>
      </c>
      <c r="F7454">
        <v>2</v>
      </c>
      <c r="G7454" t="s">
        <v>16</v>
      </c>
      <c r="H7454">
        <v>0</v>
      </c>
      <c r="I7454" s="2" t="s">
        <v>685</v>
      </c>
      <c r="J7454" s="2" t="str">
        <f>"0258010514"</f>
        <v>0258010514</v>
      </c>
      <c r="K7454">
        <v>20</v>
      </c>
      <c r="L7454">
        <v>20</v>
      </c>
      <c r="M7454">
        <v>20</v>
      </c>
    </row>
    <row r="7455" spans="1:13" x14ac:dyDescent="0.25">
      <c r="A7455" t="s">
        <v>16534</v>
      </c>
      <c r="B7455" t="s">
        <v>16535</v>
      </c>
      <c r="C7455" t="s">
        <v>151</v>
      </c>
      <c r="D7455" t="s">
        <v>11302</v>
      </c>
      <c r="F7455">
        <v>1</v>
      </c>
      <c r="G7455" t="s">
        <v>16</v>
      </c>
      <c r="H7455">
        <v>0</v>
      </c>
      <c r="I7455" s="2" t="s">
        <v>707</v>
      </c>
      <c r="J7455" s="2" t="s">
        <v>16536</v>
      </c>
      <c r="K7455">
        <v>20</v>
      </c>
      <c r="L7455">
        <v>20</v>
      </c>
      <c r="M7455">
        <v>20</v>
      </c>
    </row>
    <row r="7456" spans="1:13" x14ac:dyDescent="0.25">
      <c r="A7456" t="s">
        <v>16537</v>
      </c>
      <c r="B7456" t="s">
        <v>16538</v>
      </c>
      <c r="C7456" t="s">
        <v>151</v>
      </c>
      <c r="D7456" t="s">
        <v>11302</v>
      </c>
      <c r="F7456">
        <v>1</v>
      </c>
      <c r="G7456" t="s">
        <v>16</v>
      </c>
      <c r="H7456">
        <v>0</v>
      </c>
      <c r="I7456" s="2" t="s">
        <v>707</v>
      </c>
      <c r="J7456" s="2" t="s">
        <v>16539</v>
      </c>
      <c r="K7456">
        <v>20</v>
      </c>
      <c r="L7456">
        <v>20</v>
      </c>
      <c r="M7456">
        <v>20</v>
      </c>
    </row>
    <row r="7457" spans="1:13" x14ac:dyDescent="0.25">
      <c r="A7457" t="s">
        <v>16540</v>
      </c>
      <c r="B7457" t="s">
        <v>16542</v>
      </c>
      <c r="C7457" t="s">
        <v>540</v>
      </c>
      <c r="F7457">
        <v>85</v>
      </c>
      <c r="G7457" t="s">
        <v>16</v>
      </c>
      <c r="H7457">
        <v>0</v>
      </c>
      <c r="I7457" s="2" t="s">
        <v>69</v>
      </c>
      <c r="J7457" s="2" t="s">
        <v>16541</v>
      </c>
      <c r="K7457">
        <v>20</v>
      </c>
      <c r="L7457">
        <v>20</v>
      </c>
      <c r="M7457">
        <v>20</v>
      </c>
    </row>
    <row r="7458" spans="1:13" x14ac:dyDescent="0.25">
      <c r="A7458" t="s">
        <v>16543</v>
      </c>
      <c r="B7458" t="s">
        <v>16544</v>
      </c>
      <c r="C7458" t="s">
        <v>540</v>
      </c>
      <c r="F7458">
        <v>4</v>
      </c>
      <c r="G7458" t="s">
        <v>16</v>
      </c>
      <c r="H7458">
        <v>0</v>
      </c>
      <c r="I7458" s="2" t="s">
        <v>1737</v>
      </c>
      <c r="J7458" s="2">
        <v>2839777</v>
      </c>
      <c r="K7458">
        <v>20</v>
      </c>
      <c r="L7458">
        <v>20</v>
      </c>
      <c r="M7458">
        <v>20</v>
      </c>
    </row>
    <row r="7459" spans="1:13" x14ac:dyDescent="0.25">
      <c r="A7459" t="s">
        <v>16545</v>
      </c>
      <c r="B7459" t="s">
        <v>16546</v>
      </c>
      <c r="C7459" t="s">
        <v>241</v>
      </c>
      <c r="D7459" t="s">
        <v>262</v>
      </c>
      <c r="G7459" t="s">
        <v>16</v>
      </c>
      <c r="H7459">
        <v>0</v>
      </c>
      <c r="I7459" s="2" t="s">
        <v>737</v>
      </c>
      <c r="J7459" s="2" t="s">
        <v>16547</v>
      </c>
      <c r="K7459">
        <v>20</v>
      </c>
      <c r="L7459">
        <v>20</v>
      </c>
      <c r="M7459">
        <v>20</v>
      </c>
    </row>
    <row r="7460" spans="1:13" x14ac:dyDescent="0.25">
      <c r="A7460" t="s">
        <v>16548</v>
      </c>
      <c r="B7460" t="s">
        <v>16549</v>
      </c>
      <c r="C7460" t="s">
        <v>20</v>
      </c>
      <c r="F7460">
        <v>1</v>
      </c>
      <c r="G7460" t="s">
        <v>16</v>
      </c>
      <c r="H7460">
        <v>0</v>
      </c>
      <c r="I7460" s="2" t="s">
        <v>1080</v>
      </c>
      <c r="J7460" s="2">
        <v>54359880006</v>
      </c>
      <c r="K7460">
        <v>20</v>
      </c>
      <c r="L7460">
        <v>20</v>
      </c>
      <c r="M7460">
        <v>20</v>
      </c>
    </row>
    <row r="7461" spans="1:13" x14ac:dyDescent="0.25">
      <c r="A7461">
        <v>860082</v>
      </c>
      <c r="B7461" t="s">
        <v>16550</v>
      </c>
      <c r="C7461" t="s">
        <v>20</v>
      </c>
      <c r="D7461" t="s">
        <v>26</v>
      </c>
      <c r="F7461">
        <v>1</v>
      </c>
      <c r="G7461" t="s">
        <v>16</v>
      </c>
      <c r="H7461">
        <v>0</v>
      </c>
      <c r="I7461" s="2" t="s">
        <v>1444</v>
      </c>
      <c r="J7461" s="2">
        <v>93184184</v>
      </c>
      <c r="K7461">
        <v>20</v>
      </c>
      <c r="L7461">
        <v>20</v>
      </c>
      <c r="M7461">
        <v>20</v>
      </c>
    </row>
    <row r="7462" spans="1:13" x14ac:dyDescent="0.25">
      <c r="A7462" t="s">
        <v>16551</v>
      </c>
      <c r="B7462" t="s">
        <v>16552</v>
      </c>
      <c r="C7462" t="s">
        <v>241</v>
      </c>
      <c r="D7462" t="s">
        <v>242</v>
      </c>
      <c r="F7462">
        <v>1</v>
      </c>
      <c r="G7462" t="s">
        <v>16</v>
      </c>
      <c r="H7462">
        <v>0</v>
      </c>
      <c r="I7462" s="2" t="s">
        <v>16553</v>
      </c>
      <c r="J7462" s="2" t="str">
        <f>"0106"</f>
        <v>0106</v>
      </c>
      <c r="K7462">
        <v>20</v>
      </c>
      <c r="L7462">
        <v>20</v>
      </c>
      <c r="M7462">
        <v>20</v>
      </c>
    </row>
    <row r="7463" spans="1:13" x14ac:dyDescent="0.25">
      <c r="A7463" t="s">
        <v>16554</v>
      </c>
      <c r="B7463" t="s">
        <v>16555</v>
      </c>
      <c r="C7463" t="s">
        <v>241</v>
      </c>
      <c r="D7463" t="s">
        <v>242</v>
      </c>
      <c r="G7463" t="s">
        <v>16</v>
      </c>
      <c r="H7463">
        <v>0</v>
      </c>
      <c r="I7463" s="2" t="s">
        <v>7513</v>
      </c>
      <c r="J7463" s="2" t="s">
        <v>16556</v>
      </c>
      <c r="K7463">
        <v>20</v>
      </c>
      <c r="L7463">
        <v>20</v>
      </c>
      <c r="M7463">
        <v>20</v>
      </c>
    </row>
    <row r="7464" spans="1:13" x14ac:dyDescent="0.25">
      <c r="A7464" t="s">
        <v>16557</v>
      </c>
      <c r="B7464" t="s">
        <v>16558</v>
      </c>
      <c r="C7464" t="s">
        <v>14</v>
      </c>
      <c r="D7464" t="s">
        <v>293</v>
      </c>
      <c r="F7464">
        <v>12</v>
      </c>
      <c r="G7464" t="s">
        <v>16</v>
      </c>
      <c r="H7464">
        <v>0</v>
      </c>
      <c r="I7464" s="2" t="s">
        <v>383</v>
      </c>
      <c r="J7464" s="2" t="s">
        <v>16559</v>
      </c>
      <c r="K7464">
        <v>20</v>
      </c>
      <c r="L7464">
        <v>20</v>
      </c>
      <c r="M7464">
        <v>20</v>
      </c>
    </row>
    <row r="7465" spans="1:13" x14ac:dyDescent="0.25">
      <c r="A7465" t="s">
        <v>16560</v>
      </c>
      <c r="B7465" t="s">
        <v>16561</v>
      </c>
      <c r="C7465" t="s">
        <v>14</v>
      </c>
      <c r="D7465" t="s">
        <v>293</v>
      </c>
      <c r="F7465">
        <v>0</v>
      </c>
      <c r="G7465" t="s">
        <v>16</v>
      </c>
      <c r="H7465">
        <v>0</v>
      </c>
      <c r="I7465" s="2" t="s">
        <v>389</v>
      </c>
      <c r="J7465" s="2">
        <v>1682276180</v>
      </c>
      <c r="K7465">
        <v>20</v>
      </c>
      <c r="L7465">
        <v>20</v>
      </c>
      <c r="M7465">
        <v>20</v>
      </c>
    </row>
    <row r="7466" spans="1:13" x14ac:dyDescent="0.25">
      <c r="A7466" t="s">
        <v>16562</v>
      </c>
      <c r="B7466" t="s">
        <v>16558</v>
      </c>
      <c r="C7466" t="s">
        <v>14</v>
      </c>
      <c r="D7466" t="s">
        <v>293</v>
      </c>
      <c r="G7466" t="s">
        <v>16</v>
      </c>
      <c r="H7466">
        <v>0</v>
      </c>
      <c r="I7466" s="2" t="s">
        <v>4708</v>
      </c>
      <c r="J7466" s="2" t="s">
        <v>16563</v>
      </c>
      <c r="K7466">
        <v>20</v>
      </c>
      <c r="L7466">
        <v>20</v>
      </c>
      <c r="M7466">
        <v>20</v>
      </c>
    </row>
    <row r="7467" spans="1:13" x14ac:dyDescent="0.25">
      <c r="A7467" t="s">
        <v>16564</v>
      </c>
      <c r="B7467" t="s">
        <v>16558</v>
      </c>
      <c r="C7467" t="s">
        <v>14</v>
      </c>
      <c r="D7467" t="s">
        <v>293</v>
      </c>
      <c r="F7467">
        <v>4</v>
      </c>
      <c r="G7467" t="s">
        <v>16</v>
      </c>
      <c r="H7467">
        <v>0</v>
      </c>
      <c r="I7467" s="2" t="s">
        <v>192</v>
      </c>
      <c r="J7467" s="2" t="s">
        <v>16565</v>
      </c>
      <c r="K7467">
        <v>20</v>
      </c>
      <c r="L7467">
        <v>20</v>
      </c>
      <c r="M7467">
        <v>20</v>
      </c>
    </row>
    <row r="7468" spans="1:13" x14ac:dyDescent="0.25">
      <c r="A7468" t="s">
        <v>16566</v>
      </c>
      <c r="B7468" t="s">
        <v>16561</v>
      </c>
      <c r="C7468" t="s">
        <v>14</v>
      </c>
      <c r="D7468" t="s">
        <v>293</v>
      </c>
      <c r="G7468" t="s">
        <v>16</v>
      </c>
      <c r="H7468">
        <v>0</v>
      </c>
      <c r="I7468" s="2" t="s">
        <v>6196</v>
      </c>
      <c r="J7468" s="2" t="s">
        <v>16567</v>
      </c>
      <c r="K7468">
        <v>20</v>
      </c>
      <c r="L7468">
        <v>20</v>
      </c>
      <c r="M7468">
        <v>20</v>
      </c>
    </row>
    <row r="7469" spans="1:13" x14ac:dyDescent="0.25">
      <c r="A7469" t="s">
        <v>16568</v>
      </c>
      <c r="B7469" t="s">
        <v>16561</v>
      </c>
      <c r="C7469" t="s">
        <v>14</v>
      </c>
      <c r="D7469" t="s">
        <v>293</v>
      </c>
      <c r="F7469">
        <v>2</v>
      </c>
      <c r="G7469" t="s">
        <v>16</v>
      </c>
      <c r="H7469">
        <v>0</v>
      </c>
      <c r="I7469" s="2" t="s">
        <v>17</v>
      </c>
      <c r="J7469" s="2" t="s">
        <v>16569</v>
      </c>
      <c r="K7469">
        <v>20</v>
      </c>
      <c r="L7469">
        <v>20</v>
      </c>
      <c r="M7469">
        <v>20</v>
      </c>
    </row>
    <row r="7470" spans="1:13" x14ac:dyDescent="0.25">
      <c r="A7470" t="s">
        <v>16570</v>
      </c>
      <c r="B7470" t="s">
        <v>16561</v>
      </c>
      <c r="C7470" t="s">
        <v>14</v>
      </c>
      <c r="D7470" t="s">
        <v>293</v>
      </c>
      <c r="G7470" t="s">
        <v>16</v>
      </c>
      <c r="H7470">
        <v>0</v>
      </c>
      <c r="I7470" s="2" t="s">
        <v>14816</v>
      </c>
      <c r="J7470" s="2">
        <v>2506100</v>
      </c>
      <c r="K7470">
        <v>20</v>
      </c>
      <c r="L7470">
        <v>20</v>
      </c>
      <c r="M7470">
        <v>20</v>
      </c>
    </row>
    <row r="7471" spans="1:13" x14ac:dyDescent="0.25">
      <c r="A7471">
        <v>860139</v>
      </c>
      <c r="B7471" t="s">
        <v>16571</v>
      </c>
      <c r="C7471" t="s">
        <v>20</v>
      </c>
      <c r="D7471" t="s">
        <v>26</v>
      </c>
      <c r="F7471">
        <v>1</v>
      </c>
      <c r="G7471" t="s">
        <v>16</v>
      </c>
      <c r="H7471">
        <v>0</v>
      </c>
      <c r="I7471" s="2" t="s">
        <v>1444</v>
      </c>
      <c r="J7471" s="2">
        <v>13247992</v>
      </c>
      <c r="K7471">
        <v>20</v>
      </c>
      <c r="L7471">
        <v>20</v>
      </c>
      <c r="M7471">
        <v>20</v>
      </c>
    </row>
    <row r="7472" spans="1:13" x14ac:dyDescent="0.25">
      <c r="A7472" t="s">
        <v>16572</v>
      </c>
      <c r="B7472" t="s">
        <v>16573</v>
      </c>
      <c r="C7472" t="s">
        <v>20</v>
      </c>
      <c r="G7472" t="s">
        <v>16</v>
      </c>
      <c r="H7472">
        <v>0</v>
      </c>
      <c r="I7472" s="2" t="s">
        <v>11246</v>
      </c>
      <c r="J7472" s="2" t="s">
        <v>16574</v>
      </c>
      <c r="K7472">
        <v>20</v>
      </c>
      <c r="L7472">
        <v>20</v>
      </c>
      <c r="M7472">
        <v>20</v>
      </c>
    </row>
    <row r="7473" spans="1:13" x14ac:dyDescent="0.25">
      <c r="A7473" t="s">
        <v>16575</v>
      </c>
      <c r="B7473" t="s">
        <v>16576</v>
      </c>
      <c r="C7473" t="s">
        <v>20</v>
      </c>
      <c r="F7473">
        <v>1</v>
      </c>
      <c r="G7473" t="s">
        <v>16</v>
      </c>
      <c r="H7473">
        <v>0</v>
      </c>
      <c r="I7473" s="2" t="s">
        <v>243</v>
      </c>
      <c r="J7473" s="2">
        <v>21045</v>
      </c>
      <c r="K7473">
        <v>20</v>
      </c>
      <c r="L7473">
        <v>20</v>
      </c>
      <c r="M7473">
        <v>20</v>
      </c>
    </row>
    <row r="7474" spans="1:13" x14ac:dyDescent="0.25">
      <c r="A7474" t="s">
        <v>16577</v>
      </c>
      <c r="B7474" t="s">
        <v>16578</v>
      </c>
      <c r="C7474" t="s">
        <v>241</v>
      </c>
      <c r="D7474" t="s">
        <v>242</v>
      </c>
      <c r="G7474" t="s">
        <v>16</v>
      </c>
      <c r="H7474">
        <v>0</v>
      </c>
      <c r="I7474" s="2" t="s">
        <v>2233</v>
      </c>
      <c r="J7474" s="2">
        <v>21279</v>
      </c>
      <c r="K7474">
        <v>20</v>
      </c>
      <c r="L7474">
        <v>20</v>
      </c>
      <c r="M7474">
        <v>20</v>
      </c>
    </row>
    <row r="7475" spans="1:13" x14ac:dyDescent="0.25">
      <c r="A7475" t="s">
        <v>16579</v>
      </c>
      <c r="B7475" t="s">
        <v>16580</v>
      </c>
      <c r="C7475" t="s">
        <v>20</v>
      </c>
      <c r="F7475">
        <v>1</v>
      </c>
      <c r="G7475" t="s">
        <v>16</v>
      </c>
      <c r="H7475">
        <v>0</v>
      </c>
      <c r="I7475" s="2" t="s">
        <v>500</v>
      </c>
      <c r="J7475" s="2" t="s">
        <v>16581</v>
      </c>
      <c r="K7475">
        <v>20</v>
      </c>
      <c r="L7475">
        <v>20</v>
      </c>
      <c r="M7475">
        <v>20</v>
      </c>
    </row>
    <row r="7476" spans="1:13" x14ac:dyDescent="0.25">
      <c r="A7476" t="s">
        <v>16582</v>
      </c>
      <c r="B7476" t="s">
        <v>16583</v>
      </c>
      <c r="C7476" t="s">
        <v>241</v>
      </c>
      <c r="D7476" t="s">
        <v>242</v>
      </c>
      <c r="G7476" t="s">
        <v>16</v>
      </c>
      <c r="H7476">
        <v>0</v>
      </c>
      <c r="I7476" s="2" t="s">
        <v>243</v>
      </c>
      <c r="J7476" s="2">
        <v>21276</v>
      </c>
      <c r="K7476">
        <v>20</v>
      </c>
      <c r="L7476">
        <v>20</v>
      </c>
      <c r="M7476">
        <v>20</v>
      </c>
    </row>
    <row r="7477" spans="1:13" x14ac:dyDescent="0.25">
      <c r="A7477" t="s">
        <v>16584</v>
      </c>
      <c r="B7477" t="s">
        <v>16585</v>
      </c>
      <c r="C7477" t="s">
        <v>241</v>
      </c>
      <c r="D7477" t="s">
        <v>242</v>
      </c>
      <c r="G7477" t="s">
        <v>16</v>
      </c>
      <c r="H7477">
        <v>0</v>
      </c>
      <c r="I7477" s="2" t="s">
        <v>737</v>
      </c>
      <c r="J7477" s="2" t="s">
        <v>16586</v>
      </c>
      <c r="K7477">
        <v>20</v>
      </c>
      <c r="L7477">
        <v>20</v>
      </c>
      <c r="M7477">
        <v>20</v>
      </c>
    </row>
    <row r="7478" spans="1:13" x14ac:dyDescent="0.25">
      <c r="A7478" t="s">
        <v>16587</v>
      </c>
      <c r="B7478" t="s">
        <v>16588</v>
      </c>
      <c r="C7478" t="s">
        <v>241</v>
      </c>
      <c r="D7478" t="s">
        <v>244</v>
      </c>
      <c r="F7478">
        <v>1</v>
      </c>
      <c r="G7478" t="s">
        <v>16</v>
      </c>
      <c r="H7478">
        <v>0</v>
      </c>
      <c r="I7478" s="2" t="s">
        <v>243</v>
      </c>
      <c r="J7478" s="2">
        <v>13922</v>
      </c>
      <c r="K7478">
        <v>20</v>
      </c>
      <c r="L7478">
        <v>20</v>
      </c>
      <c r="M7478">
        <v>20</v>
      </c>
    </row>
    <row r="7479" spans="1:13" x14ac:dyDescent="0.25">
      <c r="A7479" t="s">
        <v>16589</v>
      </c>
      <c r="B7479" t="s">
        <v>16590</v>
      </c>
      <c r="C7479" t="s">
        <v>241</v>
      </c>
      <c r="D7479" t="s">
        <v>242</v>
      </c>
      <c r="G7479" t="s">
        <v>16</v>
      </c>
      <c r="H7479">
        <v>0</v>
      </c>
      <c r="I7479" s="2" t="s">
        <v>737</v>
      </c>
      <c r="J7479" s="2" t="s">
        <v>16591</v>
      </c>
      <c r="K7479">
        <v>20</v>
      </c>
      <c r="L7479">
        <v>20</v>
      </c>
      <c r="M7479">
        <v>20</v>
      </c>
    </row>
    <row r="7480" spans="1:13" x14ac:dyDescent="0.25">
      <c r="A7480" t="s">
        <v>16592</v>
      </c>
      <c r="B7480" t="s">
        <v>16593</v>
      </c>
      <c r="C7480" t="s">
        <v>241</v>
      </c>
      <c r="D7480" t="s">
        <v>244</v>
      </c>
      <c r="G7480" t="s">
        <v>16</v>
      </c>
      <c r="H7480">
        <v>0</v>
      </c>
      <c r="I7480" s="2" t="s">
        <v>285</v>
      </c>
      <c r="J7480" s="2">
        <v>965167</v>
      </c>
      <c r="K7480">
        <v>20</v>
      </c>
      <c r="L7480">
        <v>20</v>
      </c>
      <c r="M7480">
        <v>20</v>
      </c>
    </row>
    <row r="7481" spans="1:13" x14ac:dyDescent="0.25">
      <c r="A7481" t="s">
        <v>16594</v>
      </c>
      <c r="B7481" t="s">
        <v>16595</v>
      </c>
      <c r="C7481" t="s">
        <v>357</v>
      </c>
      <c r="D7481" t="s">
        <v>241</v>
      </c>
      <c r="G7481" t="s">
        <v>16</v>
      </c>
      <c r="H7481">
        <v>0</v>
      </c>
      <c r="I7481" s="2" t="s">
        <v>243</v>
      </c>
      <c r="J7481" s="2">
        <v>21193</v>
      </c>
      <c r="K7481">
        <v>20</v>
      </c>
      <c r="L7481">
        <v>20</v>
      </c>
      <c r="M7481">
        <v>20</v>
      </c>
    </row>
    <row r="7482" spans="1:13" x14ac:dyDescent="0.25">
      <c r="A7482" t="s">
        <v>16596</v>
      </c>
      <c r="B7482" t="s">
        <v>16598</v>
      </c>
      <c r="C7482" t="s">
        <v>357</v>
      </c>
      <c r="D7482" t="s">
        <v>241</v>
      </c>
      <c r="F7482">
        <v>1</v>
      </c>
      <c r="G7482" t="s">
        <v>16</v>
      </c>
      <c r="H7482">
        <v>0</v>
      </c>
      <c r="I7482" s="2" t="s">
        <v>784</v>
      </c>
      <c r="J7482" s="2" t="s">
        <v>16597</v>
      </c>
      <c r="K7482">
        <v>20</v>
      </c>
      <c r="L7482">
        <v>20</v>
      </c>
      <c r="M7482">
        <v>20</v>
      </c>
    </row>
    <row r="7483" spans="1:13" x14ac:dyDescent="0.25">
      <c r="A7483">
        <v>862040</v>
      </c>
      <c r="B7483" t="s">
        <v>16599</v>
      </c>
      <c r="C7483" t="s">
        <v>151</v>
      </c>
      <c r="F7483">
        <v>1</v>
      </c>
      <c r="G7483" t="s">
        <v>16</v>
      </c>
      <c r="H7483">
        <v>0</v>
      </c>
      <c r="I7483" s="2" t="s">
        <v>497</v>
      </c>
      <c r="J7483" s="2">
        <v>55566186</v>
      </c>
      <c r="K7483">
        <v>20</v>
      </c>
      <c r="L7483">
        <v>20</v>
      </c>
      <c r="M7483">
        <v>20</v>
      </c>
    </row>
    <row r="7484" spans="1:13" x14ac:dyDescent="0.25">
      <c r="A7484" t="s">
        <v>16600</v>
      </c>
      <c r="B7484" t="s">
        <v>16601</v>
      </c>
      <c r="C7484" t="s">
        <v>20</v>
      </c>
      <c r="D7484" t="s">
        <v>26</v>
      </c>
      <c r="F7484">
        <v>1</v>
      </c>
      <c r="G7484" t="s">
        <v>16</v>
      </c>
      <c r="H7484">
        <v>0</v>
      </c>
      <c r="I7484" s="2" t="s">
        <v>99</v>
      </c>
      <c r="J7484" s="3">
        <v>894772</v>
      </c>
      <c r="K7484">
        <v>20</v>
      </c>
      <c r="L7484">
        <v>20</v>
      </c>
      <c r="M7484">
        <v>20</v>
      </c>
    </row>
    <row r="7485" spans="1:13" x14ac:dyDescent="0.25">
      <c r="A7485" t="s">
        <v>16602</v>
      </c>
      <c r="B7485" t="s">
        <v>16603</v>
      </c>
      <c r="C7485" t="s">
        <v>540</v>
      </c>
      <c r="F7485">
        <v>1</v>
      </c>
      <c r="G7485" t="s">
        <v>16</v>
      </c>
      <c r="H7485">
        <v>0</v>
      </c>
      <c r="I7485" s="2" t="s">
        <v>2896</v>
      </c>
      <c r="J7485" s="2">
        <v>171556</v>
      </c>
      <c r="K7485">
        <v>20</v>
      </c>
      <c r="L7485">
        <v>20</v>
      </c>
      <c r="M7485">
        <v>20</v>
      </c>
    </row>
    <row r="7486" spans="1:13" x14ac:dyDescent="0.25">
      <c r="A7486" t="s">
        <v>16604</v>
      </c>
      <c r="B7486" t="s">
        <v>16605</v>
      </c>
      <c r="C7486" t="s">
        <v>151</v>
      </c>
      <c r="F7486">
        <v>1</v>
      </c>
      <c r="G7486" t="s">
        <v>16</v>
      </c>
      <c r="H7486">
        <v>0</v>
      </c>
      <c r="I7486" s="2" t="s">
        <v>2896</v>
      </c>
      <c r="J7486" s="2">
        <v>171587</v>
      </c>
      <c r="K7486">
        <v>20</v>
      </c>
      <c r="L7486">
        <v>20</v>
      </c>
      <c r="M7486">
        <v>20</v>
      </c>
    </row>
    <row r="7487" spans="1:13" x14ac:dyDescent="0.25">
      <c r="A7487" t="s">
        <v>16606</v>
      </c>
      <c r="B7487" t="s">
        <v>16607</v>
      </c>
      <c r="C7487" t="s">
        <v>540</v>
      </c>
      <c r="F7487">
        <v>2</v>
      </c>
      <c r="G7487" t="s">
        <v>16</v>
      </c>
      <c r="H7487">
        <v>0</v>
      </c>
      <c r="I7487" s="2" t="s">
        <v>64</v>
      </c>
      <c r="J7487" s="2" t="str">
        <f>"09010330"</f>
        <v>09010330</v>
      </c>
      <c r="K7487">
        <v>20</v>
      </c>
      <c r="L7487">
        <v>20</v>
      </c>
      <c r="M7487">
        <v>20</v>
      </c>
    </row>
    <row r="7488" spans="1:13" x14ac:dyDescent="0.25">
      <c r="A7488" t="s">
        <v>16608</v>
      </c>
      <c r="B7488" t="s">
        <v>16609</v>
      </c>
      <c r="C7488" t="s">
        <v>540</v>
      </c>
      <c r="F7488">
        <v>0</v>
      </c>
      <c r="G7488" t="s">
        <v>16</v>
      </c>
      <c r="H7488">
        <v>0</v>
      </c>
      <c r="I7488" s="2" t="s">
        <v>6821</v>
      </c>
      <c r="J7488" s="2" t="s">
        <v>16610</v>
      </c>
      <c r="K7488">
        <v>20</v>
      </c>
      <c r="L7488">
        <v>20</v>
      </c>
      <c r="M7488">
        <v>20</v>
      </c>
    </row>
    <row r="7489" spans="1:13" x14ac:dyDescent="0.25">
      <c r="A7489" t="s">
        <v>16611</v>
      </c>
      <c r="B7489" t="s">
        <v>16612</v>
      </c>
      <c r="C7489" t="s">
        <v>540</v>
      </c>
      <c r="F7489">
        <v>2</v>
      </c>
      <c r="G7489" t="s">
        <v>16</v>
      </c>
      <c r="H7489">
        <v>0</v>
      </c>
      <c r="I7489" s="2" t="s">
        <v>108</v>
      </c>
      <c r="J7489" s="3">
        <v>3041650002</v>
      </c>
      <c r="K7489">
        <v>20</v>
      </c>
      <c r="L7489">
        <v>20</v>
      </c>
      <c r="M7489">
        <v>20</v>
      </c>
    </row>
    <row r="7490" spans="1:13" x14ac:dyDescent="0.25">
      <c r="A7490" t="s">
        <v>16613</v>
      </c>
      <c r="B7490" t="s">
        <v>16615</v>
      </c>
      <c r="C7490" t="s">
        <v>540</v>
      </c>
      <c r="F7490">
        <v>4</v>
      </c>
      <c r="G7490" t="s">
        <v>16</v>
      </c>
      <c r="H7490">
        <v>0</v>
      </c>
      <c r="I7490" s="2" t="s">
        <v>2098</v>
      </c>
      <c r="J7490" s="2" t="s">
        <v>16614</v>
      </c>
      <c r="K7490">
        <v>20</v>
      </c>
      <c r="L7490">
        <v>20</v>
      </c>
      <c r="M7490">
        <v>20</v>
      </c>
    </row>
    <row r="7491" spans="1:13" x14ac:dyDescent="0.25">
      <c r="A7491" t="s">
        <v>16616</v>
      </c>
      <c r="B7491" t="s">
        <v>16617</v>
      </c>
      <c r="C7491" t="s">
        <v>20</v>
      </c>
      <c r="G7491" t="s">
        <v>16</v>
      </c>
      <c r="H7491">
        <v>0</v>
      </c>
      <c r="I7491" s="2" t="s">
        <v>35</v>
      </c>
      <c r="J7491" s="2" t="s">
        <v>16618</v>
      </c>
      <c r="K7491">
        <v>20</v>
      </c>
      <c r="L7491">
        <v>20</v>
      </c>
      <c r="M7491">
        <v>20</v>
      </c>
    </row>
    <row r="7492" spans="1:13" x14ac:dyDescent="0.25">
      <c r="A7492" t="s">
        <v>16619</v>
      </c>
      <c r="B7492" t="s">
        <v>16620</v>
      </c>
      <c r="C7492" t="s">
        <v>20</v>
      </c>
      <c r="G7492" t="s">
        <v>16</v>
      </c>
      <c r="H7492">
        <v>0</v>
      </c>
      <c r="I7492" s="2" t="s">
        <v>35</v>
      </c>
      <c r="J7492" s="2" t="s">
        <v>16621</v>
      </c>
      <c r="K7492">
        <v>20</v>
      </c>
      <c r="L7492">
        <v>20</v>
      </c>
      <c r="M7492">
        <v>20</v>
      </c>
    </row>
    <row r="7493" spans="1:13" x14ac:dyDescent="0.25">
      <c r="A7493" t="s">
        <v>16622</v>
      </c>
      <c r="B7493" t="s">
        <v>16623</v>
      </c>
      <c r="C7493" t="s">
        <v>20</v>
      </c>
      <c r="F7493">
        <v>0</v>
      </c>
      <c r="G7493" t="s">
        <v>16</v>
      </c>
      <c r="H7493">
        <v>0</v>
      </c>
      <c r="I7493" s="2" t="s">
        <v>29</v>
      </c>
      <c r="J7493" s="2" t="s">
        <v>16624</v>
      </c>
      <c r="K7493">
        <v>20</v>
      </c>
      <c r="L7493">
        <v>20</v>
      </c>
      <c r="M7493">
        <v>20</v>
      </c>
    </row>
    <row r="7494" spans="1:13" x14ac:dyDescent="0.25">
      <c r="A7494" t="s">
        <v>16625</v>
      </c>
      <c r="B7494" t="s">
        <v>16623</v>
      </c>
      <c r="C7494" t="s">
        <v>20</v>
      </c>
      <c r="F7494">
        <v>8</v>
      </c>
      <c r="G7494" t="s">
        <v>16</v>
      </c>
      <c r="H7494">
        <v>0</v>
      </c>
      <c r="I7494" s="2" t="s">
        <v>35</v>
      </c>
      <c r="J7494" s="2" t="s">
        <v>16626</v>
      </c>
      <c r="K7494">
        <v>20</v>
      </c>
      <c r="L7494">
        <v>20</v>
      </c>
      <c r="M7494">
        <v>20</v>
      </c>
    </row>
    <row r="7495" spans="1:13" x14ac:dyDescent="0.25">
      <c r="A7495" t="s">
        <v>16627</v>
      </c>
      <c r="B7495" t="s">
        <v>16623</v>
      </c>
      <c r="C7495" t="s">
        <v>20</v>
      </c>
      <c r="F7495">
        <v>1</v>
      </c>
      <c r="G7495" t="s">
        <v>16</v>
      </c>
      <c r="H7495">
        <v>0</v>
      </c>
      <c r="I7495" s="2" t="s">
        <v>40</v>
      </c>
      <c r="J7495" s="2">
        <v>87409600</v>
      </c>
      <c r="K7495">
        <v>20</v>
      </c>
      <c r="L7495">
        <v>20</v>
      </c>
      <c r="M7495">
        <v>20</v>
      </c>
    </row>
    <row r="7496" spans="1:13" x14ac:dyDescent="0.25">
      <c r="A7496" t="s">
        <v>16628</v>
      </c>
      <c r="B7496" t="s">
        <v>16629</v>
      </c>
      <c r="C7496" t="s">
        <v>20</v>
      </c>
      <c r="G7496" t="s">
        <v>16</v>
      </c>
      <c r="H7496">
        <v>0</v>
      </c>
      <c r="I7496" s="2" t="s">
        <v>29</v>
      </c>
      <c r="J7496" s="2" t="s">
        <v>16630</v>
      </c>
      <c r="K7496">
        <v>20</v>
      </c>
      <c r="L7496">
        <v>20</v>
      </c>
      <c r="M7496">
        <v>20</v>
      </c>
    </row>
    <row r="7497" spans="1:13" x14ac:dyDescent="0.25">
      <c r="A7497" t="s">
        <v>16631</v>
      </c>
      <c r="B7497" t="s">
        <v>16629</v>
      </c>
      <c r="C7497" t="s">
        <v>20</v>
      </c>
      <c r="G7497" t="s">
        <v>16</v>
      </c>
      <c r="H7497">
        <v>0</v>
      </c>
      <c r="I7497" s="2" t="s">
        <v>35</v>
      </c>
      <c r="J7497" s="2" t="s">
        <v>16632</v>
      </c>
      <c r="K7497">
        <v>20</v>
      </c>
      <c r="L7497">
        <v>20</v>
      </c>
      <c r="M7497">
        <v>20</v>
      </c>
    </row>
    <row r="7498" spans="1:13" x14ac:dyDescent="0.25">
      <c r="A7498" t="s">
        <v>16633</v>
      </c>
      <c r="B7498" t="s">
        <v>16634</v>
      </c>
      <c r="C7498" t="s">
        <v>20</v>
      </c>
      <c r="F7498">
        <v>0</v>
      </c>
      <c r="G7498" t="s">
        <v>16</v>
      </c>
      <c r="H7498">
        <v>0</v>
      </c>
      <c r="I7498" s="2" t="s">
        <v>29</v>
      </c>
      <c r="J7498" s="2" t="s">
        <v>16635</v>
      </c>
      <c r="K7498">
        <v>20</v>
      </c>
      <c r="L7498">
        <v>20</v>
      </c>
      <c r="M7498">
        <v>20</v>
      </c>
    </row>
    <row r="7499" spans="1:13" x14ac:dyDescent="0.25">
      <c r="A7499" t="s">
        <v>16636</v>
      </c>
      <c r="B7499" t="s">
        <v>16634</v>
      </c>
      <c r="C7499" t="s">
        <v>20</v>
      </c>
      <c r="F7499">
        <v>4</v>
      </c>
      <c r="G7499" t="s">
        <v>16</v>
      </c>
      <c r="H7499">
        <v>0</v>
      </c>
      <c r="I7499" s="2" t="s">
        <v>35</v>
      </c>
      <c r="J7499" s="2" t="s">
        <v>16637</v>
      </c>
      <c r="K7499">
        <v>20</v>
      </c>
      <c r="L7499">
        <v>20</v>
      </c>
      <c r="M7499">
        <v>20</v>
      </c>
    </row>
    <row r="7500" spans="1:13" x14ac:dyDescent="0.25">
      <c r="A7500" t="s">
        <v>16638</v>
      </c>
      <c r="B7500" t="s">
        <v>16634</v>
      </c>
      <c r="C7500" t="s">
        <v>20</v>
      </c>
      <c r="F7500">
        <v>1</v>
      </c>
      <c r="G7500" t="s">
        <v>16</v>
      </c>
      <c r="H7500">
        <v>0</v>
      </c>
      <c r="I7500" s="2" t="s">
        <v>40</v>
      </c>
      <c r="J7500" s="2">
        <v>87410600</v>
      </c>
      <c r="K7500">
        <v>20</v>
      </c>
      <c r="L7500">
        <v>20</v>
      </c>
      <c r="M7500">
        <v>20</v>
      </c>
    </row>
    <row r="7501" spans="1:13" x14ac:dyDescent="0.25">
      <c r="A7501" t="s">
        <v>16639</v>
      </c>
      <c r="B7501" t="s">
        <v>16640</v>
      </c>
      <c r="C7501" t="s">
        <v>20</v>
      </c>
      <c r="G7501" t="s">
        <v>16</v>
      </c>
      <c r="H7501">
        <v>0</v>
      </c>
      <c r="I7501" s="2" t="s">
        <v>35</v>
      </c>
      <c r="J7501" s="2" t="s">
        <v>16641</v>
      </c>
      <c r="K7501">
        <v>20</v>
      </c>
      <c r="L7501">
        <v>20</v>
      </c>
      <c r="M7501">
        <v>20</v>
      </c>
    </row>
    <row r="7502" spans="1:13" x14ac:dyDescent="0.25">
      <c r="A7502" t="s">
        <v>16642</v>
      </c>
      <c r="B7502" t="s">
        <v>16643</v>
      </c>
      <c r="C7502" t="s">
        <v>540</v>
      </c>
      <c r="F7502">
        <v>1</v>
      </c>
      <c r="G7502" t="s">
        <v>16</v>
      </c>
      <c r="H7502">
        <v>0</v>
      </c>
      <c r="I7502" s="2" t="s">
        <v>643</v>
      </c>
      <c r="J7502" s="2">
        <v>131009</v>
      </c>
      <c r="K7502">
        <v>20</v>
      </c>
      <c r="L7502">
        <v>20</v>
      </c>
      <c r="M7502">
        <v>20</v>
      </c>
    </row>
    <row r="7503" spans="1:13" x14ac:dyDescent="0.25">
      <c r="A7503" t="s">
        <v>16644</v>
      </c>
      <c r="B7503" t="s">
        <v>16645</v>
      </c>
      <c r="C7503" t="s">
        <v>20</v>
      </c>
      <c r="D7503" t="s">
        <v>21</v>
      </c>
      <c r="F7503">
        <v>4</v>
      </c>
      <c r="G7503" t="s">
        <v>16</v>
      </c>
      <c r="H7503">
        <v>0</v>
      </c>
      <c r="I7503" s="2" t="s">
        <v>346</v>
      </c>
      <c r="J7503" s="2" t="s">
        <v>16646</v>
      </c>
      <c r="K7503">
        <v>20</v>
      </c>
      <c r="L7503">
        <v>20</v>
      </c>
      <c r="M7503">
        <v>20</v>
      </c>
    </row>
    <row r="7504" spans="1:13" x14ac:dyDescent="0.25">
      <c r="A7504" t="s">
        <v>16647</v>
      </c>
      <c r="B7504" t="s">
        <v>16648</v>
      </c>
      <c r="C7504" t="s">
        <v>20</v>
      </c>
      <c r="D7504" t="s">
        <v>21</v>
      </c>
      <c r="F7504">
        <v>4</v>
      </c>
      <c r="G7504" t="s">
        <v>16</v>
      </c>
      <c r="H7504">
        <v>0</v>
      </c>
      <c r="I7504" s="2" t="s">
        <v>346</v>
      </c>
      <c r="J7504" s="2" t="s">
        <v>16649</v>
      </c>
      <c r="K7504">
        <v>20</v>
      </c>
      <c r="L7504">
        <v>20</v>
      </c>
      <c r="M7504">
        <v>20</v>
      </c>
    </row>
    <row r="7505" spans="1:13" x14ac:dyDescent="0.25">
      <c r="A7505" t="s">
        <v>16650</v>
      </c>
      <c r="B7505" t="s">
        <v>16651</v>
      </c>
      <c r="C7505" t="s">
        <v>20</v>
      </c>
      <c r="D7505" t="s">
        <v>21</v>
      </c>
      <c r="F7505">
        <v>4</v>
      </c>
      <c r="G7505" t="s">
        <v>16</v>
      </c>
      <c r="H7505">
        <v>0</v>
      </c>
      <c r="I7505" s="2" t="s">
        <v>346</v>
      </c>
      <c r="J7505" s="2" t="s">
        <v>16652</v>
      </c>
      <c r="K7505">
        <v>20</v>
      </c>
      <c r="L7505">
        <v>20</v>
      </c>
      <c r="M7505">
        <v>20</v>
      </c>
    </row>
    <row r="7506" spans="1:13" x14ac:dyDescent="0.25">
      <c r="A7506" t="s">
        <v>16653</v>
      </c>
      <c r="B7506" t="s">
        <v>16654</v>
      </c>
      <c r="C7506" t="s">
        <v>20</v>
      </c>
      <c r="D7506" t="s">
        <v>21</v>
      </c>
      <c r="G7506" t="s">
        <v>16</v>
      </c>
      <c r="H7506">
        <v>0</v>
      </c>
      <c r="I7506" s="2" t="s">
        <v>346</v>
      </c>
      <c r="J7506" s="2">
        <v>87707890801</v>
      </c>
      <c r="K7506">
        <v>20</v>
      </c>
      <c r="L7506">
        <v>20</v>
      </c>
      <c r="M7506">
        <v>20</v>
      </c>
    </row>
    <row r="7507" spans="1:13" x14ac:dyDescent="0.25">
      <c r="A7507" t="s">
        <v>16655</v>
      </c>
      <c r="B7507" t="s">
        <v>16656</v>
      </c>
      <c r="C7507" t="s">
        <v>20</v>
      </c>
      <c r="D7507" t="s">
        <v>21</v>
      </c>
      <c r="G7507" t="s">
        <v>16</v>
      </c>
      <c r="H7507">
        <v>0</v>
      </c>
      <c r="I7507" s="2" t="s">
        <v>16657</v>
      </c>
      <c r="J7507" s="2" t="s">
        <v>16658</v>
      </c>
      <c r="K7507">
        <v>20</v>
      </c>
      <c r="L7507">
        <v>20</v>
      </c>
      <c r="M7507">
        <v>20</v>
      </c>
    </row>
    <row r="7508" spans="1:13" x14ac:dyDescent="0.25">
      <c r="A7508" t="s">
        <v>16659</v>
      </c>
      <c r="B7508" t="s">
        <v>16660</v>
      </c>
      <c r="C7508" t="s">
        <v>20</v>
      </c>
      <c r="D7508" t="s">
        <v>21</v>
      </c>
      <c r="G7508" t="s">
        <v>16</v>
      </c>
      <c r="H7508">
        <v>0</v>
      </c>
      <c r="I7508" s="2" t="s">
        <v>346</v>
      </c>
      <c r="J7508" s="2" t="s">
        <v>16661</v>
      </c>
      <c r="K7508">
        <v>20</v>
      </c>
      <c r="L7508">
        <v>20</v>
      </c>
      <c r="M7508">
        <v>20</v>
      </c>
    </row>
    <row r="7509" spans="1:13" x14ac:dyDescent="0.25">
      <c r="A7509" t="s">
        <v>16662</v>
      </c>
      <c r="B7509" t="s">
        <v>16660</v>
      </c>
      <c r="C7509" t="s">
        <v>20</v>
      </c>
      <c r="D7509" t="s">
        <v>21</v>
      </c>
      <c r="F7509">
        <v>4</v>
      </c>
      <c r="G7509" t="s">
        <v>16</v>
      </c>
      <c r="H7509">
        <v>0</v>
      </c>
      <c r="I7509" s="2" t="s">
        <v>16663</v>
      </c>
      <c r="J7509" s="2" t="s">
        <v>16664</v>
      </c>
      <c r="K7509">
        <v>20</v>
      </c>
      <c r="L7509">
        <v>20</v>
      </c>
      <c r="M7509">
        <v>20</v>
      </c>
    </row>
    <row r="7510" spans="1:13" x14ac:dyDescent="0.25">
      <c r="A7510" t="s">
        <v>16665</v>
      </c>
      <c r="B7510" t="s">
        <v>16666</v>
      </c>
      <c r="C7510" t="s">
        <v>20</v>
      </c>
      <c r="D7510" t="s">
        <v>21</v>
      </c>
      <c r="G7510" t="s">
        <v>16</v>
      </c>
      <c r="H7510">
        <v>0</v>
      </c>
      <c r="I7510" s="2" t="s">
        <v>16657</v>
      </c>
      <c r="J7510" s="2">
        <v>8771665100</v>
      </c>
      <c r="K7510">
        <v>20</v>
      </c>
      <c r="L7510">
        <v>20</v>
      </c>
      <c r="M7510">
        <v>20</v>
      </c>
    </row>
    <row r="7511" spans="1:13" x14ac:dyDescent="0.25">
      <c r="A7511" t="s">
        <v>16667</v>
      </c>
      <c r="B7511" t="s">
        <v>16668</v>
      </c>
      <c r="C7511" t="s">
        <v>20</v>
      </c>
      <c r="D7511" t="s">
        <v>21</v>
      </c>
      <c r="G7511" t="s">
        <v>16</v>
      </c>
      <c r="H7511">
        <v>0</v>
      </c>
      <c r="I7511" s="2" t="s">
        <v>16657</v>
      </c>
      <c r="J7511" s="2" t="s">
        <v>16669</v>
      </c>
      <c r="K7511">
        <v>20</v>
      </c>
      <c r="L7511">
        <v>20</v>
      </c>
      <c r="M7511">
        <v>20</v>
      </c>
    </row>
    <row r="7512" spans="1:13" x14ac:dyDescent="0.25">
      <c r="A7512" t="s">
        <v>16670</v>
      </c>
      <c r="B7512" t="s">
        <v>16671</v>
      </c>
      <c r="C7512" t="s">
        <v>20</v>
      </c>
      <c r="D7512" t="s">
        <v>21</v>
      </c>
      <c r="G7512" t="s">
        <v>16</v>
      </c>
      <c r="H7512">
        <v>0</v>
      </c>
      <c r="I7512" s="2" t="s">
        <v>40</v>
      </c>
      <c r="J7512" s="2">
        <v>40386620</v>
      </c>
      <c r="K7512">
        <v>20</v>
      </c>
      <c r="L7512">
        <v>20</v>
      </c>
      <c r="M7512">
        <v>20</v>
      </c>
    </row>
    <row r="7513" spans="1:13" x14ac:dyDescent="0.25">
      <c r="A7513" t="s">
        <v>16672</v>
      </c>
      <c r="B7513" t="s">
        <v>16673</v>
      </c>
      <c r="C7513" t="s">
        <v>20</v>
      </c>
      <c r="D7513" t="s">
        <v>21</v>
      </c>
      <c r="F7513">
        <v>4</v>
      </c>
      <c r="G7513" t="s">
        <v>16</v>
      </c>
      <c r="H7513">
        <v>0</v>
      </c>
      <c r="I7513" s="2" t="s">
        <v>16657</v>
      </c>
      <c r="J7513" s="2">
        <v>8771671050</v>
      </c>
      <c r="K7513">
        <v>20</v>
      </c>
      <c r="L7513">
        <v>20</v>
      </c>
      <c r="M7513">
        <v>20</v>
      </c>
    </row>
    <row r="7514" spans="1:13" x14ac:dyDescent="0.25">
      <c r="A7514" t="s">
        <v>16674</v>
      </c>
      <c r="B7514" t="s">
        <v>16673</v>
      </c>
      <c r="C7514" t="s">
        <v>20</v>
      </c>
      <c r="D7514" t="s">
        <v>21</v>
      </c>
      <c r="G7514" t="s">
        <v>16</v>
      </c>
      <c r="H7514">
        <v>0</v>
      </c>
      <c r="I7514" s="2" t="s">
        <v>354</v>
      </c>
      <c r="J7514" s="2" t="s">
        <v>16675</v>
      </c>
      <c r="K7514">
        <v>20</v>
      </c>
      <c r="L7514">
        <v>20</v>
      </c>
      <c r="M7514">
        <v>20</v>
      </c>
    </row>
    <row r="7515" spans="1:13" x14ac:dyDescent="0.25">
      <c r="A7515" t="s">
        <v>16676</v>
      </c>
      <c r="B7515" t="s">
        <v>16677</v>
      </c>
      <c r="C7515" t="s">
        <v>20</v>
      </c>
      <c r="D7515" t="s">
        <v>21</v>
      </c>
      <c r="G7515" t="s">
        <v>16</v>
      </c>
      <c r="H7515">
        <v>0</v>
      </c>
      <c r="I7515" s="2" t="s">
        <v>346</v>
      </c>
      <c r="J7515" s="2" t="s">
        <v>16678</v>
      </c>
      <c r="K7515">
        <v>20</v>
      </c>
      <c r="L7515">
        <v>20</v>
      </c>
      <c r="M7515">
        <v>20</v>
      </c>
    </row>
    <row r="7516" spans="1:13" x14ac:dyDescent="0.25">
      <c r="A7516" t="s">
        <v>16679</v>
      </c>
      <c r="B7516" t="s">
        <v>16680</v>
      </c>
      <c r="C7516" t="s">
        <v>20</v>
      </c>
      <c r="D7516" t="s">
        <v>21</v>
      </c>
      <c r="F7516">
        <v>4</v>
      </c>
      <c r="G7516" t="s">
        <v>16</v>
      </c>
      <c r="H7516">
        <v>0</v>
      </c>
      <c r="I7516" s="2" t="s">
        <v>16657</v>
      </c>
      <c r="J7516" s="2">
        <v>8771672050</v>
      </c>
      <c r="K7516">
        <v>20</v>
      </c>
      <c r="L7516">
        <v>20</v>
      </c>
      <c r="M7516">
        <v>20</v>
      </c>
    </row>
    <row r="7517" spans="1:13" x14ac:dyDescent="0.25">
      <c r="A7517" t="s">
        <v>16681</v>
      </c>
      <c r="B7517" t="s">
        <v>16682</v>
      </c>
      <c r="C7517" t="s">
        <v>20</v>
      </c>
      <c r="D7517" t="s">
        <v>21</v>
      </c>
      <c r="F7517">
        <v>4</v>
      </c>
      <c r="G7517" t="s">
        <v>16</v>
      </c>
      <c r="H7517">
        <v>0</v>
      </c>
      <c r="I7517" s="2" t="s">
        <v>346</v>
      </c>
      <c r="J7517" s="2" t="s">
        <v>16683</v>
      </c>
      <c r="K7517">
        <v>20</v>
      </c>
      <c r="L7517">
        <v>20</v>
      </c>
      <c r="M7517">
        <v>20</v>
      </c>
    </row>
    <row r="7518" spans="1:13" x14ac:dyDescent="0.25">
      <c r="A7518" t="s">
        <v>16684</v>
      </c>
      <c r="B7518" t="s">
        <v>16685</v>
      </c>
      <c r="C7518" t="s">
        <v>20</v>
      </c>
      <c r="D7518" t="s">
        <v>21</v>
      </c>
      <c r="G7518" t="s">
        <v>16</v>
      </c>
      <c r="H7518">
        <v>0</v>
      </c>
      <c r="I7518" s="2" t="s">
        <v>354</v>
      </c>
      <c r="J7518" s="2" t="s">
        <v>16686</v>
      </c>
      <c r="K7518">
        <v>20</v>
      </c>
      <c r="L7518">
        <v>20</v>
      </c>
      <c r="M7518">
        <v>20</v>
      </c>
    </row>
    <row r="7519" spans="1:13" x14ac:dyDescent="0.25">
      <c r="A7519" t="s">
        <v>16687</v>
      </c>
      <c r="B7519" t="s">
        <v>16688</v>
      </c>
      <c r="C7519" t="s">
        <v>20</v>
      </c>
      <c r="D7519" t="s">
        <v>21</v>
      </c>
      <c r="G7519" t="s">
        <v>16</v>
      </c>
      <c r="H7519">
        <v>0</v>
      </c>
      <c r="I7519" s="2" t="s">
        <v>346</v>
      </c>
      <c r="J7519" s="2" t="s">
        <v>16689</v>
      </c>
      <c r="K7519">
        <v>20</v>
      </c>
      <c r="L7519">
        <v>20</v>
      </c>
      <c r="M7519">
        <v>20</v>
      </c>
    </row>
    <row r="7520" spans="1:13" x14ac:dyDescent="0.25">
      <c r="A7520" t="s">
        <v>16690</v>
      </c>
      <c r="B7520" t="s">
        <v>16691</v>
      </c>
      <c r="C7520" t="s">
        <v>20</v>
      </c>
      <c r="D7520" t="s">
        <v>21</v>
      </c>
      <c r="F7520">
        <v>0</v>
      </c>
      <c r="G7520" t="s">
        <v>16</v>
      </c>
      <c r="H7520">
        <v>0</v>
      </c>
      <c r="I7520" s="2" t="s">
        <v>346</v>
      </c>
      <c r="J7520" s="2" t="s">
        <v>16692</v>
      </c>
      <c r="K7520">
        <v>20</v>
      </c>
      <c r="L7520">
        <v>20</v>
      </c>
      <c r="M7520">
        <v>20</v>
      </c>
    </row>
    <row r="7521" spans="1:13" x14ac:dyDescent="0.25">
      <c r="A7521" t="s">
        <v>16693</v>
      </c>
      <c r="B7521" t="s">
        <v>16694</v>
      </c>
      <c r="C7521" t="s">
        <v>20</v>
      </c>
      <c r="D7521" t="s">
        <v>21</v>
      </c>
      <c r="F7521">
        <v>4</v>
      </c>
      <c r="G7521" t="s">
        <v>16</v>
      </c>
      <c r="H7521">
        <v>0</v>
      </c>
      <c r="I7521" s="2" t="s">
        <v>40</v>
      </c>
      <c r="J7521" s="2">
        <v>94637600</v>
      </c>
      <c r="K7521">
        <v>20</v>
      </c>
      <c r="L7521">
        <v>20</v>
      </c>
      <c r="M7521">
        <v>20</v>
      </c>
    </row>
    <row r="7522" spans="1:13" x14ac:dyDescent="0.25">
      <c r="A7522" t="s">
        <v>16695</v>
      </c>
      <c r="B7522" t="s">
        <v>16696</v>
      </c>
      <c r="C7522" t="s">
        <v>20</v>
      </c>
      <c r="D7522" t="s">
        <v>21</v>
      </c>
      <c r="G7522" t="s">
        <v>16</v>
      </c>
      <c r="H7522">
        <v>0</v>
      </c>
      <c r="I7522" s="2" t="s">
        <v>346</v>
      </c>
      <c r="J7522" s="2" t="s">
        <v>16697</v>
      </c>
      <c r="K7522">
        <v>20</v>
      </c>
      <c r="L7522">
        <v>20</v>
      </c>
      <c r="M7522">
        <v>20</v>
      </c>
    </row>
    <row r="7523" spans="1:13" x14ac:dyDescent="0.25">
      <c r="A7523" t="s">
        <v>16698</v>
      </c>
      <c r="B7523" t="s">
        <v>16699</v>
      </c>
      <c r="C7523" t="s">
        <v>14267</v>
      </c>
      <c r="G7523" t="s">
        <v>16</v>
      </c>
      <c r="H7523">
        <v>0</v>
      </c>
      <c r="I7523" s="2" t="s">
        <v>16657</v>
      </c>
      <c r="J7523" s="2" t="s">
        <v>16698</v>
      </c>
      <c r="K7523">
        <v>20</v>
      </c>
      <c r="L7523">
        <v>20</v>
      </c>
      <c r="M7523">
        <v>20</v>
      </c>
    </row>
    <row r="7524" spans="1:13" x14ac:dyDescent="0.25">
      <c r="A7524" t="s">
        <v>16700</v>
      </c>
      <c r="B7524" t="s">
        <v>16701</v>
      </c>
      <c r="C7524" t="s">
        <v>20</v>
      </c>
      <c r="D7524" t="s">
        <v>21</v>
      </c>
      <c r="G7524" t="s">
        <v>16</v>
      </c>
      <c r="H7524">
        <v>0</v>
      </c>
      <c r="I7524" s="2" t="s">
        <v>346</v>
      </c>
      <c r="J7524" s="2" t="s">
        <v>16702</v>
      </c>
      <c r="K7524">
        <v>20</v>
      </c>
      <c r="L7524">
        <v>20</v>
      </c>
      <c r="M7524">
        <v>20</v>
      </c>
    </row>
    <row r="7525" spans="1:13" x14ac:dyDescent="0.25">
      <c r="A7525" t="s">
        <v>16703</v>
      </c>
      <c r="B7525" t="s">
        <v>16704</v>
      </c>
      <c r="C7525" t="s">
        <v>20</v>
      </c>
      <c r="D7525" t="s">
        <v>21</v>
      </c>
      <c r="F7525">
        <v>4</v>
      </c>
      <c r="G7525" t="s">
        <v>16</v>
      </c>
      <c r="H7525">
        <v>0</v>
      </c>
      <c r="I7525" s="2" t="s">
        <v>346</v>
      </c>
      <c r="J7525" s="2">
        <v>8772661040</v>
      </c>
      <c r="K7525">
        <v>20</v>
      </c>
      <c r="L7525">
        <v>20</v>
      </c>
      <c r="M7525">
        <v>20</v>
      </c>
    </row>
    <row r="7526" spans="1:13" x14ac:dyDescent="0.25">
      <c r="A7526" t="s">
        <v>16705</v>
      </c>
      <c r="B7526" t="s">
        <v>16706</v>
      </c>
      <c r="C7526" t="s">
        <v>20</v>
      </c>
      <c r="D7526" t="s">
        <v>21</v>
      </c>
      <c r="F7526">
        <v>4</v>
      </c>
      <c r="G7526" t="s">
        <v>16</v>
      </c>
      <c r="H7526">
        <v>0</v>
      </c>
      <c r="I7526" s="2" t="s">
        <v>346</v>
      </c>
      <c r="J7526" s="2">
        <v>8773450050</v>
      </c>
      <c r="K7526">
        <v>20</v>
      </c>
      <c r="L7526">
        <v>20</v>
      </c>
      <c r="M7526">
        <v>20</v>
      </c>
    </row>
    <row r="7527" spans="1:13" x14ac:dyDescent="0.25">
      <c r="A7527" t="s">
        <v>16707</v>
      </c>
      <c r="B7527" t="s">
        <v>16708</v>
      </c>
      <c r="C7527" t="s">
        <v>20</v>
      </c>
      <c r="D7527" t="s">
        <v>21</v>
      </c>
      <c r="F7527">
        <v>0</v>
      </c>
      <c r="G7527" t="s">
        <v>16</v>
      </c>
      <c r="H7527">
        <v>0</v>
      </c>
      <c r="I7527" s="2" t="s">
        <v>346</v>
      </c>
      <c r="J7527" s="2">
        <v>8773451050</v>
      </c>
      <c r="K7527">
        <v>20</v>
      </c>
      <c r="L7527">
        <v>20</v>
      </c>
      <c r="M7527">
        <v>20</v>
      </c>
    </row>
    <row r="7528" spans="1:13" x14ac:dyDescent="0.25">
      <c r="A7528" t="s">
        <v>16709</v>
      </c>
      <c r="B7528" t="s">
        <v>16710</v>
      </c>
      <c r="C7528" t="s">
        <v>20</v>
      </c>
      <c r="D7528" t="s">
        <v>21</v>
      </c>
      <c r="F7528">
        <v>0</v>
      </c>
      <c r="G7528" t="s">
        <v>16</v>
      </c>
      <c r="H7528">
        <v>0</v>
      </c>
      <c r="I7528" s="2" t="s">
        <v>346</v>
      </c>
      <c r="J7528" s="2" t="s">
        <v>16711</v>
      </c>
      <c r="K7528">
        <v>20</v>
      </c>
      <c r="L7528">
        <v>20</v>
      </c>
      <c r="M7528">
        <v>20</v>
      </c>
    </row>
    <row r="7529" spans="1:13" x14ac:dyDescent="0.25">
      <c r="A7529" t="s">
        <v>16712</v>
      </c>
      <c r="B7529" t="s">
        <v>16713</v>
      </c>
      <c r="C7529" t="s">
        <v>20</v>
      </c>
      <c r="D7529" t="s">
        <v>21</v>
      </c>
      <c r="G7529" t="s">
        <v>16</v>
      </c>
      <c r="H7529">
        <v>0</v>
      </c>
      <c r="I7529" s="2" t="s">
        <v>16714</v>
      </c>
      <c r="J7529" s="2" t="s">
        <v>16715</v>
      </c>
      <c r="K7529">
        <v>20</v>
      </c>
      <c r="L7529">
        <v>20</v>
      </c>
      <c r="M7529">
        <v>20</v>
      </c>
    </row>
    <row r="7530" spans="1:13" x14ac:dyDescent="0.25">
      <c r="A7530" t="s">
        <v>16716</v>
      </c>
      <c r="B7530" t="s">
        <v>16717</v>
      </c>
      <c r="C7530" t="s">
        <v>496</v>
      </c>
      <c r="F7530">
        <v>2</v>
      </c>
      <c r="G7530" t="s">
        <v>16</v>
      </c>
      <c r="H7530">
        <v>0</v>
      </c>
      <c r="I7530" s="2" t="s">
        <v>162</v>
      </c>
      <c r="J7530" s="2">
        <v>90900</v>
      </c>
      <c r="K7530">
        <v>20</v>
      </c>
      <c r="L7530">
        <v>20</v>
      </c>
      <c r="M7530">
        <v>20</v>
      </c>
    </row>
    <row r="7531" spans="1:13" x14ac:dyDescent="0.25">
      <c r="A7531" t="s">
        <v>16718</v>
      </c>
      <c r="B7531" t="s">
        <v>16717</v>
      </c>
      <c r="C7531" t="s">
        <v>496</v>
      </c>
      <c r="F7531">
        <v>0</v>
      </c>
      <c r="G7531" t="s">
        <v>16</v>
      </c>
      <c r="H7531">
        <v>0</v>
      </c>
      <c r="I7531" s="2" t="s">
        <v>16719</v>
      </c>
      <c r="J7531" s="2">
        <v>264411</v>
      </c>
      <c r="K7531">
        <v>20</v>
      </c>
      <c r="L7531">
        <v>20</v>
      </c>
      <c r="M7531">
        <v>20</v>
      </c>
    </row>
    <row r="7532" spans="1:13" x14ac:dyDescent="0.25">
      <c r="A7532" t="s">
        <v>16720</v>
      </c>
      <c r="B7532" t="s">
        <v>16721</v>
      </c>
      <c r="C7532" t="s">
        <v>496</v>
      </c>
      <c r="F7532">
        <v>1</v>
      </c>
      <c r="G7532" t="s">
        <v>16</v>
      </c>
      <c r="H7532">
        <v>0</v>
      </c>
      <c r="I7532" s="2" t="s">
        <v>16719</v>
      </c>
      <c r="J7532" s="2" t="s">
        <v>16722</v>
      </c>
      <c r="K7532">
        <v>20</v>
      </c>
      <c r="L7532">
        <v>20</v>
      </c>
      <c r="M7532">
        <v>20</v>
      </c>
    </row>
    <row r="7533" spans="1:13" x14ac:dyDescent="0.25">
      <c r="A7533" t="s">
        <v>16723</v>
      </c>
      <c r="B7533" t="s">
        <v>16717</v>
      </c>
      <c r="C7533" t="s">
        <v>496</v>
      </c>
      <c r="F7533">
        <v>2</v>
      </c>
      <c r="G7533" t="s">
        <v>16</v>
      </c>
      <c r="H7533">
        <v>0</v>
      </c>
      <c r="I7533" s="2" t="s">
        <v>266</v>
      </c>
      <c r="J7533" s="2">
        <v>63503</v>
      </c>
      <c r="K7533">
        <v>20</v>
      </c>
      <c r="L7533">
        <v>20</v>
      </c>
      <c r="M7533">
        <v>20</v>
      </c>
    </row>
    <row r="7534" spans="1:13" x14ac:dyDescent="0.25">
      <c r="A7534" t="s">
        <v>16724</v>
      </c>
      <c r="B7534" t="s">
        <v>16717</v>
      </c>
      <c r="C7534" t="s">
        <v>496</v>
      </c>
      <c r="F7534">
        <v>1</v>
      </c>
      <c r="G7534" t="s">
        <v>16</v>
      </c>
      <c r="H7534">
        <v>0</v>
      </c>
      <c r="I7534" s="2" t="s">
        <v>1107</v>
      </c>
      <c r="J7534" s="2" t="s">
        <v>16725</v>
      </c>
      <c r="K7534">
        <v>20</v>
      </c>
      <c r="L7534">
        <v>20</v>
      </c>
      <c r="M7534">
        <v>20</v>
      </c>
    </row>
    <row r="7535" spans="1:13" x14ac:dyDescent="0.25">
      <c r="A7535" t="s">
        <v>16726</v>
      </c>
      <c r="B7535" t="s">
        <v>16727</v>
      </c>
      <c r="C7535" t="s">
        <v>496</v>
      </c>
      <c r="F7535">
        <v>1</v>
      </c>
      <c r="G7535" t="s">
        <v>16</v>
      </c>
      <c r="H7535">
        <v>0</v>
      </c>
      <c r="I7535" s="2" t="s">
        <v>16728</v>
      </c>
      <c r="J7535" s="2">
        <v>28127</v>
      </c>
      <c r="K7535">
        <v>20</v>
      </c>
      <c r="L7535">
        <v>20</v>
      </c>
      <c r="M7535">
        <v>20</v>
      </c>
    </row>
    <row r="7536" spans="1:13" x14ac:dyDescent="0.25">
      <c r="A7536" t="s">
        <v>16729</v>
      </c>
      <c r="B7536" t="s">
        <v>16730</v>
      </c>
      <c r="C7536" t="s">
        <v>496</v>
      </c>
      <c r="F7536">
        <v>1</v>
      </c>
      <c r="G7536" t="s">
        <v>16</v>
      </c>
      <c r="H7536">
        <v>0</v>
      </c>
      <c r="I7536" s="2" t="s">
        <v>16719</v>
      </c>
      <c r="J7536" s="2">
        <v>265511</v>
      </c>
      <c r="K7536">
        <v>20</v>
      </c>
      <c r="L7536">
        <v>20</v>
      </c>
      <c r="M7536">
        <v>20</v>
      </c>
    </row>
    <row r="7537" spans="1:13" x14ac:dyDescent="0.25">
      <c r="A7537" t="s">
        <v>16731</v>
      </c>
      <c r="B7537" t="s">
        <v>16732</v>
      </c>
      <c r="C7537" t="s">
        <v>496</v>
      </c>
      <c r="F7537">
        <v>0</v>
      </c>
      <c r="G7537" t="s">
        <v>16</v>
      </c>
      <c r="H7537">
        <v>0</v>
      </c>
      <c r="I7537" s="2" t="s">
        <v>16719</v>
      </c>
      <c r="J7537" s="2" t="s">
        <v>16733</v>
      </c>
      <c r="K7537">
        <v>20</v>
      </c>
      <c r="L7537">
        <v>20</v>
      </c>
      <c r="M7537">
        <v>20</v>
      </c>
    </row>
    <row r="7538" spans="1:13" x14ac:dyDescent="0.25">
      <c r="A7538" t="s">
        <v>16734</v>
      </c>
      <c r="B7538" t="s">
        <v>16735</v>
      </c>
      <c r="C7538" t="s">
        <v>496</v>
      </c>
      <c r="G7538" t="s">
        <v>16</v>
      </c>
      <c r="H7538">
        <v>0</v>
      </c>
      <c r="I7538" s="2" t="s">
        <v>16719</v>
      </c>
      <c r="J7538" s="2" t="s">
        <v>16736</v>
      </c>
      <c r="K7538">
        <v>20</v>
      </c>
      <c r="L7538">
        <v>20</v>
      </c>
      <c r="M7538">
        <v>20</v>
      </c>
    </row>
    <row r="7539" spans="1:13" x14ac:dyDescent="0.25">
      <c r="A7539" t="s">
        <v>16737</v>
      </c>
      <c r="B7539" t="s">
        <v>16738</v>
      </c>
      <c r="C7539" t="s">
        <v>2493</v>
      </c>
      <c r="G7539" t="s">
        <v>16</v>
      </c>
      <c r="H7539">
        <v>0</v>
      </c>
      <c r="I7539" s="2" t="s">
        <v>737</v>
      </c>
      <c r="J7539" s="2" t="s">
        <v>16739</v>
      </c>
      <c r="K7539">
        <v>20</v>
      </c>
      <c r="L7539">
        <v>20</v>
      </c>
      <c r="M7539">
        <v>20</v>
      </c>
    </row>
    <row r="7540" spans="1:13" x14ac:dyDescent="0.25">
      <c r="A7540" t="s">
        <v>16740</v>
      </c>
      <c r="B7540" t="s">
        <v>16742</v>
      </c>
      <c r="C7540" t="s">
        <v>151</v>
      </c>
      <c r="D7540" t="s">
        <v>1524</v>
      </c>
      <c r="F7540">
        <v>2</v>
      </c>
      <c r="G7540" t="s">
        <v>16</v>
      </c>
      <c r="H7540">
        <v>0</v>
      </c>
      <c r="I7540" s="2" t="s">
        <v>288</v>
      </c>
      <c r="J7540" s="2" t="s">
        <v>16741</v>
      </c>
      <c r="K7540">
        <v>20</v>
      </c>
      <c r="L7540">
        <v>20</v>
      </c>
      <c r="M7540">
        <v>20</v>
      </c>
    </row>
    <row r="7541" spans="1:13" x14ac:dyDescent="0.25">
      <c r="A7541" t="s">
        <v>16743</v>
      </c>
      <c r="B7541" t="s">
        <v>16742</v>
      </c>
      <c r="C7541" t="s">
        <v>151</v>
      </c>
      <c r="D7541" t="s">
        <v>1524</v>
      </c>
      <c r="G7541" t="s">
        <v>16</v>
      </c>
      <c r="H7541">
        <v>0</v>
      </c>
      <c r="I7541" s="2" t="s">
        <v>941</v>
      </c>
      <c r="J7541" s="2" t="s">
        <v>16744</v>
      </c>
      <c r="K7541">
        <v>20</v>
      </c>
      <c r="L7541">
        <v>20</v>
      </c>
      <c r="M7541">
        <v>20</v>
      </c>
    </row>
    <row r="7542" spans="1:13" x14ac:dyDescent="0.25">
      <c r="A7542" t="s">
        <v>16745</v>
      </c>
      <c r="B7542" t="s">
        <v>16746</v>
      </c>
      <c r="C7542" t="s">
        <v>151</v>
      </c>
      <c r="D7542" t="s">
        <v>1524</v>
      </c>
      <c r="F7542">
        <v>2</v>
      </c>
      <c r="G7542" t="s">
        <v>16</v>
      </c>
      <c r="H7542">
        <v>0</v>
      </c>
      <c r="I7542" s="2" t="s">
        <v>953</v>
      </c>
      <c r="J7542" s="2">
        <v>79167</v>
      </c>
      <c r="K7542">
        <v>20</v>
      </c>
      <c r="L7542">
        <v>20</v>
      </c>
      <c r="M7542">
        <v>20</v>
      </c>
    </row>
    <row r="7543" spans="1:13" x14ac:dyDescent="0.25">
      <c r="A7543" t="s">
        <v>16747</v>
      </c>
      <c r="B7543" t="s">
        <v>16746</v>
      </c>
      <c r="C7543" t="s">
        <v>151</v>
      </c>
      <c r="D7543" t="s">
        <v>1524</v>
      </c>
      <c r="F7543">
        <v>1</v>
      </c>
      <c r="G7543" t="s">
        <v>16</v>
      </c>
      <c r="H7543">
        <v>0</v>
      </c>
      <c r="I7543" s="2" t="s">
        <v>906</v>
      </c>
      <c r="J7543" s="2" t="s">
        <v>16748</v>
      </c>
      <c r="K7543">
        <v>20</v>
      </c>
      <c r="L7543">
        <v>20</v>
      </c>
      <c r="M7543">
        <v>20</v>
      </c>
    </row>
    <row r="7544" spans="1:13" x14ac:dyDescent="0.25">
      <c r="A7544" t="s">
        <v>16749</v>
      </c>
      <c r="B7544" t="s">
        <v>16742</v>
      </c>
      <c r="C7544" t="s">
        <v>151</v>
      </c>
      <c r="D7544" t="s">
        <v>1524</v>
      </c>
      <c r="G7544" t="s">
        <v>16</v>
      </c>
      <c r="H7544">
        <v>0</v>
      </c>
      <c r="I7544" s="2" t="s">
        <v>854</v>
      </c>
      <c r="J7544" s="2">
        <v>253834</v>
      </c>
      <c r="K7544">
        <v>20</v>
      </c>
      <c r="L7544">
        <v>20</v>
      </c>
      <c r="M7544">
        <v>20</v>
      </c>
    </row>
    <row r="7545" spans="1:13" x14ac:dyDescent="0.25">
      <c r="A7545" t="s">
        <v>16750</v>
      </c>
      <c r="B7545" t="s">
        <v>16751</v>
      </c>
      <c r="C7545" t="s">
        <v>540</v>
      </c>
      <c r="F7545">
        <v>1</v>
      </c>
      <c r="G7545" t="s">
        <v>16</v>
      </c>
      <c r="H7545">
        <v>0</v>
      </c>
      <c r="I7545" s="2" t="s">
        <v>497</v>
      </c>
      <c r="J7545" s="2">
        <v>90276394</v>
      </c>
      <c r="K7545">
        <v>20</v>
      </c>
      <c r="L7545">
        <v>20</v>
      </c>
      <c r="M7545">
        <v>20</v>
      </c>
    </row>
    <row r="7546" spans="1:13" x14ac:dyDescent="0.25">
      <c r="A7546" t="s">
        <v>16752</v>
      </c>
      <c r="B7546" t="s">
        <v>16753</v>
      </c>
      <c r="C7546" t="s">
        <v>496</v>
      </c>
      <c r="G7546" t="s">
        <v>16</v>
      </c>
      <c r="H7546">
        <v>0</v>
      </c>
      <c r="I7546" s="2" t="s">
        <v>737</v>
      </c>
      <c r="J7546" s="2" t="s">
        <v>16754</v>
      </c>
      <c r="K7546">
        <v>20</v>
      </c>
      <c r="L7546">
        <v>20</v>
      </c>
      <c r="M7546">
        <v>20</v>
      </c>
    </row>
    <row r="7547" spans="1:13" x14ac:dyDescent="0.25">
      <c r="A7547" t="s">
        <v>16755</v>
      </c>
      <c r="B7547" t="s">
        <v>16757</v>
      </c>
      <c r="C7547" t="s">
        <v>496</v>
      </c>
      <c r="G7547" t="s">
        <v>16</v>
      </c>
      <c r="H7547">
        <v>0</v>
      </c>
      <c r="I7547" s="2" t="s">
        <v>737</v>
      </c>
      <c r="J7547" s="2" t="s">
        <v>16756</v>
      </c>
      <c r="K7547">
        <v>20</v>
      </c>
      <c r="L7547">
        <v>20</v>
      </c>
      <c r="M7547">
        <v>20</v>
      </c>
    </row>
    <row r="7548" spans="1:13" x14ac:dyDescent="0.25">
      <c r="A7548" t="s">
        <v>16758</v>
      </c>
      <c r="B7548" t="s">
        <v>16759</v>
      </c>
      <c r="C7548" t="s">
        <v>496</v>
      </c>
      <c r="G7548" t="s">
        <v>16</v>
      </c>
      <c r="H7548">
        <v>0</v>
      </c>
      <c r="I7548" s="2" t="s">
        <v>737</v>
      </c>
      <c r="J7548" s="2" t="s">
        <v>16760</v>
      </c>
      <c r="K7548">
        <v>20</v>
      </c>
      <c r="L7548">
        <v>20</v>
      </c>
      <c r="M7548">
        <v>20</v>
      </c>
    </row>
    <row r="7549" spans="1:13" x14ac:dyDescent="0.25">
      <c r="A7549" t="s">
        <v>16761</v>
      </c>
      <c r="B7549" t="s">
        <v>16762</v>
      </c>
      <c r="C7549" t="s">
        <v>20</v>
      </c>
      <c r="D7549" t="s">
        <v>26</v>
      </c>
      <c r="G7549" t="s">
        <v>16</v>
      </c>
      <c r="H7549">
        <v>0</v>
      </c>
      <c r="K7549">
        <v>20</v>
      </c>
      <c r="L7549">
        <v>20</v>
      </c>
      <c r="M7549">
        <v>20</v>
      </c>
    </row>
    <row r="7550" spans="1:13" x14ac:dyDescent="0.25">
      <c r="A7550">
        <v>90412760</v>
      </c>
      <c r="B7550" t="s">
        <v>16763</v>
      </c>
      <c r="C7550" t="s">
        <v>357</v>
      </c>
      <c r="D7550" t="s">
        <v>241</v>
      </c>
      <c r="F7550">
        <v>1</v>
      </c>
      <c r="G7550" t="s">
        <v>16</v>
      </c>
      <c r="H7550">
        <v>0</v>
      </c>
      <c r="I7550" s="2" t="s">
        <v>497</v>
      </c>
      <c r="J7550" s="2">
        <v>90412760</v>
      </c>
      <c r="K7550">
        <v>20</v>
      </c>
      <c r="L7550">
        <v>20</v>
      </c>
      <c r="M7550">
        <v>20</v>
      </c>
    </row>
    <row r="7551" spans="1:13" x14ac:dyDescent="0.25">
      <c r="A7551" t="s">
        <v>16764</v>
      </c>
      <c r="B7551" t="s">
        <v>16765</v>
      </c>
      <c r="C7551" t="s">
        <v>1436</v>
      </c>
      <c r="F7551">
        <v>1</v>
      </c>
      <c r="G7551" t="s">
        <v>16</v>
      </c>
      <c r="H7551">
        <v>0</v>
      </c>
      <c r="I7551" s="2" t="s">
        <v>197</v>
      </c>
      <c r="J7551" s="2">
        <v>130</v>
      </c>
      <c r="K7551">
        <v>20</v>
      </c>
      <c r="L7551">
        <v>20</v>
      </c>
      <c r="M7551">
        <v>20</v>
      </c>
    </row>
    <row r="7552" spans="1:13" x14ac:dyDescent="0.25">
      <c r="A7552" t="s">
        <v>16766</v>
      </c>
      <c r="B7552" t="s">
        <v>16767</v>
      </c>
      <c r="C7552" t="s">
        <v>540</v>
      </c>
      <c r="F7552">
        <v>2</v>
      </c>
      <c r="G7552" t="s">
        <v>16</v>
      </c>
      <c r="H7552">
        <v>0</v>
      </c>
      <c r="I7552" s="2" t="s">
        <v>6821</v>
      </c>
      <c r="J7552" s="2" t="s">
        <v>16768</v>
      </c>
      <c r="K7552">
        <v>20</v>
      </c>
      <c r="L7552">
        <v>20</v>
      </c>
      <c r="M7552">
        <v>20</v>
      </c>
    </row>
    <row r="7553" spans="1:13" x14ac:dyDescent="0.25">
      <c r="A7553">
        <v>90520527</v>
      </c>
      <c r="B7553" t="s">
        <v>16769</v>
      </c>
      <c r="C7553" t="s">
        <v>540</v>
      </c>
      <c r="G7553" t="s">
        <v>16</v>
      </c>
      <c r="H7553">
        <v>0</v>
      </c>
      <c r="I7553" s="2" t="s">
        <v>497</v>
      </c>
      <c r="J7553" s="2">
        <v>90520527</v>
      </c>
      <c r="K7553">
        <v>20</v>
      </c>
      <c r="L7553">
        <v>20</v>
      </c>
      <c r="M7553">
        <v>20</v>
      </c>
    </row>
    <row r="7554" spans="1:13" x14ac:dyDescent="0.25">
      <c r="A7554">
        <v>90520529</v>
      </c>
      <c r="B7554" t="s">
        <v>16770</v>
      </c>
      <c r="C7554" t="s">
        <v>540</v>
      </c>
      <c r="G7554" t="s">
        <v>16</v>
      </c>
      <c r="H7554">
        <v>0</v>
      </c>
      <c r="I7554" s="2" t="s">
        <v>497</v>
      </c>
      <c r="J7554" s="2">
        <v>90520529</v>
      </c>
      <c r="K7554">
        <v>20</v>
      </c>
      <c r="L7554">
        <v>20</v>
      </c>
      <c r="M7554">
        <v>20</v>
      </c>
    </row>
    <row r="7555" spans="1:13" x14ac:dyDescent="0.25">
      <c r="A7555" t="s">
        <v>16771</v>
      </c>
      <c r="B7555" t="s">
        <v>16772</v>
      </c>
      <c r="C7555" t="s">
        <v>1432</v>
      </c>
      <c r="G7555" t="s">
        <v>16</v>
      </c>
      <c r="H7555">
        <v>0</v>
      </c>
      <c r="I7555" s="2" t="s">
        <v>142</v>
      </c>
      <c r="J7555" s="2" t="s">
        <v>16773</v>
      </c>
      <c r="K7555">
        <v>20</v>
      </c>
      <c r="L7555">
        <v>20</v>
      </c>
      <c r="M7555">
        <v>20</v>
      </c>
    </row>
    <row r="7556" spans="1:13" x14ac:dyDescent="0.25">
      <c r="A7556" t="s">
        <v>16774</v>
      </c>
      <c r="B7556" t="s">
        <v>16775</v>
      </c>
      <c r="C7556" t="s">
        <v>357</v>
      </c>
      <c r="D7556" t="s">
        <v>241</v>
      </c>
      <c r="F7556">
        <v>1</v>
      </c>
      <c r="G7556" t="s">
        <v>16</v>
      </c>
      <c r="H7556">
        <v>0</v>
      </c>
      <c r="I7556" s="2" t="s">
        <v>64</v>
      </c>
      <c r="J7556" s="2">
        <v>10031541</v>
      </c>
      <c r="K7556">
        <v>20</v>
      </c>
      <c r="L7556">
        <v>20</v>
      </c>
      <c r="M7556">
        <v>20</v>
      </c>
    </row>
    <row r="7557" spans="1:13" x14ac:dyDescent="0.25">
      <c r="A7557">
        <v>90531117</v>
      </c>
      <c r="B7557" t="s">
        <v>16776</v>
      </c>
      <c r="C7557" t="s">
        <v>20</v>
      </c>
      <c r="F7557">
        <v>2</v>
      </c>
      <c r="G7557" t="s">
        <v>16</v>
      </c>
      <c r="H7557">
        <v>0</v>
      </c>
      <c r="I7557" s="2" t="s">
        <v>497</v>
      </c>
      <c r="J7557" s="2">
        <v>90531117</v>
      </c>
      <c r="K7557">
        <v>20</v>
      </c>
      <c r="L7557">
        <v>20</v>
      </c>
      <c r="M7557">
        <v>20</v>
      </c>
    </row>
    <row r="7558" spans="1:13" x14ac:dyDescent="0.25">
      <c r="A7558" t="s">
        <v>16777</v>
      </c>
      <c r="B7558" t="s">
        <v>16778</v>
      </c>
      <c r="C7558" t="s">
        <v>20</v>
      </c>
      <c r="D7558" t="s">
        <v>26</v>
      </c>
      <c r="G7558" t="s">
        <v>16</v>
      </c>
      <c r="H7558">
        <v>0</v>
      </c>
      <c r="I7558" s="2" t="s">
        <v>99</v>
      </c>
      <c r="J7558" s="2" t="str">
        <f>"023.370"</f>
        <v>023.370</v>
      </c>
      <c r="K7558">
        <v>20</v>
      </c>
      <c r="L7558">
        <v>20</v>
      </c>
      <c r="M7558">
        <v>20</v>
      </c>
    </row>
    <row r="7559" spans="1:13" x14ac:dyDescent="0.25">
      <c r="A7559" t="s">
        <v>16779</v>
      </c>
      <c r="B7559" t="s">
        <v>16780</v>
      </c>
      <c r="C7559" t="s">
        <v>540</v>
      </c>
      <c r="F7559">
        <v>1</v>
      </c>
      <c r="G7559" t="s">
        <v>16</v>
      </c>
      <c r="H7559">
        <v>0</v>
      </c>
      <c r="I7559" s="2" t="s">
        <v>1737</v>
      </c>
      <c r="J7559" s="2">
        <v>2839711</v>
      </c>
      <c r="K7559">
        <v>20</v>
      </c>
      <c r="L7559">
        <v>20</v>
      </c>
      <c r="M7559">
        <v>20</v>
      </c>
    </row>
    <row r="7560" spans="1:13" x14ac:dyDescent="0.25">
      <c r="A7560" t="s">
        <v>16781</v>
      </c>
      <c r="B7560" t="s">
        <v>16782</v>
      </c>
      <c r="C7560" t="s">
        <v>540</v>
      </c>
      <c r="F7560">
        <v>1</v>
      </c>
      <c r="G7560" t="s">
        <v>16</v>
      </c>
      <c r="H7560">
        <v>0</v>
      </c>
      <c r="I7560" s="2" t="s">
        <v>16783</v>
      </c>
      <c r="J7560" s="2">
        <v>115103</v>
      </c>
      <c r="K7560">
        <v>20</v>
      </c>
      <c r="L7560">
        <v>20</v>
      </c>
      <c r="M7560">
        <v>20</v>
      </c>
    </row>
    <row r="7561" spans="1:13" x14ac:dyDescent="0.25">
      <c r="A7561" t="s">
        <v>16784</v>
      </c>
      <c r="B7561" t="s">
        <v>16786</v>
      </c>
      <c r="C7561" t="s">
        <v>540</v>
      </c>
      <c r="G7561" t="s">
        <v>16</v>
      </c>
      <c r="H7561">
        <v>0</v>
      </c>
      <c r="I7561" s="2" t="s">
        <v>16787</v>
      </c>
      <c r="J7561" s="2" t="s">
        <v>16785</v>
      </c>
      <c r="K7561">
        <v>20</v>
      </c>
      <c r="L7561">
        <v>20</v>
      </c>
      <c r="M7561">
        <v>20</v>
      </c>
    </row>
    <row r="7562" spans="1:13" x14ac:dyDescent="0.25">
      <c r="A7562" t="s">
        <v>16788</v>
      </c>
      <c r="B7562" t="s">
        <v>16789</v>
      </c>
      <c r="C7562" t="s">
        <v>540</v>
      </c>
      <c r="G7562" t="s">
        <v>16</v>
      </c>
      <c r="H7562">
        <v>0</v>
      </c>
      <c r="I7562" s="2" t="s">
        <v>64</v>
      </c>
      <c r="J7562" s="2">
        <v>21030651</v>
      </c>
      <c r="K7562">
        <v>20</v>
      </c>
      <c r="L7562">
        <v>20</v>
      </c>
      <c r="M7562">
        <v>20</v>
      </c>
    </row>
    <row r="7563" spans="1:13" x14ac:dyDescent="0.25">
      <c r="A7563" t="s">
        <v>16790</v>
      </c>
      <c r="B7563" t="s">
        <v>16789</v>
      </c>
      <c r="C7563" t="s">
        <v>540</v>
      </c>
      <c r="G7563" t="s">
        <v>16</v>
      </c>
      <c r="H7563">
        <v>0</v>
      </c>
      <c r="I7563" s="2" t="s">
        <v>16787</v>
      </c>
      <c r="J7563" s="2">
        <v>3310161</v>
      </c>
      <c r="K7563">
        <v>20</v>
      </c>
      <c r="L7563">
        <v>20</v>
      </c>
      <c r="M7563">
        <v>20</v>
      </c>
    </row>
    <row r="7564" spans="1:13" x14ac:dyDescent="0.25">
      <c r="A7564" t="s">
        <v>16791</v>
      </c>
      <c r="B7564" t="s">
        <v>16792</v>
      </c>
      <c r="C7564" t="s">
        <v>540</v>
      </c>
      <c r="G7564" t="s">
        <v>16</v>
      </c>
      <c r="H7564">
        <v>0</v>
      </c>
      <c r="I7564" s="2" t="s">
        <v>64</v>
      </c>
      <c r="J7564" s="2">
        <v>21030650</v>
      </c>
      <c r="K7564">
        <v>20</v>
      </c>
      <c r="L7564">
        <v>20</v>
      </c>
      <c r="M7564">
        <v>20</v>
      </c>
    </row>
    <row r="7565" spans="1:13" x14ac:dyDescent="0.25">
      <c r="A7565" t="s">
        <v>16793</v>
      </c>
      <c r="B7565" t="s">
        <v>16794</v>
      </c>
      <c r="C7565" t="s">
        <v>151</v>
      </c>
      <c r="G7565" t="s">
        <v>16</v>
      </c>
      <c r="H7565">
        <v>0</v>
      </c>
      <c r="I7565" s="2" t="s">
        <v>500</v>
      </c>
      <c r="J7565" s="2" t="s">
        <v>16795</v>
      </c>
      <c r="K7565">
        <v>20</v>
      </c>
      <c r="L7565">
        <v>20</v>
      </c>
      <c r="M7565">
        <v>20</v>
      </c>
    </row>
    <row r="7566" spans="1:13" x14ac:dyDescent="0.25">
      <c r="A7566" t="s">
        <v>16796</v>
      </c>
      <c r="B7566" t="s">
        <v>16797</v>
      </c>
      <c r="C7566" t="s">
        <v>151</v>
      </c>
      <c r="D7566" t="s">
        <v>16798</v>
      </c>
      <c r="F7566">
        <v>1</v>
      </c>
      <c r="G7566" t="s">
        <v>16</v>
      </c>
      <c r="H7566">
        <v>0</v>
      </c>
      <c r="I7566" s="2" t="s">
        <v>1588</v>
      </c>
      <c r="J7566" s="2" t="s">
        <v>16799</v>
      </c>
      <c r="K7566">
        <v>20</v>
      </c>
      <c r="L7566">
        <v>20</v>
      </c>
      <c r="M7566">
        <v>20</v>
      </c>
    </row>
    <row r="7567" spans="1:13" x14ac:dyDescent="0.25">
      <c r="A7567" t="s">
        <v>16800</v>
      </c>
      <c r="B7567" t="s">
        <v>16801</v>
      </c>
      <c r="C7567" t="s">
        <v>1426</v>
      </c>
      <c r="F7567">
        <v>1</v>
      </c>
      <c r="G7567" t="s">
        <v>16</v>
      </c>
      <c r="H7567">
        <v>0</v>
      </c>
      <c r="I7567" s="2" t="s">
        <v>64</v>
      </c>
      <c r="J7567" s="2">
        <v>21030672</v>
      </c>
      <c r="K7567">
        <v>20</v>
      </c>
      <c r="L7567">
        <v>20</v>
      </c>
      <c r="M7567">
        <v>20</v>
      </c>
    </row>
    <row r="7568" spans="1:13" x14ac:dyDescent="0.25">
      <c r="A7568" t="s">
        <v>16802</v>
      </c>
      <c r="B7568" t="s">
        <v>16804</v>
      </c>
      <c r="C7568" t="s">
        <v>540</v>
      </c>
      <c r="G7568" t="s">
        <v>16</v>
      </c>
      <c r="H7568">
        <v>0</v>
      </c>
      <c r="I7568" s="2" t="s">
        <v>2098</v>
      </c>
      <c r="J7568" s="2" t="s">
        <v>16803</v>
      </c>
      <c r="K7568">
        <v>20</v>
      </c>
      <c r="L7568">
        <v>20</v>
      </c>
      <c r="M7568">
        <v>20</v>
      </c>
    </row>
    <row r="7569" spans="1:13" x14ac:dyDescent="0.25">
      <c r="A7569" t="s">
        <v>16805</v>
      </c>
      <c r="B7569" t="s">
        <v>16806</v>
      </c>
      <c r="C7569" t="s">
        <v>151</v>
      </c>
      <c r="G7569" t="s">
        <v>16</v>
      </c>
      <c r="H7569">
        <v>0</v>
      </c>
      <c r="K7569">
        <v>20</v>
      </c>
      <c r="L7569">
        <v>20</v>
      </c>
      <c r="M7569">
        <v>20</v>
      </c>
    </row>
    <row r="7570" spans="1:13" x14ac:dyDescent="0.25">
      <c r="A7570" t="s">
        <v>16807</v>
      </c>
      <c r="B7570" t="s">
        <v>16808</v>
      </c>
      <c r="C7570" t="s">
        <v>151</v>
      </c>
      <c r="D7570" t="s">
        <v>16798</v>
      </c>
      <c r="F7570">
        <v>2</v>
      </c>
      <c r="G7570" t="s">
        <v>16</v>
      </c>
      <c r="H7570">
        <v>0</v>
      </c>
      <c r="I7570" s="2" t="s">
        <v>988</v>
      </c>
      <c r="J7570" s="2" t="s">
        <v>16809</v>
      </c>
      <c r="K7570">
        <v>20</v>
      </c>
      <c r="L7570">
        <v>20</v>
      </c>
      <c r="M7570">
        <v>20</v>
      </c>
    </row>
    <row r="7571" spans="1:13" x14ac:dyDescent="0.25">
      <c r="A7571" t="s">
        <v>16810</v>
      </c>
      <c r="B7571" t="s">
        <v>16808</v>
      </c>
      <c r="C7571" t="s">
        <v>151</v>
      </c>
      <c r="D7571" t="s">
        <v>16798</v>
      </c>
      <c r="G7571" t="s">
        <v>16</v>
      </c>
      <c r="H7571">
        <v>0</v>
      </c>
      <c r="I7571" s="2" t="s">
        <v>500</v>
      </c>
      <c r="J7571" s="2" t="s">
        <v>16811</v>
      </c>
      <c r="K7571">
        <v>20</v>
      </c>
      <c r="L7571">
        <v>20</v>
      </c>
      <c r="M7571">
        <v>20</v>
      </c>
    </row>
    <row r="7572" spans="1:13" x14ac:dyDescent="0.25">
      <c r="A7572" t="s">
        <v>16812</v>
      </c>
      <c r="B7572" t="s">
        <v>16813</v>
      </c>
      <c r="C7572" t="s">
        <v>151</v>
      </c>
      <c r="D7572" t="s">
        <v>16798</v>
      </c>
      <c r="G7572" t="s">
        <v>16</v>
      </c>
      <c r="H7572">
        <v>0</v>
      </c>
      <c r="I7572" s="2" t="s">
        <v>993</v>
      </c>
      <c r="J7572" s="2">
        <v>201797001</v>
      </c>
      <c r="K7572">
        <v>20</v>
      </c>
      <c r="L7572">
        <v>20</v>
      </c>
      <c r="M7572">
        <v>20</v>
      </c>
    </row>
    <row r="7573" spans="1:13" x14ac:dyDescent="0.25">
      <c r="A7573" t="s">
        <v>16814</v>
      </c>
      <c r="B7573" t="s">
        <v>16815</v>
      </c>
      <c r="C7573" t="s">
        <v>151</v>
      </c>
      <c r="D7573" t="s">
        <v>16798</v>
      </c>
      <c r="F7573">
        <v>2</v>
      </c>
      <c r="G7573" t="s">
        <v>16</v>
      </c>
      <c r="H7573">
        <v>0</v>
      </c>
      <c r="I7573" s="2" t="s">
        <v>988</v>
      </c>
      <c r="J7573" s="2" t="s">
        <v>16816</v>
      </c>
      <c r="K7573">
        <v>20</v>
      </c>
      <c r="L7573">
        <v>20</v>
      </c>
      <c r="M7573">
        <v>20</v>
      </c>
    </row>
    <row r="7574" spans="1:13" x14ac:dyDescent="0.25">
      <c r="A7574" t="s">
        <v>16817</v>
      </c>
      <c r="B7574" t="s">
        <v>16818</v>
      </c>
      <c r="C7574" t="s">
        <v>151</v>
      </c>
      <c r="D7574" t="s">
        <v>16798</v>
      </c>
      <c r="G7574" t="s">
        <v>16</v>
      </c>
      <c r="H7574">
        <v>0</v>
      </c>
      <c r="I7574" s="2" t="s">
        <v>142</v>
      </c>
      <c r="J7574" s="2" t="s">
        <v>16819</v>
      </c>
      <c r="K7574">
        <v>20</v>
      </c>
      <c r="L7574">
        <v>20</v>
      </c>
      <c r="M7574">
        <v>20</v>
      </c>
    </row>
    <row r="7575" spans="1:13" x14ac:dyDescent="0.25">
      <c r="A7575" t="s">
        <v>16820</v>
      </c>
      <c r="B7575" t="s">
        <v>16818</v>
      </c>
      <c r="C7575" t="s">
        <v>151</v>
      </c>
      <c r="D7575" t="s">
        <v>16798</v>
      </c>
      <c r="F7575">
        <v>2</v>
      </c>
      <c r="G7575" t="s">
        <v>16</v>
      </c>
      <c r="H7575">
        <v>0</v>
      </c>
      <c r="I7575" s="2" t="s">
        <v>988</v>
      </c>
      <c r="J7575" s="2" t="s">
        <v>16821</v>
      </c>
      <c r="K7575">
        <v>20</v>
      </c>
      <c r="L7575">
        <v>20</v>
      </c>
      <c r="M7575">
        <v>20</v>
      </c>
    </row>
    <row r="7576" spans="1:13" x14ac:dyDescent="0.25">
      <c r="A7576" t="s">
        <v>16822</v>
      </c>
      <c r="B7576" t="s">
        <v>16818</v>
      </c>
      <c r="C7576" t="s">
        <v>151</v>
      </c>
      <c r="D7576" t="s">
        <v>16798</v>
      </c>
      <c r="F7576">
        <v>1</v>
      </c>
      <c r="G7576" t="s">
        <v>16</v>
      </c>
      <c r="H7576">
        <v>0</v>
      </c>
      <c r="I7576" s="2" t="s">
        <v>1463</v>
      </c>
      <c r="J7576" s="2">
        <v>171357</v>
      </c>
      <c r="K7576">
        <v>20</v>
      </c>
      <c r="L7576">
        <v>20</v>
      </c>
      <c r="M7576">
        <v>20</v>
      </c>
    </row>
    <row r="7577" spans="1:13" x14ac:dyDescent="0.25">
      <c r="A7577" t="s">
        <v>16823</v>
      </c>
      <c r="B7577" t="s">
        <v>16818</v>
      </c>
      <c r="C7577" t="s">
        <v>151</v>
      </c>
      <c r="D7577" t="s">
        <v>16798</v>
      </c>
      <c r="G7577" t="s">
        <v>16</v>
      </c>
      <c r="H7577">
        <v>0</v>
      </c>
      <c r="I7577" s="2" t="s">
        <v>165</v>
      </c>
      <c r="J7577" s="2">
        <v>201799</v>
      </c>
      <c r="K7577">
        <v>20</v>
      </c>
      <c r="L7577">
        <v>20</v>
      </c>
      <c r="M7577">
        <v>20</v>
      </c>
    </row>
    <row r="7578" spans="1:13" x14ac:dyDescent="0.25">
      <c r="A7578" t="s">
        <v>16824</v>
      </c>
      <c r="B7578" t="s">
        <v>16825</v>
      </c>
      <c r="C7578" t="s">
        <v>151</v>
      </c>
      <c r="D7578" t="s">
        <v>16798</v>
      </c>
      <c r="F7578">
        <v>1</v>
      </c>
      <c r="G7578" t="s">
        <v>16</v>
      </c>
      <c r="H7578">
        <v>0</v>
      </c>
      <c r="I7578" s="2" t="s">
        <v>248</v>
      </c>
      <c r="J7578" s="2">
        <v>26246</v>
      </c>
      <c r="K7578">
        <v>20</v>
      </c>
      <c r="L7578">
        <v>20</v>
      </c>
      <c r="M7578">
        <v>20</v>
      </c>
    </row>
    <row r="7579" spans="1:13" x14ac:dyDescent="0.25">
      <c r="A7579" t="s">
        <v>16826</v>
      </c>
      <c r="B7579" t="s">
        <v>16825</v>
      </c>
      <c r="C7579" t="s">
        <v>151</v>
      </c>
      <c r="D7579" t="s">
        <v>16798</v>
      </c>
      <c r="G7579" t="s">
        <v>16</v>
      </c>
      <c r="H7579">
        <v>0</v>
      </c>
      <c r="I7579" s="2" t="s">
        <v>500</v>
      </c>
      <c r="J7579" s="2" t="s">
        <v>16827</v>
      </c>
      <c r="K7579">
        <v>20</v>
      </c>
      <c r="L7579">
        <v>20</v>
      </c>
      <c r="M7579">
        <v>20</v>
      </c>
    </row>
    <row r="7580" spans="1:13" x14ac:dyDescent="0.25">
      <c r="A7580" t="s">
        <v>16828</v>
      </c>
      <c r="B7580" t="s">
        <v>16825</v>
      </c>
      <c r="C7580" t="s">
        <v>151</v>
      </c>
      <c r="D7580" t="s">
        <v>16798</v>
      </c>
      <c r="F7580">
        <v>2</v>
      </c>
      <c r="G7580" t="s">
        <v>16</v>
      </c>
      <c r="H7580">
        <v>0</v>
      </c>
      <c r="I7580" s="2" t="s">
        <v>2896</v>
      </c>
      <c r="J7580" s="2">
        <v>171390</v>
      </c>
      <c r="K7580">
        <v>20</v>
      </c>
      <c r="L7580">
        <v>20</v>
      </c>
      <c r="M7580">
        <v>20</v>
      </c>
    </row>
    <row r="7581" spans="1:13" x14ac:dyDescent="0.25">
      <c r="A7581" t="s">
        <v>16829</v>
      </c>
      <c r="B7581" t="s">
        <v>16825</v>
      </c>
      <c r="C7581" t="s">
        <v>151</v>
      </c>
      <c r="D7581" t="s">
        <v>16798</v>
      </c>
      <c r="G7581" t="s">
        <v>16</v>
      </c>
      <c r="H7581">
        <v>0</v>
      </c>
      <c r="I7581" s="2" t="s">
        <v>993</v>
      </c>
      <c r="J7581" s="2">
        <v>206197</v>
      </c>
      <c r="K7581">
        <v>20</v>
      </c>
      <c r="L7581">
        <v>20</v>
      </c>
      <c r="M7581">
        <v>20</v>
      </c>
    </row>
    <row r="7582" spans="1:13" x14ac:dyDescent="0.25">
      <c r="A7582" t="s">
        <v>16830</v>
      </c>
      <c r="B7582" t="s">
        <v>16825</v>
      </c>
      <c r="C7582" t="s">
        <v>151</v>
      </c>
      <c r="D7582" t="s">
        <v>16798</v>
      </c>
      <c r="G7582" t="s">
        <v>16</v>
      </c>
      <c r="H7582">
        <v>0</v>
      </c>
      <c r="K7582">
        <v>20</v>
      </c>
      <c r="L7582">
        <v>20</v>
      </c>
      <c r="M7582">
        <v>20</v>
      </c>
    </row>
    <row r="7583" spans="1:13" x14ac:dyDescent="0.25">
      <c r="A7583" t="s">
        <v>16831</v>
      </c>
      <c r="B7583" t="s">
        <v>16832</v>
      </c>
      <c r="C7583" t="s">
        <v>151</v>
      </c>
      <c r="D7583" t="s">
        <v>16798</v>
      </c>
      <c r="F7583">
        <v>2</v>
      </c>
      <c r="G7583" t="s">
        <v>16</v>
      </c>
      <c r="H7583">
        <v>0</v>
      </c>
      <c r="I7583" s="2" t="s">
        <v>988</v>
      </c>
      <c r="J7583" s="2" t="s">
        <v>16833</v>
      </c>
      <c r="K7583">
        <v>20</v>
      </c>
      <c r="L7583">
        <v>20</v>
      </c>
      <c r="M7583">
        <v>20</v>
      </c>
    </row>
    <row r="7584" spans="1:13" x14ac:dyDescent="0.25">
      <c r="A7584" t="s">
        <v>16834</v>
      </c>
      <c r="B7584" t="s">
        <v>16832</v>
      </c>
      <c r="C7584" t="s">
        <v>151</v>
      </c>
      <c r="D7584" t="s">
        <v>16798</v>
      </c>
      <c r="F7584">
        <v>5</v>
      </c>
      <c r="G7584" t="s">
        <v>16</v>
      </c>
      <c r="H7584">
        <v>0</v>
      </c>
      <c r="I7584" s="2" t="s">
        <v>1588</v>
      </c>
      <c r="J7584" s="2" t="s">
        <v>16835</v>
      </c>
      <c r="K7584">
        <v>20</v>
      </c>
      <c r="L7584">
        <v>20</v>
      </c>
      <c r="M7584">
        <v>20</v>
      </c>
    </row>
    <row r="7585" spans="1:13" x14ac:dyDescent="0.25">
      <c r="A7585" t="s">
        <v>16836</v>
      </c>
      <c r="B7585" t="s">
        <v>16832</v>
      </c>
      <c r="C7585" t="s">
        <v>151</v>
      </c>
      <c r="D7585" t="s">
        <v>16798</v>
      </c>
      <c r="F7585">
        <v>1</v>
      </c>
      <c r="G7585" t="s">
        <v>16</v>
      </c>
      <c r="H7585">
        <v>0</v>
      </c>
      <c r="I7585" s="2" t="s">
        <v>1513</v>
      </c>
      <c r="J7585" s="2">
        <v>40926149</v>
      </c>
      <c r="K7585">
        <v>20</v>
      </c>
      <c r="L7585">
        <v>20</v>
      </c>
      <c r="M7585">
        <v>20</v>
      </c>
    </row>
    <row r="7586" spans="1:13" x14ac:dyDescent="0.25">
      <c r="A7586" t="s">
        <v>16837</v>
      </c>
      <c r="B7586" t="s">
        <v>16832</v>
      </c>
      <c r="C7586" t="s">
        <v>151</v>
      </c>
      <c r="D7586" t="s">
        <v>16798</v>
      </c>
      <c r="G7586" t="s">
        <v>16</v>
      </c>
      <c r="H7586">
        <v>0</v>
      </c>
      <c r="I7586" s="2" t="s">
        <v>165</v>
      </c>
      <c r="J7586" s="2">
        <v>205656</v>
      </c>
      <c r="K7586">
        <v>20</v>
      </c>
      <c r="L7586">
        <v>20</v>
      </c>
      <c r="M7586">
        <v>20</v>
      </c>
    </row>
    <row r="7587" spans="1:13" x14ac:dyDescent="0.25">
      <c r="A7587" t="s">
        <v>16838</v>
      </c>
      <c r="B7587" t="s">
        <v>16839</v>
      </c>
      <c r="C7587" t="s">
        <v>20</v>
      </c>
      <c r="D7587" t="s">
        <v>133</v>
      </c>
      <c r="F7587">
        <v>1</v>
      </c>
      <c r="G7587" t="s">
        <v>16</v>
      </c>
      <c r="H7587">
        <v>0</v>
      </c>
      <c r="I7587" s="2" t="s">
        <v>14238</v>
      </c>
      <c r="J7587" s="2" t="s">
        <v>16840</v>
      </c>
      <c r="K7587">
        <v>20</v>
      </c>
      <c r="L7587">
        <v>20</v>
      </c>
      <c r="M7587">
        <v>20</v>
      </c>
    </row>
    <row r="7588" spans="1:13" x14ac:dyDescent="0.25">
      <c r="A7588" t="s">
        <v>16841</v>
      </c>
      <c r="B7588" t="s">
        <v>16839</v>
      </c>
      <c r="C7588" t="s">
        <v>20</v>
      </c>
      <c r="D7588" t="s">
        <v>133</v>
      </c>
      <c r="F7588">
        <v>2</v>
      </c>
      <c r="G7588" t="s">
        <v>16</v>
      </c>
      <c r="H7588">
        <v>0</v>
      </c>
      <c r="I7588" s="2" t="s">
        <v>453</v>
      </c>
      <c r="J7588" s="2" t="s">
        <v>16842</v>
      </c>
      <c r="K7588">
        <v>20</v>
      </c>
      <c r="L7588">
        <v>20</v>
      </c>
      <c r="M7588">
        <v>20</v>
      </c>
    </row>
    <row r="7589" spans="1:13" x14ac:dyDescent="0.25">
      <c r="A7589" t="s">
        <v>16843</v>
      </c>
      <c r="B7589" t="s">
        <v>16839</v>
      </c>
      <c r="C7589" t="s">
        <v>20</v>
      </c>
      <c r="D7589" t="s">
        <v>133</v>
      </c>
      <c r="G7589" t="s">
        <v>16</v>
      </c>
      <c r="H7589">
        <v>0</v>
      </c>
      <c r="I7589" s="2" t="s">
        <v>11610</v>
      </c>
      <c r="J7589" s="2" t="s">
        <v>16844</v>
      </c>
      <c r="K7589">
        <v>20</v>
      </c>
      <c r="L7589">
        <v>20</v>
      </c>
      <c r="M7589">
        <v>20</v>
      </c>
    </row>
    <row r="7590" spans="1:13" x14ac:dyDescent="0.25">
      <c r="A7590" t="s">
        <v>16845</v>
      </c>
      <c r="B7590" t="s">
        <v>16839</v>
      </c>
      <c r="C7590" t="s">
        <v>20</v>
      </c>
      <c r="D7590" t="s">
        <v>133</v>
      </c>
      <c r="F7590">
        <v>1</v>
      </c>
      <c r="G7590" t="s">
        <v>16</v>
      </c>
      <c r="H7590">
        <v>0</v>
      </c>
      <c r="I7590" s="2" t="s">
        <v>455</v>
      </c>
      <c r="J7590" s="2" t="s">
        <v>16846</v>
      </c>
      <c r="K7590">
        <v>20</v>
      </c>
      <c r="L7590">
        <v>20</v>
      </c>
      <c r="M7590">
        <v>20</v>
      </c>
    </row>
    <row r="7591" spans="1:13" x14ac:dyDescent="0.25">
      <c r="A7591" t="s">
        <v>16847</v>
      </c>
      <c r="B7591" t="s">
        <v>16848</v>
      </c>
      <c r="C7591" t="s">
        <v>540</v>
      </c>
      <c r="F7591">
        <v>2</v>
      </c>
      <c r="G7591" t="s">
        <v>16</v>
      </c>
      <c r="H7591">
        <v>0</v>
      </c>
      <c r="I7591" s="2" t="s">
        <v>1737</v>
      </c>
      <c r="J7591" s="2" t="s">
        <v>16849</v>
      </c>
      <c r="K7591">
        <v>20</v>
      </c>
      <c r="L7591">
        <v>20</v>
      </c>
      <c r="M7591">
        <v>20</v>
      </c>
    </row>
    <row r="7592" spans="1:13" x14ac:dyDescent="0.25">
      <c r="A7592" t="s">
        <v>16850</v>
      </c>
      <c r="B7592" t="s">
        <v>16851</v>
      </c>
      <c r="C7592" t="s">
        <v>540</v>
      </c>
      <c r="G7592" t="s">
        <v>16</v>
      </c>
      <c r="H7592">
        <v>0</v>
      </c>
      <c r="I7592" s="2" t="s">
        <v>51</v>
      </c>
      <c r="J7592" s="2" t="s">
        <v>16850</v>
      </c>
      <c r="K7592">
        <v>20</v>
      </c>
      <c r="L7592">
        <v>20</v>
      </c>
      <c r="M7592">
        <v>20</v>
      </c>
    </row>
    <row r="7593" spans="1:13" x14ac:dyDescent="0.25">
      <c r="A7593" t="s">
        <v>16852</v>
      </c>
      <c r="B7593" t="s">
        <v>16853</v>
      </c>
      <c r="C7593" t="s">
        <v>540</v>
      </c>
      <c r="F7593">
        <v>1</v>
      </c>
      <c r="G7593" t="s">
        <v>16</v>
      </c>
      <c r="H7593">
        <v>0</v>
      </c>
      <c r="I7593" s="2" t="s">
        <v>5029</v>
      </c>
      <c r="J7593" s="2">
        <v>1912</v>
      </c>
      <c r="K7593">
        <v>20</v>
      </c>
      <c r="L7593">
        <v>20</v>
      </c>
      <c r="M7593">
        <v>20</v>
      </c>
    </row>
    <row r="7594" spans="1:13" x14ac:dyDescent="0.25">
      <c r="A7594" t="s">
        <v>16854</v>
      </c>
      <c r="B7594" t="s">
        <v>16855</v>
      </c>
      <c r="C7594" t="s">
        <v>540</v>
      </c>
      <c r="F7594">
        <v>1</v>
      </c>
      <c r="G7594" t="s">
        <v>16</v>
      </c>
      <c r="H7594">
        <v>0</v>
      </c>
      <c r="I7594" s="2" t="s">
        <v>5029</v>
      </c>
      <c r="K7594">
        <v>20</v>
      </c>
      <c r="L7594">
        <v>20</v>
      </c>
      <c r="M7594">
        <v>20</v>
      </c>
    </row>
    <row r="7595" spans="1:13" x14ac:dyDescent="0.25">
      <c r="A7595">
        <v>92062728</v>
      </c>
      <c r="B7595" t="s">
        <v>16856</v>
      </c>
      <c r="C7595" t="s">
        <v>357</v>
      </c>
      <c r="D7595" t="s">
        <v>358</v>
      </c>
      <c r="F7595">
        <v>2</v>
      </c>
      <c r="G7595" t="s">
        <v>16</v>
      </c>
      <c r="H7595">
        <v>0</v>
      </c>
      <c r="I7595" s="2" t="s">
        <v>1200</v>
      </c>
      <c r="J7595" s="2" t="s">
        <v>16857</v>
      </c>
      <c r="K7595">
        <v>20</v>
      </c>
      <c r="L7595">
        <v>20</v>
      </c>
      <c r="M7595">
        <v>20</v>
      </c>
    </row>
    <row r="7596" spans="1:13" x14ac:dyDescent="0.25">
      <c r="A7596" t="s">
        <v>16858</v>
      </c>
      <c r="B7596" t="s">
        <v>16859</v>
      </c>
      <c r="C7596" t="s">
        <v>362</v>
      </c>
      <c r="F7596">
        <v>2</v>
      </c>
      <c r="G7596" t="s">
        <v>16</v>
      </c>
      <c r="H7596">
        <v>0</v>
      </c>
      <c r="I7596" s="2" t="s">
        <v>707</v>
      </c>
      <c r="J7596" s="2" t="s">
        <v>16860</v>
      </c>
      <c r="K7596">
        <v>20</v>
      </c>
      <c r="L7596">
        <v>20</v>
      </c>
      <c r="M7596">
        <v>20</v>
      </c>
    </row>
    <row r="7597" spans="1:13" x14ac:dyDescent="0.25">
      <c r="A7597" t="s">
        <v>16861</v>
      </c>
      <c r="B7597" t="s">
        <v>16862</v>
      </c>
      <c r="C7597" t="s">
        <v>20</v>
      </c>
      <c r="D7597" t="s">
        <v>26</v>
      </c>
      <c r="F7597">
        <v>77</v>
      </c>
      <c r="G7597" t="s">
        <v>16</v>
      </c>
      <c r="H7597">
        <v>0</v>
      </c>
      <c r="I7597" s="2" t="s">
        <v>3421</v>
      </c>
      <c r="J7597" s="2" t="s">
        <v>16863</v>
      </c>
      <c r="K7597">
        <v>20</v>
      </c>
      <c r="L7597">
        <v>20</v>
      </c>
      <c r="M7597">
        <v>20</v>
      </c>
    </row>
    <row r="7598" spans="1:13" x14ac:dyDescent="0.25">
      <c r="A7598" t="s">
        <v>16864</v>
      </c>
      <c r="B7598" t="s">
        <v>16865</v>
      </c>
      <c r="C7598" t="s">
        <v>20</v>
      </c>
      <c r="D7598" t="s">
        <v>26</v>
      </c>
      <c r="F7598">
        <v>2</v>
      </c>
      <c r="G7598" t="s">
        <v>16</v>
      </c>
      <c r="H7598">
        <v>0</v>
      </c>
      <c r="I7598" s="2" t="s">
        <v>80</v>
      </c>
      <c r="J7598" s="2" t="s">
        <v>16866</v>
      </c>
      <c r="K7598">
        <v>20</v>
      </c>
      <c r="L7598">
        <v>20</v>
      </c>
      <c r="M7598">
        <v>20</v>
      </c>
    </row>
    <row r="7599" spans="1:13" x14ac:dyDescent="0.25">
      <c r="A7599" t="s">
        <v>16867</v>
      </c>
      <c r="B7599" t="s">
        <v>16868</v>
      </c>
      <c r="C7599" t="s">
        <v>540</v>
      </c>
      <c r="F7599">
        <v>1</v>
      </c>
      <c r="G7599" t="s">
        <v>16</v>
      </c>
      <c r="H7599">
        <v>0</v>
      </c>
      <c r="I7599" s="2" t="s">
        <v>16869</v>
      </c>
      <c r="J7599" s="2">
        <v>93171968</v>
      </c>
      <c r="K7599">
        <v>20</v>
      </c>
      <c r="L7599">
        <v>20</v>
      </c>
      <c r="M7599">
        <v>20</v>
      </c>
    </row>
    <row r="7600" spans="1:13" x14ac:dyDescent="0.25">
      <c r="A7600" t="s">
        <v>16870</v>
      </c>
      <c r="B7600" t="s">
        <v>16871</v>
      </c>
      <c r="C7600" t="s">
        <v>20</v>
      </c>
      <c r="F7600">
        <v>2</v>
      </c>
      <c r="G7600" t="s">
        <v>16</v>
      </c>
      <c r="H7600">
        <v>0</v>
      </c>
      <c r="K7600">
        <v>20</v>
      </c>
      <c r="L7600">
        <v>20</v>
      </c>
      <c r="M7600">
        <v>20</v>
      </c>
    </row>
    <row r="7601" spans="1:13" x14ac:dyDescent="0.25">
      <c r="A7601">
        <v>93180107</v>
      </c>
      <c r="B7601" t="s">
        <v>16872</v>
      </c>
      <c r="C7601" t="s">
        <v>20</v>
      </c>
      <c r="F7601">
        <v>5</v>
      </c>
      <c r="G7601" t="s">
        <v>16</v>
      </c>
      <c r="H7601">
        <v>0</v>
      </c>
      <c r="I7601" s="2" t="s">
        <v>1444</v>
      </c>
      <c r="J7601" s="2">
        <v>93180107</v>
      </c>
      <c r="K7601">
        <v>20</v>
      </c>
      <c r="L7601">
        <v>20</v>
      </c>
      <c r="M7601">
        <v>20</v>
      </c>
    </row>
    <row r="7602" spans="1:13" x14ac:dyDescent="0.25">
      <c r="A7602" t="s">
        <v>16873</v>
      </c>
      <c r="B7602" t="s">
        <v>16872</v>
      </c>
      <c r="G7602" t="s">
        <v>16</v>
      </c>
      <c r="H7602">
        <v>0</v>
      </c>
      <c r="I7602" s="2" t="s">
        <v>7609</v>
      </c>
      <c r="J7602" s="2">
        <v>55563957</v>
      </c>
      <c r="K7602">
        <v>20</v>
      </c>
      <c r="L7602">
        <v>20</v>
      </c>
      <c r="M7602">
        <v>20</v>
      </c>
    </row>
    <row r="7603" spans="1:13" x14ac:dyDescent="0.25">
      <c r="A7603" t="s">
        <v>16874</v>
      </c>
      <c r="B7603" t="s">
        <v>16875</v>
      </c>
      <c r="C7603" t="s">
        <v>1432</v>
      </c>
      <c r="F7603">
        <v>1</v>
      </c>
      <c r="G7603" t="s">
        <v>16</v>
      </c>
      <c r="H7603">
        <v>0</v>
      </c>
      <c r="K7603">
        <v>20</v>
      </c>
      <c r="L7603">
        <v>20</v>
      </c>
      <c r="M7603">
        <v>20</v>
      </c>
    </row>
    <row r="7604" spans="1:13" x14ac:dyDescent="0.25">
      <c r="A7604" t="s">
        <v>16876</v>
      </c>
      <c r="B7604" t="s">
        <v>16877</v>
      </c>
      <c r="C7604" t="s">
        <v>540</v>
      </c>
      <c r="F7604">
        <v>0</v>
      </c>
      <c r="G7604" t="s">
        <v>16</v>
      </c>
      <c r="H7604">
        <v>0</v>
      </c>
      <c r="I7604" s="2" t="s">
        <v>2345</v>
      </c>
      <c r="J7604" s="2" t="s">
        <v>16878</v>
      </c>
      <c r="K7604">
        <v>20</v>
      </c>
      <c r="L7604">
        <v>20</v>
      </c>
      <c r="M7604">
        <v>20</v>
      </c>
    </row>
    <row r="7605" spans="1:13" x14ac:dyDescent="0.25">
      <c r="A7605" t="s">
        <v>16879</v>
      </c>
      <c r="B7605" t="s">
        <v>16880</v>
      </c>
      <c r="C7605" t="s">
        <v>20</v>
      </c>
      <c r="D7605" t="s">
        <v>133</v>
      </c>
      <c r="F7605">
        <v>1</v>
      </c>
      <c r="G7605" t="s">
        <v>16</v>
      </c>
      <c r="H7605">
        <v>0</v>
      </c>
      <c r="I7605" s="2" t="s">
        <v>1107</v>
      </c>
      <c r="J7605" s="2" t="s">
        <v>16881</v>
      </c>
      <c r="K7605">
        <v>20</v>
      </c>
      <c r="L7605">
        <v>20</v>
      </c>
      <c r="M7605">
        <v>20</v>
      </c>
    </row>
    <row r="7606" spans="1:13" x14ac:dyDescent="0.25">
      <c r="A7606" t="s">
        <v>16882</v>
      </c>
      <c r="B7606" t="s">
        <v>16883</v>
      </c>
      <c r="C7606" t="s">
        <v>14</v>
      </c>
      <c r="D7606" t="s">
        <v>191</v>
      </c>
      <c r="F7606">
        <v>0</v>
      </c>
      <c r="G7606" t="s">
        <v>16</v>
      </c>
      <c r="H7606">
        <v>0</v>
      </c>
      <c r="I7606" s="2" t="s">
        <v>1741</v>
      </c>
      <c r="J7606" s="2" t="s">
        <v>16884</v>
      </c>
      <c r="K7606">
        <v>20</v>
      </c>
      <c r="L7606">
        <v>20</v>
      </c>
      <c r="M7606">
        <v>20</v>
      </c>
    </row>
    <row r="7607" spans="1:13" x14ac:dyDescent="0.25">
      <c r="A7607" t="s">
        <v>16885</v>
      </c>
      <c r="B7607" t="s">
        <v>16886</v>
      </c>
      <c r="C7607" t="s">
        <v>20</v>
      </c>
      <c r="D7607" t="s">
        <v>26</v>
      </c>
      <c r="G7607" t="s">
        <v>16</v>
      </c>
      <c r="H7607">
        <v>0</v>
      </c>
      <c r="I7607" s="2" t="s">
        <v>16887</v>
      </c>
      <c r="J7607" s="2" t="s">
        <v>16888</v>
      </c>
      <c r="K7607">
        <v>20</v>
      </c>
      <c r="L7607">
        <v>20</v>
      </c>
      <c r="M7607">
        <v>20</v>
      </c>
    </row>
    <row r="7608" spans="1:13" x14ac:dyDescent="0.25">
      <c r="A7608" t="s">
        <v>16889</v>
      </c>
      <c r="B7608" t="s">
        <v>16890</v>
      </c>
      <c r="C7608" t="s">
        <v>20</v>
      </c>
      <c r="D7608" t="s">
        <v>26</v>
      </c>
      <c r="F7608">
        <v>1</v>
      </c>
      <c r="G7608" t="s">
        <v>16</v>
      </c>
      <c r="H7608">
        <v>0</v>
      </c>
      <c r="I7608" s="2" t="s">
        <v>6196</v>
      </c>
      <c r="J7608" s="2" t="s">
        <v>16891</v>
      </c>
      <c r="K7608">
        <v>20</v>
      </c>
      <c r="L7608">
        <v>20</v>
      </c>
      <c r="M7608">
        <v>20</v>
      </c>
    </row>
    <row r="7609" spans="1:13" x14ac:dyDescent="0.25">
      <c r="A7609" t="s">
        <v>16892</v>
      </c>
      <c r="B7609" t="s">
        <v>16893</v>
      </c>
      <c r="C7609" t="s">
        <v>20</v>
      </c>
      <c r="D7609" t="s">
        <v>26</v>
      </c>
      <c r="F7609">
        <v>1</v>
      </c>
      <c r="G7609" t="s">
        <v>16</v>
      </c>
      <c r="H7609">
        <v>0</v>
      </c>
      <c r="I7609" s="2" t="s">
        <v>16894</v>
      </c>
      <c r="K7609">
        <v>20</v>
      </c>
      <c r="L7609">
        <v>20</v>
      </c>
      <c r="M7609">
        <v>20</v>
      </c>
    </row>
    <row r="7610" spans="1:13" x14ac:dyDescent="0.25">
      <c r="A7610" t="s">
        <v>16895</v>
      </c>
      <c r="B7610" t="s">
        <v>16896</v>
      </c>
      <c r="C7610" t="s">
        <v>20</v>
      </c>
      <c r="D7610" t="s">
        <v>26</v>
      </c>
      <c r="F7610">
        <v>1</v>
      </c>
      <c r="G7610" t="s">
        <v>16</v>
      </c>
      <c r="H7610">
        <v>0</v>
      </c>
      <c r="I7610" s="2" t="s">
        <v>6196</v>
      </c>
      <c r="J7610" s="2" t="s">
        <v>16897</v>
      </c>
      <c r="K7610">
        <v>20</v>
      </c>
      <c r="L7610">
        <v>20</v>
      </c>
      <c r="M7610">
        <v>20</v>
      </c>
    </row>
    <row r="7611" spans="1:13" x14ac:dyDescent="0.25">
      <c r="A7611" t="s">
        <v>16898</v>
      </c>
      <c r="B7611" t="s">
        <v>16899</v>
      </c>
      <c r="C7611" t="s">
        <v>20</v>
      </c>
      <c r="D7611" t="s">
        <v>26</v>
      </c>
      <c r="G7611" t="s">
        <v>16</v>
      </c>
      <c r="H7611">
        <v>0</v>
      </c>
      <c r="I7611" s="2" t="s">
        <v>16887</v>
      </c>
      <c r="J7611" s="2" t="s">
        <v>16900</v>
      </c>
      <c r="K7611">
        <v>20</v>
      </c>
      <c r="L7611">
        <v>20</v>
      </c>
      <c r="M7611">
        <v>20</v>
      </c>
    </row>
    <row r="7612" spans="1:13" x14ac:dyDescent="0.25">
      <c r="A7612" t="s">
        <v>16901</v>
      </c>
      <c r="B7612" t="s">
        <v>16902</v>
      </c>
      <c r="C7612" t="s">
        <v>20</v>
      </c>
      <c r="D7612" t="s">
        <v>26</v>
      </c>
      <c r="F7612">
        <v>1</v>
      </c>
      <c r="G7612" t="s">
        <v>16</v>
      </c>
      <c r="H7612">
        <v>0</v>
      </c>
      <c r="I7612" s="2" t="s">
        <v>7250</v>
      </c>
      <c r="J7612" s="2" t="s">
        <v>16903</v>
      </c>
      <c r="K7612">
        <v>20</v>
      </c>
      <c r="L7612">
        <v>20</v>
      </c>
      <c r="M7612">
        <v>20</v>
      </c>
    </row>
    <row r="7613" spans="1:13" x14ac:dyDescent="0.25">
      <c r="A7613" t="s">
        <v>16904</v>
      </c>
      <c r="B7613" t="s">
        <v>16905</v>
      </c>
      <c r="C7613" t="s">
        <v>496</v>
      </c>
      <c r="F7613">
        <v>2</v>
      </c>
      <c r="G7613" t="s">
        <v>16</v>
      </c>
      <c r="H7613">
        <v>0</v>
      </c>
      <c r="I7613" s="2" t="s">
        <v>2517</v>
      </c>
      <c r="J7613" s="2" t="s">
        <v>16906</v>
      </c>
      <c r="K7613">
        <v>20</v>
      </c>
      <c r="L7613">
        <v>20</v>
      </c>
      <c r="M7613">
        <v>20</v>
      </c>
    </row>
    <row r="7614" spans="1:13" x14ac:dyDescent="0.25">
      <c r="A7614" t="s">
        <v>16907</v>
      </c>
      <c r="B7614" t="s">
        <v>16909</v>
      </c>
      <c r="C7614" t="s">
        <v>496</v>
      </c>
      <c r="F7614">
        <v>2</v>
      </c>
      <c r="G7614" t="s">
        <v>16</v>
      </c>
      <c r="H7614">
        <v>0</v>
      </c>
      <c r="I7614" s="2" t="s">
        <v>288</v>
      </c>
      <c r="J7614" s="2" t="s">
        <v>16908</v>
      </c>
      <c r="K7614">
        <v>20</v>
      </c>
      <c r="L7614">
        <v>20</v>
      </c>
      <c r="M7614">
        <v>20</v>
      </c>
    </row>
    <row r="7615" spans="1:13" x14ac:dyDescent="0.25">
      <c r="A7615" t="s">
        <v>16910</v>
      </c>
      <c r="B7615" t="s">
        <v>16909</v>
      </c>
      <c r="C7615" t="s">
        <v>496</v>
      </c>
      <c r="F7615">
        <v>2</v>
      </c>
      <c r="G7615" t="s">
        <v>16</v>
      </c>
      <c r="H7615">
        <v>0</v>
      </c>
      <c r="I7615" s="2" t="s">
        <v>2533</v>
      </c>
      <c r="J7615" s="2" t="s">
        <v>16911</v>
      </c>
      <c r="K7615">
        <v>20</v>
      </c>
      <c r="L7615">
        <v>20</v>
      </c>
      <c r="M7615">
        <v>20</v>
      </c>
    </row>
    <row r="7616" spans="1:13" x14ac:dyDescent="0.25">
      <c r="A7616" t="s">
        <v>16912</v>
      </c>
      <c r="B7616" t="s">
        <v>16909</v>
      </c>
      <c r="C7616" t="s">
        <v>496</v>
      </c>
      <c r="F7616">
        <v>1</v>
      </c>
      <c r="G7616" t="s">
        <v>16</v>
      </c>
      <c r="H7616">
        <v>0</v>
      </c>
      <c r="I7616" s="2" t="s">
        <v>4214</v>
      </c>
      <c r="J7616" s="2" t="s">
        <v>16913</v>
      </c>
      <c r="K7616">
        <v>20</v>
      </c>
      <c r="L7616">
        <v>20</v>
      </c>
      <c r="M7616">
        <v>20</v>
      </c>
    </row>
    <row r="7617" spans="1:13" x14ac:dyDescent="0.25">
      <c r="A7617" t="s">
        <v>16914</v>
      </c>
      <c r="B7617" t="s">
        <v>16915</v>
      </c>
      <c r="C7617" t="s">
        <v>496</v>
      </c>
      <c r="D7617" t="s">
        <v>2360</v>
      </c>
      <c r="F7617">
        <v>1</v>
      </c>
      <c r="G7617" t="s">
        <v>16</v>
      </c>
      <c r="H7617">
        <v>0</v>
      </c>
      <c r="I7617" s="2" t="s">
        <v>5044</v>
      </c>
      <c r="J7617" s="2" t="s">
        <v>16916</v>
      </c>
      <c r="K7617">
        <v>20</v>
      </c>
      <c r="L7617">
        <v>20</v>
      </c>
      <c r="M7617">
        <v>20</v>
      </c>
    </row>
    <row r="7618" spans="1:13" x14ac:dyDescent="0.25">
      <c r="A7618" t="s">
        <v>16917</v>
      </c>
      <c r="B7618" t="s">
        <v>16919</v>
      </c>
      <c r="C7618" t="s">
        <v>496</v>
      </c>
      <c r="F7618">
        <v>2</v>
      </c>
      <c r="G7618" t="s">
        <v>16</v>
      </c>
      <c r="H7618">
        <v>0</v>
      </c>
      <c r="I7618" s="2" t="s">
        <v>288</v>
      </c>
      <c r="J7618" s="2" t="s">
        <v>16918</v>
      </c>
      <c r="K7618">
        <v>20</v>
      </c>
      <c r="L7618">
        <v>20</v>
      </c>
      <c r="M7618">
        <v>20</v>
      </c>
    </row>
    <row r="7619" spans="1:13" x14ac:dyDescent="0.25">
      <c r="A7619" t="s">
        <v>16920</v>
      </c>
      <c r="B7619" t="s">
        <v>16919</v>
      </c>
      <c r="C7619" t="s">
        <v>496</v>
      </c>
      <c r="F7619">
        <v>3</v>
      </c>
      <c r="G7619" t="s">
        <v>16</v>
      </c>
      <c r="H7619">
        <v>0</v>
      </c>
      <c r="I7619" s="2" t="s">
        <v>2533</v>
      </c>
      <c r="J7619" s="2" t="s">
        <v>16921</v>
      </c>
      <c r="K7619">
        <v>20</v>
      </c>
      <c r="L7619">
        <v>20</v>
      </c>
      <c r="M7619">
        <v>20</v>
      </c>
    </row>
    <row r="7620" spans="1:13" x14ac:dyDescent="0.25">
      <c r="A7620" t="s">
        <v>16922</v>
      </c>
      <c r="B7620" t="s">
        <v>16919</v>
      </c>
      <c r="C7620" t="s">
        <v>496</v>
      </c>
      <c r="F7620">
        <v>2</v>
      </c>
      <c r="G7620" t="s">
        <v>16</v>
      </c>
      <c r="H7620">
        <v>0</v>
      </c>
      <c r="I7620" s="2" t="s">
        <v>5044</v>
      </c>
      <c r="J7620" s="2" t="s">
        <v>16923</v>
      </c>
      <c r="K7620">
        <v>20</v>
      </c>
      <c r="L7620">
        <v>20</v>
      </c>
      <c r="M7620">
        <v>20</v>
      </c>
    </row>
    <row r="7621" spans="1:13" x14ac:dyDescent="0.25">
      <c r="A7621" t="s">
        <v>16924</v>
      </c>
      <c r="B7621" t="s">
        <v>16925</v>
      </c>
      <c r="C7621" t="s">
        <v>496</v>
      </c>
      <c r="D7621" t="s">
        <v>2360</v>
      </c>
      <c r="F7621">
        <v>2</v>
      </c>
      <c r="G7621" t="s">
        <v>16</v>
      </c>
      <c r="H7621">
        <v>0</v>
      </c>
      <c r="I7621" s="2" t="s">
        <v>737</v>
      </c>
      <c r="J7621" s="2" t="s">
        <v>16926</v>
      </c>
      <c r="K7621">
        <v>20</v>
      </c>
      <c r="L7621">
        <v>20</v>
      </c>
      <c r="M7621">
        <v>20</v>
      </c>
    </row>
    <row r="7622" spans="1:13" x14ac:dyDescent="0.25">
      <c r="A7622" t="s">
        <v>16927</v>
      </c>
      <c r="B7622" t="s">
        <v>16928</v>
      </c>
      <c r="C7622" t="s">
        <v>20</v>
      </c>
      <c r="D7622" t="s">
        <v>26</v>
      </c>
      <c r="F7622">
        <v>0</v>
      </c>
      <c r="G7622" t="s">
        <v>16</v>
      </c>
      <c r="H7622">
        <v>0</v>
      </c>
      <c r="I7622" s="2" t="s">
        <v>16887</v>
      </c>
      <c r="J7622" s="2" t="s">
        <v>16929</v>
      </c>
      <c r="K7622">
        <v>20</v>
      </c>
      <c r="L7622">
        <v>20</v>
      </c>
      <c r="M7622">
        <v>20</v>
      </c>
    </row>
    <row r="7623" spans="1:13" x14ac:dyDescent="0.25">
      <c r="A7623" t="s">
        <v>16930</v>
      </c>
      <c r="B7623" t="s">
        <v>16931</v>
      </c>
      <c r="C7623" t="s">
        <v>20</v>
      </c>
      <c r="D7623" t="s">
        <v>26</v>
      </c>
      <c r="F7623">
        <v>0</v>
      </c>
      <c r="G7623" t="s">
        <v>16</v>
      </c>
      <c r="H7623">
        <v>0</v>
      </c>
      <c r="I7623" s="2" t="s">
        <v>6196</v>
      </c>
      <c r="J7623" s="2" t="s">
        <v>16932</v>
      </c>
      <c r="K7623">
        <v>20</v>
      </c>
      <c r="L7623">
        <v>20</v>
      </c>
      <c r="M7623">
        <v>20</v>
      </c>
    </row>
    <row r="7624" spans="1:13" x14ac:dyDescent="0.25">
      <c r="A7624" t="s">
        <v>16933</v>
      </c>
      <c r="B7624" t="s">
        <v>16935</v>
      </c>
      <c r="C7624" t="s">
        <v>496</v>
      </c>
      <c r="F7624">
        <v>2</v>
      </c>
      <c r="G7624" t="s">
        <v>16</v>
      </c>
      <c r="H7624">
        <v>0</v>
      </c>
      <c r="I7624" s="2" t="s">
        <v>288</v>
      </c>
      <c r="J7624" s="2" t="s">
        <v>16934</v>
      </c>
      <c r="K7624">
        <v>20</v>
      </c>
      <c r="L7624">
        <v>20</v>
      </c>
      <c r="M7624">
        <v>20</v>
      </c>
    </row>
    <row r="7625" spans="1:13" x14ac:dyDescent="0.25">
      <c r="A7625" t="s">
        <v>16936</v>
      </c>
      <c r="B7625" t="s">
        <v>16935</v>
      </c>
      <c r="C7625" t="s">
        <v>496</v>
      </c>
      <c r="F7625">
        <v>1</v>
      </c>
      <c r="G7625" t="s">
        <v>16</v>
      </c>
      <c r="H7625">
        <v>0</v>
      </c>
      <c r="I7625" s="2" t="s">
        <v>64</v>
      </c>
      <c r="J7625" s="2">
        <v>10020455</v>
      </c>
      <c r="K7625">
        <v>20</v>
      </c>
      <c r="L7625">
        <v>20</v>
      </c>
      <c r="M7625">
        <v>20</v>
      </c>
    </row>
    <row r="7626" spans="1:13" x14ac:dyDescent="0.25">
      <c r="A7626" t="s">
        <v>16937</v>
      </c>
      <c r="B7626" t="s">
        <v>16935</v>
      </c>
      <c r="C7626" t="s">
        <v>496</v>
      </c>
      <c r="F7626">
        <v>2</v>
      </c>
      <c r="G7626" t="s">
        <v>16</v>
      </c>
      <c r="H7626">
        <v>0</v>
      </c>
      <c r="I7626" s="2" t="s">
        <v>737</v>
      </c>
      <c r="J7626" s="2" t="s">
        <v>16938</v>
      </c>
      <c r="K7626">
        <v>20</v>
      </c>
      <c r="L7626">
        <v>20</v>
      </c>
      <c r="M7626">
        <v>20</v>
      </c>
    </row>
    <row r="7627" spans="1:13" x14ac:dyDescent="0.25">
      <c r="A7627" t="s">
        <v>16939</v>
      </c>
      <c r="B7627" t="s">
        <v>16940</v>
      </c>
      <c r="C7627" t="s">
        <v>14</v>
      </c>
      <c r="D7627" t="s">
        <v>293</v>
      </c>
      <c r="G7627" t="s">
        <v>16</v>
      </c>
      <c r="H7627">
        <v>0</v>
      </c>
      <c r="I7627" s="2" t="s">
        <v>4778</v>
      </c>
      <c r="J7627" s="2" t="s">
        <v>16941</v>
      </c>
      <c r="K7627">
        <v>20</v>
      </c>
      <c r="L7627">
        <v>20</v>
      </c>
      <c r="M7627">
        <v>20</v>
      </c>
    </row>
    <row r="7628" spans="1:13" x14ac:dyDescent="0.25">
      <c r="A7628" t="s">
        <v>16942</v>
      </c>
      <c r="B7628" t="s">
        <v>16940</v>
      </c>
      <c r="C7628" t="s">
        <v>14</v>
      </c>
      <c r="D7628" t="s">
        <v>293</v>
      </c>
      <c r="G7628" t="s">
        <v>16</v>
      </c>
      <c r="H7628">
        <v>0</v>
      </c>
      <c r="I7628" s="2" t="s">
        <v>238</v>
      </c>
      <c r="J7628" s="2">
        <v>108983</v>
      </c>
      <c r="K7628">
        <v>20</v>
      </c>
      <c r="L7628">
        <v>20</v>
      </c>
      <c r="M7628">
        <v>20</v>
      </c>
    </row>
    <row r="7629" spans="1:13" x14ac:dyDescent="0.25">
      <c r="A7629" t="s">
        <v>16943</v>
      </c>
      <c r="B7629" t="s">
        <v>16944</v>
      </c>
      <c r="C7629" t="s">
        <v>14</v>
      </c>
      <c r="D7629" t="s">
        <v>293</v>
      </c>
      <c r="F7629">
        <v>8</v>
      </c>
      <c r="G7629" t="s">
        <v>16</v>
      </c>
      <c r="H7629">
        <v>0</v>
      </c>
      <c r="I7629" s="2" t="s">
        <v>192</v>
      </c>
      <c r="J7629" s="2" t="s">
        <v>16945</v>
      </c>
      <c r="K7629">
        <v>20</v>
      </c>
      <c r="L7629">
        <v>20</v>
      </c>
      <c r="M7629">
        <v>20</v>
      </c>
    </row>
    <row r="7630" spans="1:13" x14ac:dyDescent="0.25">
      <c r="A7630" t="s">
        <v>16946</v>
      </c>
      <c r="B7630" t="s">
        <v>16940</v>
      </c>
      <c r="C7630" t="s">
        <v>14</v>
      </c>
      <c r="D7630" t="s">
        <v>293</v>
      </c>
      <c r="G7630" t="s">
        <v>16</v>
      </c>
      <c r="H7630">
        <v>0</v>
      </c>
      <c r="I7630" s="2" t="s">
        <v>6196</v>
      </c>
      <c r="J7630" s="2" t="s">
        <v>16947</v>
      </c>
      <c r="K7630">
        <v>20</v>
      </c>
      <c r="L7630">
        <v>20</v>
      </c>
      <c r="M7630">
        <v>20</v>
      </c>
    </row>
    <row r="7631" spans="1:13" x14ac:dyDescent="0.25">
      <c r="A7631" t="s">
        <v>16948</v>
      </c>
      <c r="B7631" t="s">
        <v>16940</v>
      </c>
      <c r="C7631" t="s">
        <v>14</v>
      </c>
      <c r="D7631" t="s">
        <v>293</v>
      </c>
      <c r="G7631" t="s">
        <v>16</v>
      </c>
      <c r="H7631">
        <v>0</v>
      </c>
      <c r="I7631" s="2" t="s">
        <v>3945</v>
      </c>
      <c r="J7631" s="2" t="s">
        <v>16949</v>
      </c>
      <c r="K7631">
        <v>20</v>
      </c>
      <c r="L7631">
        <v>20</v>
      </c>
      <c r="M7631">
        <v>20</v>
      </c>
    </row>
    <row r="7632" spans="1:13" x14ac:dyDescent="0.25">
      <c r="A7632" t="s">
        <v>16950</v>
      </c>
      <c r="B7632" t="s">
        <v>16944</v>
      </c>
      <c r="C7632" t="s">
        <v>14</v>
      </c>
      <c r="D7632" t="s">
        <v>293</v>
      </c>
      <c r="F7632">
        <v>2</v>
      </c>
      <c r="G7632" t="s">
        <v>16</v>
      </c>
      <c r="H7632">
        <v>0</v>
      </c>
      <c r="I7632" s="2" t="s">
        <v>6943</v>
      </c>
      <c r="J7632" s="2" t="s">
        <v>16951</v>
      </c>
      <c r="K7632">
        <v>20</v>
      </c>
      <c r="L7632">
        <v>20</v>
      </c>
      <c r="M7632">
        <v>20</v>
      </c>
    </row>
    <row r="7633" spans="1:13" x14ac:dyDescent="0.25">
      <c r="A7633" t="s">
        <v>16952</v>
      </c>
      <c r="B7633" t="s">
        <v>16940</v>
      </c>
      <c r="C7633" t="s">
        <v>14</v>
      </c>
      <c r="D7633" t="s">
        <v>293</v>
      </c>
      <c r="G7633" t="s">
        <v>16</v>
      </c>
      <c r="H7633">
        <v>0</v>
      </c>
      <c r="I7633" s="2" t="s">
        <v>7200</v>
      </c>
      <c r="J7633" s="2">
        <v>2509100</v>
      </c>
      <c r="K7633">
        <v>20</v>
      </c>
      <c r="L7633">
        <v>20</v>
      </c>
      <c r="M7633">
        <v>20</v>
      </c>
    </row>
    <row r="7634" spans="1:13" x14ac:dyDescent="0.25">
      <c r="A7634" t="s">
        <v>16953</v>
      </c>
      <c r="B7634" t="s">
        <v>16944</v>
      </c>
      <c r="C7634" t="s">
        <v>14</v>
      </c>
      <c r="D7634" t="s">
        <v>293</v>
      </c>
      <c r="F7634">
        <v>0</v>
      </c>
      <c r="G7634" t="s">
        <v>16</v>
      </c>
      <c r="H7634">
        <v>0</v>
      </c>
      <c r="I7634" s="2" t="s">
        <v>854</v>
      </c>
      <c r="J7634" s="2">
        <v>586688</v>
      </c>
      <c r="K7634">
        <v>20</v>
      </c>
      <c r="L7634">
        <v>20</v>
      </c>
      <c r="M7634">
        <v>20</v>
      </c>
    </row>
    <row r="7635" spans="1:13" x14ac:dyDescent="0.25">
      <c r="A7635" t="s">
        <v>16954</v>
      </c>
      <c r="B7635" t="s">
        <v>16955</v>
      </c>
      <c r="C7635" t="s">
        <v>20</v>
      </c>
      <c r="D7635" t="s">
        <v>26</v>
      </c>
      <c r="F7635">
        <v>6</v>
      </c>
      <c r="G7635" t="s">
        <v>16</v>
      </c>
      <c r="H7635">
        <v>0</v>
      </c>
      <c r="I7635" s="2" t="s">
        <v>759</v>
      </c>
      <c r="J7635" s="2">
        <v>93743630</v>
      </c>
      <c r="K7635">
        <v>20</v>
      </c>
      <c r="L7635">
        <v>20</v>
      </c>
      <c r="M7635">
        <v>20</v>
      </c>
    </row>
    <row r="7636" spans="1:13" x14ac:dyDescent="0.25">
      <c r="A7636" t="s">
        <v>16956</v>
      </c>
      <c r="B7636" t="s">
        <v>16957</v>
      </c>
      <c r="C7636" t="s">
        <v>20</v>
      </c>
      <c r="D7636" t="s">
        <v>26</v>
      </c>
      <c r="F7636">
        <v>1</v>
      </c>
      <c r="G7636" t="s">
        <v>16</v>
      </c>
      <c r="H7636">
        <v>0</v>
      </c>
      <c r="I7636" s="2" t="s">
        <v>142</v>
      </c>
      <c r="J7636" s="2">
        <v>4805331</v>
      </c>
      <c r="K7636">
        <v>20</v>
      </c>
      <c r="L7636">
        <v>20</v>
      </c>
      <c r="M7636">
        <v>20</v>
      </c>
    </row>
    <row r="7637" spans="1:13" x14ac:dyDescent="0.25">
      <c r="A7637" t="s">
        <v>16958</v>
      </c>
      <c r="B7637" t="s">
        <v>16959</v>
      </c>
      <c r="C7637" t="s">
        <v>20</v>
      </c>
      <c r="D7637" t="s">
        <v>296</v>
      </c>
      <c r="G7637" t="s">
        <v>16</v>
      </c>
      <c r="H7637">
        <v>0</v>
      </c>
      <c r="I7637" s="2" t="s">
        <v>383</v>
      </c>
      <c r="J7637" s="2">
        <v>1987948295</v>
      </c>
      <c r="K7637">
        <v>20</v>
      </c>
      <c r="L7637">
        <v>20</v>
      </c>
      <c r="M7637">
        <v>20</v>
      </c>
    </row>
    <row r="7638" spans="1:13" x14ac:dyDescent="0.25">
      <c r="A7638" t="s">
        <v>16960</v>
      </c>
      <c r="B7638" t="s">
        <v>16961</v>
      </c>
      <c r="C7638" t="s">
        <v>20</v>
      </c>
      <c r="D7638" t="s">
        <v>296</v>
      </c>
      <c r="F7638">
        <v>0</v>
      </c>
      <c r="G7638" t="s">
        <v>16</v>
      </c>
      <c r="H7638">
        <v>0</v>
      </c>
      <c r="I7638" s="2" t="s">
        <v>404</v>
      </c>
      <c r="J7638" s="2" t="s">
        <v>16962</v>
      </c>
      <c r="K7638">
        <v>20</v>
      </c>
      <c r="L7638">
        <v>20</v>
      </c>
      <c r="M7638">
        <v>20</v>
      </c>
    </row>
    <row r="7639" spans="1:13" x14ac:dyDescent="0.25">
      <c r="A7639" t="s">
        <v>16963</v>
      </c>
      <c r="B7639" t="s">
        <v>16961</v>
      </c>
      <c r="C7639" t="s">
        <v>20</v>
      </c>
      <c r="D7639" t="s">
        <v>296</v>
      </c>
      <c r="F7639">
        <v>1</v>
      </c>
      <c r="G7639" t="s">
        <v>16</v>
      </c>
      <c r="H7639">
        <v>0</v>
      </c>
      <c r="I7639" s="2" t="s">
        <v>437</v>
      </c>
      <c r="J7639" s="2">
        <v>530057210</v>
      </c>
      <c r="K7639">
        <v>20</v>
      </c>
      <c r="L7639">
        <v>20</v>
      </c>
      <c r="M7639">
        <v>20</v>
      </c>
    </row>
    <row r="7640" spans="1:13" x14ac:dyDescent="0.25">
      <c r="A7640">
        <v>93745801</v>
      </c>
      <c r="B7640" t="s">
        <v>16964</v>
      </c>
      <c r="C7640" t="s">
        <v>14</v>
      </c>
      <c r="D7640" t="s">
        <v>293</v>
      </c>
      <c r="F7640">
        <v>2</v>
      </c>
      <c r="G7640" t="s">
        <v>16</v>
      </c>
      <c r="H7640">
        <v>0</v>
      </c>
      <c r="I7640" s="2" t="s">
        <v>497</v>
      </c>
      <c r="J7640" s="2">
        <v>95599740</v>
      </c>
      <c r="K7640">
        <v>20</v>
      </c>
      <c r="L7640">
        <v>20</v>
      </c>
      <c r="M7640">
        <v>20</v>
      </c>
    </row>
    <row r="7641" spans="1:13" x14ac:dyDescent="0.25">
      <c r="A7641" t="s">
        <v>16965</v>
      </c>
      <c r="B7641" t="s">
        <v>16966</v>
      </c>
      <c r="C7641" t="s">
        <v>14</v>
      </c>
      <c r="D7641" t="s">
        <v>293</v>
      </c>
      <c r="G7641" t="s">
        <v>16</v>
      </c>
      <c r="H7641">
        <v>0</v>
      </c>
      <c r="I7641" s="2" t="s">
        <v>6196</v>
      </c>
      <c r="J7641" s="2" t="s">
        <v>16967</v>
      </c>
      <c r="K7641">
        <v>20</v>
      </c>
      <c r="L7641">
        <v>20</v>
      </c>
      <c r="M7641">
        <v>20</v>
      </c>
    </row>
    <row r="7642" spans="1:13" x14ac:dyDescent="0.25">
      <c r="A7642" t="s">
        <v>16968</v>
      </c>
      <c r="B7642" t="s">
        <v>16964</v>
      </c>
      <c r="C7642" t="s">
        <v>14</v>
      </c>
      <c r="D7642" t="s">
        <v>293</v>
      </c>
      <c r="G7642" t="s">
        <v>16</v>
      </c>
      <c r="H7642">
        <v>0</v>
      </c>
      <c r="I7642" s="2" t="s">
        <v>17</v>
      </c>
      <c r="J7642" s="2" t="s">
        <v>16969</v>
      </c>
      <c r="K7642">
        <v>20</v>
      </c>
      <c r="L7642">
        <v>20</v>
      </c>
      <c r="M7642">
        <v>20</v>
      </c>
    </row>
    <row r="7643" spans="1:13" x14ac:dyDescent="0.25">
      <c r="A7643" t="s">
        <v>16970</v>
      </c>
      <c r="B7643" t="s">
        <v>16971</v>
      </c>
      <c r="C7643" t="s">
        <v>362</v>
      </c>
      <c r="D7643" t="s">
        <v>363</v>
      </c>
      <c r="F7643">
        <v>0</v>
      </c>
      <c r="G7643" t="s">
        <v>22</v>
      </c>
      <c r="H7643">
        <v>0</v>
      </c>
      <c r="I7643" s="2" t="s">
        <v>4193</v>
      </c>
      <c r="J7643" s="2" t="s">
        <v>16972</v>
      </c>
      <c r="K7643">
        <v>20</v>
      </c>
      <c r="L7643">
        <v>20</v>
      </c>
      <c r="M7643">
        <v>20</v>
      </c>
    </row>
    <row r="7644" spans="1:13" x14ac:dyDescent="0.25">
      <c r="A7644">
        <v>94501031</v>
      </c>
      <c r="B7644" t="s">
        <v>16973</v>
      </c>
      <c r="C7644" t="s">
        <v>20</v>
      </c>
      <c r="G7644" t="s">
        <v>16</v>
      </c>
      <c r="H7644">
        <v>0</v>
      </c>
      <c r="I7644" s="2" t="s">
        <v>1444</v>
      </c>
      <c r="J7644" s="2">
        <v>94501031</v>
      </c>
      <c r="K7644">
        <v>20</v>
      </c>
      <c r="L7644">
        <v>20</v>
      </c>
      <c r="M7644">
        <v>20</v>
      </c>
    </row>
    <row r="7645" spans="1:13" x14ac:dyDescent="0.25">
      <c r="A7645" t="s">
        <v>16974</v>
      </c>
      <c r="B7645" t="s">
        <v>16975</v>
      </c>
      <c r="C7645" t="s">
        <v>496</v>
      </c>
      <c r="F7645">
        <v>10</v>
      </c>
      <c r="G7645" t="s">
        <v>16</v>
      </c>
      <c r="H7645">
        <v>0</v>
      </c>
      <c r="I7645" s="2" t="s">
        <v>16976</v>
      </c>
      <c r="J7645" s="2">
        <v>34794</v>
      </c>
      <c r="K7645">
        <v>20</v>
      </c>
      <c r="L7645">
        <v>20</v>
      </c>
      <c r="M7645">
        <v>20</v>
      </c>
    </row>
    <row r="7646" spans="1:13" x14ac:dyDescent="0.25">
      <c r="A7646" t="s">
        <v>16977</v>
      </c>
      <c r="B7646" t="s">
        <v>16975</v>
      </c>
      <c r="C7646" t="s">
        <v>496</v>
      </c>
      <c r="G7646" t="s">
        <v>16</v>
      </c>
      <c r="H7646">
        <v>0</v>
      </c>
      <c r="I7646" s="2" t="s">
        <v>737</v>
      </c>
      <c r="J7646" s="2" t="s">
        <v>16978</v>
      </c>
      <c r="K7646">
        <v>20</v>
      </c>
      <c r="L7646">
        <v>20</v>
      </c>
      <c r="M7646">
        <v>20</v>
      </c>
    </row>
    <row r="7647" spans="1:13" x14ac:dyDescent="0.25">
      <c r="A7647" t="s">
        <v>16979</v>
      </c>
      <c r="B7647" t="s">
        <v>16981</v>
      </c>
      <c r="C7647" t="s">
        <v>496</v>
      </c>
      <c r="D7647" t="s">
        <v>4083</v>
      </c>
      <c r="F7647">
        <v>1</v>
      </c>
      <c r="G7647" t="s">
        <v>16</v>
      </c>
      <c r="H7647">
        <v>0</v>
      </c>
      <c r="I7647" s="2" t="s">
        <v>765</v>
      </c>
      <c r="J7647" s="2" t="s">
        <v>16980</v>
      </c>
      <c r="K7647">
        <v>20</v>
      </c>
      <c r="L7647">
        <v>20</v>
      </c>
      <c r="M7647">
        <v>20</v>
      </c>
    </row>
    <row r="7648" spans="1:13" x14ac:dyDescent="0.25">
      <c r="A7648" t="s">
        <v>16982</v>
      </c>
      <c r="B7648" t="s">
        <v>16984</v>
      </c>
      <c r="C7648" t="s">
        <v>496</v>
      </c>
      <c r="D7648" t="s">
        <v>4083</v>
      </c>
      <c r="F7648">
        <v>1</v>
      </c>
      <c r="G7648" t="s">
        <v>16</v>
      </c>
      <c r="H7648">
        <v>0</v>
      </c>
      <c r="I7648" s="2" t="s">
        <v>765</v>
      </c>
      <c r="J7648" s="2" t="s">
        <v>16983</v>
      </c>
      <c r="K7648">
        <v>20</v>
      </c>
      <c r="L7648">
        <v>20</v>
      </c>
      <c r="M7648">
        <v>20</v>
      </c>
    </row>
    <row r="7649" spans="1:13" x14ac:dyDescent="0.25">
      <c r="A7649" t="s">
        <v>16985</v>
      </c>
      <c r="B7649" t="s">
        <v>16986</v>
      </c>
      <c r="C7649" t="s">
        <v>540</v>
      </c>
      <c r="F7649">
        <v>50</v>
      </c>
      <c r="G7649" t="s">
        <v>16</v>
      </c>
      <c r="H7649">
        <v>0</v>
      </c>
      <c r="I7649" s="2" t="s">
        <v>6829</v>
      </c>
      <c r="J7649" s="2">
        <v>7209</v>
      </c>
      <c r="K7649">
        <v>20</v>
      </c>
      <c r="L7649">
        <v>20</v>
      </c>
      <c r="M7649">
        <v>20</v>
      </c>
    </row>
    <row r="7650" spans="1:13" x14ac:dyDescent="0.25">
      <c r="A7650" t="s">
        <v>16987</v>
      </c>
      <c r="B7650" t="s">
        <v>16988</v>
      </c>
      <c r="C7650" t="s">
        <v>20</v>
      </c>
      <c r="D7650" t="s">
        <v>26</v>
      </c>
      <c r="F7650">
        <v>2</v>
      </c>
      <c r="G7650" t="s">
        <v>16</v>
      </c>
      <c r="H7650">
        <v>0</v>
      </c>
      <c r="I7650" s="2" t="s">
        <v>99</v>
      </c>
      <c r="J7650" s="3">
        <v>166160</v>
      </c>
      <c r="K7650">
        <v>20</v>
      </c>
      <c r="L7650">
        <v>20</v>
      </c>
      <c r="M7650">
        <v>20</v>
      </c>
    </row>
    <row r="7651" spans="1:13" x14ac:dyDescent="0.25">
      <c r="A7651" t="s">
        <v>16989</v>
      </c>
      <c r="B7651" t="s">
        <v>16990</v>
      </c>
      <c r="C7651" t="s">
        <v>496</v>
      </c>
      <c r="D7651" t="s">
        <v>4083</v>
      </c>
      <c r="F7651">
        <v>1</v>
      </c>
      <c r="G7651" t="s">
        <v>16</v>
      </c>
      <c r="H7651">
        <v>0</v>
      </c>
      <c r="K7651">
        <v>20</v>
      </c>
      <c r="L7651">
        <v>20</v>
      </c>
      <c r="M7651">
        <v>20</v>
      </c>
    </row>
    <row r="7652" spans="1:13" x14ac:dyDescent="0.25">
      <c r="A7652" t="s">
        <v>16991</v>
      </c>
      <c r="B7652" t="s">
        <v>16992</v>
      </c>
      <c r="C7652" t="s">
        <v>20</v>
      </c>
      <c r="D7652" t="s">
        <v>26</v>
      </c>
      <c r="F7652">
        <v>2</v>
      </c>
      <c r="G7652" t="s">
        <v>16</v>
      </c>
      <c r="H7652">
        <v>0</v>
      </c>
      <c r="I7652" s="2" t="s">
        <v>16993</v>
      </c>
      <c r="J7652" s="2">
        <v>94535475</v>
      </c>
      <c r="K7652">
        <v>20</v>
      </c>
      <c r="L7652">
        <v>20</v>
      </c>
      <c r="M7652">
        <v>20</v>
      </c>
    </row>
    <row r="7653" spans="1:13" x14ac:dyDescent="0.25">
      <c r="A7653">
        <v>94539597</v>
      </c>
      <c r="B7653" t="s">
        <v>16994</v>
      </c>
      <c r="C7653" t="s">
        <v>357</v>
      </c>
      <c r="D7653" t="s">
        <v>2026</v>
      </c>
      <c r="G7653" t="s">
        <v>16</v>
      </c>
      <c r="H7653">
        <v>0</v>
      </c>
      <c r="I7653" s="2" t="s">
        <v>497</v>
      </c>
      <c r="J7653" s="2">
        <v>94539597</v>
      </c>
      <c r="K7653">
        <v>20</v>
      </c>
      <c r="L7653">
        <v>20</v>
      </c>
      <c r="M7653">
        <v>20</v>
      </c>
    </row>
    <row r="7654" spans="1:13" x14ac:dyDescent="0.25">
      <c r="A7654" t="s">
        <v>16995</v>
      </c>
      <c r="B7654" t="s">
        <v>16996</v>
      </c>
      <c r="C7654" t="s">
        <v>357</v>
      </c>
      <c r="D7654" t="s">
        <v>2026</v>
      </c>
      <c r="F7654">
        <v>1</v>
      </c>
      <c r="G7654" t="s">
        <v>16</v>
      </c>
      <c r="H7654">
        <v>0</v>
      </c>
      <c r="I7654" s="2" t="s">
        <v>759</v>
      </c>
      <c r="J7654" s="2" t="s">
        <v>16997</v>
      </c>
      <c r="K7654">
        <v>20</v>
      </c>
      <c r="L7654">
        <v>20</v>
      </c>
      <c r="M7654">
        <v>20</v>
      </c>
    </row>
    <row r="7655" spans="1:13" x14ac:dyDescent="0.25">
      <c r="A7655" t="s">
        <v>16998</v>
      </c>
      <c r="B7655" t="s">
        <v>16994</v>
      </c>
      <c r="C7655" t="s">
        <v>357</v>
      </c>
      <c r="D7655" t="s">
        <v>2026</v>
      </c>
      <c r="F7655">
        <v>3</v>
      </c>
      <c r="G7655" t="s">
        <v>16</v>
      </c>
      <c r="H7655">
        <v>0</v>
      </c>
      <c r="I7655" s="2" t="s">
        <v>765</v>
      </c>
      <c r="J7655" s="2" t="s">
        <v>16999</v>
      </c>
      <c r="K7655">
        <v>20</v>
      </c>
      <c r="L7655">
        <v>20</v>
      </c>
      <c r="M7655">
        <v>20</v>
      </c>
    </row>
    <row r="7656" spans="1:13" x14ac:dyDescent="0.25">
      <c r="A7656" t="s">
        <v>17000</v>
      </c>
      <c r="B7656" t="s">
        <v>17001</v>
      </c>
      <c r="C7656" t="s">
        <v>357</v>
      </c>
      <c r="D7656" t="s">
        <v>2026</v>
      </c>
      <c r="F7656">
        <v>1</v>
      </c>
      <c r="G7656" t="s">
        <v>16</v>
      </c>
      <c r="H7656">
        <v>0</v>
      </c>
      <c r="I7656" s="2" t="s">
        <v>2114</v>
      </c>
      <c r="J7656" s="2" t="s">
        <v>17002</v>
      </c>
      <c r="K7656">
        <v>20</v>
      </c>
      <c r="L7656">
        <v>20</v>
      </c>
      <c r="M7656">
        <v>20</v>
      </c>
    </row>
    <row r="7657" spans="1:13" x14ac:dyDescent="0.25">
      <c r="A7657">
        <v>94556605</v>
      </c>
      <c r="B7657" t="s">
        <v>17003</v>
      </c>
      <c r="C7657" t="s">
        <v>1736</v>
      </c>
      <c r="F7657">
        <v>4</v>
      </c>
      <c r="G7657" t="s">
        <v>16</v>
      </c>
      <c r="H7657">
        <v>0</v>
      </c>
      <c r="I7657" s="2" t="s">
        <v>497</v>
      </c>
      <c r="J7657" s="2">
        <v>94556605</v>
      </c>
      <c r="K7657">
        <v>20</v>
      </c>
      <c r="L7657">
        <v>20</v>
      </c>
      <c r="M7657">
        <v>20</v>
      </c>
    </row>
    <row r="7658" spans="1:13" x14ac:dyDescent="0.25">
      <c r="A7658" t="s">
        <v>17004</v>
      </c>
      <c r="B7658" t="s">
        <v>17005</v>
      </c>
      <c r="C7658" t="s">
        <v>20</v>
      </c>
      <c r="D7658" t="s">
        <v>296</v>
      </c>
      <c r="F7658">
        <v>1</v>
      </c>
      <c r="G7658" t="s">
        <v>16</v>
      </c>
      <c r="H7658">
        <v>0</v>
      </c>
      <c r="I7658" s="2" t="s">
        <v>414</v>
      </c>
      <c r="J7658" s="2" t="s">
        <v>17006</v>
      </c>
      <c r="K7658">
        <v>20</v>
      </c>
      <c r="L7658">
        <v>20</v>
      </c>
      <c r="M7658">
        <v>20</v>
      </c>
    </row>
    <row r="7659" spans="1:13" x14ac:dyDescent="0.25">
      <c r="A7659" t="s">
        <v>17007</v>
      </c>
      <c r="B7659" t="s">
        <v>17008</v>
      </c>
      <c r="C7659" t="s">
        <v>20</v>
      </c>
      <c r="D7659" t="s">
        <v>133</v>
      </c>
      <c r="G7659" t="s">
        <v>22</v>
      </c>
      <c r="H7659">
        <v>0</v>
      </c>
      <c r="I7659" s="2" t="s">
        <v>455</v>
      </c>
      <c r="J7659" s="2" t="s">
        <v>17009</v>
      </c>
      <c r="K7659">
        <v>20</v>
      </c>
      <c r="L7659">
        <v>20</v>
      </c>
      <c r="M7659">
        <v>20</v>
      </c>
    </row>
    <row r="7660" spans="1:13" x14ac:dyDescent="0.25">
      <c r="A7660" t="s">
        <v>17010</v>
      </c>
      <c r="B7660" t="s">
        <v>17011</v>
      </c>
      <c r="C7660" t="s">
        <v>357</v>
      </c>
      <c r="D7660" t="s">
        <v>358</v>
      </c>
      <c r="F7660">
        <v>2</v>
      </c>
      <c r="G7660" t="s">
        <v>16</v>
      </c>
      <c r="H7660">
        <v>0</v>
      </c>
      <c r="I7660" s="2" t="s">
        <v>491</v>
      </c>
      <c r="J7660" s="2">
        <v>359001200970</v>
      </c>
      <c r="K7660">
        <v>20</v>
      </c>
      <c r="L7660">
        <v>20</v>
      </c>
      <c r="M7660">
        <v>20</v>
      </c>
    </row>
    <row r="7661" spans="1:13" x14ac:dyDescent="0.25">
      <c r="A7661" t="s">
        <v>17012</v>
      </c>
      <c r="B7661" t="s">
        <v>17013</v>
      </c>
      <c r="C7661" t="s">
        <v>357</v>
      </c>
      <c r="D7661" t="s">
        <v>358</v>
      </c>
      <c r="F7661">
        <v>3</v>
      </c>
      <c r="G7661" t="s">
        <v>16</v>
      </c>
      <c r="H7661">
        <v>0</v>
      </c>
      <c r="I7661" s="2" t="s">
        <v>491</v>
      </c>
      <c r="J7661" s="2">
        <v>359001200980</v>
      </c>
      <c r="K7661">
        <v>20</v>
      </c>
      <c r="L7661">
        <v>20</v>
      </c>
      <c r="M7661">
        <v>20</v>
      </c>
    </row>
    <row r="7662" spans="1:13" x14ac:dyDescent="0.25">
      <c r="A7662" t="s">
        <v>17014</v>
      </c>
      <c r="B7662" t="s">
        <v>17015</v>
      </c>
      <c r="C7662" t="s">
        <v>496</v>
      </c>
      <c r="D7662" t="s">
        <v>4083</v>
      </c>
      <c r="F7662">
        <v>1</v>
      </c>
      <c r="G7662" t="s">
        <v>16</v>
      </c>
      <c r="H7662">
        <v>0</v>
      </c>
      <c r="K7662">
        <v>20</v>
      </c>
      <c r="L7662">
        <v>20</v>
      </c>
      <c r="M7662">
        <v>20</v>
      </c>
    </row>
    <row r="7663" spans="1:13" x14ac:dyDescent="0.25">
      <c r="A7663" t="s">
        <v>17016</v>
      </c>
      <c r="B7663" t="s">
        <v>17017</v>
      </c>
      <c r="C7663" t="s">
        <v>20</v>
      </c>
      <c r="D7663" t="s">
        <v>26</v>
      </c>
      <c r="F7663">
        <v>4</v>
      </c>
      <c r="G7663" t="s">
        <v>16</v>
      </c>
      <c r="H7663">
        <v>0</v>
      </c>
      <c r="I7663" s="2" t="s">
        <v>3421</v>
      </c>
      <c r="J7663" s="2" t="s">
        <v>17018</v>
      </c>
      <c r="K7663">
        <v>20</v>
      </c>
      <c r="L7663">
        <v>20</v>
      </c>
      <c r="M7663">
        <v>20</v>
      </c>
    </row>
    <row r="7664" spans="1:13" x14ac:dyDescent="0.25">
      <c r="A7664">
        <v>94580547</v>
      </c>
      <c r="B7664" t="s">
        <v>17019</v>
      </c>
      <c r="C7664" t="s">
        <v>1432</v>
      </c>
      <c r="F7664">
        <v>1</v>
      </c>
      <c r="G7664" t="s">
        <v>16</v>
      </c>
      <c r="H7664">
        <v>0</v>
      </c>
      <c r="I7664" s="2" t="s">
        <v>497</v>
      </c>
      <c r="J7664" s="2">
        <v>94580547</v>
      </c>
      <c r="K7664">
        <v>20</v>
      </c>
      <c r="L7664">
        <v>20</v>
      </c>
      <c r="M7664">
        <v>20</v>
      </c>
    </row>
    <row r="7665" spans="1:13" x14ac:dyDescent="0.25">
      <c r="A7665" t="s">
        <v>17020</v>
      </c>
      <c r="B7665" t="s">
        <v>17021</v>
      </c>
      <c r="C7665" t="s">
        <v>20</v>
      </c>
      <c r="D7665" t="s">
        <v>17022</v>
      </c>
      <c r="G7665" t="s">
        <v>16</v>
      </c>
      <c r="H7665">
        <v>0</v>
      </c>
      <c r="I7665" s="2" t="s">
        <v>3830</v>
      </c>
      <c r="J7665" s="2" t="s">
        <v>17023</v>
      </c>
      <c r="K7665">
        <v>20</v>
      </c>
      <c r="L7665">
        <v>20</v>
      </c>
      <c r="M7665">
        <v>20</v>
      </c>
    </row>
    <row r="7666" spans="1:13" x14ac:dyDescent="0.25">
      <c r="A7666" t="s">
        <v>17024</v>
      </c>
      <c r="B7666" t="s">
        <v>17025</v>
      </c>
      <c r="C7666" t="s">
        <v>496</v>
      </c>
      <c r="F7666">
        <v>1</v>
      </c>
      <c r="G7666" t="s">
        <v>16</v>
      </c>
      <c r="H7666">
        <v>0</v>
      </c>
      <c r="I7666" s="2" t="s">
        <v>17026</v>
      </c>
      <c r="J7666" s="2" t="s">
        <v>17027</v>
      </c>
      <c r="K7666">
        <v>20</v>
      </c>
      <c r="L7666">
        <v>20</v>
      </c>
      <c r="M7666">
        <v>20</v>
      </c>
    </row>
    <row r="7667" spans="1:13" x14ac:dyDescent="0.25">
      <c r="A7667" t="s">
        <v>17028</v>
      </c>
      <c r="B7667" t="s">
        <v>17029</v>
      </c>
      <c r="C7667" t="s">
        <v>496</v>
      </c>
      <c r="F7667">
        <v>1</v>
      </c>
      <c r="G7667" t="s">
        <v>16</v>
      </c>
      <c r="H7667">
        <v>0</v>
      </c>
      <c r="I7667" s="2" t="s">
        <v>937</v>
      </c>
      <c r="J7667" s="2" t="s">
        <v>17030</v>
      </c>
      <c r="K7667">
        <v>20</v>
      </c>
      <c r="L7667">
        <v>20</v>
      </c>
      <c r="M7667">
        <v>20</v>
      </c>
    </row>
    <row r="7668" spans="1:13" x14ac:dyDescent="0.25">
      <c r="A7668" t="s">
        <v>17031</v>
      </c>
      <c r="B7668" t="s">
        <v>17032</v>
      </c>
      <c r="C7668" t="s">
        <v>496</v>
      </c>
      <c r="F7668">
        <v>1</v>
      </c>
      <c r="G7668" t="s">
        <v>16</v>
      </c>
      <c r="H7668">
        <v>0</v>
      </c>
      <c r="I7668" s="2" t="s">
        <v>906</v>
      </c>
      <c r="J7668" s="2" t="s">
        <v>17033</v>
      </c>
      <c r="K7668">
        <v>20</v>
      </c>
      <c r="L7668">
        <v>20</v>
      </c>
      <c r="M7668">
        <v>20</v>
      </c>
    </row>
    <row r="7669" spans="1:13" x14ac:dyDescent="0.25">
      <c r="A7669" t="s">
        <v>17034</v>
      </c>
      <c r="B7669" t="s">
        <v>17035</v>
      </c>
      <c r="C7669" t="s">
        <v>2493</v>
      </c>
      <c r="G7669" t="s">
        <v>16</v>
      </c>
      <c r="H7669">
        <v>0</v>
      </c>
      <c r="I7669" s="2" t="s">
        <v>1175</v>
      </c>
      <c r="J7669" s="2" t="s">
        <v>17036</v>
      </c>
      <c r="K7669">
        <v>20</v>
      </c>
      <c r="L7669">
        <v>20</v>
      </c>
      <c r="M7669">
        <v>20</v>
      </c>
    </row>
    <row r="7670" spans="1:13" x14ac:dyDescent="0.25">
      <c r="A7670" t="s">
        <v>17037</v>
      </c>
      <c r="B7670" t="s">
        <v>17038</v>
      </c>
      <c r="C7670" t="s">
        <v>496</v>
      </c>
      <c r="F7670">
        <v>10</v>
      </c>
      <c r="G7670" t="s">
        <v>16</v>
      </c>
      <c r="H7670">
        <v>0</v>
      </c>
      <c r="I7670" s="2" t="s">
        <v>266</v>
      </c>
      <c r="J7670" s="2">
        <v>34857</v>
      </c>
      <c r="K7670">
        <v>20</v>
      </c>
      <c r="L7670">
        <v>20</v>
      </c>
      <c r="M7670">
        <v>20</v>
      </c>
    </row>
    <row r="7671" spans="1:13" x14ac:dyDescent="0.25">
      <c r="A7671" t="s">
        <v>17039</v>
      </c>
      <c r="B7671" t="s">
        <v>17038</v>
      </c>
      <c r="C7671" t="s">
        <v>496</v>
      </c>
      <c r="G7671" t="s">
        <v>16</v>
      </c>
      <c r="H7671">
        <v>0</v>
      </c>
      <c r="K7671">
        <v>20</v>
      </c>
      <c r="L7671">
        <v>20</v>
      </c>
      <c r="M7671">
        <v>20</v>
      </c>
    </row>
    <row r="7672" spans="1:13" x14ac:dyDescent="0.25">
      <c r="A7672" t="s">
        <v>17040</v>
      </c>
      <c r="B7672" t="s">
        <v>17042</v>
      </c>
      <c r="C7672" t="s">
        <v>496</v>
      </c>
      <c r="D7672" t="s">
        <v>4083</v>
      </c>
      <c r="F7672">
        <v>1</v>
      </c>
      <c r="G7672" t="s">
        <v>16</v>
      </c>
      <c r="H7672">
        <v>0</v>
      </c>
      <c r="I7672" s="2" t="s">
        <v>765</v>
      </c>
      <c r="J7672" s="2" t="s">
        <v>17041</v>
      </c>
      <c r="K7672">
        <v>20</v>
      </c>
      <c r="L7672">
        <v>20</v>
      </c>
      <c r="M7672">
        <v>20</v>
      </c>
    </row>
    <row r="7673" spans="1:13" x14ac:dyDescent="0.25">
      <c r="A7673" t="s">
        <v>17043</v>
      </c>
      <c r="B7673" t="s">
        <v>17045</v>
      </c>
      <c r="C7673" t="s">
        <v>496</v>
      </c>
      <c r="D7673" t="s">
        <v>2360</v>
      </c>
      <c r="G7673" t="s">
        <v>16</v>
      </c>
      <c r="H7673">
        <v>0</v>
      </c>
      <c r="I7673" s="2" t="s">
        <v>288</v>
      </c>
      <c r="J7673" s="2" t="s">
        <v>17044</v>
      </c>
      <c r="K7673">
        <v>20</v>
      </c>
      <c r="L7673">
        <v>20</v>
      </c>
      <c r="M7673">
        <v>20</v>
      </c>
    </row>
    <row r="7674" spans="1:13" x14ac:dyDescent="0.25">
      <c r="A7674" t="s">
        <v>17046</v>
      </c>
      <c r="B7674" t="s">
        <v>17048</v>
      </c>
      <c r="C7674" t="s">
        <v>496</v>
      </c>
      <c r="D7674" t="s">
        <v>2360</v>
      </c>
      <c r="G7674" t="s">
        <v>16</v>
      </c>
      <c r="H7674">
        <v>0</v>
      </c>
      <c r="I7674" s="2" t="s">
        <v>288</v>
      </c>
      <c r="J7674" s="2" t="s">
        <v>17047</v>
      </c>
      <c r="K7674">
        <v>20</v>
      </c>
      <c r="L7674">
        <v>20</v>
      </c>
      <c r="M7674">
        <v>20</v>
      </c>
    </row>
    <row r="7675" spans="1:13" x14ac:dyDescent="0.25">
      <c r="A7675" t="s">
        <v>17049</v>
      </c>
      <c r="B7675" t="s">
        <v>17050</v>
      </c>
      <c r="C7675" t="s">
        <v>496</v>
      </c>
      <c r="D7675" t="s">
        <v>2360</v>
      </c>
      <c r="F7675">
        <v>1</v>
      </c>
      <c r="G7675" t="s">
        <v>16</v>
      </c>
      <c r="H7675">
        <v>0</v>
      </c>
      <c r="I7675" s="2" t="s">
        <v>2517</v>
      </c>
      <c r="J7675" s="2" t="s">
        <v>17051</v>
      </c>
      <c r="K7675">
        <v>20</v>
      </c>
      <c r="L7675">
        <v>20</v>
      </c>
      <c r="M7675">
        <v>20</v>
      </c>
    </row>
    <row r="7676" spans="1:13" x14ac:dyDescent="0.25">
      <c r="A7676" t="s">
        <v>17052</v>
      </c>
      <c r="B7676" t="s">
        <v>17053</v>
      </c>
      <c r="C7676" t="s">
        <v>540</v>
      </c>
      <c r="F7676">
        <v>1</v>
      </c>
      <c r="G7676" t="s">
        <v>16</v>
      </c>
      <c r="H7676">
        <v>0</v>
      </c>
      <c r="K7676">
        <v>20</v>
      </c>
      <c r="L7676">
        <v>20</v>
      </c>
      <c r="M7676">
        <v>20</v>
      </c>
    </row>
    <row r="7677" spans="1:13" x14ac:dyDescent="0.25">
      <c r="A7677" t="s">
        <v>17054</v>
      </c>
      <c r="B7677" t="s">
        <v>17055</v>
      </c>
      <c r="C7677" t="s">
        <v>357</v>
      </c>
      <c r="D7677" t="s">
        <v>241</v>
      </c>
      <c r="F7677">
        <v>1</v>
      </c>
      <c r="G7677" t="s">
        <v>16</v>
      </c>
      <c r="H7677">
        <v>0</v>
      </c>
      <c r="I7677" s="2" t="s">
        <v>245</v>
      </c>
      <c r="J7677" s="2" t="s">
        <v>17056</v>
      </c>
      <c r="K7677">
        <v>20</v>
      </c>
      <c r="L7677">
        <v>20</v>
      </c>
      <c r="M7677">
        <v>20</v>
      </c>
    </row>
    <row r="7678" spans="1:13" x14ac:dyDescent="0.25">
      <c r="A7678" t="s">
        <v>17057</v>
      </c>
      <c r="B7678" t="s">
        <v>17055</v>
      </c>
      <c r="C7678" t="s">
        <v>357</v>
      </c>
      <c r="D7678" t="s">
        <v>241</v>
      </c>
      <c r="F7678">
        <v>1</v>
      </c>
      <c r="G7678" t="s">
        <v>16</v>
      </c>
      <c r="H7678">
        <v>0</v>
      </c>
      <c r="I7678" s="2" t="s">
        <v>266</v>
      </c>
      <c r="J7678" s="2">
        <v>66139</v>
      </c>
      <c r="K7678">
        <v>20</v>
      </c>
      <c r="L7678">
        <v>20</v>
      </c>
      <c r="M7678">
        <v>20</v>
      </c>
    </row>
    <row r="7679" spans="1:13" x14ac:dyDescent="0.25">
      <c r="A7679" t="s">
        <v>17058</v>
      </c>
      <c r="B7679" t="s">
        <v>17055</v>
      </c>
      <c r="C7679" t="s">
        <v>357</v>
      </c>
      <c r="D7679" t="s">
        <v>241</v>
      </c>
      <c r="G7679" t="s">
        <v>16</v>
      </c>
      <c r="H7679">
        <v>0</v>
      </c>
      <c r="I7679" s="2" t="s">
        <v>737</v>
      </c>
      <c r="J7679" s="2" t="s">
        <v>17059</v>
      </c>
      <c r="K7679">
        <v>20</v>
      </c>
      <c r="L7679">
        <v>20</v>
      </c>
      <c r="M7679">
        <v>20</v>
      </c>
    </row>
    <row r="7680" spans="1:13" x14ac:dyDescent="0.25">
      <c r="A7680" t="s">
        <v>17060</v>
      </c>
      <c r="B7680" t="s">
        <v>17061</v>
      </c>
      <c r="C7680" t="s">
        <v>540</v>
      </c>
      <c r="G7680" t="s">
        <v>16</v>
      </c>
      <c r="H7680">
        <v>0</v>
      </c>
      <c r="I7680" s="2" t="s">
        <v>16869</v>
      </c>
      <c r="J7680" s="2" t="s">
        <v>17062</v>
      </c>
      <c r="K7680">
        <v>20</v>
      </c>
      <c r="L7680">
        <v>20</v>
      </c>
      <c r="M7680">
        <v>20</v>
      </c>
    </row>
    <row r="7681" spans="1:13" x14ac:dyDescent="0.25">
      <c r="A7681" t="s">
        <v>17063</v>
      </c>
      <c r="B7681" t="s">
        <v>17064</v>
      </c>
      <c r="C7681" t="s">
        <v>20</v>
      </c>
      <c r="D7681" t="s">
        <v>899</v>
      </c>
      <c r="G7681" t="s">
        <v>16</v>
      </c>
      <c r="H7681">
        <v>0</v>
      </c>
      <c r="I7681" s="2" t="s">
        <v>404</v>
      </c>
      <c r="J7681" s="2" t="s">
        <v>17065</v>
      </c>
      <c r="K7681">
        <v>20</v>
      </c>
      <c r="L7681">
        <v>20</v>
      </c>
      <c r="M7681">
        <v>20</v>
      </c>
    </row>
    <row r="7682" spans="1:13" x14ac:dyDescent="0.25">
      <c r="A7682" t="s">
        <v>17066</v>
      </c>
      <c r="B7682" t="s">
        <v>17067</v>
      </c>
      <c r="C7682" t="s">
        <v>357</v>
      </c>
      <c r="D7682" t="s">
        <v>2026</v>
      </c>
      <c r="F7682">
        <v>3</v>
      </c>
      <c r="G7682" t="s">
        <v>16</v>
      </c>
      <c r="H7682">
        <v>0</v>
      </c>
      <c r="I7682" s="2" t="s">
        <v>64</v>
      </c>
      <c r="J7682" s="2" t="str">
        <f>"08020313"</f>
        <v>08020313</v>
      </c>
      <c r="K7682">
        <v>20</v>
      </c>
      <c r="L7682">
        <v>20</v>
      </c>
      <c r="M7682">
        <v>20</v>
      </c>
    </row>
    <row r="7683" spans="1:13" x14ac:dyDescent="0.25">
      <c r="A7683" t="s">
        <v>17068</v>
      </c>
      <c r="B7683" t="s">
        <v>17067</v>
      </c>
      <c r="C7683" t="s">
        <v>357</v>
      </c>
      <c r="D7683" t="s">
        <v>2026</v>
      </c>
      <c r="G7683" t="s">
        <v>16</v>
      </c>
      <c r="H7683">
        <v>0</v>
      </c>
      <c r="I7683" s="2" t="s">
        <v>500</v>
      </c>
      <c r="J7683" s="2" t="s">
        <v>17069</v>
      </c>
      <c r="K7683">
        <v>20</v>
      </c>
      <c r="L7683">
        <v>20</v>
      </c>
      <c r="M7683">
        <v>20</v>
      </c>
    </row>
    <row r="7684" spans="1:13" x14ac:dyDescent="0.25">
      <c r="A7684" t="s">
        <v>17070</v>
      </c>
      <c r="B7684" t="s">
        <v>17071</v>
      </c>
      <c r="C7684" t="s">
        <v>540</v>
      </c>
      <c r="F7684">
        <v>2</v>
      </c>
      <c r="G7684" t="s">
        <v>16</v>
      </c>
      <c r="H7684">
        <v>0</v>
      </c>
      <c r="I7684" s="2" t="s">
        <v>500</v>
      </c>
      <c r="J7684" s="2" t="s">
        <v>17072</v>
      </c>
      <c r="K7684">
        <v>20</v>
      </c>
      <c r="L7684">
        <v>20</v>
      </c>
      <c r="M7684">
        <v>20</v>
      </c>
    </row>
    <row r="7685" spans="1:13" x14ac:dyDescent="0.25">
      <c r="A7685" t="s">
        <v>17073</v>
      </c>
      <c r="B7685" t="s">
        <v>17074</v>
      </c>
      <c r="C7685" t="s">
        <v>540</v>
      </c>
      <c r="F7685">
        <v>2</v>
      </c>
      <c r="G7685" t="s">
        <v>16</v>
      </c>
      <c r="H7685">
        <v>0</v>
      </c>
      <c r="I7685" s="2" t="s">
        <v>500</v>
      </c>
      <c r="J7685" s="2" t="s">
        <v>17075</v>
      </c>
      <c r="K7685">
        <v>20</v>
      </c>
      <c r="L7685">
        <v>20</v>
      </c>
      <c r="M7685">
        <v>20</v>
      </c>
    </row>
    <row r="7686" spans="1:13" x14ac:dyDescent="0.25">
      <c r="A7686" t="s">
        <v>17076</v>
      </c>
      <c r="B7686" t="s">
        <v>17077</v>
      </c>
      <c r="C7686" t="s">
        <v>1736</v>
      </c>
      <c r="F7686">
        <v>1</v>
      </c>
      <c r="G7686" t="s">
        <v>16</v>
      </c>
      <c r="H7686">
        <v>0</v>
      </c>
      <c r="I7686" s="2" t="s">
        <v>1175</v>
      </c>
      <c r="J7686" s="2" t="s">
        <v>17078</v>
      </c>
      <c r="K7686">
        <v>20</v>
      </c>
      <c r="L7686">
        <v>20</v>
      </c>
      <c r="M7686">
        <v>20</v>
      </c>
    </row>
    <row r="7687" spans="1:13" x14ac:dyDescent="0.25">
      <c r="A7687" t="s">
        <v>17079</v>
      </c>
      <c r="B7687" t="s">
        <v>17077</v>
      </c>
      <c r="C7687" t="s">
        <v>1736</v>
      </c>
      <c r="F7687">
        <v>1</v>
      </c>
      <c r="G7687" t="s">
        <v>16</v>
      </c>
      <c r="H7687">
        <v>0</v>
      </c>
      <c r="I7687" s="2" t="s">
        <v>1807</v>
      </c>
      <c r="J7687" s="2" t="s">
        <v>17080</v>
      </c>
      <c r="K7687">
        <v>20</v>
      </c>
      <c r="L7687">
        <v>20</v>
      </c>
      <c r="M7687">
        <v>20</v>
      </c>
    </row>
    <row r="7688" spans="1:13" x14ac:dyDescent="0.25">
      <c r="A7688" t="s">
        <v>17081</v>
      </c>
      <c r="B7688" t="s">
        <v>17082</v>
      </c>
      <c r="C7688" t="s">
        <v>151</v>
      </c>
      <c r="G7688" t="s">
        <v>16</v>
      </c>
      <c r="H7688">
        <v>0</v>
      </c>
      <c r="I7688" s="2" t="s">
        <v>500</v>
      </c>
      <c r="J7688" s="2" t="s">
        <v>17083</v>
      </c>
      <c r="K7688">
        <v>20</v>
      </c>
      <c r="L7688">
        <v>20</v>
      </c>
      <c r="M7688">
        <v>20</v>
      </c>
    </row>
    <row r="7689" spans="1:13" x14ac:dyDescent="0.25">
      <c r="A7689" t="s">
        <v>17084</v>
      </c>
      <c r="B7689" t="s">
        <v>17085</v>
      </c>
      <c r="C7689" t="s">
        <v>14</v>
      </c>
      <c r="D7689" t="s">
        <v>2620</v>
      </c>
      <c r="G7689" t="s">
        <v>16</v>
      </c>
      <c r="H7689">
        <v>0</v>
      </c>
      <c r="I7689" s="2" t="s">
        <v>4708</v>
      </c>
      <c r="J7689" s="2" t="s">
        <v>17086</v>
      </c>
      <c r="K7689">
        <v>20</v>
      </c>
      <c r="L7689">
        <v>20</v>
      </c>
      <c r="M7689">
        <v>20</v>
      </c>
    </row>
    <row r="7690" spans="1:13" x14ac:dyDescent="0.25">
      <c r="A7690" t="s">
        <v>17087</v>
      </c>
      <c r="B7690" t="s">
        <v>17088</v>
      </c>
      <c r="C7690" t="s">
        <v>540</v>
      </c>
      <c r="F7690">
        <v>1</v>
      </c>
      <c r="G7690" t="s">
        <v>16</v>
      </c>
      <c r="H7690">
        <v>0</v>
      </c>
      <c r="I7690" s="2" t="s">
        <v>500</v>
      </c>
      <c r="J7690" s="2" t="s">
        <v>17089</v>
      </c>
      <c r="K7690">
        <v>20</v>
      </c>
      <c r="L7690">
        <v>20</v>
      </c>
      <c r="M7690">
        <v>20</v>
      </c>
    </row>
    <row r="7691" spans="1:13" x14ac:dyDescent="0.25">
      <c r="A7691" t="s">
        <v>17090</v>
      </c>
      <c r="B7691" t="s">
        <v>17091</v>
      </c>
      <c r="C7691" t="s">
        <v>540</v>
      </c>
      <c r="D7691" t="s">
        <v>1092</v>
      </c>
      <c r="F7691">
        <v>1</v>
      </c>
      <c r="G7691" t="s">
        <v>16</v>
      </c>
      <c r="H7691">
        <v>0</v>
      </c>
      <c r="I7691" s="2" t="s">
        <v>17092</v>
      </c>
      <c r="J7691" s="2">
        <v>95169827</v>
      </c>
      <c r="K7691">
        <v>20</v>
      </c>
      <c r="L7691">
        <v>20</v>
      </c>
      <c r="M7691">
        <v>20</v>
      </c>
    </row>
    <row r="7692" spans="1:13" x14ac:dyDescent="0.25">
      <c r="A7692" t="s">
        <v>17093</v>
      </c>
      <c r="B7692" t="s">
        <v>17094</v>
      </c>
      <c r="C7692" t="s">
        <v>14</v>
      </c>
      <c r="D7692" t="s">
        <v>2620</v>
      </c>
      <c r="G7692" t="s">
        <v>16</v>
      </c>
      <c r="H7692">
        <v>0</v>
      </c>
      <c r="I7692" s="2" t="s">
        <v>6196</v>
      </c>
      <c r="J7692" s="2" t="s">
        <v>17095</v>
      </c>
      <c r="K7692">
        <v>20</v>
      </c>
      <c r="L7692">
        <v>20</v>
      </c>
      <c r="M7692">
        <v>20</v>
      </c>
    </row>
    <row r="7693" spans="1:13" x14ac:dyDescent="0.25">
      <c r="A7693" t="s">
        <v>17096</v>
      </c>
      <c r="B7693" t="s">
        <v>17094</v>
      </c>
      <c r="C7693" t="s">
        <v>14</v>
      </c>
      <c r="D7693" t="s">
        <v>2620</v>
      </c>
      <c r="F7693">
        <v>1</v>
      </c>
      <c r="G7693" t="s">
        <v>16</v>
      </c>
      <c r="H7693">
        <v>0</v>
      </c>
      <c r="I7693" s="2" t="s">
        <v>4736</v>
      </c>
      <c r="J7693" s="2" t="s">
        <v>17097</v>
      </c>
      <c r="K7693">
        <v>20</v>
      </c>
      <c r="L7693">
        <v>20</v>
      </c>
      <c r="M7693">
        <v>20</v>
      </c>
    </row>
    <row r="7694" spans="1:13" x14ac:dyDescent="0.25">
      <c r="A7694" t="s">
        <v>17098</v>
      </c>
      <c r="B7694" t="s">
        <v>17099</v>
      </c>
      <c r="C7694" t="s">
        <v>241</v>
      </c>
      <c r="D7694" t="s">
        <v>262</v>
      </c>
      <c r="G7694" t="s">
        <v>16</v>
      </c>
      <c r="H7694">
        <v>0</v>
      </c>
      <c r="I7694" s="2" t="s">
        <v>765</v>
      </c>
      <c r="J7694" s="2" t="str">
        <f>"098023155"</f>
        <v>098023155</v>
      </c>
      <c r="K7694">
        <v>20</v>
      </c>
      <c r="L7694">
        <v>20</v>
      </c>
      <c r="M7694">
        <v>20</v>
      </c>
    </row>
    <row r="7695" spans="1:13" x14ac:dyDescent="0.25">
      <c r="A7695" t="s">
        <v>17100</v>
      </c>
      <c r="B7695" t="s">
        <v>17099</v>
      </c>
      <c r="C7695" t="s">
        <v>241</v>
      </c>
      <c r="D7695" t="s">
        <v>242</v>
      </c>
      <c r="G7695" t="s">
        <v>16</v>
      </c>
      <c r="H7695">
        <v>0</v>
      </c>
      <c r="I7695" s="2" t="s">
        <v>737</v>
      </c>
      <c r="J7695" s="2" t="s">
        <v>17101</v>
      </c>
      <c r="K7695">
        <v>20</v>
      </c>
      <c r="L7695">
        <v>20</v>
      </c>
      <c r="M7695">
        <v>20</v>
      </c>
    </row>
    <row r="7696" spans="1:13" x14ac:dyDescent="0.25">
      <c r="A7696" t="s">
        <v>17102</v>
      </c>
      <c r="B7696" t="s">
        <v>17103</v>
      </c>
      <c r="C7696" t="s">
        <v>357</v>
      </c>
      <c r="D7696" t="s">
        <v>241</v>
      </c>
      <c r="G7696" t="s">
        <v>16</v>
      </c>
      <c r="H7696">
        <v>0</v>
      </c>
      <c r="I7696" s="2" t="s">
        <v>245</v>
      </c>
      <c r="J7696" s="2" t="s">
        <v>17104</v>
      </c>
      <c r="K7696">
        <v>20</v>
      </c>
      <c r="L7696">
        <v>20</v>
      </c>
      <c r="M7696">
        <v>20</v>
      </c>
    </row>
    <row r="7697" spans="1:13" x14ac:dyDescent="0.25">
      <c r="A7697">
        <v>95216947</v>
      </c>
      <c r="B7697" t="s">
        <v>17105</v>
      </c>
      <c r="C7697" t="s">
        <v>151</v>
      </c>
      <c r="D7697" t="s">
        <v>1551</v>
      </c>
      <c r="F7697">
        <v>3</v>
      </c>
      <c r="G7697" t="s">
        <v>16</v>
      </c>
      <c r="H7697">
        <v>0</v>
      </c>
      <c r="I7697" s="2" t="s">
        <v>497</v>
      </c>
      <c r="J7697" s="2">
        <v>95216947</v>
      </c>
      <c r="K7697">
        <v>20</v>
      </c>
      <c r="L7697">
        <v>20</v>
      </c>
      <c r="M7697">
        <v>20</v>
      </c>
    </row>
    <row r="7698" spans="1:13" x14ac:dyDescent="0.25">
      <c r="A7698" t="s">
        <v>17106</v>
      </c>
      <c r="B7698" t="s">
        <v>17107</v>
      </c>
      <c r="C7698" t="s">
        <v>496</v>
      </c>
      <c r="G7698" t="s">
        <v>16</v>
      </c>
      <c r="H7698">
        <v>0</v>
      </c>
      <c r="I7698" s="2" t="s">
        <v>2533</v>
      </c>
      <c r="J7698" s="2" t="s">
        <v>17108</v>
      </c>
      <c r="K7698">
        <v>20</v>
      </c>
      <c r="L7698">
        <v>20</v>
      </c>
      <c r="M7698">
        <v>20</v>
      </c>
    </row>
    <row r="7699" spans="1:13" x14ac:dyDescent="0.25">
      <c r="A7699" t="s">
        <v>17109</v>
      </c>
      <c r="B7699" t="s">
        <v>17110</v>
      </c>
      <c r="C7699" t="s">
        <v>496</v>
      </c>
      <c r="D7699" t="s">
        <v>2360</v>
      </c>
      <c r="G7699" t="s">
        <v>16</v>
      </c>
      <c r="H7699">
        <v>0</v>
      </c>
      <c r="I7699" s="2" t="s">
        <v>288</v>
      </c>
      <c r="J7699" s="2">
        <v>320047155</v>
      </c>
      <c r="K7699">
        <v>20</v>
      </c>
      <c r="L7699">
        <v>20</v>
      </c>
      <c r="M7699">
        <v>20</v>
      </c>
    </row>
    <row r="7700" spans="1:13" x14ac:dyDescent="0.25">
      <c r="A7700" t="s">
        <v>17111</v>
      </c>
      <c r="B7700" t="s">
        <v>17110</v>
      </c>
      <c r="C7700" t="s">
        <v>496</v>
      </c>
      <c r="D7700" t="s">
        <v>2360</v>
      </c>
      <c r="G7700" t="s">
        <v>16</v>
      </c>
      <c r="H7700">
        <v>0</v>
      </c>
      <c r="I7700" s="2" t="s">
        <v>17112</v>
      </c>
      <c r="J7700" s="2">
        <v>95227628</v>
      </c>
      <c r="K7700">
        <v>20</v>
      </c>
      <c r="L7700">
        <v>20</v>
      </c>
      <c r="M7700">
        <v>20</v>
      </c>
    </row>
    <row r="7701" spans="1:13" x14ac:dyDescent="0.25">
      <c r="A7701" t="s">
        <v>17113</v>
      </c>
      <c r="B7701" t="s">
        <v>17114</v>
      </c>
      <c r="C7701" t="s">
        <v>2493</v>
      </c>
      <c r="D7701" t="s">
        <v>2360</v>
      </c>
      <c r="G7701" t="s">
        <v>16</v>
      </c>
      <c r="H7701">
        <v>0</v>
      </c>
      <c r="I7701" s="2" t="s">
        <v>737</v>
      </c>
      <c r="J7701" s="2" t="s">
        <v>17115</v>
      </c>
      <c r="K7701">
        <v>20</v>
      </c>
      <c r="L7701">
        <v>20</v>
      </c>
      <c r="M7701">
        <v>20</v>
      </c>
    </row>
    <row r="7702" spans="1:13" x14ac:dyDescent="0.25">
      <c r="A7702" t="s">
        <v>17116</v>
      </c>
      <c r="B7702" t="s">
        <v>17117</v>
      </c>
      <c r="C7702" t="s">
        <v>357</v>
      </c>
      <c r="D7702" t="s">
        <v>1836</v>
      </c>
      <c r="F7702">
        <v>1</v>
      </c>
      <c r="G7702" t="s">
        <v>16</v>
      </c>
      <c r="H7702">
        <v>0</v>
      </c>
      <c r="I7702" s="2" t="s">
        <v>1849</v>
      </c>
      <c r="J7702" s="2" t="s">
        <v>17118</v>
      </c>
      <c r="K7702">
        <v>20</v>
      </c>
      <c r="L7702">
        <v>20</v>
      </c>
      <c r="M7702">
        <v>20</v>
      </c>
    </row>
    <row r="7703" spans="1:13" x14ac:dyDescent="0.25">
      <c r="A7703" t="s">
        <v>17119</v>
      </c>
      <c r="B7703" t="s">
        <v>17120</v>
      </c>
      <c r="C7703" t="s">
        <v>2493</v>
      </c>
      <c r="G7703" t="s">
        <v>16</v>
      </c>
      <c r="H7703">
        <v>0</v>
      </c>
      <c r="I7703" s="2" t="s">
        <v>2517</v>
      </c>
      <c r="J7703" s="2" t="s">
        <v>17121</v>
      </c>
      <c r="K7703">
        <v>20</v>
      </c>
      <c r="L7703">
        <v>20</v>
      </c>
      <c r="M7703">
        <v>20</v>
      </c>
    </row>
    <row r="7704" spans="1:13" x14ac:dyDescent="0.25">
      <c r="A7704" t="s">
        <v>17122</v>
      </c>
      <c r="B7704" t="s">
        <v>17123</v>
      </c>
      <c r="C7704" t="s">
        <v>496</v>
      </c>
      <c r="D7704" t="s">
        <v>4083</v>
      </c>
      <c r="F7704">
        <v>2</v>
      </c>
      <c r="G7704" t="s">
        <v>16</v>
      </c>
      <c r="H7704">
        <v>0</v>
      </c>
      <c r="I7704" s="2" t="s">
        <v>64</v>
      </c>
      <c r="J7704" s="2" t="str">
        <f>"01020211"</f>
        <v>01020211</v>
      </c>
      <c r="K7704">
        <v>20</v>
      </c>
      <c r="L7704">
        <v>20</v>
      </c>
      <c r="M7704">
        <v>20</v>
      </c>
    </row>
    <row r="7705" spans="1:13" x14ac:dyDescent="0.25">
      <c r="A7705" t="s">
        <v>17124</v>
      </c>
      <c r="B7705" t="s">
        <v>17126</v>
      </c>
      <c r="C7705" t="s">
        <v>496</v>
      </c>
      <c r="D7705" t="s">
        <v>4083</v>
      </c>
      <c r="F7705">
        <v>4</v>
      </c>
      <c r="G7705" t="s">
        <v>16</v>
      </c>
      <c r="H7705">
        <v>0</v>
      </c>
      <c r="I7705" s="2" t="s">
        <v>288</v>
      </c>
      <c r="J7705" s="2" t="s">
        <v>17125</v>
      </c>
      <c r="K7705">
        <v>20</v>
      </c>
      <c r="L7705">
        <v>20</v>
      </c>
      <c r="M7705">
        <v>20</v>
      </c>
    </row>
    <row r="7706" spans="1:13" x14ac:dyDescent="0.25">
      <c r="A7706" t="s">
        <v>17127</v>
      </c>
      <c r="B7706" t="s">
        <v>17128</v>
      </c>
      <c r="C7706" t="s">
        <v>1736</v>
      </c>
      <c r="F7706">
        <v>2</v>
      </c>
      <c r="G7706" t="s">
        <v>16</v>
      </c>
      <c r="H7706">
        <v>0</v>
      </c>
      <c r="I7706" s="2" t="s">
        <v>1748</v>
      </c>
      <c r="J7706" s="2" t="s">
        <v>17129</v>
      </c>
      <c r="K7706">
        <v>20</v>
      </c>
      <c r="L7706">
        <v>20</v>
      </c>
      <c r="M7706">
        <v>20</v>
      </c>
    </row>
    <row r="7707" spans="1:13" x14ac:dyDescent="0.25">
      <c r="A7707" t="s">
        <v>17130</v>
      </c>
      <c r="B7707" t="s">
        <v>17132</v>
      </c>
      <c r="C7707" t="s">
        <v>362</v>
      </c>
      <c r="D7707" t="s">
        <v>4091</v>
      </c>
      <c r="G7707" t="s">
        <v>16</v>
      </c>
      <c r="H7707">
        <v>0</v>
      </c>
      <c r="I7707" s="2" t="s">
        <v>7250</v>
      </c>
      <c r="J7707" s="2" t="s">
        <v>17131</v>
      </c>
      <c r="K7707">
        <v>20</v>
      </c>
      <c r="L7707">
        <v>20</v>
      </c>
      <c r="M7707">
        <v>20</v>
      </c>
    </row>
    <row r="7708" spans="1:13" x14ac:dyDescent="0.25">
      <c r="A7708" t="s">
        <v>17133</v>
      </c>
      <c r="B7708" t="s">
        <v>17134</v>
      </c>
      <c r="C7708" t="s">
        <v>362</v>
      </c>
      <c r="D7708" t="s">
        <v>4091</v>
      </c>
      <c r="G7708" t="s">
        <v>16</v>
      </c>
      <c r="H7708">
        <v>0</v>
      </c>
      <c r="I7708" s="2" t="s">
        <v>3945</v>
      </c>
      <c r="J7708" s="2" t="str">
        <f>"0252572218"</f>
        <v>0252572218</v>
      </c>
      <c r="K7708">
        <v>20</v>
      </c>
      <c r="L7708">
        <v>20</v>
      </c>
      <c r="M7708">
        <v>20</v>
      </c>
    </row>
    <row r="7709" spans="1:13" x14ac:dyDescent="0.25">
      <c r="A7709" t="s">
        <v>17135</v>
      </c>
      <c r="B7709" t="s">
        <v>17136</v>
      </c>
      <c r="C7709" t="s">
        <v>540</v>
      </c>
      <c r="G7709" t="s">
        <v>16</v>
      </c>
      <c r="H7709">
        <v>0</v>
      </c>
      <c r="I7709" s="2" t="s">
        <v>2345</v>
      </c>
      <c r="J7709" s="2" t="s">
        <v>17137</v>
      </c>
      <c r="K7709">
        <v>20</v>
      </c>
      <c r="L7709">
        <v>20</v>
      </c>
      <c r="M7709">
        <v>20</v>
      </c>
    </row>
    <row r="7710" spans="1:13" x14ac:dyDescent="0.25">
      <c r="A7710" t="s">
        <v>17138</v>
      </c>
      <c r="B7710" t="s">
        <v>17139</v>
      </c>
      <c r="C7710" t="s">
        <v>540</v>
      </c>
      <c r="G7710" t="s">
        <v>16</v>
      </c>
      <c r="H7710">
        <v>0</v>
      </c>
      <c r="I7710" s="2" t="s">
        <v>4288</v>
      </c>
      <c r="J7710" s="2" t="str">
        <f>"0746912"</f>
        <v>0746912</v>
      </c>
      <c r="K7710">
        <v>20</v>
      </c>
      <c r="L7710">
        <v>20</v>
      </c>
      <c r="M7710">
        <v>20</v>
      </c>
    </row>
    <row r="7711" spans="1:13" x14ac:dyDescent="0.25">
      <c r="A7711">
        <v>95275449</v>
      </c>
      <c r="B7711" t="s">
        <v>17140</v>
      </c>
      <c r="C7711" t="s">
        <v>540</v>
      </c>
      <c r="G7711" t="s">
        <v>16</v>
      </c>
      <c r="H7711">
        <v>0</v>
      </c>
      <c r="I7711" s="2" t="s">
        <v>1444</v>
      </c>
      <c r="J7711" s="2">
        <v>95275449</v>
      </c>
      <c r="K7711">
        <v>20</v>
      </c>
      <c r="L7711">
        <v>20</v>
      </c>
      <c r="M7711">
        <v>20</v>
      </c>
    </row>
    <row r="7712" spans="1:13" x14ac:dyDescent="0.25">
      <c r="A7712" t="s">
        <v>17141</v>
      </c>
      <c r="B7712" t="s">
        <v>17142</v>
      </c>
      <c r="C7712" t="s">
        <v>540</v>
      </c>
      <c r="G7712" t="s">
        <v>16</v>
      </c>
      <c r="H7712">
        <v>0</v>
      </c>
      <c r="I7712" s="2" t="s">
        <v>500</v>
      </c>
      <c r="J7712" s="2" t="s">
        <v>17143</v>
      </c>
      <c r="K7712">
        <v>20</v>
      </c>
      <c r="L7712">
        <v>20</v>
      </c>
      <c r="M7712">
        <v>20</v>
      </c>
    </row>
    <row r="7713" spans="1:13" x14ac:dyDescent="0.25">
      <c r="A7713">
        <v>95297431</v>
      </c>
      <c r="B7713" t="s">
        <v>17144</v>
      </c>
      <c r="C7713" t="s">
        <v>151</v>
      </c>
      <c r="F7713">
        <v>1</v>
      </c>
      <c r="G7713" t="s">
        <v>16</v>
      </c>
      <c r="H7713">
        <v>0</v>
      </c>
      <c r="I7713" s="2" t="s">
        <v>1444</v>
      </c>
      <c r="J7713" s="2">
        <v>95297431</v>
      </c>
      <c r="K7713">
        <v>20</v>
      </c>
      <c r="L7713">
        <v>20</v>
      </c>
      <c r="M7713">
        <v>20</v>
      </c>
    </row>
    <row r="7714" spans="1:13" x14ac:dyDescent="0.25">
      <c r="A7714" t="s">
        <v>17145</v>
      </c>
      <c r="B7714" t="s">
        <v>17146</v>
      </c>
      <c r="C7714" t="s">
        <v>357</v>
      </c>
      <c r="D7714" t="s">
        <v>241</v>
      </c>
      <c r="G7714" t="s">
        <v>16</v>
      </c>
      <c r="H7714">
        <v>0</v>
      </c>
      <c r="I7714" s="2" t="s">
        <v>243</v>
      </c>
      <c r="J7714" s="2">
        <v>25165</v>
      </c>
      <c r="K7714">
        <v>20</v>
      </c>
      <c r="L7714">
        <v>20</v>
      </c>
      <c r="M7714">
        <v>20</v>
      </c>
    </row>
    <row r="7715" spans="1:13" x14ac:dyDescent="0.25">
      <c r="A7715" t="s">
        <v>17147</v>
      </c>
      <c r="B7715" t="s">
        <v>17148</v>
      </c>
      <c r="C7715" t="s">
        <v>496</v>
      </c>
      <c r="D7715" t="s">
        <v>2360</v>
      </c>
      <c r="F7715">
        <v>2</v>
      </c>
      <c r="G7715" t="s">
        <v>16</v>
      </c>
      <c r="H7715">
        <v>0</v>
      </c>
      <c r="I7715" s="2" t="s">
        <v>10075</v>
      </c>
      <c r="J7715" s="2">
        <v>62708</v>
      </c>
      <c r="K7715">
        <v>20</v>
      </c>
      <c r="L7715">
        <v>20</v>
      </c>
      <c r="M7715">
        <v>20</v>
      </c>
    </row>
    <row r="7716" spans="1:13" x14ac:dyDescent="0.25">
      <c r="A7716" t="s">
        <v>17149</v>
      </c>
      <c r="B7716" t="s">
        <v>17150</v>
      </c>
      <c r="C7716" t="s">
        <v>540</v>
      </c>
      <c r="F7716">
        <v>1</v>
      </c>
      <c r="G7716" t="s">
        <v>16</v>
      </c>
      <c r="H7716">
        <v>0</v>
      </c>
      <c r="I7716" s="2" t="s">
        <v>500</v>
      </c>
      <c r="J7716" s="2" t="s">
        <v>17151</v>
      </c>
      <c r="K7716">
        <v>20</v>
      </c>
      <c r="L7716">
        <v>20</v>
      </c>
      <c r="M7716">
        <v>20</v>
      </c>
    </row>
    <row r="7717" spans="1:13" x14ac:dyDescent="0.25">
      <c r="A7717" t="s">
        <v>17152</v>
      </c>
      <c r="B7717" t="s">
        <v>17153</v>
      </c>
      <c r="C7717" t="s">
        <v>540</v>
      </c>
      <c r="F7717">
        <v>1</v>
      </c>
      <c r="G7717" t="s">
        <v>16</v>
      </c>
      <c r="H7717">
        <v>0</v>
      </c>
      <c r="K7717">
        <v>20</v>
      </c>
      <c r="L7717">
        <v>20</v>
      </c>
      <c r="M7717">
        <v>20</v>
      </c>
    </row>
    <row r="7718" spans="1:13" x14ac:dyDescent="0.25">
      <c r="A7718" t="s">
        <v>17154</v>
      </c>
      <c r="B7718" t="s">
        <v>17155</v>
      </c>
      <c r="C7718" t="s">
        <v>540</v>
      </c>
      <c r="G7718" t="s">
        <v>16</v>
      </c>
      <c r="H7718">
        <v>0</v>
      </c>
      <c r="I7718" s="2" t="s">
        <v>2345</v>
      </c>
      <c r="J7718" s="2" t="s">
        <v>17156</v>
      </c>
      <c r="K7718">
        <v>20</v>
      </c>
      <c r="L7718">
        <v>20</v>
      </c>
      <c r="M7718">
        <v>20</v>
      </c>
    </row>
    <row r="7719" spans="1:13" x14ac:dyDescent="0.25">
      <c r="A7719" t="s">
        <v>17157</v>
      </c>
      <c r="B7719" t="s">
        <v>17158</v>
      </c>
      <c r="C7719" t="s">
        <v>540</v>
      </c>
      <c r="F7719">
        <v>1</v>
      </c>
      <c r="G7719" t="s">
        <v>16</v>
      </c>
      <c r="H7719">
        <v>0</v>
      </c>
      <c r="I7719" s="2" t="s">
        <v>500</v>
      </c>
      <c r="J7719" s="2" t="s">
        <v>17159</v>
      </c>
      <c r="K7719">
        <v>20</v>
      </c>
      <c r="L7719">
        <v>20</v>
      </c>
      <c r="M7719">
        <v>20</v>
      </c>
    </row>
    <row r="7720" spans="1:13" x14ac:dyDescent="0.25">
      <c r="A7720" t="s">
        <v>17160</v>
      </c>
      <c r="B7720" t="s">
        <v>17161</v>
      </c>
      <c r="C7720" t="s">
        <v>540</v>
      </c>
      <c r="G7720" t="s">
        <v>16</v>
      </c>
      <c r="H7720">
        <v>0</v>
      </c>
      <c r="I7720" s="2" t="s">
        <v>2345</v>
      </c>
      <c r="J7720" s="2" t="s">
        <v>17162</v>
      </c>
      <c r="K7720">
        <v>20</v>
      </c>
      <c r="L7720">
        <v>20</v>
      </c>
      <c r="M7720">
        <v>20</v>
      </c>
    </row>
    <row r="7721" spans="1:13" x14ac:dyDescent="0.25">
      <c r="A7721" t="s">
        <v>17163</v>
      </c>
      <c r="B7721" t="s">
        <v>17165</v>
      </c>
      <c r="C7721" t="s">
        <v>357</v>
      </c>
      <c r="D7721" t="s">
        <v>241</v>
      </c>
      <c r="F7721">
        <v>2</v>
      </c>
      <c r="G7721" t="s">
        <v>16</v>
      </c>
      <c r="H7721">
        <v>0</v>
      </c>
      <c r="I7721" s="2" t="s">
        <v>288</v>
      </c>
      <c r="J7721" s="2" t="s">
        <v>17164</v>
      </c>
      <c r="K7721">
        <v>20</v>
      </c>
      <c r="L7721">
        <v>20</v>
      </c>
      <c r="M7721">
        <v>20</v>
      </c>
    </row>
    <row r="7722" spans="1:13" x14ac:dyDescent="0.25">
      <c r="A7722" t="s">
        <v>17166</v>
      </c>
      <c r="B7722" t="s">
        <v>17165</v>
      </c>
      <c r="C7722" t="s">
        <v>357</v>
      </c>
      <c r="D7722" t="s">
        <v>241</v>
      </c>
      <c r="F7722">
        <v>1</v>
      </c>
      <c r="G7722" t="s">
        <v>16</v>
      </c>
      <c r="H7722">
        <v>0</v>
      </c>
      <c r="I7722" s="2" t="s">
        <v>243</v>
      </c>
      <c r="J7722" s="2">
        <v>21138</v>
      </c>
      <c r="K7722">
        <v>20</v>
      </c>
      <c r="L7722">
        <v>20</v>
      </c>
      <c r="M7722">
        <v>20</v>
      </c>
    </row>
    <row r="7723" spans="1:13" x14ac:dyDescent="0.25">
      <c r="A7723" t="s">
        <v>17167</v>
      </c>
      <c r="B7723" t="s">
        <v>17168</v>
      </c>
      <c r="C7723" t="s">
        <v>357</v>
      </c>
      <c r="D7723" t="s">
        <v>241</v>
      </c>
      <c r="F7723">
        <v>1</v>
      </c>
      <c r="G7723" t="s">
        <v>16</v>
      </c>
      <c r="H7723">
        <v>0</v>
      </c>
      <c r="I7723" s="2" t="s">
        <v>3088</v>
      </c>
      <c r="J7723" s="2" t="s">
        <v>17169</v>
      </c>
      <c r="K7723">
        <v>20</v>
      </c>
      <c r="L7723">
        <v>20</v>
      </c>
      <c r="M7723">
        <v>20</v>
      </c>
    </row>
    <row r="7724" spans="1:13" x14ac:dyDescent="0.25">
      <c r="A7724" t="s">
        <v>17170</v>
      </c>
      <c r="B7724" t="s">
        <v>17171</v>
      </c>
      <c r="C7724" t="s">
        <v>241</v>
      </c>
      <c r="D7724" t="s">
        <v>242</v>
      </c>
      <c r="G7724" t="s">
        <v>16</v>
      </c>
      <c r="H7724">
        <v>0</v>
      </c>
      <c r="I7724" s="2" t="s">
        <v>2233</v>
      </c>
      <c r="J7724" s="2">
        <v>21724</v>
      </c>
      <c r="K7724">
        <v>20</v>
      </c>
      <c r="L7724">
        <v>20</v>
      </c>
      <c r="M7724">
        <v>20</v>
      </c>
    </row>
    <row r="7725" spans="1:13" x14ac:dyDescent="0.25">
      <c r="A7725" t="s">
        <v>17172</v>
      </c>
      <c r="B7725" t="s">
        <v>17173</v>
      </c>
      <c r="C7725" t="s">
        <v>1436</v>
      </c>
      <c r="D7725" t="s">
        <v>15884</v>
      </c>
      <c r="F7725">
        <v>1</v>
      </c>
      <c r="G7725" t="s">
        <v>16</v>
      </c>
      <c r="H7725">
        <v>0</v>
      </c>
      <c r="I7725" s="2" t="s">
        <v>142</v>
      </c>
      <c r="J7725" s="2" t="s">
        <v>17174</v>
      </c>
      <c r="K7725">
        <v>20</v>
      </c>
      <c r="L7725">
        <v>20</v>
      </c>
      <c r="M7725">
        <v>20</v>
      </c>
    </row>
    <row r="7726" spans="1:13" x14ac:dyDescent="0.25">
      <c r="A7726" t="s">
        <v>17175</v>
      </c>
      <c r="B7726" t="s">
        <v>17176</v>
      </c>
      <c r="C7726" t="s">
        <v>241</v>
      </c>
      <c r="D7726" t="s">
        <v>242</v>
      </c>
      <c r="F7726">
        <v>1</v>
      </c>
      <c r="G7726" t="s">
        <v>16</v>
      </c>
      <c r="H7726">
        <v>0</v>
      </c>
      <c r="I7726" s="2" t="s">
        <v>243</v>
      </c>
      <c r="J7726" s="2">
        <v>21707</v>
      </c>
      <c r="K7726">
        <v>20</v>
      </c>
      <c r="L7726">
        <v>20</v>
      </c>
      <c r="M7726">
        <v>20</v>
      </c>
    </row>
    <row r="7727" spans="1:13" x14ac:dyDescent="0.25">
      <c r="A7727" t="s">
        <v>17177</v>
      </c>
      <c r="B7727" t="s">
        <v>17178</v>
      </c>
      <c r="C7727" t="s">
        <v>357</v>
      </c>
      <c r="D7727" t="s">
        <v>241</v>
      </c>
      <c r="F7727">
        <v>1</v>
      </c>
      <c r="G7727" t="s">
        <v>16</v>
      </c>
      <c r="H7727">
        <v>0</v>
      </c>
      <c r="I7727" s="2" t="s">
        <v>243</v>
      </c>
      <c r="J7727" s="2">
        <v>25184</v>
      </c>
      <c r="K7727">
        <v>20</v>
      </c>
      <c r="L7727">
        <v>20</v>
      </c>
      <c r="M7727">
        <v>20</v>
      </c>
    </row>
    <row r="7728" spans="1:13" x14ac:dyDescent="0.25">
      <c r="A7728" t="s">
        <v>17179</v>
      </c>
      <c r="B7728" t="s">
        <v>17178</v>
      </c>
      <c r="C7728" t="s">
        <v>357</v>
      </c>
      <c r="D7728" t="s">
        <v>241</v>
      </c>
      <c r="G7728" t="s">
        <v>16</v>
      </c>
      <c r="H7728">
        <v>0</v>
      </c>
      <c r="I7728" s="2" t="s">
        <v>245</v>
      </c>
      <c r="J7728" s="2" t="s">
        <v>17180</v>
      </c>
      <c r="K7728">
        <v>20</v>
      </c>
      <c r="L7728">
        <v>20</v>
      </c>
      <c r="M7728">
        <v>20</v>
      </c>
    </row>
    <row r="7729" spans="1:13" x14ac:dyDescent="0.25">
      <c r="A7729" t="s">
        <v>17181</v>
      </c>
      <c r="B7729" t="s">
        <v>17182</v>
      </c>
      <c r="C7729" t="s">
        <v>357</v>
      </c>
      <c r="D7729" t="s">
        <v>241</v>
      </c>
      <c r="G7729" t="s">
        <v>16</v>
      </c>
      <c r="H7729">
        <v>0</v>
      </c>
      <c r="I7729" s="2" t="s">
        <v>4042</v>
      </c>
      <c r="J7729" s="2">
        <v>25185</v>
      </c>
      <c r="K7729">
        <v>20</v>
      </c>
      <c r="L7729">
        <v>20</v>
      </c>
      <c r="M7729">
        <v>20</v>
      </c>
    </row>
    <row r="7730" spans="1:13" x14ac:dyDescent="0.25">
      <c r="A7730" t="s">
        <v>17183</v>
      </c>
      <c r="B7730" t="s">
        <v>17184</v>
      </c>
      <c r="C7730" t="s">
        <v>357</v>
      </c>
      <c r="D7730" t="s">
        <v>241</v>
      </c>
      <c r="F7730">
        <v>5</v>
      </c>
      <c r="G7730" t="s">
        <v>16</v>
      </c>
      <c r="H7730">
        <v>0</v>
      </c>
      <c r="I7730" s="2" t="s">
        <v>737</v>
      </c>
      <c r="J7730" s="2" t="s">
        <v>17185</v>
      </c>
      <c r="K7730">
        <v>20</v>
      </c>
      <c r="L7730">
        <v>20</v>
      </c>
      <c r="M7730">
        <v>20</v>
      </c>
    </row>
    <row r="7731" spans="1:13" x14ac:dyDescent="0.25">
      <c r="A7731" t="s">
        <v>17186</v>
      </c>
      <c r="B7731" t="s">
        <v>17187</v>
      </c>
      <c r="C7731" t="s">
        <v>241</v>
      </c>
      <c r="D7731" t="s">
        <v>2216</v>
      </c>
      <c r="F7731">
        <v>0</v>
      </c>
      <c r="G7731" t="s">
        <v>16</v>
      </c>
      <c r="H7731">
        <v>0</v>
      </c>
      <c r="I7731" s="2" t="s">
        <v>243</v>
      </c>
      <c r="J7731" s="2">
        <v>25186</v>
      </c>
      <c r="K7731">
        <v>20</v>
      </c>
      <c r="L7731">
        <v>20</v>
      </c>
      <c r="M7731">
        <v>20</v>
      </c>
    </row>
    <row r="7732" spans="1:13" x14ac:dyDescent="0.25">
      <c r="A7732" t="s">
        <v>17188</v>
      </c>
      <c r="B7732" t="s">
        <v>17187</v>
      </c>
      <c r="C7732" t="s">
        <v>357</v>
      </c>
      <c r="D7732" t="s">
        <v>241</v>
      </c>
      <c r="F7732">
        <v>1</v>
      </c>
      <c r="G7732" t="s">
        <v>16</v>
      </c>
      <c r="H7732">
        <v>0</v>
      </c>
      <c r="I7732" s="2" t="s">
        <v>737</v>
      </c>
      <c r="J7732" s="2" t="s">
        <v>17189</v>
      </c>
      <c r="K7732">
        <v>20</v>
      </c>
      <c r="L7732">
        <v>20</v>
      </c>
      <c r="M7732">
        <v>20</v>
      </c>
    </row>
    <row r="7733" spans="1:13" x14ac:dyDescent="0.25">
      <c r="A7733">
        <v>95390893</v>
      </c>
      <c r="B7733" t="s">
        <v>17190</v>
      </c>
      <c r="C7733" t="s">
        <v>357</v>
      </c>
      <c r="D7733" t="s">
        <v>241</v>
      </c>
      <c r="F7733">
        <v>1</v>
      </c>
      <c r="G7733" t="s">
        <v>16</v>
      </c>
      <c r="H7733">
        <v>0</v>
      </c>
      <c r="I7733" s="2" t="s">
        <v>497</v>
      </c>
      <c r="J7733" s="2">
        <v>95390893</v>
      </c>
      <c r="K7733">
        <v>20</v>
      </c>
      <c r="L7733">
        <v>20</v>
      </c>
      <c r="M7733">
        <v>20</v>
      </c>
    </row>
    <row r="7734" spans="1:13" x14ac:dyDescent="0.25">
      <c r="A7734" t="s">
        <v>17191</v>
      </c>
      <c r="B7734" t="s">
        <v>17192</v>
      </c>
      <c r="C7734" t="s">
        <v>357</v>
      </c>
      <c r="D7734" t="s">
        <v>241</v>
      </c>
      <c r="F7734">
        <v>0</v>
      </c>
      <c r="G7734" t="s">
        <v>16</v>
      </c>
      <c r="H7734">
        <v>0</v>
      </c>
      <c r="I7734" s="2" t="s">
        <v>243</v>
      </c>
      <c r="J7734" s="2">
        <v>25182</v>
      </c>
      <c r="K7734">
        <v>20</v>
      </c>
      <c r="L7734">
        <v>20</v>
      </c>
      <c r="M7734">
        <v>20</v>
      </c>
    </row>
    <row r="7735" spans="1:13" x14ac:dyDescent="0.25">
      <c r="A7735" t="s">
        <v>17193</v>
      </c>
      <c r="B7735" t="s">
        <v>17192</v>
      </c>
      <c r="C7735" t="s">
        <v>357</v>
      </c>
      <c r="D7735" t="s">
        <v>241</v>
      </c>
      <c r="F7735">
        <v>0</v>
      </c>
      <c r="G7735" t="s">
        <v>16</v>
      </c>
      <c r="H7735">
        <v>0</v>
      </c>
      <c r="I7735" s="2" t="s">
        <v>266</v>
      </c>
      <c r="J7735" s="2">
        <v>66162</v>
      </c>
      <c r="K7735">
        <v>20</v>
      </c>
      <c r="L7735">
        <v>20</v>
      </c>
      <c r="M7735">
        <v>20</v>
      </c>
    </row>
    <row r="7736" spans="1:13" x14ac:dyDescent="0.25">
      <c r="A7736" t="s">
        <v>17194</v>
      </c>
      <c r="B7736" t="s">
        <v>17195</v>
      </c>
      <c r="C7736" t="s">
        <v>357</v>
      </c>
      <c r="D7736" t="s">
        <v>241</v>
      </c>
      <c r="F7736">
        <v>1</v>
      </c>
      <c r="G7736" t="s">
        <v>16</v>
      </c>
      <c r="H7736">
        <v>0</v>
      </c>
      <c r="I7736" s="2" t="s">
        <v>737</v>
      </c>
      <c r="J7736" s="2" t="s">
        <v>17196</v>
      </c>
      <c r="K7736">
        <v>20</v>
      </c>
      <c r="L7736">
        <v>20</v>
      </c>
      <c r="M7736">
        <v>20</v>
      </c>
    </row>
    <row r="7737" spans="1:13" x14ac:dyDescent="0.25">
      <c r="A7737" t="s">
        <v>17197</v>
      </c>
      <c r="B7737" t="s">
        <v>17199</v>
      </c>
      <c r="C7737" t="s">
        <v>20</v>
      </c>
      <c r="D7737" t="s">
        <v>2477</v>
      </c>
      <c r="F7737">
        <v>2</v>
      </c>
      <c r="G7737" t="s">
        <v>16</v>
      </c>
      <c r="H7737">
        <v>0</v>
      </c>
      <c r="I7737" s="2" t="s">
        <v>288</v>
      </c>
      <c r="J7737" s="2" t="s">
        <v>17198</v>
      </c>
      <c r="K7737">
        <v>20</v>
      </c>
      <c r="L7737">
        <v>20</v>
      </c>
      <c r="M7737">
        <v>20</v>
      </c>
    </row>
    <row r="7738" spans="1:13" x14ac:dyDescent="0.25">
      <c r="A7738" t="s">
        <v>17200</v>
      </c>
      <c r="B7738" t="s">
        <v>17201</v>
      </c>
      <c r="C7738" t="s">
        <v>20</v>
      </c>
      <c r="D7738" t="s">
        <v>2477</v>
      </c>
      <c r="F7738">
        <v>1</v>
      </c>
      <c r="G7738" t="s">
        <v>16</v>
      </c>
      <c r="H7738">
        <v>0</v>
      </c>
      <c r="I7738" s="2" t="s">
        <v>17112</v>
      </c>
      <c r="J7738" s="2">
        <v>95405220</v>
      </c>
      <c r="K7738">
        <v>20</v>
      </c>
      <c r="L7738">
        <v>20</v>
      </c>
      <c r="M7738">
        <v>20</v>
      </c>
    </row>
    <row r="7739" spans="1:13" x14ac:dyDescent="0.25">
      <c r="A7739" t="s">
        <v>17202</v>
      </c>
      <c r="B7739" t="s">
        <v>17204</v>
      </c>
      <c r="C7739" t="s">
        <v>241</v>
      </c>
      <c r="D7739" t="s">
        <v>242</v>
      </c>
      <c r="F7739">
        <v>1</v>
      </c>
      <c r="G7739" t="s">
        <v>16</v>
      </c>
      <c r="H7739">
        <v>0</v>
      </c>
      <c r="I7739" s="2" t="s">
        <v>288</v>
      </c>
      <c r="J7739" s="2" t="s">
        <v>17203</v>
      </c>
      <c r="K7739">
        <v>20</v>
      </c>
      <c r="L7739">
        <v>20</v>
      </c>
      <c r="M7739">
        <v>20</v>
      </c>
    </row>
    <row r="7740" spans="1:13" x14ac:dyDescent="0.25">
      <c r="A7740" t="s">
        <v>17205</v>
      </c>
      <c r="B7740" t="s">
        <v>17206</v>
      </c>
      <c r="C7740" t="s">
        <v>540</v>
      </c>
      <c r="G7740" t="s">
        <v>16</v>
      </c>
      <c r="H7740">
        <v>0</v>
      </c>
      <c r="I7740" s="2" t="s">
        <v>4421</v>
      </c>
      <c r="J7740" s="2" t="s">
        <v>17207</v>
      </c>
      <c r="K7740">
        <v>20</v>
      </c>
      <c r="L7740">
        <v>20</v>
      </c>
      <c r="M7740">
        <v>20</v>
      </c>
    </row>
    <row r="7741" spans="1:13" x14ac:dyDescent="0.25">
      <c r="A7741" t="s">
        <v>17208</v>
      </c>
      <c r="B7741" t="s">
        <v>17209</v>
      </c>
      <c r="C7741" t="s">
        <v>357</v>
      </c>
      <c r="D7741" t="s">
        <v>241</v>
      </c>
      <c r="F7741">
        <v>2</v>
      </c>
      <c r="G7741" t="s">
        <v>16</v>
      </c>
      <c r="H7741">
        <v>0</v>
      </c>
      <c r="I7741" s="2" t="s">
        <v>737</v>
      </c>
      <c r="J7741" s="2" t="s">
        <v>17210</v>
      </c>
      <c r="K7741">
        <v>20</v>
      </c>
      <c r="L7741">
        <v>20</v>
      </c>
      <c r="M7741">
        <v>20</v>
      </c>
    </row>
    <row r="7742" spans="1:13" x14ac:dyDescent="0.25">
      <c r="A7742" t="s">
        <v>17211</v>
      </c>
      <c r="B7742" t="s">
        <v>17213</v>
      </c>
      <c r="C7742" t="s">
        <v>357</v>
      </c>
      <c r="D7742" t="s">
        <v>1836</v>
      </c>
      <c r="F7742">
        <v>1</v>
      </c>
      <c r="G7742" t="s">
        <v>16</v>
      </c>
      <c r="H7742">
        <v>0</v>
      </c>
      <c r="I7742" s="2" t="s">
        <v>1849</v>
      </c>
      <c r="J7742" s="2" t="s">
        <v>17212</v>
      </c>
      <c r="K7742">
        <v>20</v>
      </c>
      <c r="L7742">
        <v>20</v>
      </c>
      <c r="M7742">
        <v>20</v>
      </c>
    </row>
    <row r="7743" spans="1:13" x14ac:dyDescent="0.25">
      <c r="A7743" t="s">
        <v>17214</v>
      </c>
      <c r="B7743" t="s">
        <v>17215</v>
      </c>
      <c r="C7743" t="s">
        <v>540</v>
      </c>
      <c r="F7743">
        <v>1</v>
      </c>
      <c r="G7743" t="s">
        <v>16</v>
      </c>
      <c r="H7743">
        <v>0</v>
      </c>
      <c r="K7743">
        <v>20</v>
      </c>
      <c r="L7743">
        <v>20</v>
      </c>
      <c r="M7743">
        <v>20</v>
      </c>
    </row>
    <row r="7744" spans="1:13" x14ac:dyDescent="0.25">
      <c r="A7744" t="s">
        <v>17216</v>
      </c>
      <c r="B7744" t="s">
        <v>17217</v>
      </c>
      <c r="C7744" t="s">
        <v>540</v>
      </c>
      <c r="F7744">
        <v>1</v>
      </c>
      <c r="G7744" t="s">
        <v>16</v>
      </c>
      <c r="H7744">
        <v>0</v>
      </c>
      <c r="K7744">
        <v>20</v>
      </c>
      <c r="L7744">
        <v>20</v>
      </c>
      <c r="M7744">
        <v>20</v>
      </c>
    </row>
    <row r="7745" spans="1:13" x14ac:dyDescent="0.25">
      <c r="A7745" t="s">
        <v>17218</v>
      </c>
      <c r="B7745" t="s">
        <v>17219</v>
      </c>
      <c r="C7745" t="s">
        <v>540</v>
      </c>
      <c r="F7745">
        <v>1</v>
      </c>
      <c r="G7745" t="s">
        <v>16</v>
      </c>
      <c r="H7745">
        <v>0</v>
      </c>
      <c r="K7745">
        <v>20</v>
      </c>
      <c r="L7745">
        <v>20</v>
      </c>
      <c r="M7745">
        <v>20</v>
      </c>
    </row>
    <row r="7746" spans="1:13" x14ac:dyDescent="0.25">
      <c r="A7746" t="s">
        <v>17220</v>
      </c>
      <c r="B7746" t="s">
        <v>17221</v>
      </c>
      <c r="C7746" t="s">
        <v>20</v>
      </c>
      <c r="D7746" t="s">
        <v>2477</v>
      </c>
      <c r="G7746" t="s">
        <v>16</v>
      </c>
      <c r="H7746">
        <v>0</v>
      </c>
      <c r="I7746" s="2" t="s">
        <v>5085</v>
      </c>
      <c r="J7746" s="2" t="s">
        <v>17222</v>
      </c>
      <c r="K7746">
        <v>20</v>
      </c>
      <c r="L7746">
        <v>20</v>
      </c>
      <c r="M7746">
        <v>20</v>
      </c>
    </row>
    <row r="7747" spans="1:13" x14ac:dyDescent="0.25">
      <c r="A7747" t="s">
        <v>17223</v>
      </c>
      <c r="B7747" t="s">
        <v>17224</v>
      </c>
      <c r="C7747" t="s">
        <v>241</v>
      </c>
      <c r="D7747" t="s">
        <v>262</v>
      </c>
      <c r="G7747" t="s">
        <v>16</v>
      </c>
      <c r="H7747">
        <v>0</v>
      </c>
      <c r="I7747" s="2" t="s">
        <v>765</v>
      </c>
      <c r="J7747" s="2" t="str">
        <f>"098024155"</f>
        <v>098024155</v>
      </c>
      <c r="K7747">
        <v>20</v>
      </c>
      <c r="L7747">
        <v>20</v>
      </c>
      <c r="M7747">
        <v>20</v>
      </c>
    </row>
    <row r="7748" spans="1:13" x14ac:dyDescent="0.25">
      <c r="A7748" t="s">
        <v>17225</v>
      </c>
      <c r="B7748" t="s">
        <v>17227</v>
      </c>
      <c r="C7748" t="s">
        <v>362</v>
      </c>
      <c r="D7748" t="s">
        <v>10325</v>
      </c>
      <c r="F7748">
        <v>1</v>
      </c>
      <c r="G7748" t="s">
        <v>16</v>
      </c>
      <c r="H7748">
        <v>0</v>
      </c>
      <c r="I7748" s="2" t="s">
        <v>288</v>
      </c>
      <c r="J7748" s="2" t="s">
        <v>17226</v>
      </c>
      <c r="K7748">
        <v>20</v>
      </c>
      <c r="L7748">
        <v>20</v>
      </c>
      <c r="M7748">
        <v>20</v>
      </c>
    </row>
    <row r="7749" spans="1:13" x14ac:dyDescent="0.25">
      <c r="A7749" t="s">
        <v>17228</v>
      </c>
      <c r="B7749" t="s">
        <v>17229</v>
      </c>
      <c r="C7749" t="s">
        <v>362</v>
      </c>
      <c r="D7749" t="s">
        <v>10325</v>
      </c>
      <c r="G7749" t="s">
        <v>16</v>
      </c>
      <c r="H7749">
        <v>0</v>
      </c>
      <c r="I7749" s="2" t="s">
        <v>64</v>
      </c>
      <c r="J7749" s="2" t="str">
        <f>"07080885"</f>
        <v>07080885</v>
      </c>
      <c r="K7749">
        <v>20</v>
      </c>
      <c r="L7749">
        <v>20</v>
      </c>
      <c r="M7749">
        <v>20</v>
      </c>
    </row>
    <row r="7750" spans="1:13" x14ac:dyDescent="0.25">
      <c r="A7750" t="s">
        <v>17230</v>
      </c>
      <c r="B7750" t="s">
        <v>17232</v>
      </c>
      <c r="C7750" t="s">
        <v>362</v>
      </c>
      <c r="D7750" t="s">
        <v>10325</v>
      </c>
      <c r="F7750">
        <v>2</v>
      </c>
      <c r="G7750" t="s">
        <v>16</v>
      </c>
      <c r="H7750">
        <v>0</v>
      </c>
      <c r="I7750" s="2" t="s">
        <v>288</v>
      </c>
      <c r="J7750" s="2" t="s">
        <v>17231</v>
      </c>
      <c r="K7750">
        <v>20</v>
      </c>
      <c r="L7750">
        <v>20</v>
      </c>
      <c r="M7750">
        <v>20</v>
      </c>
    </row>
    <row r="7751" spans="1:13" x14ac:dyDescent="0.25">
      <c r="A7751" t="s">
        <v>17233</v>
      </c>
      <c r="B7751" t="s">
        <v>17234</v>
      </c>
      <c r="C7751" t="s">
        <v>540</v>
      </c>
      <c r="D7751" t="s">
        <v>1736</v>
      </c>
      <c r="G7751" t="s">
        <v>16</v>
      </c>
      <c r="H7751">
        <v>0</v>
      </c>
      <c r="I7751" s="2" t="s">
        <v>1748</v>
      </c>
      <c r="J7751" s="2" t="s">
        <v>17235</v>
      </c>
      <c r="K7751">
        <v>20</v>
      </c>
      <c r="L7751">
        <v>20</v>
      </c>
      <c r="M7751">
        <v>20</v>
      </c>
    </row>
    <row r="7752" spans="1:13" x14ac:dyDescent="0.25">
      <c r="A7752" t="s">
        <v>17236</v>
      </c>
      <c r="B7752" t="s">
        <v>17237</v>
      </c>
      <c r="C7752" t="s">
        <v>496</v>
      </c>
      <c r="D7752" t="s">
        <v>2360</v>
      </c>
      <c r="F7752">
        <v>0</v>
      </c>
      <c r="G7752" t="s">
        <v>16</v>
      </c>
      <c r="H7752">
        <v>0</v>
      </c>
      <c r="I7752" s="2" t="s">
        <v>5155</v>
      </c>
      <c r="J7752" s="2" t="s">
        <v>17238</v>
      </c>
      <c r="K7752">
        <v>20</v>
      </c>
      <c r="L7752">
        <v>20</v>
      </c>
      <c r="M7752">
        <v>20</v>
      </c>
    </row>
    <row r="7753" spans="1:13" x14ac:dyDescent="0.25">
      <c r="A7753" t="s">
        <v>17239</v>
      </c>
      <c r="B7753" t="s">
        <v>17240</v>
      </c>
      <c r="C7753" t="s">
        <v>496</v>
      </c>
      <c r="D7753" t="s">
        <v>2360</v>
      </c>
      <c r="F7753">
        <v>2</v>
      </c>
      <c r="G7753" t="s">
        <v>16</v>
      </c>
      <c r="H7753">
        <v>0</v>
      </c>
      <c r="I7753" s="2" t="s">
        <v>266</v>
      </c>
      <c r="J7753" s="2" t="s">
        <v>17241</v>
      </c>
      <c r="K7753">
        <v>20</v>
      </c>
      <c r="L7753">
        <v>20</v>
      </c>
      <c r="M7753">
        <v>20</v>
      </c>
    </row>
    <row r="7754" spans="1:13" x14ac:dyDescent="0.25">
      <c r="A7754" t="s">
        <v>17242</v>
      </c>
      <c r="B7754" t="s">
        <v>17243</v>
      </c>
      <c r="C7754" t="s">
        <v>496</v>
      </c>
      <c r="G7754" t="s">
        <v>16</v>
      </c>
      <c r="H7754">
        <v>0</v>
      </c>
      <c r="I7754" s="2" t="s">
        <v>2517</v>
      </c>
      <c r="J7754" s="2" t="s">
        <v>17244</v>
      </c>
      <c r="K7754">
        <v>20</v>
      </c>
      <c r="L7754">
        <v>20</v>
      </c>
      <c r="M7754">
        <v>20</v>
      </c>
    </row>
    <row r="7755" spans="1:13" x14ac:dyDescent="0.25">
      <c r="A7755" t="s">
        <v>17245</v>
      </c>
      <c r="B7755" t="s">
        <v>17243</v>
      </c>
      <c r="C7755" t="s">
        <v>496</v>
      </c>
      <c r="D7755" t="s">
        <v>2360</v>
      </c>
      <c r="F7755">
        <v>0</v>
      </c>
      <c r="G7755" t="s">
        <v>16</v>
      </c>
      <c r="H7755">
        <v>0</v>
      </c>
      <c r="I7755" s="2" t="s">
        <v>5155</v>
      </c>
      <c r="J7755" s="2" t="s">
        <v>17246</v>
      </c>
      <c r="K7755">
        <v>20</v>
      </c>
      <c r="L7755">
        <v>20</v>
      </c>
      <c r="M7755">
        <v>20</v>
      </c>
    </row>
    <row r="7756" spans="1:13" x14ac:dyDescent="0.25">
      <c r="A7756" t="s">
        <v>17247</v>
      </c>
      <c r="B7756" t="s">
        <v>17243</v>
      </c>
      <c r="C7756" t="s">
        <v>496</v>
      </c>
      <c r="D7756" t="s">
        <v>2360</v>
      </c>
      <c r="F7756">
        <v>2</v>
      </c>
      <c r="G7756" t="s">
        <v>16</v>
      </c>
      <c r="H7756">
        <v>0</v>
      </c>
      <c r="I7756" s="2" t="s">
        <v>266</v>
      </c>
      <c r="J7756" s="2" t="s">
        <v>17248</v>
      </c>
      <c r="K7756">
        <v>20</v>
      </c>
      <c r="L7756">
        <v>20</v>
      </c>
      <c r="M7756">
        <v>20</v>
      </c>
    </row>
    <row r="7757" spans="1:13" x14ac:dyDescent="0.25">
      <c r="A7757" t="s">
        <v>17249</v>
      </c>
      <c r="B7757" t="s">
        <v>17251</v>
      </c>
      <c r="C7757" t="s">
        <v>496</v>
      </c>
      <c r="D7757" t="s">
        <v>4101</v>
      </c>
      <c r="F7757">
        <v>1</v>
      </c>
      <c r="G7757" t="s">
        <v>16</v>
      </c>
      <c r="H7757">
        <v>0</v>
      </c>
      <c r="I7757" s="2" t="s">
        <v>288</v>
      </c>
      <c r="J7757" s="2" t="s">
        <v>17250</v>
      </c>
      <c r="K7757">
        <v>20</v>
      </c>
      <c r="L7757">
        <v>20</v>
      </c>
      <c r="M7757">
        <v>20</v>
      </c>
    </row>
    <row r="7758" spans="1:13" x14ac:dyDescent="0.25">
      <c r="A7758" t="s">
        <v>17252</v>
      </c>
      <c r="B7758" t="s">
        <v>17253</v>
      </c>
      <c r="C7758" t="s">
        <v>496</v>
      </c>
      <c r="D7758" t="s">
        <v>4101</v>
      </c>
      <c r="F7758">
        <v>2</v>
      </c>
      <c r="G7758" t="s">
        <v>16</v>
      </c>
      <c r="H7758">
        <v>0</v>
      </c>
      <c r="I7758" s="2" t="s">
        <v>5249</v>
      </c>
      <c r="J7758" s="2" t="s">
        <v>17254</v>
      </c>
      <c r="K7758">
        <v>20</v>
      </c>
      <c r="L7758">
        <v>20</v>
      </c>
      <c r="M7758">
        <v>20</v>
      </c>
    </row>
    <row r="7759" spans="1:13" x14ac:dyDescent="0.25">
      <c r="A7759" t="s">
        <v>17255</v>
      </c>
      <c r="B7759" t="s">
        <v>17257</v>
      </c>
      <c r="C7759" t="s">
        <v>20</v>
      </c>
      <c r="D7759" t="s">
        <v>2477</v>
      </c>
      <c r="G7759" t="s">
        <v>16</v>
      </c>
      <c r="H7759">
        <v>0</v>
      </c>
      <c r="I7759" s="2" t="s">
        <v>288</v>
      </c>
      <c r="J7759" s="2" t="s">
        <v>17256</v>
      </c>
      <c r="K7759">
        <v>20</v>
      </c>
      <c r="L7759">
        <v>20</v>
      </c>
      <c r="M7759">
        <v>20</v>
      </c>
    </row>
    <row r="7760" spans="1:13" x14ac:dyDescent="0.25">
      <c r="A7760" t="s">
        <v>17258</v>
      </c>
      <c r="B7760" t="s">
        <v>17259</v>
      </c>
      <c r="C7760" t="s">
        <v>20</v>
      </c>
      <c r="D7760" t="s">
        <v>2477</v>
      </c>
      <c r="F7760">
        <v>1</v>
      </c>
      <c r="G7760" t="s">
        <v>16</v>
      </c>
      <c r="H7760">
        <v>0</v>
      </c>
      <c r="I7760" s="2" t="s">
        <v>17112</v>
      </c>
      <c r="J7760" s="2">
        <v>95493722</v>
      </c>
      <c r="K7760">
        <v>20</v>
      </c>
      <c r="L7760">
        <v>20</v>
      </c>
      <c r="M7760">
        <v>20</v>
      </c>
    </row>
    <row r="7761" spans="1:13" x14ac:dyDescent="0.25">
      <c r="A7761" t="s">
        <v>17260</v>
      </c>
      <c r="B7761" t="s">
        <v>17257</v>
      </c>
      <c r="C7761" t="s">
        <v>20</v>
      </c>
      <c r="D7761" t="s">
        <v>2477</v>
      </c>
      <c r="F7761">
        <v>2</v>
      </c>
      <c r="G7761" t="s">
        <v>16</v>
      </c>
      <c r="H7761">
        <v>0</v>
      </c>
      <c r="I7761" s="2" t="s">
        <v>64</v>
      </c>
      <c r="J7761" s="2">
        <v>10010322</v>
      </c>
      <c r="K7761">
        <v>20</v>
      </c>
      <c r="L7761">
        <v>20</v>
      </c>
      <c r="M7761">
        <v>20</v>
      </c>
    </row>
    <row r="7762" spans="1:13" x14ac:dyDescent="0.25">
      <c r="A7762" t="s">
        <v>17261</v>
      </c>
      <c r="B7762" t="s">
        <v>17257</v>
      </c>
      <c r="C7762" t="s">
        <v>20</v>
      </c>
      <c r="D7762" t="s">
        <v>2477</v>
      </c>
      <c r="F7762">
        <v>1</v>
      </c>
      <c r="G7762" t="s">
        <v>16</v>
      </c>
      <c r="H7762">
        <v>0</v>
      </c>
      <c r="I7762" s="2" t="s">
        <v>508</v>
      </c>
      <c r="J7762" s="2">
        <v>95493722</v>
      </c>
      <c r="K7762">
        <v>20</v>
      </c>
      <c r="L7762">
        <v>20</v>
      </c>
      <c r="M7762">
        <v>20</v>
      </c>
    </row>
    <row r="7763" spans="1:13" x14ac:dyDescent="0.25">
      <c r="A7763" t="s">
        <v>17262</v>
      </c>
      <c r="B7763" t="s">
        <v>17259</v>
      </c>
      <c r="C7763" t="s">
        <v>20</v>
      </c>
      <c r="D7763" t="s">
        <v>2477</v>
      </c>
      <c r="F7763">
        <v>1</v>
      </c>
      <c r="G7763" t="s">
        <v>16</v>
      </c>
      <c r="H7763">
        <v>0</v>
      </c>
      <c r="I7763" s="2" t="s">
        <v>737</v>
      </c>
      <c r="J7763" s="2" t="s">
        <v>17263</v>
      </c>
      <c r="K7763">
        <v>20</v>
      </c>
      <c r="L7763">
        <v>20</v>
      </c>
      <c r="M7763">
        <v>20</v>
      </c>
    </row>
    <row r="7764" spans="1:13" x14ac:dyDescent="0.25">
      <c r="A7764" t="s">
        <v>17264</v>
      </c>
      <c r="B7764" t="s">
        <v>17265</v>
      </c>
      <c r="C7764" t="s">
        <v>14</v>
      </c>
      <c r="D7764" t="s">
        <v>15</v>
      </c>
      <c r="F7764">
        <v>0</v>
      </c>
      <c r="G7764" t="s">
        <v>16</v>
      </c>
      <c r="H7764">
        <v>0</v>
      </c>
      <c r="I7764" s="2" t="s">
        <v>64</v>
      </c>
      <c r="J7764" s="2" t="str">
        <f>"06040315"</f>
        <v>06040315</v>
      </c>
      <c r="K7764">
        <v>20</v>
      </c>
      <c r="L7764">
        <v>20</v>
      </c>
      <c r="M7764">
        <v>20</v>
      </c>
    </row>
    <row r="7765" spans="1:13" x14ac:dyDescent="0.25">
      <c r="A7765" t="s">
        <v>17266</v>
      </c>
      <c r="B7765" t="s">
        <v>17267</v>
      </c>
      <c r="C7765" t="s">
        <v>362</v>
      </c>
      <c r="D7765" t="s">
        <v>4091</v>
      </c>
      <c r="F7765">
        <v>0</v>
      </c>
      <c r="G7765" t="s">
        <v>16</v>
      </c>
      <c r="H7765">
        <v>0</v>
      </c>
      <c r="I7765" s="2" t="s">
        <v>162</v>
      </c>
      <c r="J7765" s="2">
        <v>55645</v>
      </c>
      <c r="K7765">
        <v>20</v>
      </c>
      <c r="L7765">
        <v>20</v>
      </c>
      <c r="M7765">
        <v>20</v>
      </c>
    </row>
    <row r="7766" spans="1:13" x14ac:dyDescent="0.25">
      <c r="A7766" t="s">
        <v>17268</v>
      </c>
      <c r="B7766" t="s">
        <v>17269</v>
      </c>
      <c r="C7766" t="s">
        <v>1432</v>
      </c>
      <c r="G7766" t="s">
        <v>16</v>
      </c>
      <c r="H7766">
        <v>0</v>
      </c>
      <c r="I7766" s="2" t="s">
        <v>5677</v>
      </c>
      <c r="J7766" s="2">
        <v>623356309</v>
      </c>
      <c r="K7766">
        <v>20</v>
      </c>
      <c r="L7766">
        <v>20</v>
      </c>
      <c r="M7766">
        <v>20</v>
      </c>
    </row>
    <row r="7767" spans="1:13" x14ac:dyDescent="0.25">
      <c r="A7767">
        <v>95528472</v>
      </c>
      <c r="B7767" t="s">
        <v>17270</v>
      </c>
      <c r="C7767" t="s">
        <v>20</v>
      </c>
      <c r="D7767" t="s">
        <v>385</v>
      </c>
      <c r="F7767">
        <v>1</v>
      </c>
      <c r="G7767" t="s">
        <v>16</v>
      </c>
      <c r="H7767">
        <v>0</v>
      </c>
      <c r="I7767" s="2" t="s">
        <v>497</v>
      </c>
      <c r="J7767" s="2">
        <v>95528472</v>
      </c>
      <c r="K7767">
        <v>20</v>
      </c>
      <c r="L7767">
        <v>20</v>
      </c>
      <c r="M7767">
        <v>20</v>
      </c>
    </row>
    <row r="7768" spans="1:13" x14ac:dyDescent="0.25">
      <c r="A7768" t="s">
        <v>17271</v>
      </c>
      <c r="B7768" t="s">
        <v>17272</v>
      </c>
      <c r="C7768" t="s">
        <v>20</v>
      </c>
      <c r="D7768" t="s">
        <v>385</v>
      </c>
      <c r="F7768">
        <v>0</v>
      </c>
      <c r="G7768" t="s">
        <v>16</v>
      </c>
      <c r="H7768">
        <v>0</v>
      </c>
      <c r="I7768" s="2" t="s">
        <v>497</v>
      </c>
      <c r="K7768">
        <v>20</v>
      </c>
      <c r="L7768">
        <v>20</v>
      </c>
      <c r="M7768">
        <v>20</v>
      </c>
    </row>
    <row r="7769" spans="1:13" x14ac:dyDescent="0.25">
      <c r="A7769" t="s">
        <v>17273</v>
      </c>
      <c r="B7769" t="s">
        <v>17274</v>
      </c>
      <c r="C7769" t="s">
        <v>926</v>
      </c>
      <c r="D7769" t="s">
        <v>1036</v>
      </c>
      <c r="F7769">
        <v>10</v>
      </c>
      <c r="G7769" t="s">
        <v>16</v>
      </c>
      <c r="H7769">
        <v>0</v>
      </c>
      <c r="I7769" s="2" t="s">
        <v>383</v>
      </c>
      <c r="J7769" s="2" t="str">
        <f>"0242230626"</f>
        <v>0242230626</v>
      </c>
      <c r="K7769">
        <v>20</v>
      </c>
      <c r="L7769">
        <v>20</v>
      </c>
      <c r="M7769">
        <v>20</v>
      </c>
    </row>
    <row r="7770" spans="1:13" x14ac:dyDescent="0.25">
      <c r="A7770" t="s">
        <v>17275</v>
      </c>
      <c r="B7770" t="s">
        <v>17276</v>
      </c>
      <c r="C7770" t="s">
        <v>1736</v>
      </c>
      <c r="F7770">
        <v>1</v>
      </c>
      <c r="G7770" t="s">
        <v>16</v>
      </c>
      <c r="H7770">
        <v>0</v>
      </c>
      <c r="I7770" s="2" t="s">
        <v>1748</v>
      </c>
      <c r="J7770" s="2" t="s">
        <v>17277</v>
      </c>
      <c r="K7770">
        <v>20</v>
      </c>
      <c r="L7770">
        <v>20</v>
      </c>
      <c r="M7770">
        <v>20</v>
      </c>
    </row>
    <row r="7771" spans="1:13" x14ac:dyDescent="0.25">
      <c r="A7771" t="s">
        <v>17278</v>
      </c>
      <c r="B7771" t="s">
        <v>17279</v>
      </c>
      <c r="C7771" t="s">
        <v>151</v>
      </c>
      <c r="D7771" t="s">
        <v>1092</v>
      </c>
      <c r="G7771" t="s">
        <v>16</v>
      </c>
      <c r="H7771">
        <v>0</v>
      </c>
      <c r="I7771" s="2" t="s">
        <v>500</v>
      </c>
      <c r="J7771" s="2" t="s">
        <v>17280</v>
      </c>
      <c r="K7771">
        <v>20</v>
      </c>
      <c r="L7771">
        <v>20</v>
      </c>
      <c r="M7771">
        <v>20</v>
      </c>
    </row>
    <row r="7772" spans="1:13" x14ac:dyDescent="0.25">
      <c r="A7772" t="s">
        <v>17281</v>
      </c>
      <c r="B7772" t="s">
        <v>17283</v>
      </c>
      <c r="C7772" t="s">
        <v>496</v>
      </c>
      <c r="D7772" t="s">
        <v>2360</v>
      </c>
      <c r="G7772" t="s">
        <v>16</v>
      </c>
      <c r="H7772">
        <v>0</v>
      </c>
      <c r="I7772" s="2" t="s">
        <v>288</v>
      </c>
      <c r="J7772" s="2" t="s">
        <v>17282</v>
      </c>
      <c r="K7772">
        <v>20</v>
      </c>
      <c r="L7772">
        <v>20</v>
      </c>
      <c r="M7772">
        <v>20</v>
      </c>
    </row>
    <row r="7773" spans="1:13" x14ac:dyDescent="0.25">
      <c r="A7773" t="s">
        <v>17284</v>
      </c>
      <c r="B7773" t="s">
        <v>17285</v>
      </c>
      <c r="C7773" t="s">
        <v>496</v>
      </c>
      <c r="D7773" t="s">
        <v>2360</v>
      </c>
      <c r="F7773">
        <v>1</v>
      </c>
      <c r="G7773" t="s">
        <v>16</v>
      </c>
      <c r="H7773">
        <v>0</v>
      </c>
      <c r="I7773" s="2" t="s">
        <v>17286</v>
      </c>
      <c r="J7773" s="2">
        <v>2004231</v>
      </c>
      <c r="K7773">
        <v>20</v>
      </c>
      <c r="L7773">
        <v>20</v>
      </c>
      <c r="M7773">
        <v>20</v>
      </c>
    </row>
    <row r="7774" spans="1:13" x14ac:dyDescent="0.25">
      <c r="A7774" t="s">
        <v>17287</v>
      </c>
      <c r="B7774" t="s">
        <v>17288</v>
      </c>
      <c r="C7774" t="s">
        <v>496</v>
      </c>
      <c r="D7774" t="s">
        <v>2360</v>
      </c>
      <c r="F7774">
        <v>1</v>
      </c>
      <c r="G7774" t="s">
        <v>16</v>
      </c>
      <c r="H7774">
        <v>0</v>
      </c>
      <c r="I7774" s="2" t="s">
        <v>288</v>
      </c>
      <c r="J7774" s="2">
        <v>320276155</v>
      </c>
      <c r="K7774">
        <v>20</v>
      </c>
      <c r="L7774">
        <v>20</v>
      </c>
      <c r="M7774">
        <v>20</v>
      </c>
    </row>
    <row r="7775" spans="1:13" x14ac:dyDescent="0.25">
      <c r="A7775" t="s">
        <v>17289</v>
      </c>
      <c r="B7775" t="s">
        <v>17290</v>
      </c>
      <c r="C7775" t="s">
        <v>496</v>
      </c>
      <c r="D7775" t="s">
        <v>2360</v>
      </c>
      <c r="F7775">
        <v>1</v>
      </c>
      <c r="G7775" t="s">
        <v>16</v>
      </c>
      <c r="H7775">
        <v>0</v>
      </c>
      <c r="I7775" s="2" t="s">
        <v>17286</v>
      </c>
      <c r="J7775" s="2">
        <v>2004232</v>
      </c>
      <c r="K7775">
        <v>20</v>
      </c>
      <c r="L7775">
        <v>20</v>
      </c>
      <c r="M7775">
        <v>20</v>
      </c>
    </row>
    <row r="7776" spans="1:13" x14ac:dyDescent="0.25">
      <c r="A7776" t="s">
        <v>17291</v>
      </c>
      <c r="B7776" t="s">
        <v>17292</v>
      </c>
      <c r="C7776" t="s">
        <v>241</v>
      </c>
      <c r="D7776" t="s">
        <v>242</v>
      </c>
      <c r="F7776">
        <v>1</v>
      </c>
      <c r="G7776" t="s">
        <v>16</v>
      </c>
      <c r="H7776">
        <v>0</v>
      </c>
      <c r="I7776" s="2" t="s">
        <v>243</v>
      </c>
      <c r="J7776" s="2">
        <v>25131</v>
      </c>
      <c r="K7776">
        <v>20</v>
      </c>
      <c r="L7776">
        <v>20</v>
      </c>
      <c r="M7776">
        <v>20</v>
      </c>
    </row>
    <row r="7777" spans="1:13" x14ac:dyDescent="0.25">
      <c r="A7777" t="s">
        <v>17293</v>
      </c>
      <c r="B7777" t="s">
        <v>17294</v>
      </c>
      <c r="C7777" t="s">
        <v>496</v>
      </c>
      <c r="G7777" t="s">
        <v>16</v>
      </c>
      <c r="H7777">
        <v>0</v>
      </c>
      <c r="I7777" s="2" t="s">
        <v>2533</v>
      </c>
      <c r="J7777" s="2" t="s">
        <v>17295</v>
      </c>
      <c r="K7777">
        <v>20</v>
      </c>
      <c r="L7777">
        <v>20</v>
      </c>
      <c r="M7777">
        <v>20</v>
      </c>
    </row>
    <row r="7778" spans="1:13" x14ac:dyDescent="0.25">
      <c r="A7778" t="s">
        <v>17296</v>
      </c>
      <c r="B7778" t="s">
        <v>17297</v>
      </c>
      <c r="C7778" t="s">
        <v>496</v>
      </c>
      <c r="G7778" t="s">
        <v>16</v>
      </c>
      <c r="H7778">
        <v>0</v>
      </c>
      <c r="I7778" s="2" t="s">
        <v>8864</v>
      </c>
      <c r="J7778" s="2" t="str">
        <f>"05-01412"</f>
        <v>05-01412</v>
      </c>
      <c r="K7778">
        <v>20</v>
      </c>
      <c r="L7778">
        <v>20</v>
      </c>
      <c r="M7778">
        <v>20</v>
      </c>
    </row>
    <row r="7779" spans="1:13" x14ac:dyDescent="0.25">
      <c r="A7779" t="s">
        <v>17298</v>
      </c>
      <c r="B7779" t="s">
        <v>17299</v>
      </c>
      <c r="C7779" t="s">
        <v>496</v>
      </c>
      <c r="D7779" t="s">
        <v>2360</v>
      </c>
      <c r="G7779" t="s">
        <v>16</v>
      </c>
      <c r="H7779">
        <v>0</v>
      </c>
      <c r="I7779" s="2" t="s">
        <v>64</v>
      </c>
      <c r="J7779" s="2">
        <v>13040286</v>
      </c>
      <c r="K7779">
        <v>20</v>
      </c>
      <c r="L7779">
        <v>20</v>
      </c>
      <c r="M7779">
        <v>20</v>
      </c>
    </row>
    <row r="7780" spans="1:13" x14ac:dyDescent="0.25">
      <c r="A7780" t="s">
        <v>17300</v>
      </c>
      <c r="B7780" t="s">
        <v>17301</v>
      </c>
      <c r="C7780" t="s">
        <v>496</v>
      </c>
      <c r="D7780" t="s">
        <v>2360</v>
      </c>
      <c r="F7780">
        <v>4</v>
      </c>
      <c r="G7780" t="s">
        <v>16</v>
      </c>
      <c r="H7780">
        <v>0</v>
      </c>
      <c r="I7780" s="2" t="s">
        <v>108</v>
      </c>
      <c r="J7780" s="3">
        <v>3891215004</v>
      </c>
      <c r="K7780">
        <v>20</v>
      </c>
      <c r="L7780">
        <v>20</v>
      </c>
      <c r="M7780">
        <v>20</v>
      </c>
    </row>
    <row r="7781" spans="1:13" x14ac:dyDescent="0.25">
      <c r="A7781" t="s">
        <v>17302</v>
      </c>
      <c r="B7781" t="s">
        <v>17303</v>
      </c>
      <c r="C7781" t="s">
        <v>496</v>
      </c>
      <c r="D7781" t="s">
        <v>2360</v>
      </c>
      <c r="G7781" t="s">
        <v>16</v>
      </c>
      <c r="H7781">
        <v>0</v>
      </c>
      <c r="I7781" s="2" t="s">
        <v>288</v>
      </c>
      <c r="J7781" s="2" t="s">
        <v>17304</v>
      </c>
      <c r="K7781">
        <v>20</v>
      </c>
      <c r="L7781">
        <v>20</v>
      </c>
      <c r="M7781">
        <v>20</v>
      </c>
    </row>
    <row r="7782" spans="1:13" x14ac:dyDescent="0.25">
      <c r="A7782" t="s">
        <v>17305</v>
      </c>
      <c r="B7782" t="s">
        <v>17306</v>
      </c>
      <c r="C7782" t="s">
        <v>496</v>
      </c>
      <c r="D7782" t="s">
        <v>2360</v>
      </c>
      <c r="G7782" t="s">
        <v>16</v>
      </c>
      <c r="H7782">
        <v>0</v>
      </c>
      <c r="I7782" s="2" t="s">
        <v>288</v>
      </c>
      <c r="J7782" s="2" t="s">
        <v>17307</v>
      </c>
      <c r="K7782">
        <v>20</v>
      </c>
      <c r="L7782">
        <v>20</v>
      </c>
      <c r="M7782">
        <v>20</v>
      </c>
    </row>
    <row r="7783" spans="1:13" x14ac:dyDescent="0.25">
      <c r="A7783" t="s">
        <v>17308</v>
      </c>
      <c r="B7783" t="s">
        <v>17309</v>
      </c>
      <c r="C7783" t="s">
        <v>1436</v>
      </c>
      <c r="D7783" t="s">
        <v>1437</v>
      </c>
      <c r="F7783">
        <v>1</v>
      </c>
      <c r="G7783" t="s">
        <v>16</v>
      </c>
      <c r="H7783">
        <v>0</v>
      </c>
      <c r="I7783" s="2" t="s">
        <v>6196</v>
      </c>
      <c r="J7783" s="2" t="s">
        <v>17310</v>
      </c>
      <c r="K7783">
        <v>20</v>
      </c>
      <c r="L7783">
        <v>20</v>
      </c>
      <c r="M7783">
        <v>20</v>
      </c>
    </row>
    <row r="7784" spans="1:13" x14ac:dyDescent="0.25">
      <c r="A7784" t="s">
        <v>17311</v>
      </c>
      <c r="B7784" t="s">
        <v>17312</v>
      </c>
      <c r="C7784" t="s">
        <v>357</v>
      </c>
      <c r="D7784" t="s">
        <v>241</v>
      </c>
      <c r="G7784" t="s">
        <v>16</v>
      </c>
      <c r="H7784">
        <v>0</v>
      </c>
      <c r="I7784" s="2" t="s">
        <v>243</v>
      </c>
      <c r="J7784" s="2">
        <v>25127</v>
      </c>
      <c r="K7784">
        <v>20</v>
      </c>
      <c r="L7784">
        <v>20</v>
      </c>
      <c r="M7784">
        <v>20</v>
      </c>
    </row>
    <row r="7785" spans="1:13" x14ac:dyDescent="0.25">
      <c r="A7785" t="s">
        <v>17313</v>
      </c>
      <c r="B7785" t="s">
        <v>17312</v>
      </c>
      <c r="C7785" t="s">
        <v>241</v>
      </c>
      <c r="D7785" t="s">
        <v>2216</v>
      </c>
      <c r="G7785" t="s">
        <v>16</v>
      </c>
      <c r="H7785">
        <v>0</v>
      </c>
      <c r="I7785" s="2" t="s">
        <v>245</v>
      </c>
      <c r="J7785" s="2" t="s">
        <v>17314</v>
      </c>
      <c r="K7785">
        <v>20</v>
      </c>
      <c r="L7785">
        <v>20</v>
      </c>
      <c r="M7785">
        <v>20</v>
      </c>
    </row>
    <row r="7786" spans="1:13" x14ac:dyDescent="0.25">
      <c r="A7786" t="s">
        <v>17315</v>
      </c>
      <c r="B7786" t="s">
        <v>17312</v>
      </c>
      <c r="C7786" t="s">
        <v>357</v>
      </c>
      <c r="D7786" t="s">
        <v>241</v>
      </c>
      <c r="F7786">
        <v>2</v>
      </c>
      <c r="G7786" t="s">
        <v>16</v>
      </c>
      <c r="H7786">
        <v>0</v>
      </c>
      <c r="I7786" s="2" t="s">
        <v>737</v>
      </c>
      <c r="J7786" s="2" t="s">
        <v>17316</v>
      </c>
      <c r="K7786">
        <v>20</v>
      </c>
      <c r="L7786">
        <v>20</v>
      </c>
      <c r="M7786">
        <v>20</v>
      </c>
    </row>
    <row r="7787" spans="1:13" x14ac:dyDescent="0.25">
      <c r="A7787" t="s">
        <v>17317</v>
      </c>
      <c r="B7787" t="s">
        <v>17318</v>
      </c>
      <c r="C7787" t="s">
        <v>496</v>
      </c>
      <c r="G7787" t="s">
        <v>16</v>
      </c>
      <c r="H7787">
        <v>0</v>
      </c>
      <c r="I7787" s="2" t="s">
        <v>2533</v>
      </c>
      <c r="J7787" s="2" t="s">
        <v>17319</v>
      </c>
      <c r="K7787">
        <v>20</v>
      </c>
      <c r="L7787">
        <v>20</v>
      </c>
      <c r="M7787">
        <v>20</v>
      </c>
    </row>
    <row r="7788" spans="1:13" x14ac:dyDescent="0.25">
      <c r="A7788" t="s">
        <v>17320</v>
      </c>
      <c r="B7788" t="s">
        <v>17321</v>
      </c>
      <c r="C7788" t="s">
        <v>496</v>
      </c>
      <c r="G7788" t="s">
        <v>16</v>
      </c>
      <c r="H7788">
        <v>0</v>
      </c>
      <c r="I7788" s="2" t="s">
        <v>108</v>
      </c>
      <c r="J7788" s="3">
        <v>3891204008</v>
      </c>
      <c r="K7788">
        <v>20</v>
      </c>
      <c r="L7788">
        <v>20</v>
      </c>
      <c r="M7788">
        <v>20</v>
      </c>
    </row>
    <row r="7789" spans="1:13" x14ac:dyDescent="0.25">
      <c r="A7789" t="s">
        <v>17322</v>
      </c>
      <c r="B7789" t="s">
        <v>17323</v>
      </c>
      <c r="C7789" t="s">
        <v>496</v>
      </c>
      <c r="G7789" t="s">
        <v>16</v>
      </c>
      <c r="H7789">
        <v>0</v>
      </c>
      <c r="I7789" s="2" t="s">
        <v>5040</v>
      </c>
      <c r="J7789" s="2" t="str">
        <f>"05-11410"</f>
        <v>05-11410</v>
      </c>
      <c r="K7789">
        <v>20</v>
      </c>
      <c r="L7789">
        <v>20</v>
      </c>
      <c r="M7789">
        <v>20</v>
      </c>
    </row>
    <row r="7790" spans="1:13" x14ac:dyDescent="0.25">
      <c r="A7790" t="s">
        <v>17324</v>
      </c>
      <c r="B7790" t="s">
        <v>17325</v>
      </c>
      <c r="C7790" t="s">
        <v>151</v>
      </c>
      <c r="D7790" t="s">
        <v>1092</v>
      </c>
      <c r="F7790">
        <v>1</v>
      </c>
      <c r="G7790" t="s">
        <v>16</v>
      </c>
      <c r="H7790">
        <v>0</v>
      </c>
      <c r="I7790" s="2" t="s">
        <v>500</v>
      </c>
      <c r="J7790" s="2" t="s">
        <v>17326</v>
      </c>
      <c r="K7790">
        <v>20</v>
      </c>
      <c r="L7790">
        <v>20</v>
      </c>
      <c r="M7790">
        <v>20</v>
      </c>
    </row>
    <row r="7791" spans="1:13" x14ac:dyDescent="0.25">
      <c r="A7791" t="s">
        <v>17327</v>
      </c>
      <c r="B7791" t="s">
        <v>17328</v>
      </c>
      <c r="C7791" t="s">
        <v>1426</v>
      </c>
      <c r="F7791">
        <v>2</v>
      </c>
      <c r="G7791" t="s">
        <v>16</v>
      </c>
      <c r="H7791">
        <v>0</v>
      </c>
      <c r="I7791" s="2" t="s">
        <v>1444</v>
      </c>
      <c r="J7791" s="2">
        <v>95994975</v>
      </c>
      <c r="K7791">
        <v>20</v>
      </c>
      <c r="L7791">
        <v>20</v>
      </c>
      <c r="M7791">
        <v>20</v>
      </c>
    </row>
    <row r="7792" spans="1:13" x14ac:dyDescent="0.25">
      <c r="A7792" t="s">
        <v>17329</v>
      </c>
      <c r="B7792" t="s">
        <v>17330</v>
      </c>
      <c r="C7792" t="s">
        <v>357</v>
      </c>
      <c r="D7792" t="s">
        <v>241</v>
      </c>
      <c r="F7792">
        <v>1</v>
      </c>
      <c r="G7792" t="s">
        <v>16</v>
      </c>
      <c r="H7792">
        <v>0</v>
      </c>
      <c r="I7792" s="2" t="s">
        <v>108</v>
      </c>
      <c r="J7792" s="3">
        <v>2541416004</v>
      </c>
      <c r="K7792">
        <v>20</v>
      </c>
      <c r="L7792">
        <v>20</v>
      </c>
      <c r="M7792">
        <v>20</v>
      </c>
    </row>
    <row r="7793" spans="1:13" x14ac:dyDescent="0.25">
      <c r="A7793" t="s">
        <v>17331</v>
      </c>
      <c r="B7793" t="s">
        <v>17332</v>
      </c>
      <c r="C7793" t="s">
        <v>496</v>
      </c>
      <c r="G7793" t="s">
        <v>16</v>
      </c>
      <c r="H7793">
        <v>0</v>
      </c>
      <c r="I7793" s="2" t="s">
        <v>17333</v>
      </c>
      <c r="J7793" s="2" t="s">
        <v>17334</v>
      </c>
      <c r="K7793">
        <v>20</v>
      </c>
      <c r="L7793">
        <v>20</v>
      </c>
      <c r="M7793">
        <v>20</v>
      </c>
    </row>
    <row r="7794" spans="1:13" x14ac:dyDescent="0.25">
      <c r="A7794" t="s">
        <v>17335</v>
      </c>
      <c r="B7794" t="s">
        <v>17336</v>
      </c>
      <c r="C7794" t="s">
        <v>20</v>
      </c>
      <c r="D7794" t="s">
        <v>133</v>
      </c>
      <c r="F7794">
        <v>1</v>
      </c>
      <c r="G7794" t="s">
        <v>16</v>
      </c>
      <c r="H7794">
        <v>0</v>
      </c>
      <c r="I7794" s="2" t="s">
        <v>14238</v>
      </c>
      <c r="J7794" s="2" t="s">
        <v>17337</v>
      </c>
      <c r="K7794">
        <v>20</v>
      </c>
      <c r="L7794">
        <v>20</v>
      </c>
      <c r="M7794">
        <v>20</v>
      </c>
    </row>
    <row r="7795" spans="1:13" x14ac:dyDescent="0.25">
      <c r="A7795" t="s">
        <v>17338</v>
      </c>
      <c r="B7795" t="s">
        <v>17339</v>
      </c>
      <c r="C7795" t="s">
        <v>496</v>
      </c>
      <c r="D7795" t="s">
        <v>2360</v>
      </c>
      <c r="F7795">
        <v>4</v>
      </c>
      <c r="G7795" t="s">
        <v>16</v>
      </c>
      <c r="H7795">
        <v>0</v>
      </c>
      <c r="I7795" s="2" t="s">
        <v>5249</v>
      </c>
      <c r="J7795" s="2">
        <v>2008017</v>
      </c>
      <c r="K7795">
        <v>20</v>
      </c>
      <c r="L7795">
        <v>20</v>
      </c>
      <c r="M7795">
        <v>20</v>
      </c>
    </row>
    <row r="7796" spans="1:13" x14ac:dyDescent="0.25">
      <c r="A7796" t="s">
        <v>17340</v>
      </c>
      <c r="B7796" t="s">
        <v>17341</v>
      </c>
      <c r="C7796" t="s">
        <v>496</v>
      </c>
      <c r="D7796" t="s">
        <v>2360</v>
      </c>
      <c r="F7796">
        <v>2</v>
      </c>
      <c r="G7796" t="s">
        <v>16</v>
      </c>
      <c r="H7796">
        <v>0</v>
      </c>
      <c r="I7796" s="2" t="s">
        <v>1175</v>
      </c>
      <c r="J7796" s="2" t="s">
        <v>17342</v>
      </c>
      <c r="K7796">
        <v>20</v>
      </c>
      <c r="L7796">
        <v>20</v>
      </c>
      <c r="M7796">
        <v>20</v>
      </c>
    </row>
    <row r="7797" spans="1:13" x14ac:dyDescent="0.25">
      <c r="A7797">
        <v>96143112</v>
      </c>
      <c r="B7797" t="s">
        <v>17343</v>
      </c>
      <c r="C7797" t="s">
        <v>357</v>
      </c>
      <c r="D7797" t="s">
        <v>358</v>
      </c>
      <c r="F7797">
        <v>2</v>
      </c>
      <c r="G7797" t="s">
        <v>16</v>
      </c>
      <c r="H7797">
        <v>0</v>
      </c>
      <c r="I7797" s="2" t="s">
        <v>497</v>
      </c>
      <c r="J7797" s="2">
        <v>96143112</v>
      </c>
      <c r="K7797">
        <v>20</v>
      </c>
      <c r="L7797">
        <v>20</v>
      </c>
      <c r="M7797">
        <v>20</v>
      </c>
    </row>
    <row r="7798" spans="1:13" x14ac:dyDescent="0.25">
      <c r="A7798" t="s">
        <v>17344</v>
      </c>
      <c r="B7798" t="s">
        <v>17345</v>
      </c>
      <c r="C7798" t="s">
        <v>357</v>
      </c>
      <c r="D7798" t="s">
        <v>241</v>
      </c>
      <c r="F7798">
        <v>5</v>
      </c>
      <c r="G7798" t="s">
        <v>16</v>
      </c>
      <c r="H7798">
        <v>0</v>
      </c>
      <c r="I7798" s="2" t="s">
        <v>243</v>
      </c>
      <c r="J7798" s="2">
        <v>19108</v>
      </c>
      <c r="K7798">
        <v>20</v>
      </c>
      <c r="L7798">
        <v>20</v>
      </c>
      <c r="M7798">
        <v>20</v>
      </c>
    </row>
    <row r="7799" spans="1:13" x14ac:dyDescent="0.25">
      <c r="A7799" t="s">
        <v>17346</v>
      </c>
      <c r="B7799" t="s">
        <v>17347</v>
      </c>
      <c r="C7799" t="s">
        <v>357</v>
      </c>
      <c r="D7799" t="s">
        <v>241</v>
      </c>
      <c r="G7799" t="s">
        <v>16</v>
      </c>
      <c r="H7799">
        <v>0</v>
      </c>
      <c r="I7799" s="2" t="s">
        <v>2233</v>
      </c>
      <c r="J7799" s="2">
        <v>19002</v>
      </c>
      <c r="K7799">
        <v>20</v>
      </c>
      <c r="L7799">
        <v>20</v>
      </c>
      <c r="M7799">
        <v>20</v>
      </c>
    </row>
    <row r="7800" spans="1:13" x14ac:dyDescent="0.25">
      <c r="A7800" t="s">
        <v>17348</v>
      </c>
      <c r="B7800" t="s">
        <v>17349</v>
      </c>
      <c r="C7800" t="s">
        <v>357</v>
      </c>
      <c r="D7800" t="s">
        <v>1836</v>
      </c>
      <c r="F7800">
        <v>1</v>
      </c>
      <c r="G7800" t="s">
        <v>16</v>
      </c>
      <c r="H7800">
        <v>0</v>
      </c>
      <c r="I7800" s="2" t="s">
        <v>1671</v>
      </c>
      <c r="J7800" s="2">
        <v>342250</v>
      </c>
      <c r="K7800">
        <v>20</v>
      </c>
      <c r="L7800">
        <v>20</v>
      </c>
      <c r="M7800">
        <v>20</v>
      </c>
    </row>
    <row r="7801" spans="1:13" x14ac:dyDescent="0.25">
      <c r="A7801" t="s">
        <v>17350</v>
      </c>
      <c r="B7801" t="s">
        <v>17349</v>
      </c>
      <c r="C7801" t="s">
        <v>357</v>
      </c>
      <c r="D7801" t="s">
        <v>1836</v>
      </c>
      <c r="F7801">
        <v>1</v>
      </c>
      <c r="G7801" t="s">
        <v>16</v>
      </c>
      <c r="H7801">
        <v>0</v>
      </c>
      <c r="I7801" s="2" t="s">
        <v>1861</v>
      </c>
      <c r="J7801" s="2" t="s">
        <v>17351</v>
      </c>
      <c r="K7801">
        <v>20</v>
      </c>
      <c r="L7801">
        <v>20</v>
      </c>
      <c r="M7801">
        <v>20</v>
      </c>
    </row>
    <row r="7802" spans="1:13" x14ac:dyDescent="0.25">
      <c r="A7802" t="s">
        <v>17352</v>
      </c>
      <c r="B7802" t="s">
        <v>17353</v>
      </c>
      <c r="C7802" t="s">
        <v>357</v>
      </c>
      <c r="D7802" t="s">
        <v>2026</v>
      </c>
      <c r="F7802">
        <v>1</v>
      </c>
      <c r="G7802" t="s">
        <v>16</v>
      </c>
      <c r="H7802">
        <v>0</v>
      </c>
      <c r="I7802" s="2" t="s">
        <v>1137</v>
      </c>
      <c r="J7802" s="2">
        <v>96182279</v>
      </c>
      <c r="K7802">
        <v>20</v>
      </c>
      <c r="L7802">
        <v>20</v>
      </c>
      <c r="M7802">
        <v>20</v>
      </c>
    </row>
    <row r="7803" spans="1:13" x14ac:dyDescent="0.25">
      <c r="A7803" t="s">
        <v>17354</v>
      </c>
      <c r="B7803" t="s">
        <v>17355</v>
      </c>
      <c r="C7803" t="s">
        <v>151</v>
      </c>
      <c r="D7803" t="s">
        <v>152</v>
      </c>
      <c r="F7803">
        <v>3</v>
      </c>
      <c r="G7803" t="s">
        <v>16</v>
      </c>
      <c r="H7803">
        <v>0</v>
      </c>
      <c r="I7803" s="2" t="s">
        <v>953</v>
      </c>
      <c r="J7803" s="2">
        <v>33330</v>
      </c>
      <c r="K7803">
        <v>20</v>
      </c>
      <c r="L7803">
        <v>20</v>
      </c>
      <c r="M7803">
        <v>20</v>
      </c>
    </row>
    <row r="7804" spans="1:13" x14ac:dyDescent="0.25">
      <c r="A7804" t="s">
        <v>17356</v>
      </c>
      <c r="B7804" t="s">
        <v>17357</v>
      </c>
      <c r="C7804" t="s">
        <v>1432</v>
      </c>
      <c r="F7804">
        <v>0</v>
      </c>
      <c r="G7804" t="s">
        <v>16</v>
      </c>
      <c r="H7804">
        <v>0</v>
      </c>
      <c r="I7804" s="2" t="s">
        <v>392</v>
      </c>
      <c r="J7804" s="2">
        <v>1682299880</v>
      </c>
      <c r="K7804">
        <v>20</v>
      </c>
      <c r="L7804">
        <v>20</v>
      </c>
      <c r="M7804">
        <v>20</v>
      </c>
    </row>
    <row r="7805" spans="1:13" x14ac:dyDescent="0.25">
      <c r="A7805" t="s">
        <v>17358</v>
      </c>
      <c r="B7805" t="s">
        <v>17359</v>
      </c>
      <c r="C7805" t="s">
        <v>20</v>
      </c>
      <c r="D7805" t="s">
        <v>133</v>
      </c>
      <c r="G7805" t="s">
        <v>16</v>
      </c>
      <c r="H7805">
        <v>0</v>
      </c>
      <c r="I7805" s="2" t="s">
        <v>443</v>
      </c>
      <c r="J7805" s="2" t="s">
        <v>17360</v>
      </c>
      <c r="K7805">
        <v>20</v>
      </c>
      <c r="L7805">
        <v>20</v>
      </c>
      <c r="M7805">
        <v>20</v>
      </c>
    </row>
    <row r="7806" spans="1:13" x14ac:dyDescent="0.25">
      <c r="A7806" t="s">
        <v>17361</v>
      </c>
      <c r="B7806" t="s">
        <v>17362</v>
      </c>
      <c r="C7806" t="s">
        <v>1432</v>
      </c>
      <c r="D7806" t="s">
        <v>6673</v>
      </c>
      <c r="G7806" t="s">
        <v>16</v>
      </c>
      <c r="H7806">
        <v>0</v>
      </c>
      <c r="I7806" s="2" t="s">
        <v>13200</v>
      </c>
      <c r="J7806" s="2" t="s">
        <v>17363</v>
      </c>
      <c r="K7806">
        <v>20</v>
      </c>
      <c r="L7806">
        <v>20</v>
      </c>
      <c r="M7806">
        <v>20</v>
      </c>
    </row>
    <row r="7807" spans="1:13" x14ac:dyDescent="0.25">
      <c r="A7807" t="s">
        <v>17364</v>
      </c>
      <c r="B7807" t="s">
        <v>17365</v>
      </c>
      <c r="C7807" t="s">
        <v>151</v>
      </c>
      <c r="G7807" t="s">
        <v>16</v>
      </c>
      <c r="H7807">
        <v>0</v>
      </c>
      <c r="I7807" s="2" t="s">
        <v>500</v>
      </c>
      <c r="J7807" s="2" t="s">
        <v>17366</v>
      </c>
      <c r="K7807">
        <v>20</v>
      </c>
      <c r="L7807">
        <v>20</v>
      </c>
      <c r="M7807">
        <v>20</v>
      </c>
    </row>
    <row r="7808" spans="1:13" x14ac:dyDescent="0.25">
      <c r="A7808" t="s">
        <v>17367</v>
      </c>
      <c r="B7808" t="s">
        <v>17368</v>
      </c>
      <c r="C7808" t="s">
        <v>496</v>
      </c>
      <c r="F7808">
        <v>1</v>
      </c>
      <c r="G7808" t="s">
        <v>16</v>
      </c>
      <c r="H7808">
        <v>0</v>
      </c>
      <c r="I7808" s="2" t="s">
        <v>5249</v>
      </c>
      <c r="J7808" s="2">
        <v>3209003</v>
      </c>
      <c r="K7808">
        <v>20</v>
      </c>
      <c r="L7808">
        <v>20</v>
      </c>
      <c r="M7808">
        <v>20</v>
      </c>
    </row>
    <row r="7809" spans="1:13" x14ac:dyDescent="0.25">
      <c r="A7809" t="s">
        <v>17369</v>
      </c>
      <c r="B7809" t="s">
        <v>17370</v>
      </c>
      <c r="C7809" t="s">
        <v>496</v>
      </c>
      <c r="F7809">
        <v>1</v>
      </c>
      <c r="G7809" t="s">
        <v>16</v>
      </c>
      <c r="H7809">
        <v>0</v>
      </c>
      <c r="I7809" s="2" t="s">
        <v>5249</v>
      </c>
      <c r="J7809" s="2">
        <v>3209004</v>
      </c>
      <c r="K7809">
        <v>20</v>
      </c>
      <c r="L7809">
        <v>20</v>
      </c>
      <c r="M7809">
        <v>20</v>
      </c>
    </row>
    <row r="7810" spans="1:13" x14ac:dyDescent="0.25">
      <c r="A7810" t="s">
        <v>17371</v>
      </c>
      <c r="B7810" t="s">
        <v>17372</v>
      </c>
      <c r="C7810" t="s">
        <v>151</v>
      </c>
      <c r="D7810" t="s">
        <v>16798</v>
      </c>
      <c r="G7810" t="s">
        <v>16</v>
      </c>
      <c r="H7810">
        <v>0</v>
      </c>
      <c r="I7810" s="2" t="s">
        <v>1588</v>
      </c>
      <c r="J7810" s="2" t="s">
        <v>17373</v>
      </c>
      <c r="K7810">
        <v>20</v>
      </c>
      <c r="L7810">
        <v>20</v>
      </c>
      <c r="M7810">
        <v>20</v>
      </c>
    </row>
    <row r="7811" spans="1:13" x14ac:dyDescent="0.25">
      <c r="A7811" t="s">
        <v>17374</v>
      </c>
      <c r="B7811" t="s">
        <v>17375</v>
      </c>
      <c r="C7811" t="s">
        <v>20</v>
      </c>
      <c r="D7811" t="s">
        <v>899</v>
      </c>
      <c r="G7811" t="s">
        <v>16</v>
      </c>
      <c r="H7811">
        <v>0</v>
      </c>
      <c r="I7811" s="2" t="s">
        <v>3689</v>
      </c>
      <c r="J7811" s="2" t="s">
        <v>17376</v>
      </c>
      <c r="K7811">
        <v>20</v>
      </c>
      <c r="L7811">
        <v>20</v>
      </c>
      <c r="M7811">
        <v>20</v>
      </c>
    </row>
    <row r="7812" spans="1:13" x14ac:dyDescent="0.25">
      <c r="A7812" t="s">
        <v>17377</v>
      </c>
      <c r="B7812" t="s">
        <v>17378</v>
      </c>
      <c r="C7812" t="s">
        <v>20</v>
      </c>
      <c r="D7812" t="s">
        <v>899</v>
      </c>
      <c r="G7812" t="s">
        <v>16</v>
      </c>
      <c r="H7812">
        <v>0</v>
      </c>
      <c r="I7812" s="2" t="s">
        <v>4250</v>
      </c>
      <c r="J7812" s="2" t="s">
        <v>17379</v>
      </c>
      <c r="K7812">
        <v>20</v>
      </c>
      <c r="L7812">
        <v>20</v>
      </c>
      <c r="M7812">
        <v>20</v>
      </c>
    </row>
    <row r="7813" spans="1:13" x14ac:dyDescent="0.25">
      <c r="A7813" t="s">
        <v>17380</v>
      </c>
      <c r="B7813" t="s">
        <v>17375</v>
      </c>
      <c r="C7813" t="s">
        <v>20</v>
      </c>
      <c r="D7813" t="s">
        <v>899</v>
      </c>
      <c r="F7813">
        <v>4</v>
      </c>
      <c r="G7813" t="s">
        <v>16</v>
      </c>
      <c r="H7813">
        <v>0</v>
      </c>
      <c r="I7813" s="2" t="s">
        <v>3697</v>
      </c>
      <c r="J7813" s="2" t="s">
        <v>17381</v>
      </c>
      <c r="K7813">
        <v>20</v>
      </c>
      <c r="L7813">
        <v>20</v>
      </c>
      <c r="M7813">
        <v>20</v>
      </c>
    </row>
    <row r="7814" spans="1:13" x14ac:dyDescent="0.25">
      <c r="A7814" t="s">
        <v>17382</v>
      </c>
      <c r="B7814" t="s">
        <v>17383</v>
      </c>
      <c r="C7814" t="s">
        <v>362</v>
      </c>
      <c r="D7814" t="s">
        <v>4091</v>
      </c>
      <c r="G7814" t="s">
        <v>16</v>
      </c>
      <c r="H7814">
        <v>0</v>
      </c>
      <c r="I7814" s="2" t="s">
        <v>685</v>
      </c>
      <c r="J7814" s="2" t="str">
        <f>"0986424474"</f>
        <v>0986424474</v>
      </c>
      <c r="K7814">
        <v>20</v>
      </c>
      <c r="L7814">
        <v>20</v>
      </c>
      <c r="M7814">
        <v>20</v>
      </c>
    </row>
    <row r="7815" spans="1:13" x14ac:dyDescent="0.25">
      <c r="A7815" t="s">
        <v>17384</v>
      </c>
      <c r="B7815" t="s">
        <v>17385</v>
      </c>
      <c r="C7815" t="s">
        <v>362</v>
      </c>
      <c r="D7815" t="s">
        <v>4091</v>
      </c>
      <c r="F7815">
        <v>1</v>
      </c>
      <c r="G7815" t="s">
        <v>16</v>
      </c>
      <c r="H7815">
        <v>0</v>
      </c>
      <c r="I7815" s="2" t="s">
        <v>3945</v>
      </c>
      <c r="J7815" s="2" t="str">
        <f>"0252323417/W"</f>
        <v>0252323417/W</v>
      </c>
      <c r="K7815">
        <v>20</v>
      </c>
      <c r="L7815">
        <v>20</v>
      </c>
      <c r="M7815">
        <v>20</v>
      </c>
    </row>
    <row r="7816" spans="1:13" x14ac:dyDescent="0.25">
      <c r="A7816" t="s">
        <v>17386</v>
      </c>
      <c r="B7816" t="s">
        <v>17387</v>
      </c>
      <c r="C7816" t="s">
        <v>2493</v>
      </c>
      <c r="D7816" t="s">
        <v>5072</v>
      </c>
      <c r="F7816">
        <v>1</v>
      </c>
      <c r="G7816" t="s">
        <v>16</v>
      </c>
      <c r="H7816">
        <v>0</v>
      </c>
      <c r="I7816" s="2" t="s">
        <v>737</v>
      </c>
      <c r="J7816" s="2" t="s">
        <v>17388</v>
      </c>
      <c r="K7816">
        <v>20</v>
      </c>
      <c r="L7816">
        <v>20</v>
      </c>
      <c r="M7816">
        <v>20</v>
      </c>
    </row>
    <row r="7817" spans="1:13" x14ac:dyDescent="0.25">
      <c r="A7817" t="s">
        <v>17389</v>
      </c>
      <c r="B7817" t="s">
        <v>17390</v>
      </c>
      <c r="C7817" t="s">
        <v>151</v>
      </c>
      <c r="D7817" t="s">
        <v>1476</v>
      </c>
      <c r="F7817">
        <v>2</v>
      </c>
      <c r="G7817" t="s">
        <v>16</v>
      </c>
      <c r="H7817">
        <v>0</v>
      </c>
      <c r="I7817" s="2" t="s">
        <v>707</v>
      </c>
      <c r="J7817" s="2" t="s">
        <v>17391</v>
      </c>
      <c r="K7817">
        <v>20</v>
      </c>
      <c r="L7817">
        <v>20</v>
      </c>
      <c r="M7817">
        <v>20</v>
      </c>
    </row>
    <row r="7818" spans="1:13" x14ac:dyDescent="0.25">
      <c r="A7818" t="s">
        <v>17392</v>
      </c>
      <c r="B7818" t="s">
        <v>17393</v>
      </c>
      <c r="C7818" t="s">
        <v>151</v>
      </c>
      <c r="D7818" t="s">
        <v>1476</v>
      </c>
      <c r="G7818" t="s">
        <v>16</v>
      </c>
      <c r="H7818">
        <v>0</v>
      </c>
      <c r="I7818" s="2" t="s">
        <v>953</v>
      </c>
      <c r="J7818" s="2">
        <v>79364</v>
      </c>
      <c r="K7818">
        <v>20</v>
      </c>
      <c r="L7818">
        <v>20</v>
      </c>
      <c r="M7818">
        <v>20</v>
      </c>
    </row>
    <row r="7819" spans="1:13" x14ac:dyDescent="0.25">
      <c r="A7819" t="s">
        <v>17394</v>
      </c>
      <c r="B7819" t="s">
        <v>17395</v>
      </c>
      <c r="C7819" t="s">
        <v>151</v>
      </c>
      <c r="D7819" t="s">
        <v>1524</v>
      </c>
      <c r="F7819">
        <v>1</v>
      </c>
      <c r="G7819" t="s">
        <v>16</v>
      </c>
      <c r="H7819">
        <v>0</v>
      </c>
      <c r="I7819" s="2" t="s">
        <v>906</v>
      </c>
      <c r="J7819" s="2" t="s">
        <v>17396</v>
      </c>
      <c r="K7819">
        <v>20</v>
      </c>
      <c r="L7819">
        <v>20</v>
      </c>
      <c r="M7819">
        <v>20</v>
      </c>
    </row>
    <row r="7820" spans="1:13" x14ac:dyDescent="0.25">
      <c r="A7820" t="s">
        <v>17397</v>
      </c>
      <c r="B7820" t="s">
        <v>17398</v>
      </c>
      <c r="C7820" t="s">
        <v>151</v>
      </c>
      <c r="D7820" t="s">
        <v>152</v>
      </c>
      <c r="G7820" t="s">
        <v>16</v>
      </c>
      <c r="H7820">
        <v>0</v>
      </c>
      <c r="I7820" s="2" t="s">
        <v>712</v>
      </c>
      <c r="J7820" s="2" t="s">
        <v>17399</v>
      </c>
      <c r="K7820">
        <v>20</v>
      </c>
      <c r="L7820">
        <v>20</v>
      </c>
      <c r="M7820">
        <v>20</v>
      </c>
    </row>
    <row r="7821" spans="1:13" x14ac:dyDescent="0.25">
      <c r="A7821" t="s">
        <v>17400</v>
      </c>
      <c r="B7821" t="s">
        <v>17401</v>
      </c>
      <c r="C7821" t="s">
        <v>926</v>
      </c>
      <c r="D7821" t="s">
        <v>927</v>
      </c>
      <c r="F7821">
        <v>2</v>
      </c>
      <c r="G7821" t="s">
        <v>16</v>
      </c>
      <c r="H7821">
        <v>0</v>
      </c>
      <c r="I7821" s="2" t="s">
        <v>950</v>
      </c>
      <c r="J7821" s="2">
        <v>20166</v>
      </c>
      <c r="K7821">
        <v>20</v>
      </c>
      <c r="L7821">
        <v>20</v>
      </c>
      <c r="M7821">
        <v>20</v>
      </c>
    </row>
    <row r="7822" spans="1:13" x14ac:dyDescent="0.25">
      <c r="A7822" t="s">
        <v>17402</v>
      </c>
      <c r="B7822" t="s">
        <v>17403</v>
      </c>
      <c r="C7822" t="s">
        <v>14</v>
      </c>
      <c r="D7822" t="s">
        <v>191</v>
      </c>
      <c r="F7822">
        <v>1</v>
      </c>
      <c r="G7822" t="s">
        <v>16</v>
      </c>
      <c r="H7822">
        <v>0</v>
      </c>
      <c r="I7822" s="2" t="s">
        <v>4708</v>
      </c>
      <c r="J7822" s="2" t="s">
        <v>17404</v>
      </c>
      <c r="K7822">
        <v>20</v>
      </c>
      <c r="L7822">
        <v>20</v>
      </c>
      <c r="M7822">
        <v>20</v>
      </c>
    </row>
    <row r="7823" spans="1:13" x14ac:dyDescent="0.25">
      <c r="A7823" t="s">
        <v>17405</v>
      </c>
      <c r="B7823" t="s">
        <v>17406</v>
      </c>
      <c r="C7823" t="s">
        <v>357</v>
      </c>
      <c r="D7823" t="s">
        <v>241</v>
      </c>
      <c r="G7823" t="s">
        <v>16</v>
      </c>
      <c r="H7823">
        <v>0</v>
      </c>
      <c r="I7823" s="2" t="s">
        <v>243</v>
      </c>
      <c r="J7823" s="2">
        <v>25146</v>
      </c>
      <c r="K7823">
        <v>20</v>
      </c>
      <c r="L7823">
        <v>20</v>
      </c>
      <c r="M7823">
        <v>20</v>
      </c>
    </row>
    <row r="7824" spans="1:13" x14ac:dyDescent="0.25">
      <c r="A7824" t="s">
        <v>17407</v>
      </c>
      <c r="B7824" t="s">
        <v>17406</v>
      </c>
      <c r="C7824" t="s">
        <v>357</v>
      </c>
      <c r="D7824" t="s">
        <v>241</v>
      </c>
      <c r="G7824" t="s">
        <v>16</v>
      </c>
      <c r="H7824">
        <v>0</v>
      </c>
      <c r="I7824" s="2" t="s">
        <v>245</v>
      </c>
      <c r="J7824" s="2" t="s">
        <v>17408</v>
      </c>
      <c r="K7824">
        <v>20</v>
      </c>
      <c r="L7824">
        <v>20</v>
      </c>
      <c r="M7824">
        <v>20</v>
      </c>
    </row>
    <row r="7825" spans="1:13" x14ac:dyDescent="0.25">
      <c r="A7825" t="s">
        <v>17409</v>
      </c>
      <c r="B7825" t="s">
        <v>17410</v>
      </c>
      <c r="C7825" t="s">
        <v>357</v>
      </c>
      <c r="D7825" t="s">
        <v>358</v>
      </c>
      <c r="G7825" t="s">
        <v>16</v>
      </c>
      <c r="H7825">
        <v>0</v>
      </c>
      <c r="I7825" s="2" t="s">
        <v>491</v>
      </c>
      <c r="J7825" s="2" t="s">
        <v>17411</v>
      </c>
      <c r="K7825">
        <v>20</v>
      </c>
      <c r="L7825">
        <v>20</v>
      </c>
      <c r="M7825">
        <v>20</v>
      </c>
    </row>
    <row r="7826" spans="1:13" x14ac:dyDescent="0.25">
      <c r="A7826" t="s">
        <v>17412</v>
      </c>
      <c r="B7826" t="s">
        <v>17413</v>
      </c>
      <c r="C7826" t="s">
        <v>357</v>
      </c>
      <c r="D7826" t="s">
        <v>358</v>
      </c>
      <c r="G7826" t="s">
        <v>16</v>
      </c>
      <c r="H7826">
        <v>0</v>
      </c>
      <c r="I7826" s="2" t="s">
        <v>715</v>
      </c>
      <c r="J7826" s="2" t="s">
        <v>17414</v>
      </c>
      <c r="K7826">
        <v>20</v>
      </c>
      <c r="L7826">
        <v>20</v>
      </c>
      <c r="M7826">
        <v>20</v>
      </c>
    </row>
    <row r="7827" spans="1:13" x14ac:dyDescent="0.25">
      <c r="A7827" t="s">
        <v>17415</v>
      </c>
      <c r="B7827" t="s">
        <v>17416</v>
      </c>
      <c r="C7827" t="s">
        <v>1432</v>
      </c>
      <c r="D7827" t="s">
        <v>5993</v>
      </c>
      <c r="F7827">
        <v>1</v>
      </c>
      <c r="G7827" t="s">
        <v>16</v>
      </c>
      <c r="H7827">
        <v>0</v>
      </c>
      <c r="I7827" s="2" t="s">
        <v>759</v>
      </c>
      <c r="J7827" s="2" t="s">
        <v>17417</v>
      </c>
      <c r="K7827">
        <v>20</v>
      </c>
      <c r="L7827">
        <v>20</v>
      </c>
      <c r="M7827">
        <v>20</v>
      </c>
    </row>
    <row r="7828" spans="1:13" x14ac:dyDescent="0.25">
      <c r="A7828" t="s">
        <v>17418</v>
      </c>
      <c r="B7828" t="s">
        <v>17419</v>
      </c>
      <c r="C7828" t="s">
        <v>1432</v>
      </c>
      <c r="D7828" t="s">
        <v>5993</v>
      </c>
      <c r="F7828">
        <v>1</v>
      </c>
      <c r="G7828" t="s">
        <v>16</v>
      </c>
      <c r="H7828">
        <v>0</v>
      </c>
      <c r="I7828" s="2" t="s">
        <v>685</v>
      </c>
      <c r="J7828" s="2" t="str">
        <f>"0986486614"</f>
        <v>0986486614</v>
      </c>
      <c r="K7828">
        <v>20</v>
      </c>
      <c r="L7828">
        <v>20</v>
      </c>
      <c r="M7828">
        <v>20</v>
      </c>
    </row>
    <row r="7829" spans="1:13" x14ac:dyDescent="0.25">
      <c r="A7829" t="s">
        <v>17420</v>
      </c>
      <c r="B7829" t="s">
        <v>17416</v>
      </c>
      <c r="C7829" t="s">
        <v>1432</v>
      </c>
      <c r="D7829" t="s">
        <v>5993</v>
      </c>
      <c r="G7829" t="s">
        <v>16</v>
      </c>
      <c r="H7829">
        <v>0</v>
      </c>
      <c r="I7829" s="2" t="s">
        <v>5688</v>
      </c>
      <c r="J7829" s="2">
        <v>3182654280</v>
      </c>
      <c r="K7829">
        <v>20</v>
      </c>
      <c r="L7829">
        <v>20</v>
      </c>
      <c r="M7829">
        <v>20</v>
      </c>
    </row>
    <row r="7830" spans="1:13" x14ac:dyDescent="0.25">
      <c r="A7830" t="s">
        <v>17421</v>
      </c>
      <c r="B7830" t="s">
        <v>17422</v>
      </c>
      <c r="C7830" t="s">
        <v>926</v>
      </c>
      <c r="D7830" t="s">
        <v>6216</v>
      </c>
      <c r="F7830">
        <v>1</v>
      </c>
      <c r="G7830" t="s">
        <v>16</v>
      </c>
      <c r="H7830">
        <v>0</v>
      </c>
      <c r="I7830" s="2" t="s">
        <v>6250</v>
      </c>
      <c r="J7830" s="2">
        <v>7809</v>
      </c>
      <c r="K7830">
        <v>20</v>
      </c>
      <c r="L7830">
        <v>20</v>
      </c>
      <c r="M7830">
        <v>20</v>
      </c>
    </row>
    <row r="7831" spans="1:13" x14ac:dyDescent="0.25">
      <c r="A7831" t="s">
        <v>17423</v>
      </c>
      <c r="B7831" t="s">
        <v>17424</v>
      </c>
      <c r="C7831" t="s">
        <v>926</v>
      </c>
      <c r="D7831" t="s">
        <v>6216</v>
      </c>
      <c r="F7831">
        <v>2</v>
      </c>
      <c r="G7831" t="s">
        <v>16</v>
      </c>
      <c r="H7831">
        <v>0</v>
      </c>
      <c r="I7831" s="2" t="s">
        <v>64</v>
      </c>
      <c r="J7831" s="2" t="str">
        <f>"05070249"</f>
        <v>05070249</v>
      </c>
      <c r="K7831">
        <v>20</v>
      </c>
      <c r="L7831">
        <v>20</v>
      </c>
      <c r="M7831">
        <v>20</v>
      </c>
    </row>
    <row r="7832" spans="1:13" x14ac:dyDescent="0.25">
      <c r="A7832" t="s">
        <v>17425</v>
      </c>
      <c r="B7832" t="s">
        <v>17424</v>
      </c>
      <c r="C7832" t="s">
        <v>926</v>
      </c>
      <c r="D7832" t="s">
        <v>6216</v>
      </c>
      <c r="G7832" t="s">
        <v>16</v>
      </c>
      <c r="H7832">
        <v>0</v>
      </c>
      <c r="I7832" s="2" t="s">
        <v>6196</v>
      </c>
      <c r="J7832" s="2" t="s">
        <v>17426</v>
      </c>
      <c r="K7832">
        <v>20</v>
      </c>
      <c r="L7832">
        <v>20</v>
      </c>
      <c r="M7832">
        <v>20</v>
      </c>
    </row>
    <row r="7833" spans="1:13" x14ac:dyDescent="0.25">
      <c r="A7833" t="s">
        <v>17427</v>
      </c>
      <c r="B7833" t="s">
        <v>17428</v>
      </c>
      <c r="C7833" t="s">
        <v>926</v>
      </c>
      <c r="D7833" t="s">
        <v>6216</v>
      </c>
      <c r="G7833" t="s">
        <v>16</v>
      </c>
      <c r="H7833">
        <v>0</v>
      </c>
      <c r="I7833" s="2" t="s">
        <v>971</v>
      </c>
      <c r="J7833" s="2" t="s">
        <v>17429</v>
      </c>
      <c r="K7833">
        <v>20</v>
      </c>
      <c r="L7833">
        <v>20</v>
      </c>
      <c r="M7833">
        <v>20</v>
      </c>
    </row>
    <row r="7834" spans="1:13" x14ac:dyDescent="0.25">
      <c r="A7834" t="s">
        <v>17430</v>
      </c>
      <c r="B7834" t="s">
        <v>17428</v>
      </c>
      <c r="C7834" t="s">
        <v>926</v>
      </c>
      <c r="D7834" t="s">
        <v>6216</v>
      </c>
      <c r="G7834" t="s">
        <v>16</v>
      </c>
      <c r="H7834">
        <v>0</v>
      </c>
      <c r="I7834" s="2" t="s">
        <v>6196</v>
      </c>
      <c r="J7834" s="2" t="s">
        <v>17431</v>
      </c>
      <c r="K7834">
        <v>20</v>
      </c>
      <c r="L7834">
        <v>20</v>
      </c>
      <c r="M7834">
        <v>20</v>
      </c>
    </row>
    <row r="7835" spans="1:13" x14ac:dyDescent="0.25">
      <c r="A7835" t="s">
        <v>17432</v>
      </c>
      <c r="B7835" t="s">
        <v>17433</v>
      </c>
      <c r="C7835" t="s">
        <v>1432</v>
      </c>
      <c r="D7835" t="s">
        <v>5993</v>
      </c>
      <c r="F7835">
        <v>1</v>
      </c>
      <c r="G7835" t="s">
        <v>16</v>
      </c>
      <c r="H7835">
        <v>0</v>
      </c>
      <c r="I7835" s="2" t="s">
        <v>707</v>
      </c>
      <c r="J7835" s="2" t="s">
        <v>17434</v>
      </c>
      <c r="K7835">
        <v>20</v>
      </c>
      <c r="L7835">
        <v>20</v>
      </c>
      <c r="M7835">
        <v>20</v>
      </c>
    </row>
    <row r="7836" spans="1:13" x14ac:dyDescent="0.25">
      <c r="A7836" t="s">
        <v>17435</v>
      </c>
      <c r="B7836" t="s">
        <v>17436</v>
      </c>
      <c r="C7836" t="s">
        <v>496</v>
      </c>
      <c r="D7836" t="s">
        <v>2360</v>
      </c>
      <c r="F7836">
        <v>2</v>
      </c>
      <c r="G7836" t="s">
        <v>16</v>
      </c>
      <c r="H7836">
        <v>0</v>
      </c>
      <c r="I7836" s="2" t="s">
        <v>2533</v>
      </c>
      <c r="J7836" s="2" t="s">
        <v>17437</v>
      </c>
      <c r="K7836">
        <v>20</v>
      </c>
      <c r="L7836">
        <v>20</v>
      </c>
      <c r="M7836">
        <v>20</v>
      </c>
    </row>
    <row r="7837" spans="1:13" x14ac:dyDescent="0.25">
      <c r="A7837" t="s">
        <v>17438</v>
      </c>
      <c r="B7837" t="s">
        <v>17439</v>
      </c>
      <c r="C7837" t="s">
        <v>926</v>
      </c>
      <c r="D7837" t="s">
        <v>6216</v>
      </c>
      <c r="F7837">
        <v>1</v>
      </c>
      <c r="G7837" t="s">
        <v>16</v>
      </c>
      <c r="H7837">
        <v>0</v>
      </c>
      <c r="I7837" s="2" t="s">
        <v>6228</v>
      </c>
      <c r="J7837" s="2">
        <v>3071</v>
      </c>
      <c r="K7837">
        <v>20</v>
      </c>
      <c r="L7837">
        <v>20</v>
      </c>
      <c r="M7837">
        <v>20</v>
      </c>
    </row>
    <row r="7838" spans="1:13" x14ac:dyDescent="0.25">
      <c r="A7838" t="s">
        <v>17440</v>
      </c>
      <c r="B7838" t="s">
        <v>17439</v>
      </c>
      <c r="C7838" t="s">
        <v>926</v>
      </c>
      <c r="D7838" t="s">
        <v>6216</v>
      </c>
      <c r="F7838">
        <v>1</v>
      </c>
      <c r="G7838" t="s">
        <v>16</v>
      </c>
      <c r="H7838">
        <v>0</v>
      </c>
      <c r="I7838" s="2" t="s">
        <v>988</v>
      </c>
      <c r="J7838" s="2" t="s">
        <v>17441</v>
      </c>
      <c r="K7838">
        <v>20</v>
      </c>
      <c r="L7838">
        <v>20</v>
      </c>
      <c r="M7838">
        <v>20</v>
      </c>
    </row>
    <row r="7839" spans="1:13" x14ac:dyDescent="0.25">
      <c r="A7839" t="s">
        <v>17442</v>
      </c>
      <c r="B7839" t="s">
        <v>17439</v>
      </c>
      <c r="C7839" t="s">
        <v>926</v>
      </c>
      <c r="D7839" t="s">
        <v>6216</v>
      </c>
      <c r="G7839" t="s">
        <v>16</v>
      </c>
      <c r="H7839">
        <v>0</v>
      </c>
      <c r="I7839" s="2" t="s">
        <v>7250</v>
      </c>
      <c r="J7839" s="2" t="s">
        <v>17443</v>
      </c>
      <c r="K7839">
        <v>20</v>
      </c>
      <c r="L7839">
        <v>20</v>
      </c>
      <c r="M7839">
        <v>20</v>
      </c>
    </row>
    <row r="7840" spans="1:13" x14ac:dyDescent="0.25">
      <c r="A7840" t="s">
        <v>17444</v>
      </c>
      <c r="B7840" t="s">
        <v>17445</v>
      </c>
      <c r="C7840" t="s">
        <v>496</v>
      </c>
      <c r="D7840" t="s">
        <v>4101</v>
      </c>
      <c r="F7840">
        <v>1</v>
      </c>
      <c r="G7840" t="s">
        <v>16</v>
      </c>
      <c r="H7840">
        <v>0</v>
      </c>
      <c r="I7840" s="2" t="s">
        <v>7939</v>
      </c>
      <c r="J7840" s="2" t="s">
        <v>17446</v>
      </c>
      <c r="K7840">
        <v>20</v>
      </c>
      <c r="L7840">
        <v>20</v>
      </c>
      <c r="M7840">
        <v>20</v>
      </c>
    </row>
    <row r="7841" spans="1:13" x14ac:dyDescent="0.25">
      <c r="A7841" t="s">
        <v>17447</v>
      </c>
      <c r="B7841" t="s">
        <v>17448</v>
      </c>
      <c r="C7841" t="s">
        <v>496</v>
      </c>
      <c r="D7841" t="s">
        <v>4101</v>
      </c>
      <c r="F7841">
        <v>2</v>
      </c>
      <c r="G7841" t="s">
        <v>16</v>
      </c>
      <c r="H7841">
        <v>0</v>
      </c>
      <c r="I7841" s="2" t="s">
        <v>1175</v>
      </c>
      <c r="J7841" s="2" t="s">
        <v>17449</v>
      </c>
      <c r="K7841">
        <v>20</v>
      </c>
      <c r="L7841">
        <v>20</v>
      </c>
      <c r="M7841">
        <v>20</v>
      </c>
    </row>
    <row r="7842" spans="1:13" x14ac:dyDescent="0.25">
      <c r="A7842" t="s">
        <v>17450</v>
      </c>
      <c r="B7842" t="s">
        <v>17452</v>
      </c>
      <c r="C7842" t="s">
        <v>357</v>
      </c>
      <c r="D7842" t="s">
        <v>358</v>
      </c>
      <c r="G7842" t="s">
        <v>16</v>
      </c>
      <c r="H7842">
        <v>0</v>
      </c>
      <c r="I7842" s="2" t="s">
        <v>1200</v>
      </c>
      <c r="J7842" s="2" t="s">
        <v>17451</v>
      </c>
      <c r="K7842">
        <v>20</v>
      </c>
      <c r="L7842">
        <v>20</v>
      </c>
      <c r="M7842">
        <v>20</v>
      </c>
    </row>
    <row r="7843" spans="1:13" x14ac:dyDescent="0.25">
      <c r="A7843" t="s">
        <v>17453</v>
      </c>
      <c r="B7843" t="s">
        <v>17454</v>
      </c>
      <c r="C7843" t="s">
        <v>20</v>
      </c>
      <c r="D7843" t="s">
        <v>26</v>
      </c>
      <c r="F7843">
        <v>1</v>
      </c>
      <c r="G7843" t="s">
        <v>16</v>
      </c>
      <c r="H7843">
        <v>0</v>
      </c>
      <c r="I7843" s="2" t="s">
        <v>759</v>
      </c>
      <c r="J7843" s="2">
        <v>96325175</v>
      </c>
      <c r="K7843">
        <v>20</v>
      </c>
      <c r="L7843">
        <v>20</v>
      </c>
      <c r="M7843">
        <v>20</v>
      </c>
    </row>
    <row r="7844" spans="1:13" x14ac:dyDescent="0.25">
      <c r="A7844" t="s">
        <v>17455</v>
      </c>
      <c r="B7844" t="s">
        <v>17457</v>
      </c>
      <c r="C7844" t="s">
        <v>20</v>
      </c>
      <c r="D7844" t="s">
        <v>478</v>
      </c>
      <c r="G7844" t="s">
        <v>16</v>
      </c>
      <c r="H7844">
        <v>0</v>
      </c>
      <c r="I7844" s="2" t="s">
        <v>17458</v>
      </c>
      <c r="J7844" s="2" t="s">
        <v>17456</v>
      </c>
      <c r="K7844">
        <v>20</v>
      </c>
      <c r="L7844">
        <v>20</v>
      </c>
      <c r="M7844">
        <v>20</v>
      </c>
    </row>
    <row r="7845" spans="1:13" x14ac:dyDescent="0.25">
      <c r="A7845" t="s">
        <v>17459</v>
      </c>
      <c r="B7845" t="s">
        <v>17460</v>
      </c>
      <c r="C7845" t="s">
        <v>151</v>
      </c>
      <c r="D7845" t="s">
        <v>1524</v>
      </c>
      <c r="F7845">
        <v>1</v>
      </c>
      <c r="G7845" t="s">
        <v>16</v>
      </c>
      <c r="H7845">
        <v>0</v>
      </c>
      <c r="I7845" s="2" t="s">
        <v>937</v>
      </c>
      <c r="J7845" s="2" t="s">
        <v>17461</v>
      </c>
      <c r="K7845">
        <v>20</v>
      </c>
      <c r="L7845">
        <v>20</v>
      </c>
      <c r="M7845">
        <v>20</v>
      </c>
    </row>
    <row r="7846" spans="1:13" x14ac:dyDescent="0.25">
      <c r="A7846" t="s">
        <v>17462</v>
      </c>
      <c r="B7846" t="s">
        <v>17460</v>
      </c>
      <c r="C7846" t="s">
        <v>151</v>
      </c>
      <c r="D7846" t="s">
        <v>1524</v>
      </c>
      <c r="F7846">
        <v>1</v>
      </c>
      <c r="G7846" t="s">
        <v>16</v>
      </c>
      <c r="H7846">
        <v>0</v>
      </c>
      <c r="I7846" s="2" t="s">
        <v>854</v>
      </c>
      <c r="J7846" s="2">
        <v>253831</v>
      </c>
      <c r="K7846">
        <v>20</v>
      </c>
      <c r="L7846">
        <v>20</v>
      </c>
      <c r="M7846">
        <v>20</v>
      </c>
    </row>
    <row r="7847" spans="1:13" x14ac:dyDescent="0.25">
      <c r="A7847" t="s">
        <v>17463</v>
      </c>
      <c r="B7847" t="s">
        <v>17464</v>
      </c>
      <c r="C7847" t="s">
        <v>151</v>
      </c>
      <c r="D7847" t="s">
        <v>1476</v>
      </c>
      <c r="F7847">
        <v>2</v>
      </c>
      <c r="G7847" t="s">
        <v>16</v>
      </c>
      <c r="H7847">
        <v>0</v>
      </c>
      <c r="I7847" s="2" t="s">
        <v>854</v>
      </c>
      <c r="J7847" s="2">
        <v>254106</v>
      </c>
      <c r="K7847">
        <v>20</v>
      </c>
      <c r="L7847">
        <v>20</v>
      </c>
      <c r="M7847">
        <v>20</v>
      </c>
    </row>
    <row r="7848" spans="1:13" x14ac:dyDescent="0.25">
      <c r="A7848" t="s">
        <v>17465</v>
      </c>
      <c r="B7848" t="s">
        <v>17466</v>
      </c>
      <c r="C7848" t="s">
        <v>151</v>
      </c>
      <c r="F7848">
        <v>4</v>
      </c>
      <c r="G7848" t="s">
        <v>16</v>
      </c>
      <c r="H7848">
        <v>0</v>
      </c>
      <c r="I7848" s="2" t="s">
        <v>2896</v>
      </c>
      <c r="J7848" s="2">
        <v>70191</v>
      </c>
      <c r="K7848">
        <v>20</v>
      </c>
      <c r="L7848">
        <v>20</v>
      </c>
      <c r="M7848">
        <v>20</v>
      </c>
    </row>
    <row r="7849" spans="1:13" x14ac:dyDescent="0.25">
      <c r="A7849" t="s">
        <v>17467</v>
      </c>
      <c r="B7849" t="s">
        <v>17468</v>
      </c>
      <c r="C7849" t="s">
        <v>20</v>
      </c>
      <c r="D7849" t="s">
        <v>2477</v>
      </c>
      <c r="F7849">
        <v>0</v>
      </c>
      <c r="G7849" t="s">
        <v>16</v>
      </c>
      <c r="H7849">
        <v>0</v>
      </c>
      <c r="I7849" s="2" t="s">
        <v>17469</v>
      </c>
      <c r="K7849">
        <v>20</v>
      </c>
      <c r="L7849">
        <v>20</v>
      </c>
      <c r="M7849">
        <v>20</v>
      </c>
    </row>
    <row r="7850" spans="1:13" x14ac:dyDescent="0.25">
      <c r="A7850" t="s">
        <v>17470</v>
      </c>
      <c r="B7850" t="s">
        <v>17471</v>
      </c>
      <c r="C7850" t="s">
        <v>20</v>
      </c>
      <c r="D7850" t="s">
        <v>2477</v>
      </c>
      <c r="F7850">
        <v>0</v>
      </c>
      <c r="G7850" t="s">
        <v>16</v>
      </c>
      <c r="H7850">
        <v>0</v>
      </c>
      <c r="K7850">
        <v>20</v>
      </c>
      <c r="L7850">
        <v>20</v>
      </c>
      <c r="M7850">
        <v>20</v>
      </c>
    </row>
    <row r="7851" spans="1:13" x14ac:dyDescent="0.25">
      <c r="A7851" t="s">
        <v>17472</v>
      </c>
      <c r="B7851" t="s">
        <v>17473</v>
      </c>
      <c r="C7851" t="s">
        <v>20</v>
      </c>
      <c r="D7851" t="s">
        <v>2477</v>
      </c>
      <c r="F7851">
        <v>0</v>
      </c>
      <c r="G7851" t="s">
        <v>16</v>
      </c>
      <c r="H7851">
        <v>0</v>
      </c>
      <c r="K7851">
        <v>20</v>
      </c>
      <c r="L7851">
        <v>20</v>
      </c>
      <c r="M7851">
        <v>20</v>
      </c>
    </row>
    <row r="7852" spans="1:13" x14ac:dyDescent="0.25">
      <c r="A7852" t="s">
        <v>17474</v>
      </c>
      <c r="B7852" t="s">
        <v>17475</v>
      </c>
      <c r="C7852" t="s">
        <v>357</v>
      </c>
      <c r="D7852" t="s">
        <v>241</v>
      </c>
      <c r="F7852">
        <v>1</v>
      </c>
      <c r="G7852" t="s">
        <v>16</v>
      </c>
      <c r="H7852">
        <v>0</v>
      </c>
      <c r="I7852" s="2" t="s">
        <v>3253</v>
      </c>
      <c r="J7852" s="2" t="s">
        <v>17476</v>
      </c>
      <c r="K7852">
        <v>20</v>
      </c>
      <c r="L7852">
        <v>20</v>
      </c>
      <c r="M7852">
        <v>20</v>
      </c>
    </row>
    <row r="7853" spans="1:13" x14ac:dyDescent="0.25">
      <c r="A7853" t="s">
        <v>17477</v>
      </c>
      <c r="B7853" t="s">
        <v>17478</v>
      </c>
      <c r="C7853" t="s">
        <v>151</v>
      </c>
      <c r="F7853">
        <v>1</v>
      </c>
      <c r="G7853" t="s">
        <v>16</v>
      </c>
      <c r="H7853">
        <v>0</v>
      </c>
      <c r="I7853" s="2" t="s">
        <v>1175</v>
      </c>
      <c r="J7853" s="2" t="s">
        <v>17479</v>
      </c>
      <c r="K7853">
        <v>20</v>
      </c>
      <c r="L7853">
        <v>20</v>
      </c>
      <c r="M7853">
        <v>20</v>
      </c>
    </row>
    <row r="7854" spans="1:13" x14ac:dyDescent="0.25">
      <c r="A7854" t="s">
        <v>17480</v>
      </c>
      <c r="B7854" t="s">
        <v>17481</v>
      </c>
      <c r="C7854" t="s">
        <v>1436</v>
      </c>
      <c r="F7854">
        <v>1</v>
      </c>
      <c r="G7854" t="s">
        <v>16</v>
      </c>
      <c r="H7854">
        <v>0</v>
      </c>
      <c r="I7854" s="2" t="s">
        <v>737</v>
      </c>
      <c r="J7854" s="2" t="s">
        <v>17482</v>
      </c>
      <c r="K7854">
        <v>20</v>
      </c>
      <c r="L7854">
        <v>20</v>
      </c>
      <c r="M7854">
        <v>20</v>
      </c>
    </row>
    <row r="7855" spans="1:13" x14ac:dyDescent="0.25">
      <c r="A7855" t="s">
        <v>17483</v>
      </c>
      <c r="B7855" t="s">
        <v>17484</v>
      </c>
      <c r="C7855" t="s">
        <v>14</v>
      </c>
      <c r="D7855" t="s">
        <v>4956</v>
      </c>
      <c r="F7855">
        <v>1</v>
      </c>
      <c r="G7855" t="s">
        <v>16</v>
      </c>
      <c r="H7855">
        <v>0</v>
      </c>
      <c r="I7855" s="2" t="s">
        <v>17</v>
      </c>
      <c r="J7855" s="2" t="s">
        <v>17485</v>
      </c>
      <c r="K7855">
        <v>20</v>
      </c>
      <c r="L7855">
        <v>20</v>
      </c>
      <c r="M7855">
        <v>20</v>
      </c>
    </row>
    <row r="7856" spans="1:13" x14ac:dyDescent="0.25">
      <c r="A7856" t="s">
        <v>17486</v>
      </c>
      <c r="B7856" t="s">
        <v>17487</v>
      </c>
      <c r="C7856" t="s">
        <v>1432</v>
      </c>
      <c r="F7856">
        <v>5</v>
      </c>
      <c r="G7856" t="s">
        <v>16</v>
      </c>
      <c r="H7856">
        <v>0</v>
      </c>
      <c r="I7856" s="2" t="s">
        <v>389</v>
      </c>
      <c r="J7856" s="2">
        <v>1682291380</v>
      </c>
      <c r="K7856">
        <v>20</v>
      </c>
      <c r="L7856">
        <v>20</v>
      </c>
      <c r="M7856">
        <v>20</v>
      </c>
    </row>
    <row r="7857" spans="1:13" x14ac:dyDescent="0.25">
      <c r="A7857" t="s">
        <v>17488</v>
      </c>
      <c r="B7857" t="s">
        <v>17489</v>
      </c>
      <c r="C7857" t="s">
        <v>1432</v>
      </c>
      <c r="F7857">
        <v>1</v>
      </c>
      <c r="G7857" t="s">
        <v>16</v>
      </c>
      <c r="H7857">
        <v>0</v>
      </c>
      <c r="I7857" s="2" t="s">
        <v>389</v>
      </c>
      <c r="J7857" s="2">
        <v>1682292480</v>
      </c>
      <c r="K7857">
        <v>20</v>
      </c>
      <c r="L7857">
        <v>20</v>
      </c>
      <c r="M7857">
        <v>20</v>
      </c>
    </row>
    <row r="7858" spans="1:13" x14ac:dyDescent="0.25">
      <c r="A7858" t="s">
        <v>17490</v>
      </c>
      <c r="B7858" t="s">
        <v>17491</v>
      </c>
      <c r="C7858" t="s">
        <v>496</v>
      </c>
      <c r="D7858" t="s">
        <v>4083</v>
      </c>
      <c r="F7858">
        <v>1</v>
      </c>
      <c r="G7858" t="s">
        <v>16</v>
      </c>
      <c r="H7858">
        <v>0</v>
      </c>
      <c r="I7858" s="2" t="s">
        <v>162</v>
      </c>
      <c r="J7858" s="2">
        <v>73281</v>
      </c>
      <c r="K7858">
        <v>20</v>
      </c>
      <c r="L7858">
        <v>20</v>
      </c>
      <c r="M7858">
        <v>20</v>
      </c>
    </row>
    <row r="7859" spans="1:13" x14ac:dyDescent="0.25">
      <c r="A7859" t="s">
        <v>17492</v>
      </c>
      <c r="B7859" t="s">
        <v>17493</v>
      </c>
      <c r="C7859" t="s">
        <v>496</v>
      </c>
      <c r="D7859" t="s">
        <v>4083</v>
      </c>
      <c r="F7859">
        <v>0</v>
      </c>
      <c r="G7859" t="s">
        <v>16</v>
      </c>
      <c r="H7859">
        <v>0</v>
      </c>
      <c r="I7859" s="2" t="s">
        <v>64</v>
      </c>
      <c r="J7859" s="2" t="str">
        <f>"01010605"</f>
        <v>01010605</v>
      </c>
      <c r="K7859">
        <v>20</v>
      </c>
      <c r="L7859">
        <v>20</v>
      </c>
      <c r="M7859">
        <v>20</v>
      </c>
    </row>
    <row r="7860" spans="1:13" x14ac:dyDescent="0.25">
      <c r="A7860" t="s">
        <v>17494</v>
      </c>
      <c r="B7860" t="s">
        <v>17495</v>
      </c>
      <c r="C7860" t="s">
        <v>496</v>
      </c>
      <c r="D7860" t="s">
        <v>4083</v>
      </c>
      <c r="F7860">
        <v>1</v>
      </c>
      <c r="G7860" t="s">
        <v>16</v>
      </c>
      <c r="H7860">
        <v>0</v>
      </c>
      <c r="I7860" s="2" t="s">
        <v>162</v>
      </c>
      <c r="J7860" s="2">
        <v>73282</v>
      </c>
      <c r="K7860">
        <v>20</v>
      </c>
      <c r="L7860">
        <v>20</v>
      </c>
      <c r="M7860">
        <v>20</v>
      </c>
    </row>
    <row r="7861" spans="1:13" x14ac:dyDescent="0.25">
      <c r="A7861" t="s">
        <v>17496</v>
      </c>
      <c r="B7861" t="s">
        <v>17497</v>
      </c>
      <c r="C7861" t="s">
        <v>496</v>
      </c>
      <c r="D7861" t="s">
        <v>4083</v>
      </c>
      <c r="F7861">
        <v>0</v>
      </c>
      <c r="G7861" t="s">
        <v>16</v>
      </c>
      <c r="H7861">
        <v>0</v>
      </c>
      <c r="I7861" s="2" t="s">
        <v>64</v>
      </c>
      <c r="J7861" s="2" t="str">
        <f>"01010604"</f>
        <v>01010604</v>
      </c>
      <c r="K7861">
        <v>20</v>
      </c>
      <c r="L7861">
        <v>20</v>
      </c>
      <c r="M7861">
        <v>20</v>
      </c>
    </row>
    <row r="7862" spans="1:13" x14ac:dyDescent="0.25">
      <c r="A7862" t="s">
        <v>17498</v>
      </c>
      <c r="B7862" t="s">
        <v>17499</v>
      </c>
      <c r="C7862" t="s">
        <v>496</v>
      </c>
      <c r="D7862" t="s">
        <v>4083</v>
      </c>
      <c r="F7862">
        <v>2</v>
      </c>
      <c r="G7862" t="s">
        <v>16</v>
      </c>
      <c r="H7862">
        <v>0</v>
      </c>
      <c r="I7862" s="2" t="s">
        <v>162</v>
      </c>
      <c r="J7862" s="2">
        <v>70542</v>
      </c>
      <c r="K7862">
        <v>20</v>
      </c>
      <c r="L7862">
        <v>20</v>
      </c>
      <c r="M7862">
        <v>20</v>
      </c>
    </row>
    <row r="7863" spans="1:13" x14ac:dyDescent="0.25">
      <c r="A7863" t="s">
        <v>17500</v>
      </c>
      <c r="B7863" t="s">
        <v>17501</v>
      </c>
      <c r="C7863" t="s">
        <v>20</v>
      </c>
      <c r="D7863" t="s">
        <v>26</v>
      </c>
      <c r="F7863">
        <v>1</v>
      </c>
      <c r="G7863" t="s">
        <v>16</v>
      </c>
      <c r="H7863">
        <v>0</v>
      </c>
      <c r="I7863" s="2" t="s">
        <v>97</v>
      </c>
      <c r="J7863" s="3">
        <v>440720</v>
      </c>
      <c r="K7863">
        <v>20</v>
      </c>
      <c r="L7863">
        <v>20</v>
      </c>
      <c r="M7863">
        <v>20</v>
      </c>
    </row>
    <row r="7864" spans="1:13" x14ac:dyDescent="0.25">
      <c r="A7864" t="s">
        <v>17502</v>
      </c>
      <c r="B7864" t="s">
        <v>17503</v>
      </c>
      <c r="C7864" t="s">
        <v>20</v>
      </c>
      <c r="D7864" t="s">
        <v>26</v>
      </c>
      <c r="F7864">
        <v>1</v>
      </c>
      <c r="G7864" t="s">
        <v>16</v>
      </c>
      <c r="H7864">
        <v>0</v>
      </c>
      <c r="I7864" s="2" t="s">
        <v>209</v>
      </c>
      <c r="J7864" s="2" t="str">
        <f>"040880-P"</f>
        <v>040880-P</v>
      </c>
      <c r="K7864">
        <v>20</v>
      </c>
      <c r="L7864">
        <v>20</v>
      </c>
      <c r="M7864">
        <v>20</v>
      </c>
    </row>
    <row r="7865" spans="1:13" x14ac:dyDescent="0.25">
      <c r="A7865" t="s">
        <v>17504</v>
      </c>
      <c r="B7865" t="s">
        <v>17505</v>
      </c>
      <c r="C7865" t="s">
        <v>20</v>
      </c>
      <c r="D7865" t="s">
        <v>26</v>
      </c>
      <c r="G7865" t="s">
        <v>16</v>
      </c>
      <c r="H7865">
        <v>0</v>
      </c>
      <c r="K7865">
        <v>20</v>
      </c>
      <c r="L7865">
        <v>20</v>
      </c>
      <c r="M7865">
        <v>20</v>
      </c>
    </row>
    <row r="7866" spans="1:13" x14ac:dyDescent="0.25">
      <c r="A7866" t="s">
        <v>17506</v>
      </c>
      <c r="B7866" t="s">
        <v>17507</v>
      </c>
      <c r="C7866" t="s">
        <v>20</v>
      </c>
      <c r="D7866" t="s">
        <v>296</v>
      </c>
      <c r="F7866">
        <v>1</v>
      </c>
      <c r="G7866" t="s">
        <v>16</v>
      </c>
      <c r="H7866">
        <v>0</v>
      </c>
      <c r="I7866" s="2" t="s">
        <v>5754</v>
      </c>
      <c r="J7866" s="2" t="s">
        <v>17508</v>
      </c>
      <c r="K7866">
        <v>20</v>
      </c>
      <c r="L7866">
        <v>20</v>
      </c>
      <c r="M7866">
        <v>20</v>
      </c>
    </row>
    <row r="7867" spans="1:13" x14ac:dyDescent="0.25">
      <c r="A7867" t="s">
        <v>17509</v>
      </c>
      <c r="B7867" t="s">
        <v>17510</v>
      </c>
      <c r="C7867" t="s">
        <v>20</v>
      </c>
      <c r="D7867" t="s">
        <v>296</v>
      </c>
      <c r="F7867">
        <v>2</v>
      </c>
      <c r="G7867" t="s">
        <v>16</v>
      </c>
      <c r="H7867">
        <v>0</v>
      </c>
      <c r="I7867" s="2" t="s">
        <v>414</v>
      </c>
      <c r="J7867" s="2" t="s">
        <v>17511</v>
      </c>
      <c r="K7867">
        <v>20</v>
      </c>
      <c r="L7867">
        <v>20</v>
      </c>
      <c r="M7867">
        <v>20</v>
      </c>
    </row>
    <row r="7868" spans="1:13" x14ac:dyDescent="0.25">
      <c r="A7868" t="s">
        <v>17512</v>
      </c>
      <c r="B7868" t="s">
        <v>17513</v>
      </c>
      <c r="C7868" t="s">
        <v>1432</v>
      </c>
      <c r="G7868" t="s">
        <v>16</v>
      </c>
      <c r="H7868">
        <v>0</v>
      </c>
      <c r="I7868" s="2" t="s">
        <v>87</v>
      </c>
      <c r="J7868" s="2" t="s">
        <v>17514</v>
      </c>
      <c r="K7868">
        <v>20</v>
      </c>
      <c r="L7868">
        <v>20</v>
      </c>
      <c r="M7868">
        <v>20</v>
      </c>
    </row>
    <row r="7869" spans="1:13" x14ac:dyDescent="0.25">
      <c r="A7869" t="s">
        <v>17515</v>
      </c>
      <c r="B7869" t="s">
        <v>17513</v>
      </c>
      <c r="C7869" t="s">
        <v>151</v>
      </c>
      <c r="G7869" t="s">
        <v>16</v>
      </c>
      <c r="H7869">
        <v>0</v>
      </c>
      <c r="I7869" s="2" t="s">
        <v>1463</v>
      </c>
      <c r="J7869" s="2">
        <v>50174</v>
      </c>
      <c r="K7869">
        <v>20</v>
      </c>
      <c r="L7869">
        <v>20</v>
      </c>
      <c r="M7869">
        <v>20</v>
      </c>
    </row>
    <row r="7870" spans="1:13" x14ac:dyDescent="0.25">
      <c r="A7870" t="s">
        <v>17516</v>
      </c>
      <c r="B7870" t="s">
        <v>17517</v>
      </c>
      <c r="C7870" t="s">
        <v>20</v>
      </c>
      <c r="G7870" t="s">
        <v>16</v>
      </c>
      <c r="H7870">
        <v>0</v>
      </c>
      <c r="K7870">
        <v>20</v>
      </c>
      <c r="L7870">
        <v>20</v>
      </c>
      <c r="M7870">
        <v>20</v>
      </c>
    </row>
    <row r="7871" spans="1:13" x14ac:dyDescent="0.25">
      <c r="A7871" t="s">
        <v>17518</v>
      </c>
      <c r="B7871" t="s">
        <v>17519</v>
      </c>
      <c r="C7871" t="s">
        <v>357</v>
      </c>
      <c r="G7871" t="s">
        <v>16</v>
      </c>
      <c r="H7871">
        <v>0</v>
      </c>
      <c r="I7871" s="2" t="s">
        <v>1107</v>
      </c>
      <c r="J7871" s="2" t="s">
        <v>17520</v>
      </c>
      <c r="K7871">
        <v>20</v>
      </c>
      <c r="L7871">
        <v>20</v>
      </c>
      <c r="M7871">
        <v>20</v>
      </c>
    </row>
    <row r="7872" spans="1:13" x14ac:dyDescent="0.25">
      <c r="A7872" t="s">
        <v>17521</v>
      </c>
      <c r="B7872" t="s">
        <v>17522</v>
      </c>
      <c r="C7872" t="s">
        <v>357</v>
      </c>
      <c r="D7872" t="s">
        <v>792</v>
      </c>
      <c r="G7872" t="s">
        <v>16</v>
      </c>
      <c r="H7872">
        <v>0</v>
      </c>
      <c r="I7872" s="2" t="s">
        <v>848</v>
      </c>
      <c r="J7872" s="2" t="s">
        <v>17523</v>
      </c>
      <c r="K7872">
        <v>20</v>
      </c>
      <c r="L7872">
        <v>20</v>
      </c>
      <c r="M7872">
        <v>20</v>
      </c>
    </row>
    <row r="7873" spans="1:13" x14ac:dyDescent="0.25">
      <c r="A7873" t="s">
        <v>17524</v>
      </c>
      <c r="B7873" t="s">
        <v>17522</v>
      </c>
      <c r="C7873" t="s">
        <v>357</v>
      </c>
      <c r="D7873" t="s">
        <v>792</v>
      </c>
      <c r="G7873" t="s">
        <v>16</v>
      </c>
      <c r="H7873">
        <v>0</v>
      </c>
      <c r="I7873" s="2" t="s">
        <v>880</v>
      </c>
      <c r="J7873" s="2" t="s">
        <v>17525</v>
      </c>
      <c r="K7873">
        <v>20</v>
      </c>
      <c r="L7873">
        <v>20</v>
      </c>
      <c r="M7873">
        <v>20</v>
      </c>
    </row>
    <row r="7874" spans="1:13" x14ac:dyDescent="0.25">
      <c r="A7874" t="s">
        <v>17526</v>
      </c>
      <c r="B7874" t="s">
        <v>17522</v>
      </c>
      <c r="C7874" t="s">
        <v>357</v>
      </c>
      <c r="D7874" t="s">
        <v>792</v>
      </c>
      <c r="F7874">
        <v>2</v>
      </c>
      <c r="G7874" t="s">
        <v>16</v>
      </c>
      <c r="H7874">
        <v>0</v>
      </c>
      <c r="I7874" s="2" t="s">
        <v>598</v>
      </c>
      <c r="J7874" s="2">
        <v>367990</v>
      </c>
      <c r="K7874">
        <v>20</v>
      </c>
      <c r="L7874">
        <v>20</v>
      </c>
      <c r="M7874">
        <v>20</v>
      </c>
    </row>
    <row r="7875" spans="1:13" x14ac:dyDescent="0.25">
      <c r="A7875" t="s">
        <v>17527</v>
      </c>
      <c r="B7875" t="s">
        <v>17522</v>
      </c>
      <c r="C7875" t="s">
        <v>357</v>
      </c>
      <c r="D7875" t="s">
        <v>792</v>
      </c>
      <c r="F7875">
        <v>1</v>
      </c>
      <c r="G7875" t="s">
        <v>16</v>
      </c>
      <c r="H7875">
        <v>0</v>
      </c>
      <c r="I7875" s="2" t="s">
        <v>5750</v>
      </c>
      <c r="J7875" s="2" t="s">
        <v>17528</v>
      </c>
      <c r="K7875">
        <v>20</v>
      </c>
      <c r="L7875">
        <v>20</v>
      </c>
      <c r="M7875">
        <v>20</v>
      </c>
    </row>
    <row r="7876" spans="1:13" x14ac:dyDescent="0.25">
      <c r="A7876" t="s">
        <v>17529</v>
      </c>
      <c r="B7876" t="s">
        <v>17522</v>
      </c>
      <c r="C7876" t="s">
        <v>357</v>
      </c>
      <c r="D7876" t="s">
        <v>792</v>
      </c>
      <c r="F7876">
        <v>2</v>
      </c>
      <c r="G7876" t="s">
        <v>16</v>
      </c>
      <c r="H7876">
        <v>0</v>
      </c>
      <c r="I7876" s="2" t="s">
        <v>6196</v>
      </c>
      <c r="J7876" s="2" t="s">
        <v>17530</v>
      </c>
      <c r="K7876">
        <v>20</v>
      </c>
      <c r="L7876">
        <v>20</v>
      </c>
      <c r="M7876">
        <v>20</v>
      </c>
    </row>
    <row r="7877" spans="1:13" x14ac:dyDescent="0.25">
      <c r="A7877" t="s">
        <v>17531</v>
      </c>
      <c r="B7877" t="s">
        <v>17532</v>
      </c>
      <c r="C7877" t="s">
        <v>20</v>
      </c>
      <c r="F7877">
        <v>1</v>
      </c>
      <c r="G7877" t="s">
        <v>16</v>
      </c>
      <c r="H7877">
        <v>0</v>
      </c>
      <c r="I7877" s="2" t="s">
        <v>142</v>
      </c>
      <c r="J7877" s="2" t="s">
        <v>17533</v>
      </c>
      <c r="K7877">
        <v>20</v>
      </c>
      <c r="L7877">
        <v>20</v>
      </c>
      <c r="M7877">
        <v>20</v>
      </c>
    </row>
    <row r="7878" spans="1:13" x14ac:dyDescent="0.25">
      <c r="A7878" t="s">
        <v>17534</v>
      </c>
      <c r="B7878" t="s">
        <v>17535</v>
      </c>
      <c r="C7878" t="s">
        <v>20</v>
      </c>
      <c r="D7878" t="s">
        <v>296</v>
      </c>
      <c r="F7878">
        <v>1</v>
      </c>
      <c r="G7878" t="s">
        <v>16</v>
      </c>
      <c r="H7878">
        <v>0</v>
      </c>
      <c r="I7878" s="2" t="s">
        <v>17536</v>
      </c>
      <c r="J7878" s="2" t="s">
        <v>17537</v>
      </c>
      <c r="K7878">
        <v>20</v>
      </c>
      <c r="L7878">
        <v>20</v>
      </c>
      <c r="M7878">
        <v>20</v>
      </c>
    </row>
    <row r="7879" spans="1:13" x14ac:dyDescent="0.25">
      <c r="A7879">
        <v>96353002</v>
      </c>
      <c r="B7879" t="s">
        <v>17538</v>
      </c>
      <c r="C7879" t="s">
        <v>20</v>
      </c>
      <c r="D7879" t="s">
        <v>26</v>
      </c>
      <c r="F7879">
        <v>5</v>
      </c>
      <c r="G7879" t="s">
        <v>16</v>
      </c>
      <c r="H7879">
        <v>0</v>
      </c>
      <c r="I7879" s="2" t="s">
        <v>1444</v>
      </c>
      <c r="J7879" s="2">
        <v>96353002</v>
      </c>
      <c r="K7879">
        <v>20</v>
      </c>
      <c r="L7879">
        <v>20</v>
      </c>
      <c r="M7879">
        <v>20</v>
      </c>
    </row>
    <row r="7880" spans="1:13" x14ac:dyDescent="0.25">
      <c r="A7880" t="s">
        <v>17539</v>
      </c>
      <c r="B7880" t="s">
        <v>17538</v>
      </c>
      <c r="C7880" t="s">
        <v>20</v>
      </c>
      <c r="D7880" t="s">
        <v>26</v>
      </c>
      <c r="G7880" t="s">
        <v>16</v>
      </c>
      <c r="H7880">
        <v>0</v>
      </c>
      <c r="I7880" s="2" t="s">
        <v>142</v>
      </c>
      <c r="J7880" s="2">
        <v>96353002</v>
      </c>
      <c r="K7880">
        <v>20</v>
      </c>
      <c r="L7880">
        <v>20</v>
      </c>
      <c r="M7880">
        <v>20</v>
      </c>
    </row>
    <row r="7881" spans="1:13" x14ac:dyDescent="0.25">
      <c r="A7881" t="s">
        <v>17540</v>
      </c>
      <c r="B7881" t="s">
        <v>17538</v>
      </c>
      <c r="C7881" t="s">
        <v>20</v>
      </c>
      <c r="D7881" t="s">
        <v>26</v>
      </c>
      <c r="F7881">
        <v>1</v>
      </c>
      <c r="G7881" t="s">
        <v>16</v>
      </c>
      <c r="H7881">
        <v>0</v>
      </c>
      <c r="I7881" s="2" t="s">
        <v>3421</v>
      </c>
      <c r="J7881" s="2" t="s">
        <v>17541</v>
      </c>
      <c r="K7881">
        <v>20</v>
      </c>
      <c r="L7881">
        <v>20</v>
      </c>
      <c r="M7881">
        <v>20</v>
      </c>
    </row>
    <row r="7882" spans="1:13" x14ac:dyDescent="0.25">
      <c r="A7882" t="s">
        <v>17542</v>
      </c>
      <c r="B7882" t="s">
        <v>17538</v>
      </c>
      <c r="C7882" t="s">
        <v>20</v>
      </c>
      <c r="D7882" t="s">
        <v>26</v>
      </c>
      <c r="F7882">
        <v>1</v>
      </c>
      <c r="G7882" t="s">
        <v>16</v>
      </c>
      <c r="H7882">
        <v>0</v>
      </c>
      <c r="I7882" s="2" t="s">
        <v>73</v>
      </c>
      <c r="J7882" s="2" t="s">
        <v>17543</v>
      </c>
      <c r="K7882">
        <v>20</v>
      </c>
      <c r="L7882">
        <v>20</v>
      </c>
      <c r="M7882">
        <v>20</v>
      </c>
    </row>
    <row r="7883" spans="1:13" x14ac:dyDescent="0.25">
      <c r="A7883" t="s">
        <v>17544</v>
      </c>
      <c r="B7883" t="s">
        <v>17545</v>
      </c>
      <c r="C7883" t="s">
        <v>20</v>
      </c>
      <c r="D7883" t="s">
        <v>133</v>
      </c>
      <c r="G7883" t="s">
        <v>16</v>
      </c>
      <c r="H7883">
        <v>0</v>
      </c>
      <c r="I7883" s="2" t="s">
        <v>134</v>
      </c>
      <c r="J7883" s="2" t="s">
        <v>17546</v>
      </c>
      <c r="K7883">
        <v>20</v>
      </c>
      <c r="L7883">
        <v>20</v>
      </c>
      <c r="M7883">
        <v>20</v>
      </c>
    </row>
    <row r="7884" spans="1:13" x14ac:dyDescent="0.25">
      <c r="A7884" t="s">
        <v>17547</v>
      </c>
      <c r="B7884" t="s">
        <v>17548</v>
      </c>
      <c r="C7884" t="s">
        <v>20</v>
      </c>
      <c r="F7884">
        <v>3</v>
      </c>
      <c r="G7884" t="s">
        <v>16</v>
      </c>
      <c r="H7884">
        <v>0</v>
      </c>
      <c r="I7884" s="2" t="s">
        <v>1663</v>
      </c>
      <c r="J7884" s="2" t="s">
        <v>17549</v>
      </c>
      <c r="K7884">
        <v>20</v>
      </c>
      <c r="L7884">
        <v>20</v>
      </c>
      <c r="M7884">
        <v>20</v>
      </c>
    </row>
    <row r="7885" spans="1:13" x14ac:dyDescent="0.25">
      <c r="A7885" t="s">
        <v>17550</v>
      </c>
      <c r="B7885" t="s">
        <v>17551</v>
      </c>
      <c r="C7885" t="s">
        <v>20</v>
      </c>
      <c r="D7885" t="s">
        <v>894</v>
      </c>
      <c r="F7885">
        <v>1</v>
      </c>
      <c r="G7885" t="s">
        <v>16</v>
      </c>
      <c r="H7885">
        <v>0</v>
      </c>
      <c r="I7885" s="2" t="s">
        <v>3697</v>
      </c>
      <c r="J7885" s="2" t="s">
        <v>17552</v>
      </c>
      <c r="K7885">
        <v>20</v>
      </c>
      <c r="L7885">
        <v>20</v>
      </c>
      <c r="M7885">
        <v>20</v>
      </c>
    </row>
    <row r="7886" spans="1:13" x14ac:dyDescent="0.25">
      <c r="A7886" t="s">
        <v>17553</v>
      </c>
      <c r="B7886" t="s">
        <v>17554</v>
      </c>
      <c r="C7886" t="s">
        <v>20</v>
      </c>
      <c r="D7886" t="s">
        <v>894</v>
      </c>
      <c r="F7886">
        <v>1</v>
      </c>
      <c r="G7886" t="s">
        <v>16</v>
      </c>
      <c r="H7886">
        <v>0</v>
      </c>
      <c r="I7886" s="2" t="s">
        <v>1137</v>
      </c>
      <c r="J7886" s="2" t="s">
        <v>17555</v>
      </c>
      <c r="K7886">
        <v>20</v>
      </c>
      <c r="L7886">
        <v>20</v>
      </c>
      <c r="M7886">
        <v>20</v>
      </c>
    </row>
    <row r="7887" spans="1:13" x14ac:dyDescent="0.25">
      <c r="A7887" t="s">
        <v>17556</v>
      </c>
      <c r="B7887" t="s">
        <v>17557</v>
      </c>
      <c r="C7887" t="s">
        <v>20</v>
      </c>
      <c r="D7887" t="s">
        <v>26</v>
      </c>
      <c r="F7887">
        <v>1</v>
      </c>
      <c r="G7887" t="s">
        <v>16</v>
      </c>
      <c r="H7887">
        <v>0</v>
      </c>
      <c r="I7887" s="2" t="s">
        <v>99</v>
      </c>
      <c r="J7887" s="2" t="str">
        <f>"085.970"</f>
        <v>085.970</v>
      </c>
      <c r="K7887">
        <v>20</v>
      </c>
      <c r="L7887">
        <v>20</v>
      </c>
      <c r="M7887">
        <v>20</v>
      </c>
    </row>
    <row r="7888" spans="1:13" x14ac:dyDescent="0.25">
      <c r="A7888" t="s">
        <v>17558</v>
      </c>
      <c r="B7888" t="s">
        <v>17557</v>
      </c>
      <c r="C7888" t="s">
        <v>20</v>
      </c>
      <c r="D7888" t="s">
        <v>26</v>
      </c>
      <c r="G7888" t="s">
        <v>16</v>
      </c>
      <c r="H7888">
        <v>0</v>
      </c>
      <c r="I7888" s="2" t="s">
        <v>16894</v>
      </c>
      <c r="J7888" s="2" t="s">
        <v>17559</v>
      </c>
      <c r="K7888">
        <v>20</v>
      </c>
      <c r="L7888">
        <v>20</v>
      </c>
      <c r="M7888">
        <v>20</v>
      </c>
    </row>
    <row r="7889" spans="1:13" x14ac:dyDescent="0.25">
      <c r="A7889" t="s">
        <v>17560</v>
      </c>
      <c r="B7889" t="s">
        <v>17561</v>
      </c>
      <c r="C7889" t="s">
        <v>20</v>
      </c>
      <c r="D7889" t="s">
        <v>26</v>
      </c>
      <c r="F7889">
        <v>3</v>
      </c>
      <c r="G7889" t="s">
        <v>16</v>
      </c>
      <c r="H7889">
        <v>0</v>
      </c>
      <c r="I7889" s="2" t="s">
        <v>7250</v>
      </c>
      <c r="J7889" s="2" t="s">
        <v>17562</v>
      </c>
      <c r="K7889">
        <v>20</v>
      </c>
      <c r="L7889">
        <v>20</v>
      </c>
      <c r="M7889">
        <v>20</v>
      </c>
    </row>
    <row r="7890" spans="1:13" x14ac:dyDescent="0.25">
      <c r="A7890" t="s">
        <v>17563</v>
      </c>
      <c r="B7890" t="s">
        <v>17565</v>
      </c>
      <c r="C7890" t="s">
        <v>20</v>
      </c>
      <c r="G7890" t="s">
        <v>16</v>
      </c>
      <c r="H7890">
        <v>0</v>
      </c>
      <c r="I7890" s="2" t="s">
        <v>2896</v>
      </c>
      <c r="J7890" s="2" t="s">
        <v>17564</v>
      </c>
      <c r="K7890">
        <v>20</v>
      </c>
      <c r="L7890">
        <v>20</v>
      </c>
      <c r="M7890">
        <v>20</v>
      </c>
    </row>
    <row r="7891" spans="1:13" x14ac:dyDescent="0.25">
      <c r="A7891">
        <v>96387324</v>
      </c>
      <c r="B7891" t="s">
        <v>17566</v>
      </c>
      <c r="C7891" t="s">
        <v>151</v>
      </c>
      <c r="F7891">
        <v>1</v>
      </c>
      <c r="G7891" t="s">
        <v>16</v>
      </c>
      <c r="H7891">
        <v>0</v>
      </c>
      <c r="I7891" s="2" t="s">
        <v>1444</v>
      </c>
      <c r="J7891" s="2">
        <v>96387324</v>
      </c>
      <c r="K7891">
        <v>20</v>
      </c>
      <c r="L7891">
        <v>20</v>
      </c>
      <c r="M7891">
        <v>20</v>
      </c>
    </row>
    <row r="7892" spans="1:13" x14ac:dyDescent="0.25">
      <c r="A7892" t="s">
        <v>17567</v>
      </c>
      <c r="B7892" t="s">
        <v>17568</v>
      </c>
      <c r="C7892" t="s">
        <v>151</v>
      </c>
      <c r="D7892" t="s">
        <v>1092</v>
      </c>
      <c r="F7892">
        <v>1</v>
      </c>
      <c r="G7892" t="s">
        <v>16</v>
      </c>
      <c r="H7892">
        <v>0</v>
      </c>
      <c r="I7892" s="2" t="s">
        <v>1137</v>
      </c>
      <c r="J7892" s="2" t="s">
        <v>17569</v>
      </c>
      <c r="K7892">
        <v>20</v>
      </c>
      <c r="L7892">
        <v>20</v>
      </c>
      <c r="M7892">
        <v>20</v>
      </c>
    </row>
    <row r="7893" spans="1:13" x14ac:dyDescent="0.25">
      <c r="A7893" t="s">
        <v>17570</v>
      </c>
      <c r="B7893" t="s">
        <v>17571</v>
      </c>
      <c r="C7893" t="s">
        <v>20</v>
      </c>
      <c r="D7893" t="s">
        <v>26</v>
      </c>
      <c r="G7893" t="s">
        <v>16</v>
      </c>
      <c r="H7893">
        <v>0</v>
      </c>
      <c r="I7893" s="2" t="s">
        <v>16894</v>
      </c>
      <c r="K7893">
        <v>20</v>
      </c>
      <c r="L7893">
        <v>20</v>
      </c>
      <c r="M7893">
        <v>20</v>
      </c>
    </row>
    <row r="7894" spans="1:13" x14ac:dyDescent="0.25">
      <c r="A7894" t="s">
        <v>17572</v>
      </c>
      <c r="B7894" t="s">
        <v>17573</v>
      </c>
      <c r="C7894" t="s">
        <v>496</v>
      </c>
      <c r="D7894" t="s">
        <v>4083</v>
      </c>
      <c r="F7894">
        <v>1</v>
      </c>
      <c r="G7894" t="s">
        <v>16</v>
      </c>
      <c r="H7894">
        <v>0</v>
      </c>
      <c r="I7894" s="2" t="s">
        <v>737</v>
      </c>
      <c r="J7894" s="2" t="s">
        <v>17574</v>
      </c>
      <c r="K7894">
        <v>20</v>
      </c>
      <c r="L7894">
        <v>20</v>
      </c>
      <c r="M7894">
        <v>20</v>
      </c>
    </row>
    <row r="7895" spans="1:13" x14ac:dyDescent="0.25">
      <c r="A7895" t="s">
        <v>17575</v>
      </c>
      <c r="B7895" t="s">
        <v>17577</v>
      </c>
      <c r="C7895" t="s">
        <v>496</v>
      </c>
      <c r="D7895" t="s">
        <v>2360</v>
      </c>
      <c r="F7895">
        <v>4</v>
      </c>
      <c r="G7895" t="s">
        <v>16</v>
      </c>
      <c r="H7895">
        <v>0</v>
      </c>
      <c r="I7895" s="2" t="s">
        <v>765</v>
      </c>
      <c r="J7895" s="2" t="s">
        <v>17576</v>
      </c>
      <c r="K7895">
        <v>20</v>
      </c>
      <c r="L7895">
        <v>20</v>
      </c>
      <c r="M7895">
        <v>20</v>
      </c>
    </row>
    <row r="7896" spans="1:13" x14ac:dyDescent="0.25">
      <c r="A7896" t="s">
        <v>17578</v>
      </c>
      <c r="B7896" t="s">
        <v>17577</v>
      </c>
      <c r="C7896" t="s">
        <v>496</v>
      </c>
      <c r="D7896" t="s">
        <v>2360</v>
      </c>
      <c r="G7896" t="s">
        <v>16</v>
      </c>
      <c r="H7896">
        <v>0</v>
      </c>
      <c r="I7896" s="2" t="s">
        <v>2533</v>
      </c>
      <c r="J7896" s="2" t="s">
        <v>17579</v>
      </c>
      <c r="K7896">
        <v>20</v>
      </c>
      <c r="L7896">
        <v>20</v>
      </c>
      <c r="M7896">
        <v>20</v>
      </c>
    </row>
    <row r="7897" spans="1:13" x14ac:dyDescent="0.25">
      <c r="A7897" t="s">
        <v>17580</v>
      </c>
      <c r="B7897" t="s">
        <v>17581</v>
      </c>
      <c r="C7897" t="s">
        <v>496</v>
      </c>
      <c r="D7897" t="s">
        <v>2360</v>
      </c>
      <c r="F7897">
        <v>3</v>
      </c>
      <c r="G7897" t="s">
        <v>16</v>
      </c>
      <c r="H7897">
        <v>0</v>
      </c>
      <c r="I7897" s="2" t="s">
        <v>64</v>
      </c>
      <c r="J7897" s="2">
        <v>13040151</v>
      </c>
      <c r="K7897">
        <v>20</v>
      </c>
      <c r="L7897">
        <v>20</v>
      </c>
      <c r="M7897">
        <v>20</v>
      </c>
    </row>
    <row r="7898" spans="1:13" x14ac:dyDescent="0.25">
      <c r="A7898" t="s">
        <v>17582</v>
      </c>
      <c r="B7898" t="s">
        <v>17577</v>
      </c>
      <c r="C7898" t="s">
        <v>496</v>
      </c>
      <c r="D7898" t="s">
        <v>2360</v>
      </c>
      <c r="F7898">
        <v>2</v>
      </c>
      <c r="G7898" t="s">
        <v>16</v>
      </c>
      <c r="H7898">
        <v>0</v>
      </c>
      <c r="I7898" s="2" t="s">
        <v>5267</v>
      </c>
      <c r="J7898" s="2" t="s">
        <v>17583</v>
      </c>
      <c r="K7898">
        <v>20</v>
      </c>
      <c r="L7898">
        <v>20</v>
      </c>
      <c r="M7898">
        <v>20</v>
      </c>
    </row>
    <row r="7899" spans="1:13" x14ac:dyDescent="0.25">
      <c r="A7899" t="s">
        <v>17584</v>
      </c>
      <c r="B7899" t="s">
        <v>17577</v>
      </c>
      <c r="C7899" t="s">
        <v>496</v>
      </c>
      <c r="D7899" t="s">
        <v>2360</v>
      </c>
      <c r="F7899">
        <v>2</v>
      </c>
      <c r="G7899" t="s">
        <v>16</v>
      </c>
      <c r="H7899">
        <v>0</v>
      </c>
      <c r="I7899" s="2" t="s">
        <v>5044</v>
      </c>
      <c r="J7899" s="2" t="s">
        <v>17585</v>
      </c>
      <c r="K7899">
        <v>20</v>
      </c>
      <c r="L7899">
        <v>20</v>
      </c>
      <c r="M7899">
        <v>20</v>
      </c>
    </row>
    <row r="7900" spans="1:13" x14ac:dyDescent="0.25">
      <c r="A7900" t="s">
        <v>17586</v>
      </c>
      <c r="B7900" t="s">
        <v>17587</v>
      </c>
      <c r="C7900" t="s">
        <v>151</v>
      </c>
      <c r="F7900">
        <v>1</v>
      </c>
      <c r="G7900" t="s">
        <v>16</v>
      </c>
      <c r="H7900">
        <v>0</v>
      </c>
      <c r="I7900" s="2" t="s">
        <v>710</v>
      </c>
      <c r="J7900" s="3">
        <v>103080</v>
      </c>
      <c r="K7900">
        <v>20</v>
      </c>
      <c r="L7900">
        <v>20</v>
      </c>
      <c r="M7900">
        <v>20</v>
      </c>
    </row>
    <row r="7901" spans="1:13" x14ac:dyDescent="0.25">
      <c r="A7901" t="s">
        <v>17588</v>
      </c>
      <c r="B7901" t="s">
        <v>17589</v>
      </c>
      <c r="C7901" t="s">
        <v>496</v>
      </c>
      <c r="D7901" t="s">
        <v>2360</v>
      </c>
      <c r="G7901" t="s">
        <v>16</v>
      </c>
      <c r="H7901">
        <v>0</v>
      </c>
      <c r="I7901" s="2" t="s">
        <v>2517</v>
      </c>
      <c r="J7901" s="2" t="s">
        <v>17590</v>
      </c>
      <c r="K7901">
        <v>20</v>
      </c>
      <c r="L7901">
        <v>20</v>
      </c>
      <c r="M7901">
        <v>20</v>
      </c>
    </row>
    <row r="7902" spans="1:13" x14ac:dyDescent="0.25">
      <c r="A7902" t="s">
        <v>17591</v>
      </c>
      <c r="B7902" t="s">
        <v>17592</v>
      </c>
      <c r="C7902" t="s">
        <v>496</v>
      </c>
      <c r="D7902" t="s">
        <v>2360</v>
      </c>
      <c r="G7902" t="s">
        <v>16</v>
      </c>
      <c r="H7902">
        <v>0</v>
      </c>
      <c r="I7902" s="2" t="s">
        <v>2533</v>
      </c>
      <c r="J7902" s="2" t="s">
        <v>17593</v>
      </c>
      <c r="K7902">
        <v>20</v>
      </c>
      <c r="L7902">
        <v>20</v>
      </c>
      <c r="M7902">
        <v>20</v>
      </c>
    </row>
    <row r="7903" spans="1:13" x14ac:dyDescent="0.25">
      <c r="A7903" t="s">
        <v>17594</v>
      </c>
      <c r="B7903" t="s">
        <v>17595</v>
      </c>
      <c r="C7903" t="s">
        <v>151</v>
      </c>
      <c r="F7903">
        <v>1</v>
      </c>
      <c r="G7903" t="s">
        <v>16</v>
      </c>
      <c r="H7903">
        <v>0</v>
      </c>
      <c r="I7903" s="2" t="s">
        <v>712</v>
      </c>
      <c r="J7903" s="2">
        <v>75614318</v>
      </c>
      <c r="K7903">
        <v>20</v>
      </c>
      <c r="L7903">
        <v>20</v>
      </c>
      <c r="M7903">
        <v>20</v>
      </c>
    </row>
    <row r="7904" spans="1:13" x14ac:dyDescent="0.25">
      <c r="A7904" t="s">
        <v>17596</v>
      </c>
      <c r="B7904" t="s">
        <v>17598</v>
      </c>
      <c r="C7904" t="s">
        <v>362</v>
      </c>
      <c r="D7904" t="s">
        <v>4091</v>
      </c>
      <c r="F7904">
        <v>1</v>
      </c>
      <c r="G7904" t="s">
        <v>16</v>
      </c>
      <c r="H7904">
        <v>0</v>
      </c>
      <c r="I7904" s="2" t="s">
        <v>288</v>
      </c>
      <c r="J7904" s="2" t="s">
        <v>17597</v>
      </c>
      <c r="K7904">
        <v>20</v>
      </c>
      <c r="L7904">
        <v>20</v>
      </c>
      <c r="M7904">
        <v>20</v>
      </c>
    </row>
    <row r="7905" spans="1:13" x14ac:dyDescent="0.25">
      <c r="A7905" t="s">
        <v>17599</v>
      </c>
      <c r="B7905" t="s">
        <v>17600</v>
      </c>
      <c r="C7905" t="s">
        <v>496</v>
      </c>
      <c r="F7905">
        <v>2</v>
      </c>
      <c r="G7905" t="s">
        <v>16</v>
      </c>
      <c r="H7905">
        <v>0</v>
      </c>
      <c r="I7905" s="2" t="s">
        <v>2533</v>
      </c>
      <c r="J7905" s="2" t="s">
        <v>17601</v>
      </c>
      <c r="K7905">
        <v>20</v>
      </c>
      <c r="L7905">
        <v>20</v>
      </c>
      <c r="M7905">
        <v>20</v>
      </c>
    </row>
    <row r="7906" spans="1:13" x14ac:dyDescent="0.25">
      <c r="A7906" t="s">
        <v>17602</v>
      </c>
      <c r="B7906" t="s">
        <v>17603</v>
      </c>
      <c r="C7906" t="s">
        <v>496</v>
      </c>
      <c r="F7906">
        <v>2</v>
      </c>
      <c r="G7906" t="s">
        <v>16</v>
      </c>
      <c r="H7906">
        <v>0</v>
      </c>
      <c r="I7906" s="2" t="s">
        <v>2517</v>
      </c>
      <c r="J7906" s="2" t="s">
        <v>17604</v>
      </c>
      <c r="K7906">
        <v>20</v>
      </c>
      <c r="L7906">
        <v>20</v>
      </c>
      <c r="M7906">
        <v>20</v>
      </c>
    </row>
    <row r="7907" spans="1:13" x14ac:dyDescent="0.25">
      <c r="A7907" t="s">
        <v>17605</v>
      </c>
      <c r="B7907" t="s">
        <v>17607</v>
      </c>
      <c r="C7907" t="s">
        <v>357</v>
      </c>
      <c r="D7907" t="s">
        <v>358</v>
      </c>
      <c r="F7907">
        <v>2</v>
      </c>
      <c r="G7907" t="s">
        <v>16</v>
      </c>
      <c r="H7907">
        <v>0</v>
      </c>
      <c r="I7907" s="2" t="s">
        <v>765</v>
      </c>
      <c r="J7907" s="2" t="s">
        <v>17606</v>
      </c>
      <c r="K7907">
        <v>20</v>
      </c>
      <c r="L7907">
        <v>20</v>
      </c>
      <c r="M7907">
        <v>20</v>
      </c>
    </row>
    <row r="7908" spans="1:13" x14ac:dyDescent="0.25">
      <c r="A7908" t="s">
        <v>17608</v>
      </c>
      <c r="B7908" t="s">
        <v>17609</v>
      </c>
      <c r="C7908" t="s">
        <v>357</v>
      </c>
      <c r="D7908" t="s">
        <v>358</v>
      </c>
      <c r="G7908" t="s">
        <v>16</v>
      </c>
      <c r="H7908">
        <v>0</v>
      </c>
      <c r="I7908" s="2" t="s">
        <v>1200</v>
      </c>
      <c r="J7908" s="2" t="s">
        <v>17610</v>
      </c>
      <c r="K7908">
        <v>20</v>
      </c>
      <c r="L7908">
        <v>20</v>
      </c>
      <c r="M7908">
        <v>20</v>
      </c>
    </row>
    <row r="7909" spans="1:13" x14ac:dyDescent="0.25">
      <c r="A7909" t="s">
        <v>17611</v>
      </c>
      <c r="B7909" t="s">
        <v>17612</v>
      </c>
      <c r="C7909" t="s">
        <v>362</v>
      </c>
      <c r="D7909" t="s">
        <v>10325</v>
      </c>
      <c r="F7909">
        <v>2</v>
      </c>
      <c r="G7909" t="s">
        <v>16</v>
      </c>
      <c r="H7909">
        <v>0</v>
      </c>
      <c r="I7909" s="2" t="s">
        <v>1175</v>
      </c>
      <c r="J7909" s="2" t="s">
        <v>17613</v>
      </c>
      <c r="K7909">
        <v>20</v>
      </c>
      <c r="L7909">
        <v>20</v>
      </c>
      <c r="M7909">
        <v>20</v>
      </c>
    </row>
    <row r="7910" spans="1:13" x14ac:dyDescent="0.25">
      <c r="A7910" t="s">
        <v>17614</v>
      </c>
      <c r="B7910" t="s">
        <v>17615</v>
      </c>
      <c r="C7910" t="s">
        <v>151</v>
      </c>
      <c r="D7910" t="s">
        <v>706</v>
      </c>
      <c r="F7910">
        <v>1</v>
      </c>
      <c r="G7910" t="s">
        <v>16</v>
      </c>
      <c r="H7910">
        <v>0</v>
      </c>
      <c r="I7910" s="2" t="s">
        <v>142</v>
      </c>
      <c r="J7910" s="2" t="s">
        <v>17616</v>
      </c>
      <c r="K7910">
        <v>20</v>
      </c>
      <c r="L7910">
        <v>20</v>
      </c>
      <c r="M7910">
        <v>20</v>
      </c>
    </row>
    <row r="7911" spans="1:13" x14ac:dyDescent="0.25">
      <c r="A7911" t="s">
        <v>17617</v>
      </c>
      <c r="B7911" t="s">
        <v>17618</v>
      </c>
      <c r="C7911" t="s">
        <v>151</v>
      </c>
      <c r="D7911" t="s">
        <v>1092</v>
      </c>
      <c r="F7911">
        <v>2</v>
      </c>
      <c r="G7911" t="s">
        <v>16</v>
      </c>
      <c r="H7911">
        <v>0</v>
      </c>
      <c r="I7911" s="2" t="s">
        <v>2542</v>
      </c>
      <c r="K7911">
        <v>20</v>
      </c>
      <c r="L7911">
        <v>20</v>
      </c>
      <c r="M7911">
        <v>20</v>
      </c>
    </row>
    <row r="7912" spans="1:13" x14ac:dyDescent="0.25">
      <c r="A7912" t="s">
        <v>17619</v>
      </c>
      <c r="B7912" t="s">
        <v>17620</v>
      </c>
      <c r="C7912" t="s">
        <v>151</v>
      </c>
      <c r="D7912" t="s">
        <v>1092</v>
      </c>
      <c r="F7912">
        <v>1</v>
      </c>
      <c r="G7912" t="s">
        <v>16</v>
      </c>
      <c r="H7912">
        <v>0</v>
      </c>
      <c r="I7912" s="2" t="s">
        <v>1175</v>
      </c>
      <c r="J7912" s="2" t="s">
        <v>17621</v>
      </c>
      <c r="K7912">
        <v>20</v>
      </c>
      <c r="L7912">
        <v>20</v>
      </c>
      <c r="M7912">
        <v>20</v>
      </c>
    </row>
    <row r="7913" spans="1:13" x14ac:dyDescent="0.25">
      <c r="A7913" t="s">
        <v>17622</v>
      </c>
      <c r="B7913" t="s">
        <v>17623</v>
      </c>
      <c r="C7913" t="s">
        <v>151</v>
      </c>
      <c r="D7913" t="s">
        <v>1092</v>
      </c>
      <c r="F7913">
        <v>2</v>
      </c>
      <c r="G7913" t="s">
        <v>16</v>
      </c>
      <c r="H7913">
        <v>0</v>
      </c>
      <c r="K7913">
        <v>20</v>
      </c>
      <c r="L7913">
        <v>20</v>
      </c>
      <c r="M7913">
        <v>20</v>
      </c>
    </row>
    <row r="7914" spans="1:13" x14ac:dyDescent="0.25">
      <c r="A7914" t="s">
        <v>17624</v>
      </c>
      <c r="B7914" t="s">
        <v>17625</v>
      </c>
      <c r="C7914" t="s">
        <v>151</v>
      </c>
      <c r="D7914" t="s">
        <v>1092</v>
      </c>
      <c r="F7914">
        <v>1</v>
      </c>
      <c r="G7914" t="s">
        <v>16</v>
      </c>
      <c r="H7914">
        <v>0</v>
      </c>
      <c r="I7914" s="2" t="s">
        <v>1175</v>
      </c>
      <c r="J7914" s="2" t="s">
        <v>17626</v>
      </c>
      <c r="K7914">
        <v>20</v>
      </c>
      <c r="L7914">
        <v>20</v>
      </c>
      <c r="M7914">
        <v>20</v>
      </c>
    </row>
    <row r="7915" spans="1:13" x14ac:dyDescent="0.25">
      <c r="A7915" t="s">
        <v>17627</v>
      </c>
      <c r="B7915" t="s">
        <v>17628</v>
      </c>
      <c r="C7915" t="s">
        <v>496</v>
      </c>
      <c r="D7915" t="s">
        <v>2360</v>
      </c>
      <c r="F7915">
        <v>2</v>
      </c>
      <c r="G7915" t="s">
        <v>16</v>
      </c>
      <c r="H7915">
        <v>0</v>
      </c>
      <c r="I7915" s="2" t="s">
        <v>5500</v>
      </c>
      <c r="J7915" s="2" t="s">
        <v>17629</v>
      </c>
      <c r="K7915">
        <v>20</v>
      </c>
      <c r="L7915">
        <v>20</v>
      </c>
      <c r="M7915">
        <v>20</v>
      </c>
    </row>
    <row r="7916" spans="1:13" x14ac:dyDescent="0.25">
      <c r="A7916" t="s">
        <v>17630</v>
      </c>
      <c r="B7916" t="s">
        <v>17631</v>
      </c>
      <c r="C7916" t="s">
        <v>496</v>
      </c>
      <c r="D7916" t="s">
        <v>2360</v>
      </c>
      <c r="F7916">
        <v>4</v>
      </c>
      <c r="G7916" t="s">
        <v>16</v>
      </c>
      <c r="H7916">
        <v>0</v>
      </c>
      <c r="I7916" s="2" t="s">
        <v>5044</v>
      </c>
      <c r="J7916" s="2" t="s">
        <v>17632</v>
      </c>
      <c r="K7916">
        <v>20</v>
      </c>
      <c r="L7916">
        <v>20</v>
      </c>
      <c r="M7916">
        <v>20</v>
      </c>
    </row>
    <row r="7917" spans="1:13" x14ac:dyDescent="0.25">
      <c r="A7917" t="s">
        <v>17633</v>
      </c>
      <c r="B7917" t="s">
        <v>17634</v>
      </c>
      <c r="C7917" t="s">
        <v>496</v>
      </c>
      <c r="F7917">
        <v>1</v>
      </c>
      <c r="G7917" t="s">
        <v>16</v>
      </c>
      <c r="H7917">
        <v>0</v>
      </c>
      <c r="I7917" s="2" t="s">
        <v>1175</v>
      </c>
      <c r="J7917" s="2" t="s">
        <v>17635</v>
      </c>
      <c r="K7917">
        <v>20</v>
      </c>
      <c r="L7917">
        <v>20</v>
      </c>
      <c r="M7917">
        <v>20</v>
      </c>
    </row>
    <row r="7918" spans="1:13" x14ac:dyDescent="0.25">
      <c r="A7918" t="s">
        <v>17636</v>
      </c>
      <c r="B7918" t="s">
        <v>17638</v>
      </c>
      <c r="C7918" t="s">
        <v>496</v>
      </c>
      <c r="D7918" t="s">
        <v>2360</v>
      </c>
      <c r="G7918" t="s">
        <v>16</v>
      </c>
      <c r="H7918">
        <v>0</v>
      </c>
      <c r="I7918" s="2" t="s">
        <v>288</v>
      </c>
      <c r="J7918" s="2" t="s">
        <v>17637</v>
      </c>
      <c r="K7918">
        <v>20</v>
      </c>
      <c r="L7918">
        <v>20</v>
      </c>
      <c r="M7918">
        <v>20</v>
      </c>
    </row>
    <row r="7919" spans="1:13" x14ac:dyDescent="0.25">
      <c r="A7919" t="s">
        <v>17639</v>
      </c>
      <c r="B7919" t="s">
        <v>17638</v>
      </c>
      <c r="C7919" t="s">
        <v>496</v>
      </c>
      <c r="D7919" t="s">
        <v>2360</v>
      </c>
      <c r="F7919">
        <v>1</v>
      </c>
      <c r="G7919" t="s">
        <v>16</v>
      </c>
      <c r="H7919">
        <v>0</v>
      </c>
      <c r="I7919" s="2" t="s">
        <v>2533</v>
      </c>
      <c r="J7919" s="2" t="s">
        <v>17640</v>
      </c>
      <c r="K7919">
        <v>20</v>
      </c>
      <c r="L7919">
        <v>20</v>
      </c>
      <c r="M7919">
        <v>20</v>
      </c>
    </row>
    <row r="7920" spans="1:13" x14ac:dyDescent="0.25">
      <c r="A7920" t="s">
        <v>17641</v>
      </c>
      <c r="B7920" t="s">
        <v>17643</v>
      </c>
      <c r="C7920" t="s">
        <v>496</v>
      </c>
      <c r="D7920" t="s">
        <v>2360</v>
      </c>
      <c r="G7920" t="s">
        <v>16</v>
      </c>
      <c r="H7920">
        <v>0</v>
      </c>
      <c r="I7920" s="2" t="s">
        <v>288</v>
      </c>
      <c r="J7920" s="2" t="s">
        <v>17642</v>
      </c>
      <c r="K7920">
        <v>20</v>
      </c>
      <c r="L7920">
        <v>20</v>
      </c>
      <c r="M7920">
        <v>20</v>
      </c>
    </row>
    <row r="7921" spans="1:13" x14ac:dyDescent="0.25">
      <c r="A7921" t="s">
        <v>17644</v>
      </c>
      <c r="B7921" t="s">
        <v>17643</v>
      </c>
      <c r="C7921" t="s">
        <v>496</v>
      </c>
      <c r="D7921" t="s">
        <v>2360</v>
      </c>
      <c r="F7921">
        <v>1</v>
      </c>
      <c r="G7921" t="s">
        <v>16</v>
      </c>
      <c r="H7921">
        <v>0</v>
      </c>
      <c r="I7921" s="2" t="s">
        <v>2517</v>
      </c>
      <c r="J7921" s="2" t="s">
        <v>17645</v>
      </c>
      <c r="K7921">
        <v>20</v>
      </c>
      <c r="L7921">
        <v>20</v>
      </c>
      <c r="M7921">
        <v>20</v>
      </c>
    </row>
    <row r="7922" spans="1:13" x14ac:dyDescent="0.25">
      <c r="A7922" t="s">
        <v>17646</v>
      </c>
      <c r="B7922" t="s">
        <v>17647</v>
      </c>
      <c r="C7922" t="s">
        <v>1736</v>
      </c>
      <c r="F7922">
        <v>1</v>
      </c>
      <c r="G7922" t="s">
        <v>16</v>
      </c>
      <c r="H7922">
        <v>0</v>
      </c>
      <c r="I7922" s="2" t="s">
        <v>712</v>
      </c>
      <c r="J7922" s="2">
        <v>65451055</v>
      </c>
      <c r="K7922">
        <v>20</v>
      </c>
      <c r="L7922">
        <v>20</v>
      </c>
      <c r="M7922">
        <v>20</v>
      </c>
    </row>
    <row r="7923" spans="1:13" x14ac:dyDescent="0.25">
      <c r="A7923" t="s">
        <v>17648</v>
      </c>
      <c r="B7923" t="s">
        <v>17649</v>
      </c>
      <c r="C7923" t="s">
        <v>357</v>
      </c>
      <c r="D7923" t="s">
        <v>792</v>
      </c>
      <c r="F7923">
        <v>2</v>
      </c>
      <c r="G7923" t="s">
        <v>16</v>
      </c>
      <c r="H7923">
        <v>0</v>
      </c>
      <c r="I7923" s="2" t="s">
        <v>2645</v>
      </c>
      <c r="J7923" s="2">
        <v>28500008</v>
      </c>
      <c r="K7923">
        <v>20</v>
      </c>
      <c r="L7923">
        <v>20</v>
      </c>
      <c r="M7923">
        <v>20</v>
      </c>
    </row>
    <row r="7924" spans="1:13" x14ac:dyDescent="0.25">
      <c r="A7924" t="s">
        <v>17650</v>
      </c>
      <c r="B7924" t="s">
        <v>17651</v>
      </c>
      <c r="C7924" t="s">
        <v>20</v>
      </c>
      <c r="D7924" t="s">
        <v>894</v>
      </c>
      <c r="F7924">
        <v>1</v>
      </c>
      <c r="G7924" t="s">
        <v>16</v>
      </c>
      <c r="H7924">
        <v>0</v>
      </c>
      <c r="I7924" s="2" t="s">
        <v>301</v>
      </c>
      <c r="J7924" s="2">
        <v>25201366</v>
      </c>
      <c r="K7924">
        <v>20</v>
      </c>
      <c r="L7924">
        <v>20</v>
      </c>
      <c r="M7924">
        <v>20</v>
      </c>
    </row>
    <row r="7925" spans="1:13" x14ac:dyDescent="0.25">
      <c r="A7925" t="s">
        <v>17652</v>
      </c>
      <c r="B7925" t="s">
        <v>17653</v>
      </c>
      <c r="C7925" t="s">
        <v>20</v>
      </c>
      <c r="D7925" t="s">
        <v>26</v>
      </c>
      <c r="F7925">
        <v>1</v>
      </c>
      <c r="G7925" t="s">
        <v>16</v>
      </c>
      <c r="H7925">
        <v>0</v>
      </c>
      <c r="I7925" s="2" t="s">
        <v>97</v>
      </c>
      <c r="J7925" s="3">
        <v>196180</v>
      </c>
      <c r="K7925">
        <v>20</v>
      </c>
      <c r="L7925">
        <v>20</v>
      </c>
      <c r="M7925">
        <v>20</v>
      </c>
    </row>
    <row r="7926" spans="1:13" x14ac:dyDescent="0.25">
      <c r="A7926" t="s">
        <v>17654</v>
      </c>
      <c r="B7926" t="s">
        <v>17655</v>
      </c>
      <c r="C7926" t="s">
        <v>20</v>
      </c>
      <c r="D7926" t="s">
        <v>26</v>
      </c>
      <c r="F7926">
        <v>1</v>
      </c>
      <c r="G7926" t="s">
        <v>16</v>
      </c>
      <c r="H7926">
        <v>0</v>
      </c>
      <c r="I7926" s="2" t="s">
        <v>99</v>
      </c>
      <c r="J7926" s="3">
        <v>938260</v>
      </c>
      <c r="K7926">
        <v>20</v>
      </c>
      <c r="L7926">
        <v>20</v>
      </c>
      <c r="M7926">
        <v>20</v>
      </c>
    </row>
    <row r="7927" spans="1:13" x14ac:dyDescent="0.25">
      <c r="A7927" t="s">
        <v>17656</v>
      </c>
      <c r="B7927" t="s">
        <v>17657</v>
      </c>
      <c r="C7927" t="s">
        <v>362</v>
      </c>
      <c r="D7927" t="s">
        <v>2545</v>
      </c>
      <c r="F7927">
        <v>1</v>
      </c>
      <c r="G7927" t="s">
        <v>16</v>
      </c>
      <c r="H7927">
        <v>0</v>
      </c>
      <c r="I7927" s="2" t="s">
        <v>500</v>
      </c>
      <c r="J7927" s="2" t="s">
        <v>17658</v>
      </c>
      <c r="K7927">
        <v>20</v>
      </c>
      <c r="L7927">
        <v>20</v>
      </c>
      <c r="M7927">
        <v>20</v>
      </c>
    </row>
    <row r="7928" spans="1:13" x14ac:dyDescent="0.25">
      <c r="A7928" t="s">
        <v>17659</v>
      </c>
      <c r="B7928" t="s">
        <v>17660</v>
      </c>
      <c r="C7928" t="s">
        <v>151</v>
      </c>
      <c r="D7928" t="s">
        <v>11302</v>
      </c>
      <c r="F7928">
        <v>1</v>
      </c>
      <c r="G7928" t="s">
        <v>16</v>
      </c>
      <c r="H7928">
        <v>0</v>
      </c>
      <c r="I7928" s="2" t="s">
        <v>1488</v>
      </c>
      <c r="J7928" s="3">
        <v>108073</v>
      </c>
      <c r="K7928">
        <v>20</v>
      </c>
      <c r="L7928">
        <v>20</v>
      </c>
      <c r="M7928">
        <v>20</v>
      </c>
    </row>
    <row r="7929" spans="1:13" x14ac:dyDescent="0.25">
      <c r="A7929">
        <v>96420303</v>
      </c>
      <c r="B7929" t="s">
        <v>17661</v>
      </c>
      <c r="C7929" t="s">
        <v>357</v>
      </c>
      <c r="D7929" t="s">
        <v>2026</v>
      </c>
      <c r="G7929" t="s">
        <v>16</v>
      </c>
      <c r="H7929">
        <v>0</v>
      </c>
      <c r="K7929">
        <v>20</v>
      </c>
      <c r="L7929">
        <v>20</v>
      </c>
      <c r="M7929">
        <v>20</v>
      </c>
    </row>
    <row r="7930" spans="1:13" x14ac:dyDescent="0.25">
      <c r="A7930" t="s">
        <v>17662</v>
      </c>
      <c r="B7930" t="s">
        <v>17663</v>
      </c>
      <c r="C7930" t="s">
        <v>151</v>
      </c>
      <c r="D7930" t="s">
        <v>11302</v>
      </c>
      <c r="F7930">
        <v>1</v>
      </c>
      <c r="G7930" t="s">
        <v>16</v>
      </c>
      <c r="H7930">
        <v>0</v>
      </c>
      <c r="I7930" s="2" t="s">
        <v>715</v>
      </c>
      <c r="J7930" s="2" t="s">
        <v>17664</v>
      </c>
      <c r="K7930">
        <v>20</v>
      </c>
      <c r="L7930">
        <v>20</v>
      </c>
      <c r="M7930">
        <v>20</v>
      </c>
    </row>
    <row r="7931" spans="1:13" x14ac:dyDescent="0.25">
      <c r="A7931" t="s">
        <v>17665</v>
      </c>
      <c r="B7931" t="s">
        <v>17666</v>
      </c>
      <c r="C7931" t="s">
        <v>241</v>
      </c>
      <c r="D7931" t="s">
        <v>262</v>
      </c>
      <c r="F7931">
        <v>1</v>
      </c>
      <c r="G7931" t="s">
        <v>16</v>
      </c>
      <c r="H7931">
        <v>0</v>
      </c>
      <c r="I7931" s="2" t="s">
        <v>737</v>
      </c>
      <c r="J7931" s="2" t="s">
        <v>17667</v>
      </c>
      <c r="K7931">
        <v>20</v>
      </c>
      <c r="L7931">
        <v>20</v>
      </c>
      <c r="M7931">
        <v>20</v>
      </c>
    </row>
    <row r="7932" spans="1:13" x14ac:dyDescent="0.25">
      <c r="A7932" t="s">
        <v>17668</v>
      </c>
      <c r="B7932" t="s">
        <v>17669</v>
      </c>
      <c r="C7932" t="s">
        <v>241</v>
      </c>
      <c r="D7932" t="s">
        <v>262</v>
      </c>
      <c r="F7932">
        <v>1</v>
      </c>
      <c r="G7932" t="s">
        <v>16</v>
      </c>
      <c r="H7932">
        <v>0</v>
      </c>
      <c r="I7932" s="2" t="s">
        <v>2114</v>
      </c>
      <c r="J7932" s="2">
        <v>96439859</v>
      </c>
      <c r="K7932">
        <v>20</v>
      </c>
      <c r="L7932">
        <v>20</v>
      </c>
      <c r="M7932">
        <v>20</v>
      </c>
    </row>
    <row r="7933" spans="1:13" x14ac:dyDescent="0.25">
      <c r="A7933" t="s">
        <v>17670</v>
      </c>
      <c r="B7933" t="s">
        <v>17671</v>
      </c>
      <c r="C7933" t="s">
        <v>20</v>
      </c>
      <c r="D7933" t="s">
        <v>26</v>
      </c>
      <c r="F7933">
        <v>16</v>
      </c>
      <c r="G7933" t="s">
        <v>16</v>
      </c>
      <c r="H7933">
        <v>0</v>
      </c>
      <c r="I7933" s="2" t="s">
        <v>97</v>
      </c>
      <c r="J7933" s="3">
        <v>574330</v>
      </c>
      <c r="K7933">
        <v>20</v>
      </c>
      <c r="L7933">
        <v>20</v>
      </c>
      <c r="M7933">
        <v>20</v>
      </c>
    </row>
    <row r="7934" spans="1:13" x14ac:dyDescent="0.25">
      <c r="A7934" t="s">
        <v>17672</v>
      </c>
      <c r="B7934" t="s">
        <v>17673</v>
      </c>
      <c r="C7934" t="s">
        <v>20</v>
      </c>
      <c r="D7934" t="s">
        <v>161</v>
      </c>
      <c r="G7934" t="s">
        <v>16</v>
      </c>
      <c r="H7934">
        <v>0</v>
      </c>
      <c r="I7934" s="2" t="s">
        <v>142</v>
      </c>
      <c r="J7934" s="2" t="s">
        <v>17674</v>
      </c>
      <c r="K7934">
        <v>20</v>
      </c>
      <c r="L7934">
        <v>20</v>
      </c>
      <c r="M7934">
        <v>20</v>
      </c>
    </row>
    <row r="7935" spans="1:13" x14ac:dyDescent="0.25">
      <c r="A7935" t="s">
        <v>17675</v>
      </c>
      <c r="B7935" t="s">
        <v>17676</v>
      </c>
      <c r="C7935" t="s">
        <v>20</v>
      </c>
      <c r="D7935" t="s">
        <v>26</v>
      </c>
      <c r="F7935">
        <v>1</v>
      </c>
      <c r="G7935" t="s">
        <v>16</v>
      </c>
      <c r="H7935">
        <v>0</v>
      </c>
      <c r="I7935" s="2" t="s">
        <v>97</v>
      </c>
      <c r="J7935" s="3">
        <v>583030</v>
      </c>
      <c r="K7935">
        <v>20</v>
      </c>
      <c r="L7935">
        <v>20</v>
      </c>
      <c r="M7935">
        <v>20</v>
      </c>
    </row>
    <row r="7936" spans="1:13" x14ac:dyDescent="0.25">
      <c r="A7936" t="s">
        <v>17677</v>
      </c>
      <c r="B7936" t="s">
        <v>17678</v>
      </c>
      <c r="C7936" t="s">
        <v>20</v>
      </c>
      <c r="D7936" t="s">
        <v>26</v>
      </c>
      <c r="G7936" t="s">
        <v>16</v>
      </c>
      <c r="H7936">
        <v>0</v>
      </c>
      <c r="I7936" s="2" t="s">
        <v>104</v>
      </c>
      <c r="J7936" s="2" t="s">
        <v>17679</v>
      </c>
      <c r="K7936">
        <v>20</v>
      </c>
      <c r="L7936">
        <v>20</v>
      </c>
      <c r="M7936">
        <v>20</v>
      </c>
    </row>
    <row r="7937" spans="1:13" x14ac:dyDescent="0.25">
      <c r="A7937" t="s">
        <v>17680</v>
      </c>
      <c r="B7937" t="s">
        <v>17681</v>
      </c>
      <c r="C7937" t="s">
        <v>20</v>
      </c>
      <c r="D7937" t="s">
        <v>26</v>
      </c>
      <c r="G7937" t="s">
        <v>16</v>
      </c>
      <c r="H7937">
        <v>0</v>
      </c>
      <c r="I7937" s="2" t="s">
        <v>142</v>
      </c>
      <c r="J7937" s="2">
        <v>96440165</v>
      </c>
      <c r="K7937">
        <v>20</v>
      </c>
      <c r="L7937">
        <v>20</v>
      </c>
      <c r="M7937">
        <v>20</v>
      </c>
    </row>
    <row r="7938" spans="1:13" x14ac:dyDescent="0.25">
      <c r="A7938" t="s">
        <v>17682</v>
      </c>
      <c r="B7938" t="s">
        <v>17683</v>
      </c>
      <c r="C7938" t="s">
        <v>20</v>
      </c>
      <c r="D7938" t="s">
        <v>26</v>
      </c>
      <c r="G7938" t="s">
        <v>16</v>
      </c>
      <c r="H7938">
        <v>0</v>
      </c>
      <c r="I7938" s="2" t="s">
        <v>142</v>
      </c>
      <c r="J7938" s="2" t="s">
        <v>17684</v>
      </c>
      <c r="K7938">
        <v>20</v>
      </c>
      <c r="L7938">
        <v>20</v>
      </c>
      <c r="M7938">
        <v>20</v>
      </c>
    </row>
    <row r="7939" spans="1:13" x14ac:dyDescent="0.25">
      <c r="A7939" t="s">
        <v>17685</v>
      </c>
      <c r="B7939" t="s">
        <v>17686</v>
      </c>
      <c r="C7939" t="s">
        <v>20</v>
      </c>
      <c r="D7939" t="s">
        <v>133</v>
      </c>
      <c r="G7939" t="s">
        <v>16</v>
      </c>
      <c r="H7939">
        <v>0</v>
      </c>
      <c r="I7939" s="2" t="s">
        <v>3286</v>
      </c>
      <c r="J7939" s="2" t="s">
        <v>17687</v>
      </c>
      <c r="K7939">
        <v>20</v>
      </c>
      <c r="L7939">
        <v>20</v>
      </c>
      <c r="M7939">
        <v>20</v>
      </c>
    </row>
    <row r="7940" spans="1:13" x14ac:dyDescent="0.25">
      <c r="A7940" t="s">
        <v>17688</v>
      </c>
      <c r="B7940" t="s">
        <v>17689</v>
      </c>
      <c r="C7940" t="s">
        <v>20</v>
      </c>
      <c r="D7940" t="s">
        <v>133</v>
      </c>
      <c r="G7940" t="s">
        <v>16</v>
      </c>
      <c r="H7940">
        <v>0</v>
      </c>
      <c r="I7940" s="2" t="s">
        <v>3421</v>
      </c>
      <c r="J7940" s="2" t="s">
        <v>17690</v>
      </c>
      <c r="K7940">
        <v>20</v>
      </c>
      <c r="L7940">
        <v>20</v>
      </c>
      <c r="M7940">
        <v>20</v>
      </c>
    </row>
    <row r="7941" spans="1:13" x14ac:dyDescent="0.25">
      <c r="A7941" t="s">
        <v>17691</v>
      </c>
      <c r="B7941" t="s">
        <v>17693</v>
      </c>
      <c r="C7941" t="s">
        <v>20</v>
      </c>
      <c r="D7941" t="s">
        <v>26</v>
      </c>
      <c r="G7941" t="s">
        <v>16</v>
      </c>
      <c r="H7941">
        <v>0</v>
      </c>
      <c r="I7941" s="2" t="s">
        <v>7801</v>
      </c>
      <c r="J7941" s="2" t="s">
        <v>17692</v>
      </c>
      <c r="K7941">
        <v>20</v>
      </c>
      <c r="L7941">
        <v>20</v>
      </c>
      <c r="M7941">
        <v>20</v>
      </c>
    </row>
    <row r="7942" spans="1:13" x14ac:dyDescent="0.25">
      <c r="A7942" t="s">
        <v>17694</v>
      </c>
      <c r="B7942" t="s">
        <v>17693</v>
      </c>
      <c r="C7942" t="s">
        <v>20</v>
      </c>
      <c r="D7942" t="s">
        <v>26</v>
      </c>
      <c r="G7942" t="s">
        <v>16</v>
      </c>
      <c r="H7942">
        <v>0</v>
      </c>
      <c r="I7942" s="2" t="s">
        <v>500</v>
      </c>
      <c r="J7942" s="2" t="s">
        <v>17695</v>
      </c>
      <c r="K7942">
        <v>20</v>
      </c>
      <c r="L7942">
        <v>20</v>
      </c>
      <c r="M7942">
        <v>20</v>
      </c>
    </row>
    <row r="7943" spans="1:13" x14ac:dyDescent="0.25">
      <c r="A7943">
        <v>96440311</v>
      </c>
      <c r="B7943" t="s">
        <v>17696</v>
      </c>
      <c r="C7943" t="s">
        <v>20</v>
      </c>
      <c r="D7943" t="s">
        <v>26</v>
      </c>
      <c r="G7943" t="s">
        <v>16</v>
      </c>
      <c r="H7943">
        <v>0</v>
      </c>
      <c r="I7943" s="2" t="s">
        <v>497</v>
      </c>
      <c r="J7943" s="2">
        <v>96440311</v>
      </c>
      <c r="K7943">
        <v>20</v>
      </c>
      <c r="L7943">
        <v>20</v>
      </c>
      <c r="M7943">
        <v>20</v>
      </c>
    </row>
    <row r="7944" spans="1:13" x14ac:dyDescent="0.25">
      <c r="A7944" t="s">
        <v>17697</v>
      </c>
      <c r="B7944" t="s">
        <v>17698</v>
      </c>
      <c r="C7944" t="s">
        <v>20</v>
      </c>
      <c r="D7944" t="s">
        <v>26</v>
      </c>
      <c r="F7944">
        <v>1</v>
      </c>
      <c r="G7944" t="s">
        <v>16</v>
      </c>
      <c r="H7944">
        <v>0</v>
      </c>
      <c r="I7944" s="2" t="s">
        <v>99</v>
      </c>
      <c r="J7944" s="3">
        <v>584280</v>
      </c>
      <c r="K7944">
        <v>20</v>
      </c>
      <c r="L7944">
        <v>20</v>
      </c>
      <c r="M7944">
        <v>20</v>
      </c>
    </row>
    <row r="7945" spans="1:13" x14ac:dyDescent="0.25">
      <c r="A7945" t="s">
        <v>17699</v>
      </c>
      <c r="B7945" t="s">
        <v>17700</v>
      </c>
      <c r="C7945" t="s">
        <v>20</v>
      </c>
      <c r="D7945" t="s">
        <v>26</v>
      </c>
      <c r="G7945" t="s">
        <v>16</v>
      </c>
      <c r="H7945">
        <v>0</v>
      </c>
      <c r="I7945" s="2" t="s">
        <v>99</v>
      </c>
      <c r="J7945" s="3">
        <v>373580</v>
      </c>
      <c r="K7945">
        <v>20</v>
      </c>
      <c r="L7945">
        <v>20</v>
      </c>
      <c r="M7945">
        <v>20</v>
      </c>
    </row>
    <row r="7946" spans="1:13" x14ac:dyDescent="0.25">
      <c r="A7946" t="s">
        <v>17701</v>
      </c>
      <c r="B7946" t="s">
        <v>17702</v>
      </c>
      <c r="C7946" t="s">
        <v>357</v>
      </c>
      <c r="D7946" t="s">
        <v>358</v>
      </c>
      <c r="F7946">
        <v>1</v>
      </c>
      <c r="G7946" t="s">
        <v>16</v>
      </c>
      <c r="H7946">
        <v>0</v>
      </c>
      <c r="I7946" s="2" t="s">
        <v>715</v>
      </c>
      <c r="J7946" s="2" t="s">
        <v>17703</v>
      </c>
      <c r="K7946">
        <v>20</v>
      </c>
      <c r="L7946">
        <v>20</v>
      </c>
      <c r="M7946">
        <v>20</v>
      </c>
    </row>
    <row r="7947" spans="1:13" x14ac:dyDescent="0.25">
      <c r="A7947" t="s">
        <v>17704</v>
      </c>
      <c r="B7947" t="s">
        <v>17705</v>
      </c>
      <c r="C7947" t="s">
        <v>20</v>
      </c>
      <c r="D7947" t="s">
        <v>26</v>
      </c>
      <c r="G7947" t="s">
        <v>16</v>
      </c>
      <c r="H7947">
        <v>0</v>
      </c>
      <c r="K7947">
        <v>20</v>
      </c>
      <c r="L7947">
        <v>20</v>
      </c>
      <c r="M7947">
        <v>20</v>
      </c>
    </row>
    <row r="7948" spans="1:13" x14ac:dyDescent="0.25">
      <c r="A7948" t="s">
        <v>17706</v>
      </c>
      <c r="B7948" t="s">
        <v>17708</v>
      </c>
      <c r="C7948" t="s">
        <v>20</v>
      </c>
      <c r="D7948" t="s">
        <v>894</v>
      </c>
      <c r="F7948">
        <v>1</v>
      </c>
      <c r="G7948" t="s">
        <v>16</v>
      </c>
      <c r="H7948">
        <v>0</v>
      </c>
      <c r="I7948" s="2" t="s">
        <v>288</v>
      </c>
      <c r="J7948" s="2" t="s">
        <v>17707</v>
      </c>
      <c r="K7948">
        <v>20</v>
      </c>
      <c r="L7948">
        <v>20</v>
      </c>
      <c r="M7948">
        <v>20</v>
      </c>
    </row>
    <row r="7949" spans="1:13" x14ac:dyDescent="0.25">
      <c r="A7949" t="s">
        <v>17709</v>
      </c>
      <c r="B7949" t="s">
        <v>17710</v>
      </c>
      <c r="C7949" t="s">
        <v>20</v>
      </c>
      <c r="D7949" t="s">
        <v>894</v>
      </c>
      <c r="F7949">
        <v>1</v>
      </c>
      <c r="G7949" t="s">
        <v>16</v>
      </c>
      <c r="H7949">
        <v>0</v>
      </c>
      <c r="I7949" s="2" t="s">
        <v>142</v>
      </c>
      <c r="J7949" s="2" t="s">
        <v>17711</v>
      </c>
      <c r="K7949">
        <v>20</v>
      </c>
      <c r="L7949">
        <v>20</v>
      </c>
      <c r="M7949">
        <v>20</v>
      </c>
    </row>
    <row r="7950" spans="1:13" x14ac:dyDescent="0.25">
      <c r="A7950" t="s">
        <v>17712</v>
      </c>
      <c r="B7950" t="s">
        <v>17710</v>
      </c>
      <c r="C7950" t="s">
        <v>20</v>
      </c>
      <c r="D7950" t="s">
        <v>894</v>
      </c>
      <c r="F7950">
        <v>1</v>
      </c>
      <c r="G7950" t="s">
        <v>16</v>
      </c>
      <c r="H7950">
        <v>0</v>
      </c>
      <c r="I7950" s="2" t="s">
        <v>765</v>
      </c>
      <c r="J7950" s="2" t="s">
        <v>17713</v>
      </c>
      <c r="K7950">
        <v>20</v>
      </c>
      <c r="L7950">
        <v>20</v>
      </c>
      <c r="M7950">
        <v>20</v>
      </c>
    </row>
    <row r="7951" spans="1:13" x14ac:dyDescent="0.25">
      <c r="A7951" t="s">
        <v>17714</v>
      </c>
      <c r="B7951" t="s">
        <v>17710</v>
      </c>
      <c r="C7951" t="s">
        <v>20</v>
      </c>
      <c r="D7951" t="s">
        <v>894</v>
      </c>
      <c r="F7951">
        <v>1</v>
      </c>
      <c r="G7951" t="s">
        <v>16</v>
      </c>
      <c r="H7951">
        <v>0</v>
      </c>
      <c r="I7951" s="2" t="s">
        <v>3724</v>
      </c>
      <c r="J7951" s="2" t="s">
        <v>17715</v>
      </c>
      <c r="K7951">
        <v>20</v>
      </c>
      <c r="L7951">
        <v>20</v>
      </c>
      <c r="M7951">
        <v>20</v>
      </c>
    </row>
    <row r="7952" spans="1:13" x14ac:dyDescent="0.25">
      <c r="A7952" t="s">
        <v>17716</v>
      </c>
      <c r="B7952" t="s">
        <v>17717</v>
      </c>
      <c r="C7952" t="s">
        <v>14</v>
      </c>
      <c r="D7952" t="s">
        <v>15</v>
      </c>
      <c r="F7952">
        <v>9</v>
      </c>
      <c r="G7952" t="s">
        <v>16</v>
      </c>
      <c r="H7952">
        <v>0</v>
      </c>
      <c r="I7952" s="2" t="s">
        <v>6939</v>
      </c>
      <c r="J7952" s="2" t="s">
        <v>17718</v>
      </c>
      <c r="K7952">
        <v>20</v>
      </c>
      <c r="L7952">
        <v>20</v>
      </c>
      <c r="M7952">
        <v>20</v>
      </c>
    </row>
    <row r="7953" spans="1:13" x14ac:dyDescent="0.25">
      <c r="A7953">
        <v>96443476</v>
      </c>
      <c r="B7953" t="s">
        <v>17719</v>
      </c>
      <c r="C7953" t="s">
        <v>357</v>
      </c>
      <c r="D7953" t="s">
        <v>1836</v>
      </c>
      <c r="F7953">
        <v>1</v>
      </c>
      <c r="G7953" t="s">
        <v>16</v>
      </c>
      <c r="H7953">
        <v>0</v>
      </c>
      <c r="I7953" s="2" t="s">
        <v>598</v>
      </c>
      <c r="J7953" s="2">
        <v>372300</v>
      </c>
      <c r="K7953">
        <v>20</v>
      </c>
      <c r="L7953">
        <v>20</v>
      </c>
      <c r="M7953">
        <v>20</v>
      </c>
    </row>
    <row r="7954" spans="1:13" x14ac:dyDescent="0.25">
      <c r="A7954" t="s">
        <v>17720</v>
      </c>
      <c r="B7954" t="s">
        <v>17721</v>
      </c>
      <c r="C7954" t="s">
        <v>496</v>
      </c>
      <c r="D7954" t="s">
        <v>2360</v>
      </c>
      <c r="F7954">
        <v>2</v>
      </c>
      <c r="G7954" t="s">
        <v>16</v>
      </c>
      <c r="H7954">
        <v>0</v>
      </c>
      <c r="I7954" s="2" t="s">
        <v>6196</v>
      </c>
      <c r="J7954" s="2">
        <v>96444919</v>
      </c>
      <c r="K7954">
        <v>20</v>
      </c>
      <c r="L7954">
        <v>20</v>
      </c>
      <c r="M7954">
        <v>20</v>
      </c>
    </row>
    <row r="7955" spans="1:13" x14ac:dyDescent="0.25">
      <c r="A7955" t="s">
        <v>17722</v>
      </c>
      <c r="B7955" t="s">
        <v>17723</v>
      </c>
      <c r="C7955" t="s">
        <v>362</v>
      </c>
      <c r="D7955" t="s">
        <v>4091</v>
      </c>
      <c r="F7955">
        <v>1</v>
      </c>
      <c r="G7955" t="s">
        <v>16</v>
      </c>
      <c r="H7955">
        <v>0</v>
      </c>
      <c r="I7955" s="2" t="s">
        <v>5057</v>
      </c>
      <c r="J7955" s="2" t="s">
        <v>17724</v>
      </c>
      <c r="K7955">
        <v>20</v>
      </c>
      <c r="L7955">
        <v>20</v>
      </c>
      <c r="M7955">
        <v>20</v>
      </c>
    </row>
    <row r="7956" spans="1:13" x14ac:dyDescent="0.25">
      <c r="A7956" t="s">
        <v>17725</v>
      </c>
      <c r="B7956" t="s">
        <v>17726</v>
      </c>
      <c r="C7956" t="s">
        <v>20</v>
      </c>
      <c r="F7956">
        <v>0</v>
      </c>
      <c r="G7956" t="s">
        <v>16</v>
      </c>
      <c r="H7956">
        <v>0</v>
      </c>
      <c r="I7956" s="2" t="s">
        <v>5155</v>
      </c>
      <c r="J7956" s="2" t="s">
        <v>17727</v>
      </c>
      <c r="K7956">
        <v>20</v>
      </c>
      <c r="L7956">
        <v>20</v>
      </c>
      <c r="M7956">
        <v>20</v>
      </c>
    </row>
    <row r="7957" spans="1:13" x14ac:dyDescent="0.25">
      <c r="A7957" t="s">
        <v>17728</v>
      </c>
      <c r="B7957" t="s">
        <v>17729</v>
      </c>
      <c r="C7957" t="s">
        <v>1436</v>
      </c>
      <c r="D7957" t="s">
        <v>1437</v>
      </c>
      <c r="F7957">
        <v>0</v>
      </c>
      <c r="G7957" t="s">
        <v>16</v>
      </c>
      <c r="H7957">
        <v>0</v>
      </c>
      <c r="I7957" s="2" t="s">
        <v>707</v>
      </c>
      <c r="J7957" s="2" t="s">
        <v>17730</v>
      </c>
      <c r="K7957">
        <v>20</v>
      </c>
      <c r="L7957">
        <v>20</v>
      </c>
      <c r="M7957">
        <v>20</v>
      </c>
    </row>
    <row r="7958" spans="1:13" x14ac:dyDescent="0.25">
      <c r="A7958" t="s">
        <v>17731</v>
      </c>
      <c r="B7958" t="s">
        <v>17732</v>
      </c>
      <c r="C7958" t="s">
        <v>926</v>
      </c>
      <c r="D7958" t="s">
        <v>6216</v>
      </c>
      <c r="G7958" t="s">
        <v>16</v>
      </c>
      <c r="H7958">
        <v>0</v>
      </c>
      <c r="I7958" s="2" t="s">
        <v>17733</v>
      </c>
      <c r="J7958" s="2" t="s">
        <v>17734</v>
      </c>
      <c r="K7958">
        <v>20</v>
      </c>
      <c r="L7958">
        <v>20</v>
      </c>
      <c r="M7958">
        <v>20</v>
      </c>
    </row>
    <row r="7959" spans="1:13" x14ac:dyDescent="0.25">
      <c r="A7959" t="s">
        <v>17735</v>
      </c>
      <c r="B7959" t="s">
        <v>17736</v>
      </c>
      <c r="C7959" t="s">
        <v>926</v>
      </c>
      <c r="D7959" t="s">
        <v>6216</v>
      </c>
      <c r="F7959">
        <v>1</v>
      </c>
      <c r="G7959" t="s">
        <v>16</v>
      </c>
      <c r="H7959">
        <v>0</v>
      </c>
      <c r="I7959" s="2" t="s">
        <v>17737</v>
      </c>
      <c r="J7959" s="2" t="s">
        <v>17738</v>
      </c>
      <c r="K7959">
        <v>20</v>
      </c>
      <c r="L7959">
        <v>20</v>
      </c>
      <c r="M7959">
        <v>20</v>
      </c>
    </row>
    <row r="7960" spans="1:13" x14ac:dyDescent="0.25">
      <c r="A7960" t="s">
        <v>17739</v>
      </c>
      <c r="B7960" t="s">
        <v>17732</v>
      </c>
      <c r="C7960" t="s">
        <v>926</v>
      </c>
      <c r="D7960" t="s">
        <v>6216</v>
      </c>
      <c r="F7960">
        <v>2</v>
      </c>
      <c r="G7960" t="s">
        <v>16</v>
      </c>
      <c r="H7960">
        <v>0</v>
      </c>
      <c r="I7960" s="2" t="s">
        <v>6228</v>
      </c>
      <c r="J7960" s="2" t="s">
        <v>17740</v>
      </c>
      <c r="K7960">
        <v>20</v>
      </c>
      <c r="L7960">
        <v>20</v>
      </c>
      <c r="M7960">
        <v>20</v>
      </c>
    </row>
    <row r="7961" spans="1:13" x14ac:dyDescent="0.25">
      <c r="A7961" t="s">
        <v>17741</v>
      </c>
      <c r="B7961" t="s">
        <v>17732</v>
      </c>
      <c r="C7961" t="s">
        <v>926</v>
      </c>
      <c r="D7961" t="s">
        <v>6216</v>
      </c>
      <c r="F7961">
        <v>3</v>
      </c>
      <c r="G7961" t="s">
        <v>16</v>
      </c>
      <c r="H7961">
        <v>0</v>
      </c>
      <c r="I7961" s="2" t="s">
        <v>988</v>
      </c>
      <c r="J7961" s="2" t="s">
        <v>17742</v>
      </c>
      <c r="K7961">
        <v>20</v>
      </c>
      <c r="L7961">
        <v>20</v>
      </c>
      <c r="M7961">
        <v>20</v>
      </c>
    </row>
    <row r="7962" spans="1:13" x14ac:dyDescent="0.25">
      <c r="A7962" t="s">
        <v>17743</v>
      </c>
      <c r="B7962" t="s">
        <v>17736</v>
      </c>
      <c r="C7962" t="s">
        <v>926</v>
      </c>
      <c r="D7962" t="s">
        <v>6216</v>
      </c>
      <c r="F7962">
        <v>2</v>
      </c>
      <c r="G7962" t="s">
        <v>16</v>
      </c>
      <c r="H7962">
        <v>0</v>
      </c>
      <c r="I7962" s="2" t="s">
        <v>285</v>
      </c>
      <c r="J7962" s="2">
        <v>35047</v>
      </c>
      <c r="K7962">
        <v>20</v>
      </c>
      <c r="L7962">
        <v>20</v>
      </c>
      <c r="M7962">
        <v>20</v>
      </c>
    </row>
    <row r="7963" spans="1:13" x14ac:dyDescent="0.25">
      <c r="A7963" t="s">
        <v>17744</v>
      </c>
      <c r="B7963" t="s">
        <v>17745</v>
      </c>
      <c r="C7963" t="s">
        <v>496</v>
      </c>
      <c r="D7963" t="s">
        <v>4101</v>
      </c>
      <c r="F7963">
        <v>0</v>
      </c>
      <c r="G7963" t="s">
        <v>16</v>
      </c>
      <c r="H7963">
        <v>0</v>
      </c>
      <c r="I7963" s="2" t="s">
        <v>5249</v>
      </c>
      <c r="J7963" s="2" t="s">
        <v>17746</v>
      </c>
      <c r="K7963">
        <v>20</v>
      </c>
      <c r="L7963">
        <v>20</v>
      </c>
      <c r="M7963">
        <v>20</v>
      </c>
    </row>
    <row r="7964" spans="1:13" x14ac:dyDescent="0.25">
      <c r="A7964" t="s">
        <v>17747</v>
      </c>
      <c r="B7964" t="s">
        <v>17748</v>
      </c>
      <c r="C7964" t="s">
        <v>926</v>
      </c>
      <c r="D7964" t="s">
        <v>927</v>
      </c>
      <c r="F7964">
        <v>1</v>
      </c>
      <c r="G7964" t="s">
        <v>16</v>
      </c>
      <c r="H7964">
        <v>0</v>
      </c>
      <c r="I7964" s="2" t="s">
        <v>7125</v>
      </c>
      <c r="J7964" s="2">
        <v>45019420</v>
      </c>
      <c r="K7964">
        <v>20</v>
      </c>
      <c r="L7964">
        <v>20</v>
      </c>
      <c r="M7964">
        <v>20</v>
      </c>
    </row>
    <row r="7965" spans="1:13" x14ac:dyDescent="0.25">
      <c r="A7965" t="s">
        <v>17749</v>
      </c>
      <c r="B7965" t="s">
        <v>17750</v>
      </c>
      <c r="C7965" t="s">
        <v>926</v>
      </c>
      <c r="D7965" t="s">
        <v>927</v>
      </c>
      <c r="F7965">
        <v>1</v>
      </c>
      <c r="G7965" t="s">
        <v>16</v>
      </c>
      <c r="H7965">
        <v>0</v>
      </c>
      <c r="I7965" s="2" t="s">
        <v>1053</v>
      </c>
      <c r="J7965" s="2" t="s">
        <v>17751</v>
      </c>
      <c r="K7965">
        <v>20</v>
      </c>
      <c r="L7965">
        <v>20</v>
      </c>
      <c r="M7965">
        <v>20</v>
      </c>
    </row>
    <row r="7966" spans="1:13" x14ac:dyDescent="0.25">
      <c r="A7966" t="s">
        <v>17752</v>
      </c>
      <c r="B7966" t="s">
        <v>17750</v>
      </c>
      <c r="C7966" t="s">
        <v>926</v>
      </c>
      <c r="D7966" t="s">
        <v>927</v>
      </c>
      <c r="F7966">
        <v>1</v>
      </c>
      <c r="G7966" t="s">
        <v>16</v>
      </c>
      <c r="H7966">
        <v>0</v>
      </c>
      <c r="I7966" s="2" t="s">
        <v>64</v>
      </c>
      <c r="J7966" s="2" t="str">
        <f>"05020059"</f>
        <v>05020059</v>
      </c>
      <c r="K7966">
        <v>20</v>
      </c>
      <c r="L7966">
        <v>20</v>
      </c>
      <c r="M7966">
        <v>20</v>
      </c>
    </row>
    <row r="7967" spans="1:13" x14ac:dyDescent="0.25">
      <c r="A7967" t="s">
        <v>17753</v>
      </c>
      <c r="B7967" t="s">
        <v>17754</v>
      </c>
      <c r="C7967" t="s">
        <v>496</v>
      </c>
      <c r="D7967" t="s">
        <v>2360</v>
      </c>
      <c r="F7967">
        <v>2</v>
      </c>
      <c r="G7967" t="s">
        <v>16</v>
      </c>
      <c r="H7967">
        <v>0</v>
      </c>
      <c r="I7967" s="2" t="s">
        <v>9055</v>
      </c>
      <c r="J7967" s="2" t="s">
        <v>17755</v>
      </c>
      <c r="K7967">
        <v>20</v>
      </c>
      <c r="L7967">
        <v>20</v>
      </c>
      <c r="M7967">
        <v>20</v>
      </c>
    </row>
    <row r="7968" spans="1:13" x14ac:dyDescent="0.25">
      <c r="A7968" t="s">
        <v>17756</v>
      </c>
      <c r="B7968" t="s">
        <v>17757</v>
      </c>
      <c r="C7968" t="s">
        <v>496</v>
      </c>
      <c r="D7968" t="s">
        <v>2360</v>
      </c>
      <c r="G7968" t="s">
        <v>16</v>
      </c>
      <c r="H7968">
        <v>0</v>
      </c>
      <c r="I7968" s="2" t="s">
        <v>737</v>
      </c>
      <c r="J7968" s="2" t="s">
        <v>17758</v>
      </c>
      <c r="K7968">
        <v>20</v>
      </c>
      <c r="L7968">
        <v>20</v>
      </c>
      <c r="M7968">
        <v>20</v>
      </c>
    </row>
    <row r="7969" spans="1:13" x14ac:dyDescent="0.25">
      <c r="A7969" t="s">
        <v>17759</v>
      </c>
      <c r="B7969" t="s">
        <v>17760</v>
      </c>
      <c r="C7969" t="s">
        <v>540</v>
      </c>
      <c r="D7969" t="s">
        <v>4589</v>
      </c>
      <c r="F7969">
        <v>1</v>
      </c>
      <c r="G7969" t="s">
        <v>16</v>
      </c>
      <c r="H7969">
        <v>0</v>
      </c>
      <c r="I7969" s="2" t="s">
        <v>4590</v>
      </c>
      <c r="J7969" s="2" t="s">
        <v>17761</v>
      </c>
      <c r="K7969">
        <v>20</v>
      </c>
      <c r="L7969">
        <v>20</v>
      </c>
      <c r="M7969">
        <v>20</v>
      </c>
    </row>
    <row r="7970" spans="1:13" x14ac:dyDescent="0.25">
      <c r="A7970" t="s">
        <v>17762</v>
      </c>
      <c r="B7970" t="s">
        <v>17763</v>
      </c>
      <c r="C7970" t="s">
        <v>357</v>
      </c>
      <c r="D7970" t="s">
        <v>358</v>
      </c>
      <c r="F7970">
        <v>1</v>
      </c>
      <c r="G7970" t="s">
        <v>16</v>
      </c>
      <c r="H7970">
        <v>0</v>
      </c>
      <c r="I7970" s="2" t="s">
        <v>142</v>
      </c>
      <c r="J7970" s="2" t="s">
        <v>17764</v>
      </c>
      <c r="K7970">
        <v>20</v>
      </c>
      <c r="L7970">
        <v>20</v>
      </c>
      <c r="M7970">
        <v>20</v>
      </c>
    </row>
    <row r="7971" spans="1:13" x14ac:dyDescent="0.25">
      <c r="A7971" t="s">
        <v>17765</v>
      </c>
      <c r="B7971" t="s">
        <v>17767</v>
      </c>
      <c r="C7971" t="s">
        <v>357</v>
      </c>
      <c r="D7971" t="s">
        <v>358</v>
      </c>
      <c r="F7971">
        <v>6</v>
      </c>
      <c r="G7971" t="s">
        <v>16</v>
      </c>
      <c r="H7971">
        <v>0</v>
      </c>
      <c r="I7971" s="2" t="s">
        <v>288</v>
      </c>
      <c r="J7971" s="2" t="s">
        <v>17766</v>
      </c>
      <c r="K7971">
        <v>20</v>
      </c>
      <c r="L7971">
        <v>20</v>
      </c>
      <c r="M7971">
        <v>20</v>
      </c>
    </row>
    <row r="7972" spans="1:13" x14ac:dyDescent="0.25">
      <c r="A7972" t="s">
        <v>17768</v>
      </c>
      <c r="B7972" t="s">
        <v>17763</v>
      </c>
      <c r="C7972" t="s">
        <v>357</v>
      </c>
      <c r="D7972" t="s">
        <v>358</v>
      </c>
      <c r="G7972" t="s">
        <v>16</v>
      </c>
      <c r="H7972">
        <v>0</v>
      </c>
      <c r="I7972" s="2" t="s">
        <v>17769</v>
      </c>
      <c r="J7972" s="2" t="str">
        <f>"013 1805 10"</f>
        <v>013 1805 10</v>
      </c>
      <c r="K7972">
        <v>20</v>
      </c>
      <c r="L7972">
        <v>20</v>
      </c>
      <c r="M7972">
        <v>20</v>
      </c>
    </row>
    <row r="7973" spans="1:13" x14ac:dyDescent="0.25">
      <c r="A7973" t="s">
        <v>17770</v>
      </c>
      <c r="B7973" t="s">
        <v>17763</v>
      </c>
      <c r="C7973" t="s">
        <v>357</v>
      </c>
      <c r="D7973" t="s">
        <v>358</v>
      </c>
      <c r="G7973" t="s">
        <v>16</v>
      </c>
      <c r="H7973">
        <v>0</v>
      </c>
      <c r="I7973" s="2" t="s">
        <v>715</v>
      </c>
      <c r="J7973" s="2" t="s">
        <v>17771</v>
      </c>
      <c r="K7973">
        <v>20</v>
      </c>
      <c r="L7973">
        <v>20</v>
      </c>
      <c r="M7973">
        <v>20</v>
      </c>
    </row>
    <row r="7974" spans="1:13" x14ac:dyDescent="0.25">
      <c r="A7974" t="s">
        <v>17772</v>
      </c>
      <c r="B7974" t="s">
        <v>17773</v>
      </c>
      <c r="C7974" t="s">
        <v>1426</v>
      </c>
      <c r="F7974">
        <v>2</v>
      </c>
      <c r="G7974" t="s">
        <v>16</v>
      </c>
      <c r="H7974">
        <v>0</v>
      </c>
      <c r="I7974" s="2" t="s">
        <v>17112</v>
      </c>
      <c r="J7974" s="2">
        <v>96462709</v>
      </c>
      <c r="K7974">
        <v>20</v>
      </c>
      <c r="L7974">
        <v>20</v>
      </c>
      <c r="M7974">
        <v>20</v>
      </c>
    </row>
    <row r="7975" spans="1:13" x14ac:dyDescent="0.25">
      <c r="A7975" t="s">
        <v>17774</v>
      </c>
      <c r="B7975" t="s">
        <v>17775</v>
      </c>
      <c r="C7975" t="s">
        <v>1426</v>
      </c>
      <c r="F7975">
        <v>2</v>
      </c>
      <c r="G7975" t="s">
        <v>16</v>
      </c>
      <c r="H7975">
        <v>0</v>
      </c>
      <c r="I7975" s="2" t="s">
        <v>7801</v>
      </c>
      <c r="J7975" s="2">
        <v>96462710</v>
      </c>
      <c r="K7975">
        <v>20</v>
      </c>
      <c r="L7975">
        <v>20</v>
      </c>
      <c r="M7975">
        <v>20</v>
      </c>
    </row>
    <row r="7976" spans="1:13" x14ac:dyDescent="0.25">
      <c r="A7976" t="s">
        <v>17776</v>
      </c>
      <c r="B7976" t="s">
        <v>17777</v>
      </c>
      <c r="C7976" t="s">
        <v>926</v>
      </c>
      <c r="D7976" t="s">
        <v>1036</v>
      </c>
      <c r="G7976" t="s">
        <v>16</v>
      </c>
      <c r="H7976">
        <v>0</v>
      </c>
      <c r="I7976" s="2" t="s">
        <v>685</v>
      </c>
      <c r="J7976" s="2" t="str">
        <f>"0242135515"</f>
        <v>0242135515</v>
      </c>
      <c r="K7976">
        <v>20</v>
      </c>
      <c r="L7976">
        <v>20</v>
      </c>
      <c r="M7976">
        <v>20</v>
      </c>
    </row>
    <row r="7977" spans="1:13" x14ac:dyDescent="0.25">
      <c r="A7977" t="s">
        <v>17778</v>
      </c>
      <c r="B7977" t="s">
        <v>17777</v>
      </c>
      <c r="C7977" t="s">
        <v>926</v>
      </c>
      <c r="D7977" t="s">
        <v>1036</v>
      </c>
      <c r="F7977">
        <v>6</v>
      </c>
      <c r="G7977" t="s">
        <v>16</v>
      </c>
      <c r="H7977">
        <v>0</v>
      </c>
      <c r="I7977" s="2" t="s">
        <v>4960</v>
      </c>
      <c r="J7977" s="2" t="s">
        <v>17779</v>
      </c>
      <c r="K7977">
        <v>20</v>
      </c>
      <c r="L7977">
        <v>20</v>
      </c>
      <c r="M7977">
        <v>20</v>
      </c>
    </row>
    <row r="7978" spans="1:13" x14ac:dyDescent="0.25">
      <c r="A7978" t="s">
        <v>17780</v>
      </c>
      <c r="B7978" t="s">
        <v>17781</v>
      </c>
      <c r="C7978" t="s">
        <v>357</v>
      </c>
      <c r="D7978" t="s">
        <v>241</v>
      </c>
      <c r="F7978">
        <v>1</v>
      </c>
      <c r="G7978" t="s">
        <v>16</v>
      </c>
      <c r="H7978">
        <v>0</v>
      </c>
      <c r="I7978" s="2" t="s">
        <v>3021</v>
      </c>
      <c r="J7978" s="2" t="s">
        <v>17782</v>
      </c>
      <c r="K7978">
        <v>20</v>
      </c>
      <c r="L7978">
        <v>20</v>
      </c>
      <c r="M7978">
        <v>20</v>
      </c>
    </row>
    <row r="7979" spans="1:13" x14ac:dyDescent="0.25">
      <c r="A7979" t="s">
        <v>17783</v>
      </c>
      <c r="B7979" t="s">
        <v>17784</v>
      </c>
      <c r="C7979" t="s">
        <v>1432</v>
      </c>
      <c r="F7979">
        <v>1</v>
      </c>
      <c r="G7979" t="s">
        <v>16</v>
      </c>
      <c r="H7979">
        <v>0</v>
      </c>
      <c r="I7979" s="2" t="s">
        <v>7399</v>
      </c>
      <c r="J7979" s="2">
        <v>3000951407</v>
      </c>
      <c r="K7979">
        <v>20</v>
      </c>
      <c r="L7979">
        <v>20</v>
      </c>
      <c r="M7979">
        <v>20</v>
      </c>
    </row>
    <row r="7980" spans="1:13" x14ac:dyDescent="0.25">
      <c r="A7980" t="s">
        <v>17785</v>
      </c>
      <c r="B7980" t="s">
        <v>17786</v>
      </c>
      <c r="C7980" t="s">
        <v>496</v>
      </c>
      <c r="F7980">
        <v>1</v>
      </c>
      <c r="G7980" t="s">
        <v>16</v>
      </c>
      <c r="H7980">
        <v>0</v>
      </c>
      <c r="I7980" s="2" t="s">
        <v>1107</v>
      </c>
      <c r="J7980" s="2" t="s">
        <v>17787</v>
      </c>
      <c r="K7980">
        <v>20</v>
      </c>
      <c r="L7980">
        <v>20</v>
      </c>
      <c r="M7980">
        <v>20</v>
      </c>
    </row>
    <row r="7981" spans="1:13" x14ac:dyDescent="0.25">
      <c r="A7981" t="s">
        <v>17788</v>
      </c>
      <c r="B7981" t="s">
        <v>17789</v>
      </c>
      <c r="C7981" t="s">
        <v>362</v>
      </c>
      <c r="D7981" t="s">
        <v>363</v>
      </c>
      <c r="F7981">
        <v>1</v>
      </c>
      <c r="G7981" t="s">
        <v>22</v>
      </c>
      <c r="H7981">
        <v>0</v>
      </c>
      <c r="I7981" s="2" t="s">
        <v>64</v>
      </c>
      <c r="J7981" s="2" t="str">
        <f>"07040342"</f>
        <v>07040342</v>
      </c>
      <c r="K7981">
        <v>20</v>
      </c>
      <c r="L7981">
        <v>20</v>
      </c>
      <c r="M7981">
        <v>20</v>
      </c>
    </row>
    <row r="7982" spans="1:13" x14ac:dyDescent="0.25">
      <c r="A7982" t="s">
        <v>17790</v>
      </c>
      <c r="B7982" t="s">
        <v>17791</v>
      </c>
      <c r="C7982" t="s">
        <v>496</v>
      </c>
      <c r="D7982" t="s">
        <v>4101</v>
      </c>
      <c r="G7982" t="s">
        <v>16</v>
      </c>
      <c r="H7982">
        <v>0</v>
      </c>
      <c r="I7982" s="2" t="s">
        <v>1674</v>
      </c>
      <c r="J7982" s="2" t="s">
        <v>9249</v>
      </c>
      <c r="K7982">
        <v>20</v>
      </c>
      <c r="L7982">
        <v>20</v>
      </c>
      <c r="M7982">
        <v>20</v>
      </c>
    </row>
    <row r="7983" spans="1:13" x14ac:dyDescent="0.25">
      <c r="A7983" t="s">
        <v>17792</v>
      </c>
      <c r="B7983" t="s">
        <v>17793</v>
      </c>
      <c r="C7983" t="s">
        <v>151</v>
      </c>
      <c r="D7983" t="s">
        <v>1381</v>
      </c>
      <c r="F7983">
        <v>2</v>
      </c>
      <c r="G7983" t="s">
        <v>16</v>
      </c>
      <c r="H7983">
        <v>0</v>
      </c>
      <c r="I7983" s="2" t="s">
        <v>941</v>
      </c>
      <c r="J7983" s="2" t="s">
        <v>17794</v>
      </c>
      <c r="K7983">
        <v>20</v>
      </c>
      <c r="L7983">
        <v>20</v>
      </c>
      <c r="M7983">
        <v>20</v>
      </c>
    </row>
    <row r="7984" spans="1:13" x14ac:dyDescent="0.25">
      <c r="A7984" t="s">
        <v>17795</v>
      </c>
      <c r="B7984" t="s">
        <v>17796</v>
      </c>
      <c r="C7984" t="s">
        <v>362</v>
      </c>
      <c r="D7984" t="s">
        <v>4091</v>
      </c>
      <c r="F7984">
        <v>1</v>
      </c>
      <c r="G7984" t="s">
        <v>16</v>
      </c>
      <c r="H7984">
        <v>0</v>
      </c>
      <c r="I7984" s="2" t="s">
        <v>383</v>
      </c>
      <c r="J7984" s="2" t="str">
        <f>"0986487714"</f>
        <v>0986487714</v>
      </c>
      <c r="K7984">
        <v>20</v>
      </c>
      <c r="L7984">
        <v>20</v>
      </c>
      <c r="M7984">
        <v>20</v>
      </c>
    </row>
    <row r="7985" spans="1:13" x14ac:dyDescent="0.25">
      <c r="A7985" t="s">
        <v>17797</v>
      </c>
      <c r="B7985" t="s">
        <v>17796</v>
      </c>
      <c r="C7985" t="s">
        <v>362</v>
      </c>
      <c r="D7985" t="s">
        <v>4091</v>
      </c>
      <c r="F7985">
        <v>1</v>
      </c>
      <c r="G7985" t="s">
        <v>16</v>
      </c>
      <c r="H7985">
        <v>0</v>
      </c>
      <c r="I7985" s="2" t="s">
        <v>5496</v>
      </c>
      <c r="J7985" s="2" t="s">
        <v>17798</v>
      </c>
      <c r="K7985">
        <v>20</v>
      </c>
      <c r="L7985">
        <v>20</v>
      </c>
      <c r="M7985">
        <v>20</v>
      </c>
    </row>
    <row r="7986" spans="1:13" x14ac:dyDescent="0.25">
      <c r="A7986" t="s">
        <v>17799</v>
      </c>
      <c r="B7986" t="s">
        <v>17796</v>
      </c>
      <c r="C7986" t="s">
        <v>362</v>
      </c>
      <c r="D7986" t="s">
        <v>4091</v>
      </c>
      <c r="F7986">
        <v>2</v>
      </c>
      <c r="G7986" t="s">
        <v>16</v>
      </c>
      <c r="H7986">
        <v>0</v>
      </c>
      <c r="I7986" s="2" t="s">
        <v>64</v>
      </c>
      <c r="J7986" s="2" t="str">
        <f>"07020031"</f>
        <v>07020031</v>
      </c>
      <c r="K7986">
        <v>20</v>
      </c>
      <c r="L7986">
        <v>20</v>
      </c>
      <c r="M7986">
        <v>20</v>
      </c>
    </row>
    <row r="7987" spans="1:13" x14ac:dyDescent="0.25">
      <c r="A7987" t="s">
        <v>17800</v>
      </c>
      <c r="B7987" t="s">
        <v>17802</v>
      </c>
      <c r="C7987" t="s">
        <v>20</v>
      </c>
      <c r="F7987">
        <v>2</v>
      </c>
      <c r="G7987" t="s">
        <v>16</v>
      </c>
      <c r="H7987">
        <v>0</v>
      </c>
      <c r="I7987" s="2" t="s">
        <v>288</v>
      </c>
      <c r="J7987" s="2" t="s">
        <v>17801</v>
      </c>
      <c r="K7987">
        <v>20</v>
      </c>
      <c r="L7987">
        <v>20</v>
      </c>
      <c r="M7987">
        <v>20</v>
      </c>
    </row>
    <row r="7988" spans="1:13" x14ac:dyDescent="0.25">
      <c r="A7988" t="s">
        <v>17803</v>
      </c>
      <c r="B7988" t="s">
        <v>17804</v>
      </c>
      <c r="C7988" t="s">
        <v>362</v>
      </c>
      <c r="D7988" t="s">
        <v>4091</v>
      </c>
      <c r="F7988">
        <v>1</v>
      </c>
      <c r="G7988" t="s">
        <v>16</v>
      </c>
      <c r="H7988">
        <v>0</v>
      </c>
      <c r="I7988" s="2" t="s">
        <v>707</v>
      </c>
      <c r="J7988" s="2" t="s">
        <v>17805</v>
      </c>
      <c r="K7988">
        <v>20</v>
      </c>
      <c r="L7988">
        <v>20</v>
      </c>
      <c r="M7988">
        <v>20</v>
      </c>
    </row>
    <row r="7989" spans="1:13" x14ac:dyDescent="0.25">
      <c r="A7989" t="s">
        <v>17806</v>
      </c>
      <c r="B7989" t="s">
        <v>17807</v>
      </c>
      <c r="C7989" t="s">
        <v>357</v>
      </c>
      <c r="D7989" t="s">
        <v>1836</v>
      </c>
      <c r="F7989">
        <v>0</v>
      </c>
      <c r="G7989" t="s">
        <v>16</v>
      </c>
      <c r="H7989">
        <v>0</v>
      </c>
      <c r="K7989">
        <v>20</v>
      </c>
      <c r="L7989">
        <v>20</v>
      </c>
      <c r="M7989">
        <v>20</v>
      </c>
    </row>
    <row r="7990" spans="1:13" x14ac:dyDescent="0.25">
      <c r="A7990" t="s">
        <v>17808</v>
      </c>
      <c r="B7990" t="s">
        <v>17809</v>
      </c>
      <c r="C7990" t="s">
        <v>20</v>
      </c>
      <c r="D7990" t="s">
        <v>21</v>
      </c>
      <c r="G7990" t="s">
        <v>16</v>
      </c>
      <c r="H7990">
        <v>0</v>
      </c>
      <c r="I7990" s="2" t="s">
        <v>35</v>
      </c>
      <c r="J7990" s="2" t="s">
        <v>16715</v>
      </c>
      <c r="K7990">
        <v>20</v>
      </c>
      <c r="L7990">
        <v>20</v>
      </c>
      <c r="M7990">
        <v>20</v>
      </c>
    </row>
    <row r="7991" spans="1:13" x14ac:dyDescent="0.25">
      <c r="A7991" t="s">
        <v>17810</v>
      </c>
      <c r="B7991" t="s">
        <v>17811</v>
      </c>
      <c r="C7991" t="s">
        <v>926</v>
      </c>
      <c r="D7991" t="s">
        <v>927</v>
      </c>
      <c r="G7991" t="s">
        <v>16</v>
      </c>
      <c r="H7991">
        <v>0</v>
      </c>
      <c r="I7991" s="2" t="s">
        <v>11418</v>
      </c>
      <c r="J7991" s="2" t="s">
        <v>17812</v>
      </c>
      <c r="K7991">
        <v>20</v>
      </c>
      <c r="L7991">
        <v>20</v>
      </c>
      <c r="M7991">
        <v>20</v>
      </c>
    </row>
    <row r="7992" spans="1:13" x14ac:dyDescent="0.25">
      <c r="A7992" t="s">
        <v>17813</v>
      </c>
      <c r="B7992" t="s">
        <v>17811</v>
      </c>
      <c r="C7992" t="s">
        <v>926</v>
      </c>
      <c r="D7992" t="s">
        <v>927</v>
      </c>
      <c r="F7992">
        <v>1</v>
      </c>
      <c r="G7992" t="s">
        <v>16</v>
      </c>
      <c r="H7992">
        <v>0</v>
      </c>
      <c r="I7992" s="2" t="s">
        <v>941</v>
      </c>
      <c r="J7992" s="2" t="s">
        <v>17814</v>
      </c>
      <c r="K7992">
        <v>20</v>
      </c>
      <c r="L7992">
        <v>20</v>
      </c>
      <c r="M7992">
        <v>20</v>
      </c>
    </row>
    <row r="7993" spans="1:13" x14ac:dyDescent="0.25">
      <c r="A7993">
        <v>96476990</v>
      </c>
      <c r="B7993" t="s">
        <v>17815</v>
      </c>
      <c r="C7993" t="s">
        <v>20</v>
      </c>
      <c r="F7993">
        <v>1</v>
      </c>
      <c r="G7993" t="s">
        <v>16</v>
      </c>
      <c r="H7993">
        <v>0</v>
      </c>
      <c r="K7993">
        <v>20</v>
      </c>
      <c r="L7993">
        <v>20</v>
      </c>
      <c r="M7993">
        <v>20</v>
      </c>
    </row>
    <row r="7994" spans="1:13" x14ac:dyDescent="0.25">
      <c r="A7994" t="s">
        <v>17816</v>
      </c>
      <c r="B7994" t="s">
        <v>17817</v>
      </c>
      <c r="C7994" t="s">
        <v>20</v>
      </c>
      <c r="F7994">
        <v>1</v>
      </c>
      <c r="G7994" t="s">
        <v>16</v>
      </c>
      <c r="H7994">
        <v>0</v>
      </c>
      <c r="I7994" s="2" t="s">
        <v>328</v>
      </c>
      <c r="J7994" s="2" t="s">
        <v>17818</v>
      </c>
      <c r="K7994">
        <v>20</v>
      </c>
      <c r="L7994">
        <v>20</v>
      </c>
      <c r="M7994">
        <v>20</v>
      </c>
    </row>
    <row r="7995" spans="1:13" x14ac:dyDescent="0.25">
      <c r="A7995" t="s">
        <v>17819</v>
      </c>
      <c r="B7995" t="s">
        <v>17820</v>
      </c>
      <c r="C7995" t="s">
        <v>540</v>
      </c>
      <c r="F7995">
        <v>1</v>
      </c>
      <c r="G7995" t="s">
        <v>16</v>
      </c>
      <c r="H7995">
        <v>0</v>
      </c>
      <c r="I7995" s="2" t="s">
        <v>2345</v>
      </c>
      <c r="J7995" s="2" t="s">
        <v>17821</v>
      </c>
      <c r="K7995">
        <v>20</v>
      </c>
      <c r="L7995">
        <v>20</v>
      </c>
      <c r="M7995">
        <v>20</v>
      </c>
    </row>
    <row r="7996" spans="1:13" x14ac:dyDescent="0.25">
      <c r="A7996" t="s">
        <v>17822</v>
      </c>
      <c r="B7996" t="s">
        <v>17823</v>
      </c>
      <c r="C7996" t="s">
        <v>540</v>
      </c>
      <c r="F7996">
        <v>0</v>
      </c>
      <c r="G7996" t="s">
        <v>16</v>
      </c>
      <c r="H7996">
        <v>0</v>
      </c>
      <c r="K7996">
        <v>20</v>
      </c>
      <c r="L7996">
        <v>20</v>
      </c>
      <c r="M7996">
        <v>20</v>
      </c>
    </row>
    <row r="7997" spans="1:13" x14ac:dyDescent="0.25">
      <c r="A7997" t="s">
        <v>17824</v>
      </c>
      <c r="B7997" t="s">
        <v>17825</v>
      </c>
      <c r="G7997" t="s">
        <v>16</v>
      </c>
      <c r="H7997">
        <v>0</v>
      </c>
      <c r="K7997">
        <v>20</v>
      </c>
      <c r="L7997">
        <v>20</v>
      </c>
      <c r="M7997">
        <v>20</v>
      </c>
    </row>
    <row r="7998" spans="1:13" x14ac:dyDescent="0.25">
      <c r="A7998" t="s">
        <v>17826</v>
      </c>
      <c r="B7998" t="s">
        <v>17827</v>
      </c>
      <c r="C7998" t="s">
        <v>1436</v>
      </c>
      <c r="D7998" t="s">
        <v>1437</v>
      </c>
      <c r="F7998">
        <v>1</v>
      </c>
      <c r="G7998" t="s">
        <v>16</v>
      </c>
      <c r="H7998">
        <v>0</v>
      </c>
      <c r="I7998" s="2" t="s">
        <v>142</v>
      </c>
      <c r="J7998" s="2" t="s">
        <v>17828</v>
      </c>
      <c r="K7998">
        <v>20</v>
      </c>
      <c r="L7998">
        <v>20</v>
      </c>
      <c r="M7998">
        <v>20</v>
      </c>
    </row>
    <row r="7999" spans="1:13" x14ac:dyDescent="0.25">
      <c r="A7999" t="s">
        <v>17829</v>
      </c>
      <c r="B7999" t="s">
        <v>17830</v>
      </c>
      <c r="C7999" t="s">
        <v>20</v>
      </c>
      <c r="D7999" t="s">
        <v>894</v>
      </c>
      <c r="G7999" t="s">
        <v>16</v>
      </c>
      <c r="H7999">
        <v>0</v>
      </c>
      <c r="I7999" s="2" t="s">
        <v>3689</v>
      </c>
      <c r="J7999" s="2">
        <v>25146025</v>
      </c>
      <c r="K7999">
        <v>20</v>
      </c>
      <c r="L7999">
        <v>20</v>
      </c>
      <c r="M7999">
        <v>20</v>
      </c>
    </row>
    <row r="8000" spans="1:13" x14ac:dyDescent="0.25">
      <c r="A8000" t="s">
        <v>17831</v>
      </c>
      <c r="B8000" t="s">
        <v>17833</v>
      </c>
      <c r="C8000" t="s">
        <v>20</v>
      </c>
      <c r="D8000" t="s">
        <v>894</v>
      </c>
      <c r="G8000" t="s">
        <v>16</v>
      </c>
      <c r="H8000">
        <v>0</v>
      </c>
      <c r="I8000" s="2" t="s">
        <v>900</v>
      </c>
      <c r="J8000" s="2" t="s">
        <v>17832</v>
      </c>
      <c r="K8000">
        <v>20</v>
      </c>
      <c r="L8000">
        <v>20</v>
      </c>
      <c r="M8000">
        <v>20</v>
      </c>
    </row>
    <row r="8001" spans="1:13" x14ac:dyDescent="0.25">
      <c r="A8001" t="s">
        <v>17834</v>
      </c>
      <c r="B8001" t="s">
        <v>17835</v>
      </c>
      <c r="C8001" t="s">
        <v>362</v>
      </c>
      <c r="D8001" t="s">
        <v>4091</v>
      </c>
      <c r="F8001">
        <v>0</v>
      </c>
      <c r="G8001" t="s">
        <v>16</v>
      </c>
      <c r="H8001">
        <v>0</v>
      </c>
      <c r="I8001" s="2" t="s">
        <v>4193</v>
      </c>
      <c r="J8001" s="2" t="s">
        <v>17836</v>
      </c>
      <c r="K8001">
        <v>20</v>
      </c>
      <c r="L8001">
        <v>20</v>
      </c>
      <c r="M8001">
        <v>20</v>
      </c>
    </row>
    <row r="8002" spans="1:13" x14ac:dyDescent="0.25">
      <c r="A8002" t="s">
        <v>17837</v>
      </c>
      <c r="B8002" t="s">
        <v>17838</v>
      </c>
      <c r="C8002" t="s">
        <v>20</v>
      </c>
      <c r="D8002" t="s">
        <v>2477</v>
      </c>
      <c r="F8002">
        <v>0</v>
      </c>
      <c r="G8002" t="s">
        <v>16</v>
      </c>
      <c r="H8002">
        <v>0</v>
      </c>
      <c r="K8002">
        <v>20</v>
      </c>
      <c r="L8002">
        <v>20</v>
      </c>
      <c r="M8002">
        <v>20</v>
      </c>
    </row>
    <row r="8003" spans="1:13" x14ac:dyDescent="0.25">
      <c r="A8003" t="s">
        <v>17839</v>
      </c>
      <c r="B8003" t="s">
        <v>17840</v>
      </c>
      <c r="C8003" t="s">
        <v>496</v>
      </c>
      <c r="D8003" t="s">
        <v>4101</v>
      </c>
      <c r="F8003">
        <v>0</v>
      </c>
      <c r="G8003" t="s">
        <v>16</v>
      </c>
      <c r="H8003">
        <v>0</v>
      </c>
      <c r="I8003" s="2" t="s">
        <v>5249</v>
      </c>
      <c r="J8003" s="2" t="s">
        <v>17841</v>
      </c>
      <c r="K8003">
        <v>20</v>
      </c>
      <c r="L8003">
        <v>20</v>
      </c>
      <c r="M8003">
        <v>20</v>
      </c>
    </row>
    <row r="8004" spans="1:13" x14ac:dyDescent="0.25">
      <c r="A8004" t="s">
        <v>17842</v>
      </c>
      <c r="B8004" t="s">
        <v>17843</v>
      </c>
      <c r="C8004" t="s">
        <v>926</v>
      </c>
      <c r="D8004" t="s">
        <v>1036</v>
      </c>
      <c r="F8004">
        <v>10</v>
      </c>
      <c r="G8004" t="s">
        <v>16</v>
      </c>
      <c r="H8004">
        <v>0</v>
      </c>
      <c r="I8004" s="2" t="s">
        <v>383</v>
      </c>
      <c r="J8004" s="2" t="str">
        <f>"0242229656"</f>
        <v>0242229656</v>
      </c>
      <c r="K8004">
        <v>20</v>
      </c>
      <c r="L8004">
        <v>20</v>
      </c>
      <c r="M8004">
        <v>20</v>
      </c>
    </row>
    <row r="8005" spans="1:13" x14ac:dyDescent="0.25">
      <c r="A8005" t="s">
        <v>17844</v>
      </c>
      <c r="B8005" t="s">
        <v>17845</v>
      </c>
      <c r="C8005" t="s">
        <v>926</v>
      </c>
      <c r="D8005" t="s">
        <v>1036</v>
      </c>
      <c r="G8005" t="s">
        <v>16</v>
      </c>
      <c r="H8005">
        <v>0</v>
      </c>
      <c r="I8005" s="2" t="s">
        <v>2000</v>
      </c>
      <c r="J8005" s="2" t="s">
        <v>17846</v>
      </c>
      <c r="K8005">
        <v>20</v>
      </c>
      <c r="L8005">
        <v>20</v>
      </c>
      <c r="M8005">
        <v>20</v>
      </c>
    </row>
    <row r="8006" spans="1:13" x14ac:dyDescent="0.25">
      <c r="A8006" t="s">
        <v>17847</v>
      </c>
      <c r="B8006" t="s">
        <v>17848</v>
      </c>
      <c r="C8006" t="s">
        <v>1432</v>
      </c>
      <c r="F8006">
        <v>1</v>
      </c>
      <c r="G8006" t="s">
        <v>16</v>
      </c>
      <c r="H8006">
        <v>0</v>
      </c>
      <c r="I8006" s="2" t="s">
        <v>389</v>
      </c>
      <c r="J8006" s="2">
        <v>1682296280</v>
      </c>
      <c r="K8006">
        <v>20</v>
      </c>
      <c r="L8006">
        <v>20</v>
      </c>
      <c r="M8006">
        <v>20</v>
      </c>
    </row>
    <row r="8007" spans="1:13" x14ac:dyDescent="0.25">
      <c r="A8007" t="s">
        <v>17849</v>
      </c>
      <c r="B8007" t="s">
        <v>17850</v>
      </c>
      <c r="C8007" t="s">
        <v>362</v>
      </c>
      <c r="D8007" t="s">
        <v>10325</v>
      </c>
      <c r="F8007">
        <v>4</v>
      </c>
      <c r="G8007" t="s">
        <v>16</v>
      </c>
      <c r="H8007">
        <v>0</v>
      </c>
      <c r="I8007" s="2" t="s">
        <v>4193</v>
      </c>
      <c r="J8007" s="2" t="s">
        <v>17851</v>
      </c>
      <c r="K8007">
        <v>20</v>
      </c>
      <c r="L8007">
        <v>20</v>
      </c>
      <c r="M8007">
        <v>20</v>
      </c>
    </row>
    <row r="8008" spans="1:13" x14ac:dyDescent="0.25">
      <c r="A8008" t="s">
        <v>17852</v>
      </c>
      <c r="B8008" t="s">
        <v>17850</v>
      </c>
      <c r="C8008" t="s">
        <v>362</v>
      </c>
      <c r="D8008" t="s">
        <v>10325</v>
      </c>
      <c r="F8008">
        <v>2</v>
      </c>
      <c r="G8008" t="s">
        <v>16</v>
      </c>
      <c r="H8008">
        <v>0</v>
      </c>
      <c r="I8008" s="2" t="s">
        <v>266</v>
      </c>
      <c r="J8008" s="2">
        <v>40689</v>
      </c>
      <c r="K8008">
        <v>20</v>
      </c>
      <c r="L8008">
        <v>20</v>
      </c>
      <c r="M8008">
        <v>20</v>
      </c>
    </row>
    <row r="8009" spans="1:13" x14ac:dyDescent="0.25">
      <c r="A8009" t="s">
        <v>17853</v>
      </c>
      <c r="B8009" t="s">
        <v>17855</v>
      </c>
      <c r="C8009" t="s">
        <v>362</v>
      </c>
      <c r="D8009" t="s">
        <v>4091</v>
      </c>
      <c r="F8009">
        <v>4</v>
      </c>
      <c r="G8009" t="s">
        <v>16</v>
      </c>
      <c r="H8009">
        <v>0</v>
      </c>
      <c r="I8009" s="2" t="s">
        <v>288</v>
      </c>
      <c r="J8009" s="2" t="s">
        <v>17854</v>
      </c>
      <c r="K8009">
        <v>20</v>
      </c>
      <c r="L8009">
        <v>20</v>
      </c>
      <c r="M8009">
        <v>20</v>
      </c>
    </row>
    <row r="8010" spans="1:13" x14ac:dyDescent="0.25">
      <c r="A8010" t="s">
        <v>17856</v>
      </c>
      <c r="B8010" t="s">
        <v>17855</v>
      </c>
      <c r="C8010" t="s">
        <v>362</v>
      </c>
      <c r="D8010" t="s">
        <v>4091</v>
      </c>
      <c r="G8010" t="s">
        <v>16</v>
      </c>
      <c r="H8010">
        <v>0</v>
      </c>
      <c r="I8010" s="2" t="s">
        <v>2533</v>
      </c>
      <c r="J8010" s="2" t="s">
        <v>17857</v>
      </c>
      <c r="K8010">
        <v>20</v>
      </c>
      <c r="L8010">
        <v>20</v>
      </c>
      <c r="M8010">
        <v>20</v>
      </c>
    </row>
    <row r="8011" spans="1:13" x14ac:dyDescent="0.25">
      <c r="A8011" t="s">
        <v>17858</v>
      </c>
      <c r="B8011" t="s">
        <v>17855</v>
      </c>
      <c r="C8011" t="s">
        <v>362</v>
      </c>
      <c r="D8011" t="s">
        <v>4091</v>
      </c>
      <c r="G8011" t="s">
        <v>16</v>
      </c>
      <c r="H8011">
        <v>0</v>
      </c>
      <c r="I8011" s="2" t="s">
        <v>685</v>
      </c>
      <c r="J8011" s="2" t="str">
        <f>"0986424818"</f>
        <v>0986424818</v>
      </c>
      <c r="K8011">
        <v>20</v>
      </c>
      <c r="L8011">
        <v>20</v>
      </c>
      <c r="M8011">
        <v>20</v>
      </c>
    </row>
    <row r="8012" spans="1:13" x14ac:dyDescent="0.25">
      <c r="A8012" t="s">
        <v>17859</v>
      </c>
      <c r="B8012" t="s">
        <v>17855</v>
      </c>
      <c r="C8012" t="s">
        <v>362</v>
      </c>
      <c r="D8012" t="s">
        <v>4091</v>
      </c>
      <c r="F8012">
        <v>2</v>
      </c>
      <c r="G8012" t="s">
        <v>16</v>
      </c>
      <c r="H8012">
        <v>0</v>
      </c>
      <c r="I8012" s="2" t="s">
        <v>941</v>
      </c>
      <c r="J8012" s="2" t="s">
        <v>17860</v>
      </c>
      <c r="K8012">
        <v>20</v>
      </c>
      <c r="L8012">
        <v>20</v>
      </c>
      <c r="M8012">
        <v>20</v>
      </c>
    </row>
    <row r="8013" spans="1:13" x14ac:dyDescent="0.25">
      <c r="A8013" t="s">
        <v>17861</v>
      </c>
      <c r="B8013" t="s">
        <v>17862</v>
      </c>
      <c r="C8013" t="s">
        <v>362</v>
      </c>
      <c r="D8013" t="s">
        <v>4091</v>
      </c>
      <c r="G8013" t="s">
        <v>16</v>
      </c>
      <c r="H8013">
        <v>0</v>
      </c>
      <c r="I8013" s="2" t="s">
        <v>5500</v>
      </c>
      <c r="J8013" s="2" t="s">
        <v>17863</v>
      </c>
      <c r="K8013">
        <v>20</v>
      </c>
      <c r="L8013">
        <v>20</v>
      </c>
      <c r="M8013">
        <v>20</v>
      </c>
    </row>
    <row r="8014" spans="1:13" x14ac:dyDescent="0.25">
      <c r="A8014" t="s">
        <v>17864</v>
      </c>
      <c r="B8014" t="s">
        <v>17862</v>
      </c>
      <c r="C8014" t="s">
        <v>362</v>
      </c>
      <c r="D8014" t="s">
        <v>4091</v>
      </c>
      <c r="F8014">
        <v>2</v>
      </c>
      <c r="G8014" t="s">
        <v>16</v>
      </c>
      <c r="H8014">
        <v>0</v>
      </c>
      <c r="I8014" s="2" t="s">
        <v>2786</v>
      </c>
      <c r="J8014" s="2" t="str">
        <f>"05P1080"</f>
        <v>05P1080</v>
      </c>
      <c r="K8014">
        <v>20</v>
      </c>
      <c r="L8014">
        <v>20</v>
      </c>
      <c r="M8014">
        <v>20</v>
      </c>
    </row>
    <row r="8015" spans="1:13" x14ac:dyDescent="0.25">
      <c r="A8015" t="s">
        <v>17865</v>
      </c>
      <c r="B8015" t="s">
        <v>17862</v>
      </c>
      <c r="C8015" t="s">
        <v>362</v>
      </c>
      <c r="D8015" t="s">
        <v>4091</v>
      </c>
      <c r="G8015" t="s">
        <v>16</v>
      </c>
      <c r="H8015">
        <v>0</v>
      </c>
      <c r="I8015" s="2" t="s">
        <v>7250</v>
      </c>
      <c r="J8015" s="2" t="s">
        <v>17866</v>
      </c>
      <c r="K8015">
        <v>20</v>
      </c>
      <c r="L8015">
        <v>20</v>
      </c>
      <c r="M8015">
        <v>20</v>
      </c>
    </row>
    <row r="8016" spans="1:13" x14ac:dyDescent="0.25">
      <c r="A8016" t="s">
        <v>17867</v>
      </c>
      <c r="B8016" t="s">
        <v>17862</v>
      </c>
      <c r="C8016" t="s">
        <v>362</v>
      </c>
      <c r="D8016" t="s">
        <v>4091</v>
      </c>
      <c r="F8016">
        <v>1</v>
      </c>
      <c r="G8016" t="s">
        <v>16</v>
      </c>
      <c r="H8016">
        <v>0</v>
      </c>
      <c r="I8016" s="2" t="s">
        <v>162</v>
      </c>
      <c r="J8016" s="2">
        <v>55332</v>
      </c>
      <c r="K8016">
        <v>20</v>
      </c>
      <c r="L8016">
        <v>20</v>
      </c>
      <c r="M8016">
        <v>20</v>
      </c>
    </row>
    <row r="8017" spans="1:13" x14ac:dyDescent="0.25">
      <c r="A8017" t="s">
        <v>17868</v>
      </c>
      <c r="B8017" t="s">
        <v>17869</v>
      </c>
      <c r="C8017" t="s">
        <v>496</v>
      </c>
      <c r="D8017" t="s">
        <v>2360</v>
      </c>
      <c r="F8017">
        <v>4</v>
      </c>
      <c r="G8017" t="s">
        <v>16</v>
      </c>
      <c r="H8017">
        <v>0</v>
      </c>
      <c r="I8017" s="2" t="s">
        <v>238</v>
      </c>
      <c r="J8017" s="2" t="str">
        <f>"01111"</f>
        <v>01111</v>
      </c>
      <c r="K8017">
        <v>20</v>
      </c>
      <c r="L8017">
        <v>20</v>
      </c>
      <c r="M8017">
        <v>20</v>
      </c>
    </row>
    <row r="8018" spans="1:13" x14ac:dyDescent="0.25">
      <c r="A8018" t="s">
        <v>17870</v>
      </c>
      <c r="B8018" t="s">
        <v>17871</v>
      </c>
      <c r="C8018" t="s">
        <v>496</v>
      </c>
      <c r="D8018" t="s">
        <v>2360</v>
      </c>
      <c r="F8018">
        <v>7</v>
      </c>
      <c r="G8018" t="s">
        <v>16</v>
      </c>
      <c r="H8018">
        <v>0</v>
      </c>
      <c r="I8018" s="2" t="s">
        <v>3945</v>
      </c>
      <c r="J8018" s="2">
        <v>1763602</v>
      </c>
      <c r="K8018">
        <v>20</v>
      </c>
      <c r="L8018">
        <v>20</v>
      </c>
      <c r="M8018">
        <v>20</v>
      </c>
    </row>
    <row r="8019" spans="1:13" x14ac:dyDescent="0.25">
      <c r="A8019" t="s">
        <v>17872</v>
      </c>
      <c r="B8019" t="s">
        <v>17873</v>
      </c>
      <c r="C8019" t="s">
        <v>496</v>
      </c>
      <c r="D8019" t="s">
        <v>2360</v>
      </c>
      <c r="F8019">
        <v>2</v>
      </c>
      <c r="G8019" t="s">
        <v>16</v>
      </c>
      <c r="H8019">
        <v>0</v>
      </c>
      <c r="I8019" s="2" t="s">
        <v>486</v>
      </c>
      <c r="J8019" s="2">
        <v>89106332</v>
      </c>
      <c r="K8019">
        <v>20</v>
      </c>
      <c r="L8019">
        <v>20</v>
      </c>
      <c r="M8019">
        <v>20</v>
      </c>
    </row>
    <row r="8020" spans="1:13" x14ac:dyDescent="0.25">
      <c r="A8020" t="s">
        <v>17874</v>
      </c>
      <c r="B8020" t="s">
        <v>17875</v>
      </c>
      <c r="C8020" t="s">
        <v>496</v>
      </c>
      <c r="D8020" t="s">
        <v>2360</v>
      </c>
      <c r="F8020">
        <v>2</v>
      </c>
      <c r="G8020" t="s">
        <v>16</v>
      </c>
      <c r="H8020">
        <v>0</v>
      </c>
      <c r="I8020" s="2" t="s">
        <v>5155</v>
      </c>
      <c r="J8020" s="2" t="s">
        <v>17876</v>
      </c>
      <c r="K8020">
        <v>20</v>
      </c>
      <c r="L8020">
        <v>20</v>
      </c>
      <c r="M8020">
        <v>20</v>
      </c>
    </row>
    <row r="8021" spans="1:13" x14ac:dyDescent="0.25">
      <c r="A8021" t="s">
        <v>17877</v>
      </c>
      <c r="B8021" t="s">
        <v>17875</v>
      </c>
      <c r="C8021" t="s">
        <v>496</v>
      </c>
      <c r="D8021" t="s">
        <v>2360</v>
      </c>
      <c r="F8021">
        <v>2</v>
      </c>
      <c r="G8021" t="s">
        <v>16</v>
      </c>
      <c r="H8021">
        <v>0</v>
      </c>
      <c r="I8021" s="2" t="s">
        <v>737</v>
      </c>
      <c r="J8021" s="2" t="s">
        <v>17878</v>
      </c>
      <c r="K8021">
        <v>20</v>
      </c>
      <c r="L8021">
        <v>20</v>
      </c>
      <c r="M8021">
        <v>20</v>
      </c>
    </row>
    <row r="8022" spans="1:13" x14ac:dyDescent="0.25">
      <c r="A8022" t="s">
        <v>17879</v>
      </c>
      <c r="B8022" t="s">
        <v>17881</v>
      </c>
      <c r="C8022" t="s">
        <v>496</v>
      </c>
      <c r="F8022">
        <v>1</v>
      </c>
      <c r="G8022" t="s">
        <v>16</v>
      </c>
      <c r="H8022">
        <v>0</v>
      </c>
      <c r="I8022" s="2" t="s">
        <v>765</v>
      </c>
      <c r="J8022" s="2" t="s">
        <v>17880</v>
      </c>
      <c r="K8022">
        <v>20</v>
      </c>
      <c r="L8022">
        <v>20</v>
      </c>
      <c r="M8022">
        <v>20</v>
      </c>
    </row>
    <row r="8023" spans="1:13" x14ac:dyDescent="0.25">
      <c r="A8023" t="s">
        <v>17882</v>
      </c>
      <c r="B8023" t="s">
        <v>17883</v>
      </c>
      <c r="C8023" t="s">
        <v>496</v>
      </c>
      <c r="F8023">
        <v>3</v>
      </c>
      <c r="G8023" t="s">
        <v>16</v>
      </c>
      <c r="H8023">
        <v>0</v>
      </c>
      <c r="I8023" s="2" t="s">
        <v>2533</v>
      </c>
      <c r="J8023" s="2" t="s">
        <v>17884</v>
      </c>
      <c r="K8023">
        <v>20</v>
      </c>
      <c r="L8023">
        <v>20</v>
      </c>
      <c r="M8023">
        <v>20</v>
      </c>
    </row>
    <row r="8024" spans="1:13" x14ac:dyDescent="0.25">
      <c r="A8024" t="s">
        <v>17885</v>
      </c>
      <c r="B8024" t="s">
        <v>17883</v>
      </c>
      <c r="C8024" t="s">
        <v>496</v>
      </c>
      <c r="G8024" t="s">
        <v>16</v>
      </c>
      <c r="H8024">
        <v>0</v>
      </c>
      <c r="I8024" s="2" t="s">
        <v>8864</v>
      </c>
      <c r="J8024" s="2" t="str">
        <f>"05-71810"</f>
        <v>05-71810</v>
      </c>
      <c r="K8024">
        <v>20</v>
      </c>
      <c r="L8024">
        <v>20</v>
      </c>
      <c r="M8024">
        <v>20</v>
      </c>
    </row>
    <row r="8025" spans="1:13" x14ac:dyDescent="0.25">
      <c r="A8025" t="s">
        <v>17886</v>
      </c>
      <c r="B8025" t="s">
        <v>17887</v>
      </c>
      <c r="C8025" t="s">
        <v>496</v>
      </c>
      <c r="F8025">
        <v>2</v>
      </c>
      <c r="G8025" t="s">
        <v>16</v>
      </c>
      <c r="H8025">
        <v>0</v>
      </c>
      <c r="I8025" s="2" t="s">
        <v>266</v>
      </c>
      <c r="J8025" s="2" t="s">
        <v>17888</v>
      </c>
      <c r="K8025">
        <v>20</v>
      </c>
      <c r="L8025">
        <v>20</v>
      </c>
      <c r="M8025">
        <v>20</v>
      </c>
    </row>
    <row r="8026" spans="1:13" x14ac:dyDescent="0.25">
      <c r="A8026" t="s">
        <v>17889</v>
      </c>
      <c r="B8026" t="s">
        <v>17883</v>
      </c>
      <c r="C8026" t="s">
        <v>496</v>
      </c>
      <c r="D8026" t="s">
        <v>2360</v>
      </c>
      <c r="F8026">
        <v>1</v>
      </c>
      <c r="G8026" t="s">
        <v>16</v>
      </c>
      <c r="H8026">
        <v>0</v>
      </c>
      <c r="I8026" s="2" t="s">
        <v>5044</v>
      </c>
      <c r="J8026" s="2" t="s">
        <v>17890</v>
      </c>
      <c r="K8026">
        <v>20</v>
      </c>
      <c r="L8026">
        <v>20</v>
      </c>
      <c r="M8026">
        <v>20</v>
      </c>
    </row>
    <row r="8027" spans="1:13" x14ac:dyDescent="0.25">
      <c r="A8027" t="s">
        <v>17891</v>
      </c>
      <c r="B8027" t="s">
        <v>17893</v>
      </c>
      <c r="C8027" t="s">
        <v>496</v>
      </c>
      <c r="F8027">
        <v>2</v>
      </c>
      <c r="G8027" t="s">
        <v>16</v>
      </c>
      <c r="H8027">
        <v>0</v>
      </c>
      <c r="I8027" s="2" t="s">
        <v>765</v>
      </c>
      <c r="J8027" s="2" t="s">
        <v>17892</v>
      </c>
      <c r="K8027">
        <v>20</v>
      </c>
      <c r="L8027">
        <v>20</v>
      </c>
      <c r="M8027">
        <v>20</v>
      </c>
    </row>
    <row r="8028" spans="1:13" x14ac:dyDescent="0.25">
      <c r="A8028" t="s">
        <v>17894</v>
      </c>
      <c r="B8028" t="s">
        <v>17895</v>
      </c>
      <c r="C8028" t="s">
        <v>496</v>
      </c>
      <c r="F8028">
        <v>2</v>
      </c>
      <c r="G8028" t="s">
        <v>16</v>
      </c>
      <c r="H8028">
        <v>0</v>
      </c>
      <c r="I8028" s="2" t="s">
        <v>2517</v>
      </c>
      <c r="J8028" s="2" t="s">
        <v>17896</v>
      </c>
      <c r="K8028">
        <v>20</v>
      </c>
      <c r="L8028">
        <v>20</v>
      </c>
      <c r="M8028">
        <v>20</v>
      </c>
    </row>
    <row r="8029" spans="1:13" x14ac:dyDescent="0.25">
      <c r="A8029" t="s">
        <v>17897</v>
      </c>
      <c r="B8029" t="s">
        <v>17895</v>
      </c>
      <c r="C8029" t="s">
        <v>496</v>
      </c>
      <c r="F8029">
        <v>0</v>
      </c>
      <c r="G8029" t="s">
        <v>16</v>
      </c>
      <c r="H8029">
        <v>0</v>
      </c>
      <c r="I8029" s="2" t="s">
        <v>5040</v>
      </c>
      <c r="J8029" s="2" t="str">
        <f>"05-71811"</f>
        <v>05-71811</v>
      </c>
      <c r="K8029">
        <v>20</v>
      </c>
      <c r="L8029">
        <v>20</v>
      </c>
      <c r="M8029">
        <v>20</v>
      </c>
    </row>
    <row r="8030" spans="1:13" x14ac:dyDescent="0.25">
      <c r="A8030" t="s">
        <v>17898</v>
      </c>
      <c r="B8030" t="s">
        <v>17893</v>
      </c>
      <c r="C8030" t="s">
        <v>496</v>
      </c>
      <c r="G8030" t="s">
        <v>16</v>
      </c>
      <c r="H8030">
        <v>0</v>
      </c>
      <c r="I8030" s="2" t="s">
        <v>5267</v>
      </c>
      <c r="J8030" s="2" t="s">
        <v>17899</v>
      </c>
      <c r="K8030">
        <v>20</v>
      </c>
      <c r="L8030">
        <v>20</v>
      </c>
      <c r="M8030">
        <v>20</v>
      </c>
    </row>
    <row r="8031" spans="1:13" x14ac:dyDescent="0.25">
      <c r="A8031" t="s">
        <v>17900</v>
      </c>
      <c r="B8031" t="s">
        <v>17893</v>
      </c>
      <c r="C8031" t="s">
        <v>496</v>
      </c>
      <c r="D8031" t="s">
        <v>2360</v>
      </c>
      <c r="F8031">
        <v>1</v>
      </c>
      <c r="G8031" t="s">
        <v>16</v>
      </c>
      <c r="H8031">
        <v>0</v>
      </c>
      <c r="I8031" s="2" t="s">
        <v>5044</v>
      </c>
      <c r="J8031" s="2" t="s">
        <v>17901</v>
      </c>
      <c r="K8031">
        <v>20</v>
      </c>
      <c r="L8031">
        <v>20</v>
      </c>
      <c r="M8031">
        <v>20</v>
      </c>
    </row>
    <row r="8032" spans="1:13" x14ac:dyDescent="0.25">
      <c r="A8032" t="s">
        <v>17902</v>
      </c>
      <c r="B8032" t="s">
        <v>17903</v>
      </c>
      <c r="C8032" t="s">
        <v>20</v>
      </c>
      <c r="D8032" t="s">
        <v>894</v>
      </c>
      <c r="G8032" t="s">
        <v>16</v>
      </c>
      <c r="H8032">
        <v>0</v>
      </c>
      <c r="I8032" s="2" t="s">
        <v>395</v>
      </c>
      <c r="J8032" s="2" t="s">
        <v>17904</v>
      </c>
      <c r="K8032">
        <v>20</v>
      </c>
      <c r="L8032">
        <v>20</v>
      </c>
      <c r="M8032">
        <v>20</v>
      </c>
    </row>
    <row r="8033" spans="1:13" x14ac:dyDescent="0.25">
      <c r="A8033" t="s">
        <v>17905</v>
      </c>
      <c r="B8033" t="s">
        <v>17906</v>
      </c>
      <c r="C8033" t="s">
        <v>20</v>
      </c>
      <c r="D8033" t="s">
        <v>894</v>
      </c>
      <c r="F8033">
        <v>1</v>
      </c>
      <c r="G8033" t="s">
        <v>16</v>
      </c>
      <c r="H8033">
        <v>0</v>
      </c>
      <c r="I8033" s="2" t="s">
        <v>11801</v>
      </c>
      <c r="J8033" s="2" t="str">
        <f>"03343"</f>
        <v>03343</v>
      </c>
      <c r="K8033">
        <v>20</v>
      </c>
      <c r="L8033">
        <v>20</v>
      </c>
      <c r="M8033">
        <v>20</v>
      </c>
    </row>
    <row r="8034" spans="1:13" x14ac:dyDescent="0.25">
      <c r="A8034" t="s">
        <v>17907</v>
      </c>
      <c r="B8034" t="s">
        <v>17908</v>
      </c>
      <c r="C8034" t="s">
        <v>20</v>
      </c>
      <c r="D8034" t="s">
        <v>26</v>
      </c>
      <c r="G8034" t="s">
        <v>16</v>
      </c>
      <c r="H8034">
        <v>0</v>
      </c>
      <c r="I8034" s="2" t="s">
        <v>209</v>
      </c>
      <c r="J8034" s="2" t="str">
        <f>"041293-FP"</f>
        <v>041293-FP</v>
      </c>
      <c r="K8034">
        <v>20</v>
      </c>
      <c r="L8034">
        <v>20</v>
      </c>
      <c r="M8034">
        <v>20</v>
      </c>
    </row>
    <row r="8035" spans="1:13" x14ac:dyDescent="0.25">
      <c r="A8035" t="s">
        <v>17909</v>
      </c>
      <c r="B8035" t="s">
        <v>17910</v>
      </c>
      <c r="C8035" t="s">
        <v>496</v>
      </c>
      <c r="F8035">
        <v>2</v>
      </c>
      <c r="G8035" t="s">
        <v>16</v>
      </c>
      <c r="H8035">
        <v>0</v>
      </c>
      <c r="I8035" s="2" t="s">
        <v>2533</v>
      </c>
      <c r="J8035" s="2" t="s">
        <v>17911</v>
      </c>
      <c r="K8035">
        <v>20</v>
      </c>
      <c r="L8035">
        <v>20</v>
      </c>
      <c r="M8035">
        <v>20</v>
      </c>
    </row>
    <row r="8036" spans="1:13" x14ac:dyDescent="0.25">
      <c r="A8036" t="s">
        <v>17912</v>
      </c>
      <c r="B8036" t="s">
        <v>17910</v>
      </c>
      <c r="C8036" t="s">
        <v>496</v>
      </c>
      <c r="D8036" t="s">
        <v>2360</v>
      </c>
      <c r="F8036">
        <v>2</v>
      </c>
      <c r="G8036" t="s">
        <v>16</v>
      </c>
      <c r="H8036">
        <v>0</v>
      </c>
      <c r="I8036" s="2" t="s">
        <v>5044</v>
      </c>
      <c r="J8036" s="2" t="s">
        <v>17913</v>
      </c>
      <c r="K8036">
        <v>20</v>
      </c>
      <c r="L8036">
        <v>20</v>
      </c>
      <c r="M8036">
        <v>20</v>
      </c>
    </row>
    <row r="8037" spans="1:13" x14ac:dyDescent="0.25">
      <c r="A8037" t="s">
        <v>17914</v>
      </c>
      <c r="B8037" t="s">
        <v>17915</v>
      </c>
      <c r="C8037" t="s">
        <v>20</v>
      </c>
      <c r="D8037" t="s">
        <v>2477</v>
      </c>
      <c r="F8037">
        <v>1</v>
      </c>
      <c r="G8037" t="s">
        <v>16</v>
      </c>
      <c r="H8037">
        <v>0</v>
      </c>
      <c r="I8037" s="2" t="s">
        <v>737</v>
      </c>
      <c r="J8037" s="2" t="s">
        <v>17916</v>
      </c>
      <c r="K8037">
        <v>20</v>
      </c>
      <c r="L8037">
        <v>20</v>
      </c>
      <c r="M8037">
        <v>20</v>
      </c>
    </row>
    <row r="8038" spans="1:13" x14ac:dyDescent="0.25">
      <c r="A8038" t="s">
        <v>17917</v>
      </c>
      <c r="B8038" t="s">
        <v>17918</v>
      </c>
      <c r="C8038" t="s">
        <v>20</v>
      </c>
      <c r="D8038" t="s">
        <v>2477</v>
      </c>
      <c r="G8038" t="s">
        <v>16</v>
      </c>
      <c r="H8038">
        <v>0</v>
      </c>
      <c r="I8038" s="2" t="s">
        <v>245</v>
      </c>
      <c r="J8038" s="2" t="s">
        <v>17919</v>
      </c>
      <c r="K8038">
        <v>20</v>
      </c>
      <c r="L8038">
        <v>20</v>
      </c>
      <c r="M8038">
        <v>20</v>
      </c>
    </row>
    <row r="8039" spans="1:13" x14ac:dyDescent="0.25">
      <c r="A8039" t="s">
        <v>17920</v>
      </c>
      <c r="B8039" t="s">
        <v>17921</v>
      </c>
      <c r="C8039" t="s">
        <v>357</v>
      </c>
      <c r="D8039" t="s">
        <v>1836</v>
      </c>
      <c r="F8039">
        <v>2</v>
      </c>
      <c r="G8039" t="s">
        <v>16</v>
      </c>
      <c r="H8039">
        <v>0</v>
      </c>
      <c r="I8039" s="2" t="s">
        <v>1906</v>
      </c>
      <c r="J8039" s="2">
        <v>53902</v>
      </c>
      <c r="K8039">
        <v>20</v>
      </c>
      <c r="L8039">
        <v>20</v>
      </c>
      <c r="M8039">
        <v>20</v>
      </c>
    </row>
    <row r="8040" spans="1:13" x14ac:dyDescent="0.25">
      <c r="A8040" t="s">
        <v>17922</v>
      </c>
      <c r="B8040" t="s">
        <v>17923</v>
      </c>
      <c r="C8040" t="s">
        <v>241</v>
      </c>
      <c r="D8040" t="s">
        <v>2216</v>
      </c>
      <c r="G8040" t="s">
        <v>16</v>
      </c>
      <c r="H8040">
        <v>0</v>
      </c>
      <c r="I8040" s="2" t="s">
        <v>245</v>
      </c>
      <c r="J8040" s="2" t="s">
        <v>17924</v>
      </c>
      <c r="K8040">
        <v>20</v>
      </c>
      <c r="L8040">
        <v>20</v>
      </c>
      <c r="M8040">
        <v>20</v>
      </c>
    </row>
    <row r="8041" spans="1:13" x14ac:dyDescent="0.25">
      <c r="A8041" t="s">
        <v>17925</v>
      </c>
      <c r="B8041" t="s">
        <v>17926</v>
      </c>
      <c r="C8041" t="s">
        <v>357</v>
      </c>
      <c r="D8041" t="s">
        <v>241</v>
      </c>
      <c r="F8041">
        <v>2</v>
      </c>
      <c r="G8041" t="s">
        <v>16</v>
      </c>
      <c r="H8041">
        <v>0</v>
      </c>
      <c r="I8041" s="2" t="s">
        <v>266</v>
      </c>
      <c r="J8041" s="2">
        <v>66721</v>
      </c>
      <c r="K8041">
        <v>20</v>
      </c>
      <c r="L8041">
        <v>20</v>
      </c>
      <c r="M8041">
        <v>20</v>
      </c>
    </row>
    <row r="8042" spans="1:13" x14ac:dyDescent="0.25">
      <c r="A8042" t="s">
        <v>17927</v>
      </c>
      <c r="B8042" t="s">
        <v>17928</v>
      </c>
      <c r="C8042" t="s">
        <v>357</v>
      </c>
      <c r="D8042" t="s">
        <v>241</v>
      </c>
      <c r="G8042" t="s">
        <v>16</v>
      </c>
      <c r="H8042">
        <v>0</v>
      </c>
      <c r="I8042" s="2" t="s">
        <v>737</v>
      </c>
      <c r="J8042" s="2" t="s">
        <v>17929</v>
      </c>
      <c r="K8042">
        <v>20</v>
      </c>
      <c r="L8042">
        <v>20</v>
      </c>
      <c r="M8042">
        <v>20</v>
      </c>
    </row>
    <row r="8043" spans="1:13" x14ac:dyDescent="0.25">
      <c r="A8043" t="s">
        <v>17930</v>
      </c>
      <c r="B8043" t="s">
        <v>17931</v>
      </c>
      <c r="C8043" t="s">
        <v>357</v>
      </c>
      <c r="D8043" t="s">
        <v>241</v>
      </c>
      <c r="G8043" t="s">
        <v>16</v>
      </c>
      <c r="H8043">
        <v>0</v>
      </c>
      <c r="I8043" s="2" t="s">
        <v>8507</v>
      </c>
      <c r="J8043" s="2" t="s">
        <v>17932</v>
      </c>
      <c r="K8043">
        <v>20</v>
      </c>
      <c r="L8043">
        <v>20</v>
      </c>
      <c r="M8043">
        <v>20</v>
      </c>
    </row>
    <row r="8044" spans="1:13" x14ac:dyDescent="0.25">
      <c r="A8044" t="s">
        <v>17933</v>
      </c>
      <c r="B8044" t="s">
        <v>17931</v>
      </c>
      <c r="C8044" t="s">
        <v>357</v>
      </c>
      <c r="D8044" t="s">
        <v>241</v>
      </c>
      <c r="F8044">
        <v>1</v>
      </c>
      <c r="G8044" t="s">
        <v>16</v>
      </c>
      <c r="H8044">
        <v>0</v>
      </c>
      <c r="I8044" s="2" t="s">
        <v>737</v>
      </c>
      <c r="J8044" s="2" t="s">
        <v>17934</v>
      </c>
      <c r="K8044">
        <v>20</v>
      </c>
      <c r="L8044">
        <v>20</v>
      </c>
      <c r="M8044">
        <v>20</v>
      </c>
    </row>
    <row r="8045" spans="1:13" x14ac:dyDescent="0.25">
      <c r="A8045" t="s">
        <v>17935</v>
      </c>
      <c r="B8045" t="s">
        <v>17936</v>
      </c>
      <c r="C8045" t="s">
        <v>357</v>
      </c>
      <c r="D8045" t="s">
        <v>241</v>
      </c>
      <c r="F8045">
        <v>1</v>
      </c>
      <c r="G8045" t="s">
        <v>16</v>
      </c>
      <c r="H8045">
        <v>0</v>
      </c>
      <c r="I8045" s="2" t="s">
        <v>7560</v>
      </c>
      <c r="J8045" s="2" t="s">
        <v>17937</v>
      </c>
      <c r="K8045">
        <v>20</v>
      </c>
      <c r="L8045">
        <v>20</v>
      </c>
      <c r="M8045">
        <v>20</v>
      </c>
    </row>
    <row r="8046" spans="1:13" x14ac:dyDescent="0.25">
      <c r="A8046" t="s">
        <v>17938</v>
      </c>
      <c r="B8046" t="s">
        <v>17939</v>
      </c>
      <c r="C8046" t="s">
        <v>357</v>
      </c>
      <c r="D8046" t="s">
        <v>241</v>
      </c>
      <c r="F8046">
        <v>3</v>
      </c>
      <c r="G8046" t="s">
        <v>16</v>
      </c>
      <c r="H8046">
        <v>0</v>
      </c>
      <c r="I8046" s="2" t="s">
        <v>2233</v>
      </c>
      <c r="J8046" s="2">
        <v>25122</v>
      </c>
      <c r="K8046">
        <v>20</v>
      </c>
      <c r="L8046">
        <v>20</v>
      </c>
      <c r="M8046">
        <v>20</v>
      </c>
    </row>
    <row r="8047" spans="1:13" x14ac:dyDescent="0.25">
      <c r="A8047" t="s">
        <v>17940</v>
      </c>
      <c r="B8047" t="s">
        <v>17939</v>
      </c>
      <c r="C8047" t="s">
        <v>357</v>
      </c>
      <c r="D8047" t="s">
        <v>241</v>
      </c>
      <c r="G8047" t="s">
        <v>16</v>
      </c>
      <c r="H8047">
        <v>0</v>
      </c>
      <c r="I8047" s="2" t="s">
        <v>245</v>
      </c>
      <c r="J8047" s="2" t="s">
        <v>17941</v>
      </c>
      <c r="K8047">
        <v>20</v>
      </c>
      <c r="L8047">
        <v>20</v>
      </c>
      <c r="M8047">
        <v>20</v>
      </c>
    </row>
    <row r="8048" spans="1:13" x14ac:dyDescent="0.25">
      <c r="A8048" t="s">
        <v>17942</v>
      </c>
      <c r="B8048" t="s">
        <v>17943</v>
      </c>
      <c r="C8048" t="s">
        <v>357</v>
      </c>
      <c r="D8048" t="s">
        <v>241</v>
      </c>
      <c r="F8048">
        <v>1</v>
      </c>
      <c r="G8048" t="s">
        <v>16</v>
      </c>
      <c r="H8048">
        <v>0</v>
      </c>
      <c r="I8048" s="2" t="s">
        <v>737</v>
      </c>
      <c r="J8048" s="2" t="s">
        <v>17944</v>
      </c>
      <c r="K8048">
        <v>20</v>
      </c>
      <c r="L8048">
        <v>20</v>
      </c>
      <c r="M8048">
        <v>20</v>
      </c>
    </row>
    <row r="8049" spans="1:13" x14ac:dyDescent="0.25">
      <c r="A8049" t="s">
        <v>17945</v>
      </c>
      <c r="B8049" t="s">
        <v>17946</v>
      </c>
      <c r="C8049" t="s">
        <v>151</v>
      </c>
      <c r="D8049" t="s">
        <v>1670</v>
      </c>
      <c r="F8049">
        <v>2</v>
      </c>
      <c r="G8049" t="s">
        <v>16</v>
      </c>
      <c r="H8049">
        <v>0</v>
      </c>
      <c r="I8049" s="2" t="s">
        <v>2599</v>
      </c>
      <c r="J8049" s="2" t="s">
        <v>17947</v>
      </c>
      <c r="K8049">
        <v>20</v>
      </c>
      <c r="L8049">
        <v>20</v>
      </c>
      <c r="M8049">
        <v>20</v>
      </c>
    </row>
    <row r="8050" spans="1:13" x14ac:dyDescent="0.25">
      <c r="A8050" t="s">
        <v>17948</v>
      </c>
      <c r="B8050" t="s">
        <v>17949</v>
      </c>
      <c r="C8050" t="s">
        <v>14</v>
      </c>
      <c r="D8050" t="s">
        <v>191</v>
      </c>
      <c r="F8050">
        <v>4</v>
      </c>
      <c r="G8050" t="s">
        <v>16</v>
      </c>
      <c r="H8050">
        <v>0</v>
      </c>
      <c r="I8050" s="2" t="s">
        <v>17950</v>
      </c>
      <c r="J8050" s="2">
        <v>96536696</v>
      </c>
      <c r="K8050">
        <v>20</v>
      </c>
      <c r="L8050">
        <v>20</v>
      </c>
      <c r="M8050">
        <v>20</v>
      </c>
    </row>
    <row r="8051" spans="1:13" x14ac:dyDescent="0.25">
      <c r="A8051" t="s">
        <v>17951</v>
      </c>
      <c r="B8051" t="s">
        <v>17949</v>
      </c>
      <c r="C8051" t="s">
        <v>14</v>
      </c>
      <c r="D8051" t="s">
        <v>191</v>
      </c>
      <c r="G8051" t="s">
        <v>16</v>
      </c>
      <c r="H8051">
        <v>0</v>
      </c>
      <c r="I8051" s="2" t="s">
        <v>4708</v>
      </c>
      <c r="J8051" s="2" t="s">
        <v>17952</v>
      </c>
      <c r="K8051">
        <v>20</v>
      </c>
      <c r="L8051">
        <v>20</v>
      </c>
      <c r="M8051">
        <v>20</v>
      </c>
    </row>
    <row r="8052" spans="1:13" x14ac:dyDescent="0.25">
      <c r="A8052" t="s">
        <v>17953</v>
      </c>
      <c r="B8052" t="s">
        <v>17954</v>
      </c>
      <c r="C8052" t="s">
        <v>14</v>
      </c>
      <c r="D8052" t="s">
        <v>191</v>
      </c>
      <c r="F8052">
        <v>1</v>
      </c>
      <c r="G8052" t="s">
        <v>16</v>
      </c>
      <c r="H8052">
        <v>0</v>
      </c>
      <c r="I8052" s="2" t="s">
        <v>192</v>
      </c>
      <c r="J8052" s="2" t="s">
        <v>17955</v>
      </c>
      <c r="K8052">
        <v>20</v>
      </c>
      <c r="L8052">
        <v>20</v>
      </c>
      <c r="M8052">
        <v>20</v>
      </c>
    </row>
    <row r="8053" spans="1:13" x14ac:dyDescent="0.25">
      <c r="A8053" t="s">
        <v>17956</v>
      </c>
      <c r="B8053" t="s">
        <v>17949</v>
      </c>
      <c r="C8053" t="s">
        <v>14</v>
      </c>
      <c r="D8053" t="s">
        <v>191</v>
      </c>
      <c r="G8053" t="s">
        <v>16</v>
      </c>
      <c r="H8053">
        <v>0</v>
      </c>
      <c r="I8053" s="2" t="s">
        <v>7250</v>
      </c>
      <c r="J8053" s="2" t="s">
        <v>17957</v>
      </c>
      <c r="K8053">
        <v>20</v>
      </c>
      <c r="L8053">
        <v>20</v>
      </c>
      <c r="M8053">
        <v>20</v>
      </c>
    </row>
    <row r="8054" spans="1:13" x14ac:dyDescent="0.25">
      <c r="A8054" t="s">
        <v>17958</v>
      </c>
      <c r="B8054" t="s">
        <v>17949</v>
      </c>
      <c r="C8054" t="s">
        <v>14</v>
      </c>
      <c r="D8054" t="s">
        <v>191</v>
      </c>
      <c r="F8054">
        <v>3</v>
      </c>
      <c r="G8054" t="s">
        <v>16</v>
      </c>
      <c r="H8054">
        <v>0</v>
      </c>
      <c r="I8054" s="2" t="s">
        <v>4748</v>
      </c>
      <c r="J8054" s="2" t="s">
        <v>17959</v>
      </c>
      <c r="K8054">
        <v>20</v>
      </c>
      <c r="L8054">
        <v>20</v>
      </c>
      <c r="M8054">
        <v>20</v>
      </c>
    </row>
    <row r="8055" spans="1:13" x14ac:dyDescent="0.25">
      <c r="A8055" t="s">
        <v>17960</v>
      </c>
      <c r="B8055" t="s">
        <v>17949</v>
      </c>
      <c r="C8055" t="s">
        <v>14</v>
      </c>
      <c r="D8055" t="s">
        <v>191</v>
      </c>
      <c r="F8055">
        <v>5</v>
      </c>
      <c r="G8055" t="s">
        <v>16</v>
      </c>
      <c r="H8055">
        <v>0</v>
      </c>
      <c r="I8055" s="2" t="s">
        <v>4711</v>
      </c>
      <c r="J8055" s="2" t="s">
        <v>17961</v>
      </c>
      <c r="K8055">
        <v>20</v>
      </c>
      <c r="L8055">
        <v>20</v>
      </c>
      <c r="M8055">
        <v>20</v>
      </c>
    </row>
    <row r="8056" spans="1:13" x14ac:dyDescent="0.25">
      <c r="A8056" t="s">
        <v>17962</v>
      </c>
      <c r="B8056" t="s">
        <v>17954</v>
      </c>
      <c r="C8056" t="s">
        <v>14</v>
      </c>
      <c r="D8056" t="s">
        <v>191</v>
      </c>
      <c r="F8056">
        <v>8</v>
      </c>
      <c r="G8056" t="s">
        <v>16</v>
      </c>
      <c r="H8056">
        <v>0</v>
      </c>
      <c r="I8056" s="2" t="s">
        <v>7690</v>
      </c>
      <c r="J8056" s="2" t="s">
        <v>17963</v>
      </c>
      <c r="K8056">
        <v>20</v>
      </c>
      <c r="L8056">
        <v>20</v>
      </c>
      <c r="M8056">
        <v>20</v>
      </c>
    </row>
    <row r="8057" spans="1:13" x14ac:dyDescent="0.25">
      <c r="A8057" t="s">
        <v>17964</v>
      </c>
      <c r="B8057" t="s">
        <v>17949</v>
      </c>
      <c r="C8057" t="s">
        <v>14</v>
      </c>
      <c r="D8057" t="s">
        <v>191</v>
      </c>
      <c r="G8057" t="s">
        <v>16</v>
      </c>
      <c r="H8057">
        <v>0</v>
      </c>
      <c r="I8057" s="2" t="s">
        <v>4807</v>
      </c>
      <c r="J8057" s="2" t="s">
        <v>17965</v>
      </c>
      <c r="K8057">
        <v>20</v>
      </c>
      <c r="L8057">
        <v>20</v>
      </c>
      <c r="M8057">
        <v>20</v>
      </c>
    </row>
    <row r="8058" spans="1:13" x14ac:dyDescent="0.25">
      <c r="A8058" t="s">
        <v>17966</v>
      </c>
      <c r="B8058" t="s">
        <v>17967</v>
      </c>
      <c r="C8058" t="s">
        <v>241</v>
      </c>
      <c r="D8058" t="s">
        <v>262</v>
      </c>
      <c r="G8058" t="s">
        <v>16</v>
      </c>
      <c r="H8058">
        <v>0</v>
      </c>
      <c r="I8058" s="2" t="s">
        <v>737</v>
      </c>
      <c r="J8058" s="2" t="s">
        <v>17968</v>
      </c>
      <c r="K8058">
        <v>20</v>
      </c>
      <c r="L8058">
        <v>20</v>
      </c>
      <c r="M8058">
        <v>20</v>
      </c>
    </row>
    <row r="8059" spans="1:13" x14ac:dyDescent="0.25">
      <c r="A8059" t="s">
        <v>17969</v>
      </c>
      <c r="B8059" t="s">
        <v>17971</v>
      </c>
      <c r="C8059" t="s">
        <v>14</v>
      </c>
      <c r="D8059" t="s">
        <v>4956</v>
      </c>
      <c r="F8059">
        <v>4</v>
      </c>
      <c r="G8059" t="s">
        <v>16</v>
      </c>
      <c r="H8059">
        <v>0</v>
      </c>
      <c r="I8059" s="2" t="s">
        <v>4748</v>
      </c>
      <c r="J8059" s="2" t="s">
        <v>17970</v>
      </c>
      <c r="K8059">
        <v>20</v>
      </c>
      <c r="L8059">
        <v>20</v>
      </c>
      <c r="M8059">
        <v>20</v>
      </c>
    </row>
    <row r="8060" spans="1:13" x14ac:dyDescent="0.25">
      <c r="A8060" t="s">
        <v>17972</v>
      </c>
      <c r="B8060" t="s">
        <v>17974</v>
      </c>
      <c r="C8060" t="s">
        <v>14</v>
      </c>
      <c r="D8060" t="s">
        <v>4956</v>
      </c>
      <c r="F8060">
        <v>3</v>
      </c>
      <c r="G8060" t="s">
        <v>16</v>
      </c>
      <c r="H8060">
        <v>0</v>
      </c>
      <c r="I8060" s="2" t="s">
        <v>4732</v>
      </c>
      <c r="J8060" s="2" t="s">
        <v>17973</v>
      </c>
      <c r="K8060">
        <v>20</v>
      </c>
      <c r="L8060">
        <v>20</v>
      </c>
      <c r="M8060">
        <v>20</v>
      </c>
    </row>
    <row r="8061" spans="1:13" x14ac:dyDescent="0.25">
      <c r="A8061" t="s">
        <v>17975</v>
      </c>
      <c r="B8061" t="s">
        <v>17976</v>
      </c>
      <c r="C8061" t="s">
        <v>1426</v>
      </c>
      <c r="F8061">
        <v>1</v>
      </c>
      <c r="G8061" t="s">
        <v>16</v>
      </c>
      <c r="H8061">
        <v>0</v>
      </c>
      <c r="I8061" s="2" t="s">
        <v>643</v>
      </c>
      <c r="J8061" s="2">
        <v>191002</v>
      </c>
      <c r="K8061">
        <v>20</v>
      </c>
      <c r="L8061">
        <v>20</v>
      </c>
      <c r="M8061">
        <v>20</v>
      </c>
    </row>
    <row r="8062" spans="1:13" x14ac:dyDescent="0.25">
      <c r="A8062" t="s">
        <v>17977</v>
      </c>
      <c r="B8062" t="s">
        <v>17978</v>
      </c>
      <c r="C8062" t="s">
        <v>14</v>
      </c>
      <c r="D8062" t="s">
        <v>15</v>
      </c>
      <c r="F8062">
        <v>15</v>
      </c>
      <c r="G8062" t="s">
        <v>16</v>
      </c>
      <c r="H8062">
        <v>0</v>
      </c>
      <c r="I8062" s="2" t="s">
        <v>6939</v>
      </c>
      <c r="J8062" s="2" t="s">
        <v>17979</v>
      </c>
      <c r="K8062">
        <v>20</v>
      </c>
      <c r="L8062">
        <v>20</v>
      </c>
      <c r="M8062">
        <v>20</v>
      </c>
    </row>
    <row r="8063" spans="1:13" x14ac:dyDescent="0.25">
      <c r="A8063" t="s">
        <v>17980</v>
      </c>
      <c r="B8063" t="s">
        <v>17981</v>
      </c>
      <c r="C8063" t="s">
        <v>14</v>
      </c>
      <c r="D8063" t="s">
        <v>15</v>
      </c>
      <c r="F8063">
        <v>10</v>
      </c>
      <c r="G8063" t="s">
        <v>16</v>
      </c>
      <c r="H8063">
        <v>0</v>
      </c>
      <c r="I8063" s="2" t="s">
        <v>6939</v>
      </c>
      <c r="J8063" s="2" t="s">
        <v>17982</v>
      </c>
      <c r="K8063">
        <v>20</v>
      </c>
      <c r="L8063">
        <v>20</v>
      </c>
      <c r="M8063">
        <v>20</v>
      </c>
    </row>
    <row r="8064" spans="1:13" x14ac:dyDescent="0.25">
      <c r="A8064">
        <v>96540793</v>
      </c>
      <c r="B8064" t="s">
        <v>17983</v>
      </c>
      <c r="C8064" t="s">
        <v>151</v>
      </c>
      <c r="F8064">
        <v>1</v>
      </c>
      <c r="G8064" t="s">
        <v>16</v>
      </c>
      <c r="H8064">
        <v>0</v>
      </c>
      <c r="I8064" s="2" t="s">
        <v>497</v>
      </c>
      <c r="J8064" s="2">
        <v>96540793</v>
      </c>
      <c r="K8064">
        <v>20</v>
      </c>
      <c r="L8064">
        <v>20</v>
      </c>
      <c r="M8064">
        <v>20</v>
      </c>
    </row>
    <row r="8065" spans="1:13" x14ac:dyDescent="0.25">
      <c r="A8065" t="s">
        <v>17984</v>
      </c>
      <c r="B8065" t="s">
        <v>17985</v>
      </c>
      <c r="C8065" t="s">
        <v>540</v>
      </c>
      <c r="F8065">
        <v>3</v>
      </c>
      <c r="G8065" t="s">
        <v>16</v>
      </c>
      <c r="H8065">
        <v>0</v>
      </c>
      <c r="I8065" s="2" t="s">
        <v>17986</v>
      </c>
      <c r="J8065" s="2">
        <v>96541631</v>
      </c>
      <c r="K8065">
        <v>20</v>
      </c>
      <c r="L8065">
        <v>20</v>
      </c>
      <c r="M8065">
        <v>20</v>
      </c>
    </row>
    <row r="8066" spans="1:13" x14ac:dyDescent="0.25">
      <c r="A8066" t="s">
        <v>17987</v>
      </c>
      <c r="B8066" t="s">
        <v>17988</v>
      </c>
      <c r="C8066" t="s">
        <v>540</v>
      </c>
      <c r="G8066" t="s">
        <v>16</v>
      </c>
      <c r="H8066">
        <v>0</v>
      </c>
      <c r="K8066">
        <v>20</v>
      </c>
      <c r="L8066">
        <v>20</v>
      </c>
      <c r="M8066">
        <v>20</v>
      </c>
    </row>
    <row r="8067" spans="1:13" x14ac:dyDescent="0.25">
      <c r="A8067" t="s">
        <v>17989</v>
      </c>
      <c r="B8067" t="s">
        <v>17990</v>
      </c>
      <c r="C8067" t="s">
        <v>540</v>
      </c>
      <c r="F8067">
        <v>1</v>
      </c>
      <c r="G8067" t="s">
        <v>16</v>
      </c>
      <c r="H8067">
        <v>0</v>
      </c>
      <c r="I8067" s="2" t="s">
        <v>17986</v>
      </c>
      <c r="J8067" s="2">
        <v>96541632</v>
      </c>
      <c r="K8067">
        <v>20</v>
      </c>
      <c r="L8067">
        <v>20</v>
      </c>
      <c r="M8067">
        <v>20</v>
      </c>
    </row>
    <row r="8068" spans="1:13" x14ac:dyDescent="0.25">
      <c r="A8068" t="s">
        <v>17991</v>
      </c>
      <c r="B8068" t="s">
        <v>17992</v>
      </c>
      <c r="C8068" t="s">
        <v>1736</v>
      </c>
      <c r="F8068">
        <v>2</v>
      </c>
      <c r="G8068" t="s">
        <v>16</v>
      </c>
      <c r="H8068">
        <v>0</v>
      </c>
      <c r="I8068" s="2" t="s">
        <v>500</v>
      </c>
      <c r="J8068" s="2" t="s">
        <v>17993</v>
      </c>
      <c r="K8068">
        <v>20</v>
      </c>
      <c r="L8068">
        <v>20</v>
      </c>
      <c r="M8068">
        <v>20</v>
      </c>
    </row>
    <row r="8069" spans="1:13" x14ac:dyDescent="0.25">
      <c r="A8069">
        <v>96548063</v>
      </c>
      <c r="B8069" t="s">
        <v>17994</v>
      </c>
      <c r="C8069" t="s">
        <v>540</v>
      </c>
      <c r="F8069">
        <v>1</v>
      </c>
      <c r="G8069" t="s">
        <v>16</v>
      </c>
      <c r="H8069">
        <v>0</v>
      </c>
      <c r="I8069" s="2" t="s">
        <v>1444</v>
      </c>
      <c r="J8069" s="2">
        <v>96548063</v>
      </c>
      <c r="K8069">
        <v>20</v>
      </c>
      <c r="L8069">
        <v>20</v>
      </c>
      <c r="M8069">
        <v>20</v>
      </c>
    </row>
    <row r="8070" spans="1:13" x14ac:dyDescent="0.25">
      <c r="A8070" t="s">
        <v>17995</v>
      </c>
      <c r="B8070" t="s">
        <v>17996</v>
      </c>
      <c r="C8070" t="s">
        <v>1426</v>
      </c>
      <c r="F8070">
        <v>2</v>
      </c>
      <c r="G8070" t="s">
        <v>16</v>
      </c>
      <c r="H8070">
        <v>0</v>
      </c>
      <c r="K8070">
        <v>20</v>
      </c>
      <c r="L8070">
        <v>20</v>
      </c>
      <c r="M8070">
        <v>20</v>
      </c>
    </row>
    <row r="8071" spans="1:13" x14ac:dyDescent="0.25">
      <c r="A8071" t="s">
        <v>17997</v>
      </c>
      <c r="B8071" t="s">
        <v>17999</v>
      </c>
      <c r="C8071" t="s">
        <v>496</v>
      </c>
      <c r="D8071" t="s">
        <v>2360</v>
      </c>
      <c r="G8071" t="s">
        <v>16</v>
      </c>
      <c r="H8071">
        <v>0</v>
      </c>
      <c r="I8071" s="2" t="s">
        <v>765</v>
      </c>
      <c r="J8071" s="2" t="s">
        <v>17998</v>
      </c>
      <c r="K8071">
        <v>20</v>
      </c>
      <c r="L8071">
        <v>20</v>
      </c>
      <c r="M8071">
        <v>20</v>
      </c>
    </row>
    <row r="8072" spans="1:13" x14ac:dyDescent="0.25">
      <c r="A8072" t="s">
        <v>18000</v>
      </c>
      <c r="B8072" t="s">
        <v>18001</v>
      </c>
      <c r="C8072" t="s">
        <v>20</v>
      </c>
      <c r="D8072" t="s">
        <v>2477</v>
      </c>
      <c r="G8072" t="s">
        <v>16</v>
      </c>
      <c r="H8072">
        <v>0</v>
      </c>
      <c r="I8072" s="2" t="s">
        <v>245</v>
      </c>
      <c r="J8072" s="2" t="s">
        <v>18002</v>
      </c>
      <c r="K8072">
        <v>20</v>
      </c>
      <c r="L8072">
        <v>20</v>
      </c>
      <c r="M8072">
        <v>20</v>
      </c>
    </row>
    <row r="8073" spans="1:13" x14ac:dyDescent="0.25">
      <c r="A8073" t="s">
        <v>18003</v>
      </c>
      <c r="B8073" t="s">
        <v>18004</v>
      </c>
      <c r="C8073" t="s">
        <v>20</v>
      </c>
      <c r="D8073" t="s">
        <v>2477</v>
      </c>
      <c r="F8073">
        <v>1</v>
      </c>
      <c r="G8073" t="s">
        <v>16</v>
      </c>
      <c r="H8073">
        <v>0</v>
      </c>
      <c r="I8073" s="2" t="s">
        <v>737</v>
      </c>
      <c r="J8073" s="2" t="s">
        <v>18005</v>
      </c>
      <c r="K8073">
        <v>20</v>
      </c>
      <c r="L8073">
        <v>20</v>
      </c>
      <c r="M8073">
        <v>20</v>
      </c>
    </row>
    <row r="8074" spans="1:13" x14ac:dyDescent="0.25">
      <c r="A8074" t="s">
        <v>18006</v>
      </c>
      <c r="B8074" t="s">
        <v>18007</v>
      </c>
      <c r="C8074" t="s">
        <v>20</v>
      </c>
      <c r="D8074" t="s">
        <v>2477</v>
      </c>
      <c r="F8074">
        <v>1</v>
      </c>
      <c r="G8074" t="s">
        <v>16</v>
      </c>
      <c r="H8074">
        <v>0</v>
      </c>
      <c r="I8074" s="2" t="s">
        <v>5155</v>
      </c>
      <c r="J8074" s="2" t="s">
        <v>18008</v>
      </c>
      <c r="K8074">
        <v>20</v>
      </c>
      <c r="L8074">
        <v>20</v>
      </c>
      <c r="M8074">
        <v>20</v>
      </c>
    </row>
    <row r="8075" spans="1:13" x14ac:dyDescent="0.25">
      <c r="A8075" t="s">
        <v>18009</v>
      </c>
      <c r="B8075" t="s">
        <v>18010</v>
      </c>
      <c r="C8075" t="s">
        <v>357</v>
      </c>
      <c r="D8075" t="s">
        <v>241</v>
      </c>
      <c r="F8075">
        <v>1</v>
      </c>
      <c r="G8075" t="s">
        <v>16</v>
      </c>
      <c r="H8075">
        <v>0</v>
      </c>
      <c r="I8075" s="2" t="s">
        <v>7560</v>
      </c>
      <c r="J8075" s="2" t="s">
        <v>18011</v>
      </c>
      <c r="K8075">
        <v>20</v>
      </c>
      <c r="L8075">
        <v>20</v>
      </c>
      <c r="M8075">
        <v>20</v>
      </c>
    </row>
    <row r="8076" spans="1:13" x14ac:dyDescent="0.25">
      <c r="A8076" t="s">
        <v>18012</v>
      </c>
      <c r="B8076" t="s">
        <v>18013</v>
      </c>
      <c r="C8076" t="s">
        <v>357</v>
      </c>
      <c r="D8076" t="s">
        <v>241</v>
      </c>
      <c r="G8076" t="s">
        <v>16</v>
      </c>
      <c r="H8076">
        <v>0</v>
      </c>
      <c r="I8076" s="2" t="s">
        <v>243</v>
      </c>
      <c r="J8076" s="2">
        <v>25142</v>
      </c>
      <c r="K8076">
        <v>20</v>
      </c>
      <c r="L8076">
        <v>20</v>
      </c>
      <c r="M8076">
        <v>20</v>
      </c>
    </row>
    <row r="8077" spans="1:13" x14ac:dyDescent="0.25">
      <c r="A8077" t="s">
        <v>18014</v>
      </c>
      <c r="B8077" t="s">
        <v>18015</v>
      </c>
      <c r="C8077" t="s">
        <v>241</v>
      </c>
      <c r="D8077" t="s">
        <v>2216</v>
      </c>
      <c r="G8077" t="s">
        <v>16</v>
      </c>
      <c r="H8077">
        <v>0</v>
      </c>
      <c r="I8077" s="2" t="s">
        <v>765</v>
      </c>
      <c r="J8077" s="2">
        <v>501376155</v>
      </c>
      <c r="K8077">
        <v>20</v>
      </c>
      <c r="L8077">
        <v>20</v>
      </c>
      <c r="M8077">
        <v>20</v>
      </c>
    </row>
    <row r="8078" spans="1:13" x14ac:dyDescent="0.25">
      <c r="A8078" t="s">
        <v>18016</v>
      </c>
      <c r="B8078" t="s">
        <v>18017</v>
      </c>
      <c r="C8078" t="s">
        <v>357</v>
      </c>
      <c r="D8078" t="s">
        <v>241</v>
      </c>
      <c r="F8078">
        <v>1</v>
      </c>
      <c r="G8078" t="s">
        <v>16</v>
      </c>
      <c r="H8078">
        <v>0</v>
      </c>
      <c r="I8078" s="2" t="s">
        <v>737</v>
      </c>
      <c r="J8078" s="2" t="s">
        <v>18018</v>
      </c>
      <c r="K8078">
        <v>20</v>
      </c>
      <c r="L8078">
        <v>20</v>
      </c>
      <c r="M8078">
        <v>20</v>
      </c>
    </row>
    <row r="8079" spans="1:13" x14ac:dyDescent="0.25">
      <c r="A8079" t="s">
        <v>18019</v>
      </c>
      <c r="B8079" t="s">
        <v>18020</v>
      </c>
      <c r="C8079" t="s">
        <v>357</v>
      </c>
      <c r="D8079" t="s">
        <v>1836</v>
      </c>
      <c r="G8079" t="s">
        <v>16</v>
      </c>
      <c r="H8079">
        <v>0</v>
      </c>
      <c r="I8079" s="2" t="s">
        <v>1906</v>
      </c>
      <c r="J8079" s="2">
        <v>53150</v>
      </c>
      <c r="K8079">
        <v>20</v>
      </c>
      <c r="L8079">
        <v>20</v>
      </c>
      <c r="M8079">
        <v>20</v>
      </c>
    </row>
    <row r="8080" spans="1:13" x14ac:dyDescent="0.25">
      <c r="A8080" t="s">
        <v>18021</v>
      </c>
      <c r="B8080" t="s">
        <v>18022</v>
      </c>
      <c r="C8080" t="s">
        <v>14</v>
      </c>
      <c r="D8080" t="s">
        <v>191</v>
      </c>
      <c r="F8080">
        <v>1</v>
      </c>
      <c r="G8080" t="s">
        <v>16</v>
      </c>
      <c r="H8080">
        <v>0</v>
      </c>
      <c r="I8080" s="2" t="s">
        <v>14700</v>
      </c>
      <c r="J8080" s="2">
        <v>96553450</v>
      </c>
      <c r="K8080">
        <v>20</v>
      </c>
      <c r="L8080">
        <v>20</v>
      </c>
      <c r="M8080">
        <v>20</v>
      </c>
    </row>
    <row r="8081" spans="1:13" x14ac:dyDescent="0.25">
      <c r="A8081" t="s">
        <v>18023</v>
      </c>
      <c r="B8081" t="s">
        <v>18022</v>
      </c>
      <c r="C8081" t="s">
        <v>14</v>
      </c>
      <c r="D8081" t="s">
        <v>191</v>
      </c>
      <c r="G8081" t="s">
        <v>16</v>
      </c>
      <c r="H8081">
        <v>0</v>
      </c>
      <c r="I8081" s="2" t="s">
        <v>662</v>
      </c>
      <c r="J8081" s="2" t="s">
        <v>18024</v>
      </c>
      <c r="K8081">
        <v>20</v>
      </c>
      <c r="L8081">
        <v>20</v>
      </c>
      <c r="M8081">
        <v>20</v>
      </c>
    </row>
    <row r="8082" spans="1:13" x14ac:dyDescent="0.25">
      <c r="A8082" t="s">
        <v>18025</v>
      </c>
      <c r="B8082" t="s">
        <v>18022</v>
      </c>
      <c r="C8082" t="s">
        <v>14</v>
      </c>
      <c r="D8082" t="s">
        <v>191</v>
      </c>
      <c r="F8082">
        <v>1</v>
      </c>
      <c r="G8082" t="s">
        <v>16</v>
      </c>
      <c r="H8082">
        <v>0</v>
      </c>
      <c r="I8082" s="2" t="s">
        <v>4748</v>
      </c>
      <c r="J8082" s="2" t="s">
        <v>18026</v>
      </c>
      <c r="K8082">
        <v>20</v>
      </c>
      <c r="L8082">
        <v>20</v>
      </c>
      <c r="M8082">
        <v>20</v>
      </c>
    </row>
    <row r="8083" spans="1:13" x14ac:dyDescent="0.25">
      <c r="A8083" t="s">
        <v>18027</v>
      </c>
      <c r="B8083" t="s">
        <v>18028</v>
      </c>
      <c r="C8083" t="s">
        <v>14</v>
      </c>
      <c r="D8083" t="s">
        <v>191</v>
      </c>
      <c r="F8083">
        <v>2</v>
      </c>
      <c r="G8083" t="s">
        <v>16</v>
      </c>
      <c r="H8083">
        <v>0</v>
      </c>
      <c r="I8083" s="2" t="s">
        <v>4711</v>
      </c>
      <c r="J8083" s="2" t="s">
        <v>18029</v>
      </c>
      <c r="K8083">
        <v>20</v>
      </c>
      <c r="L8083">
        <v>20</v>
      </c>
      <c r="M8083">
        <v>20</v>
      </c>
    </row>
    <row r="8084" spans="1:13" x14ac:dyDescent="0.25">
      <c r="A8084" t="s">
        <v>18030</v>
      </c>
      <c r="B8084" t="s">
        <v>18031</v>
      </c>
      <c r="C8084" t="s">
        <v>14</v>
      </c>
      <c r="D8084" t="s">
        <v>15</v>
      </c>
      <c r="G8084" t="s">
        <v>16</v>
      </c>
      <c r="H8084">
        <v>0</v>
      </c>
      <c r="K8084">
        <v>20</v>
      </c>
      <c r="L8084">
        <v>20</v>
      </c>
      <c r="M8084">
        <v>20</v>
      </c>
    </row>
    <row r="8085" spans="1:13" x14ac:dyDescent="0.25">
      <c r="A8085" t="s">
        <v>18032</v>
      </c>
      <c r="B8085" t="s">
        <v>18033</v>
      </c>
      <c r="C8085" t="s">
        <v>14</v>
      </c>
      <c r="D8085" t="s">
        <v>293</v>
      </c>
      <c r="G8085" t="s">
        <v>16</v>
      </c>
      <c r="H8085">
        <v>0</v>
      </c>
      <c r="I8085" s="2" t="s">
        <v>514</v>
      </c>
      <c r="J8085" s="2" t="s">
        <v>18034</v>
      </c>
      <c r="K8085">
        <v>20</v>
      </c>
      <c r="L8085">
        <v>20</v>
      </c>
      <c r="M8085">
        <v>20</v>
      </c>
    </row>
    <row r="8086" spans="1:13" x14ac:dyDescent="0.25">
      <c r="A8086" t="s">
        <v>18035</v>
      </c>
      <c r="B8086" t="s">
        <v>18033</v>
      </c>
      <c r="C8086" t="s">
        <v>14</v>
      </c>
      <c r="D8086" t="s">
        <v>293</v>
      </c>
      <c r="F8086">
        <v>4</v>
      </c>
      <c r="G8086" t="s">
        <v>16</v>
      </c>
      <c r="H8086">
        <v>0</v>
      </c>
      <c r="I8086" s="2" t="s">
        <v>383</v>
      </c>
      <c r="J8086" s="2" t="str">
        <f>"0986452058"</f>
        <v>0986452058</v>
      </c>
      <c r="K8086">
        <v>20</v>
      </c>
      <c r="L8086">
        <v>20</v>
      </c>
      <c r="M8086">
        <v>20</v>
      </c>
    </row>
    <row r="8087" spans="1:13" x14ac:dyDescent="0.25">
      <c r="A8087" t="s">
        <v>18036</v>
      </c>
      <c r="B8087" t="s">
        <v>18037</v>
      </c>
      <c r="C8087" t="s">
        <v>14</v>
      </c>
      <c r="D8087" t="s">
        <v>293</v>
      </c>
      <c r="G8087" t="s">
        <v>16</v>
      </c>
      <c r="H8087">
        <v>0</v>
      </c>
      <c r="I8087" s="2" t="s">
        <v>4708</v>
      </c>
      <c r="J8087" s="2" t="s">
        <v>18038</v>
      </c>
      <c r="K8087">
        <v>20</v>
      </c>
      <c r="L8087">
        <v>20</v>
      </c>
      <c r="M8087">
        <v>20</v>
      </c>
    </row>
    <row r="8088" spans="1:13" x14ac:dyDescent="0.25">
      <c r="A8088" t="s">
        <v>18039</v>
      </c>
      <c r="B8088" t="s">
        <v>18041</v>
      </c>
      <c r="C8088" t="s">
        <v>241</v>
      </c>
      <c r="D8088" t="s">
        <v>242</v>
      </c>
      <c r="F8088">
        <v>1</v>
      </c>
      <c r="G8088" t="s">
        <v>16</v>
      </c>
      <c r="H8088">
        <v>0</v>
      </c>
      <c r="I8088" s="2" t="s">
        <v>2987</v>
      </c>
      <c r="J8088" s="2" t="s">
        <v>18040</v>
      </c>
      <c r="K8088">
        <v>20</v>
      </c>
      <c r="L8088">
        <v>20</v>
      </c>
      <c r="M8088">
        <v>20</v>
      </c>
    </row>
    <row r="8089" spans="1:13" x14ac:dyDescent="0.25">
      <c r="A8089" t="s">
        <v>18042</v>
      </c>
      <c r="B8089" t="s">
        <v>18043</v>
      </c>
      <c r="C8089" t="s">
        <v>496</v>
      </c>
      <c r="D8089" t="s">
        <v>2360</v>
      </c>
      <c r="F8089">
        <v>1</v>
      </c>
      <c r="G8089" t="s">
        <v>16</v>
      </c>
      <c r="H8089">
        <v>0</v>
      </c>
      <c r="I8089" s="2" t="s">
        <v>5500</v>
      </c>
      <c r="J8089" s="2" t="s">
        <v>18044</v>
      </c>
      <c r="K8089">
        <v>20</v>
      </c>
      <c r="L8089">
        <v>20</v>
      </c>
      <c r="M8089">
        <v>20</v>
      </c>
    </row>
    <row r="8090" spans="1:13" x14ac:dyDescent="0.25">
      <c r="A8090" t="s">
        <v>18045</v>
      </c>
      <c r="B8090" t="s">
        <v>18043</v>
      </c>
      <c r="C8090" t="s">
        <v>496</v>
      </c>
      <c r="D8090" t="s">
        <v>2360</v>
      </c>
      <c r="F8090">
        <v>1</v>
      </c>
      <c r="G8090" t="s">
        <v>16</v>
      </c>
      <c r="H8090">
        <v>0</v>
      </c>
      <c r="I8090" s="2" t="s">
        <v>491</v>
      </c>
      <c r="J8090" s="2">
        <v>379000310020</v>
      </c>
      <c r="K8090">
        <v>20</v>
      </c>
      <c r="L8090">
        <v>20</v>
      </c>
      <c r="M8090">
        <v>20</v>
      </c>
    </row>
    <row r="8091" spans="1:13" x14ac:dyDescent="0.25">
      <c r="A8091" t="s">
        <v>18046</v>
      </c>
      <c r="B8091" t="s">
        <v>18047</v>
      </c>
      <c r="C8091" t="s">
        <v>496</v>
      </c>
      <c r="D8091" t="s">
        <v>2360</v>
      </c>
      <c r="F8091">
        <v>1</v>
      </c>
      <c r="G8091" t="s">
        <v>16</v>
      </c>
      <c r="H8091">
        <v>0</v>
      </c>
      <c r="I8091" s="2" t="s">
        <v>6078</v>
      </c>
      <c r="J8091" s="2" t="s">
        <v>18048</v>
      </c>
      <c r="K8091">
        <v>20</v>
      </c>
      <c r="L8091">
        <v>20</v>
      </c>
      <c r="M8091">
        <v>20</v>
      </c>
    </row>
    <row r="8092" spans="1:13" x14ac:dyDescent="0.25">
      <c r="A8092" t="s">
        <v>18049</v>
      </c>
      <c r="B8092" t="s">
        <v>18043</v>
      </c>
      <c r="C8092" t="s">
        <v>496</v>
      </c>
      <c r="D8092" t="s">
        <v>2360</v>
      </c>
      <c r="F8092">
        <v>2</v>
      </c>
      <c r="G8092" t="s">
        <v>16</v>
      </c>
      <c r="H8092">
        <v>0</v>
      </c>
      <c r="I8092" s="2" t="s">
        <v>5044</v>
      </c>
      <c r="J8092" s="2" t="s">
        <v>18050</v>
      </c>
      <c r="K8092">
        <v>20</v>
      </c>
      <c r="L8092">
        <v>20</v>
      </c>
      <c r="M8092">
        <v>20</v>
      </c>
    </row>
    <row r="8093" spans="1:13" x14ac:dyDescent="0.25">
      <c r="A8093" t="s">
        <v>18051</v>
      </c>
      <c r="B8093" t="s">
        <v>18052</v>
      </c>
      <c r="C8093" t="s">
        <v>496</v>
      </c>
      <c r="D8093" t="s">
        <v>2360</v>
      </c>
      <c r="F8093">
        <v>1</v>
      </c>
      <c r="G8093" t="s">
        <v>16</v>
      </c>
      <c r="H8093">
        <v>0</v>
      </c>
      <c r="I8093" s="2" t="s">
        <v>5500</v>
      </c>
      <c r="J8093" s="2" t="s">
        <v>18053</v>
      </c>
      <c r="K8093">
        <v>20</v>
      </c>
      <c r="L8093">
        <v>20</v>
      </c>
      <c r="M8093">
        <v>20</v>
      </c>
    </row>
    <row r="8094" spans="1:13" x14ac:dyDescent="0.25">
      <c r="A8094" t="s">
        <v>18054</v>
      </c>
      <c r="B8094" t="s">
        <v>18055</v>
      </c>
      <c r="C8094" t="s">
        <v>496</v>
      </c>
      <c r="D8094" t="s">
        <v>2360</v>
      </c>
      <c r="F8094">
        <v>1</v>
      </c>
      <c r="G8094" t="s">
        <v>16</v>
      </c>
      <c r="H8094">
        <v>0</v>
      </c>
      <c r="I8094" s="2" t="s">
        <v>491</v>
      </c>
      <c r="J8094" s="2">
        <v>379000320010</v>
      </c>
      <c r="K8094">
        <v>20</v>
      </c>
      <c r="L8094">
        <v>20</v>
      </c>
      <c r="M8094">
        <v>20</v>
      </c>
    </row>
    <row r="8095" spans="1:13" x14ac:dyDescent="0.25">
      <c r="A8095" t="s">
        <v>18056</v>
      </c>
      <c r="B8095" t="s">
        <v>18052</v>
      </c>
      <c r="C8095" t="s">
        <v>496</v>
      </c>
      <c r="D8095" t="s">
        <v>2360</v>
      </c>
      <c r="F8095">
        <v>1</v>
      </c>
      <c r="G8095" t="s">
        <v>16</v>
      </c>
      <c r="H8095">
        <v>0</v>
      </c>
      <c r="I8095" s="2" t="s">
        <v>6078</v>
      </c>
      <c r="J8095" s="2" t="s">
        <v>18057</v>
      </c>
      <c r="K8095">
        <v>20</v>
      </c>
      <c r="L8095">
        <v>20</v>
      </c>
      <c r="M8095">
        <v>20</v>
      </c>
    </row>
    <row r="8096" spans="1:13" x14ac:dyDescent="0.25">
      <c r="A8096" t="s">
        <v>18058</v>
      </c>
      <c r="B8096" t="s">
        <v>18052</v>
      </c>
      <c r="C8096" t="s">
        <v>496</v>
      </c>
      <c r="D8096" t="s">
        <v>2360</v>
      </c>
      <c r="F8096">
        <v>2</v>
      </c>
      <c r="G8096" t="s">
        <v>16</v>
      </c>
      <c r="H8096">
        <v>0</v>
      </c>
      <c r="I8096" s="2" t="s">
        <v>5044</v>
      </c>
      <c r="J8096" s="2" t="s">
        <v>18059</v>
      </c>
      <c r="K8096">
        <v>20</v>
      </c>
      <c r="L8096">
        <v>20</v>
      </c>
      <c r="M8096">
        <v>20</v>
      </c>
    </row>
    <row r="8097" spans="1:13" x14ac:dyDescent="0.25">
      <c r="A8097" t="s">
        <v>18060</v>
      </c>
      <c r="B8097" t="s">
        <v>18061</v>
      </c>
      <c r="C8097" t="s">
        <v>151</v>
      </c>
      <c r="F8097">
        <v>1</v>
      </c>
      <c r="G8097" t="s">
        <v>16</v>
      </c>
      <c r="H8097">
        <v>0</v>
      </c>
      <c r="I8097" s="2" t="s">
        <v>18062</v>
      </c>
      <c r="J8097" s="2" t="s">
        <v>18063</v>
      </c>
      <c r="K8097">
        <v>20</v>
      </c>
      <c r="L8097">
        <v>20</v>
      </c>
      <c r="M8097">
        <v>20</v>
      </c>
    </row>
    <row r="8098" spans="1:13" x14ac:dyDescent="0.25">
      <c r="A8098" t="s">
        <v>18064</v>
      </c>
      <c r="B8098" t="s">
        <v>18065</v>
      </c>
      <c r="C8098" t="s">
        <v>20</v>
      </c>
      <c r="D8098" t="s">
        <v>899</v>
      </c>
      <c r="F8098">
        <v>1</v>
      </c>
      <c r="G8098" t="s">
        <v>16</v>
      </c>
      <c r="H8098">
        <v>0</v>
      </c>
      <c r="I8098" s="2" t="s">
        <v>3710</v>
      </c>
      <c r="J8098" s="2" t="s">
        <v>18066</v>
      </c>
      <c r="K8098">
        <v>20</v>
      </c>
      <c r="L8098">
        <v>20</v>
      </c>
      <c r="M8098">
        <v>20</v>
      </c>
    </row>
    <row r="8099" spans="1:13" x14ac:dyDescent="0.25">
      <c r="A8099" t="s">
        <v>18067</v>
      </c>
      <c r="B8099" t="s">
        <v>18065</v>
      </c>
      <c r="C8099" t="s">
        <v>20</v>
      </c>
      <c r="D8099" t="s">
        <v>899</v>
      </c>
      <c r="G8099" t="s">
        <v>16</v>
      </c>
      <c r="H8099">
        <v>0</v>
      </c>
      <c r="I8099" s="2" t="s">
        <v>3783</v>
      </c>
      <c r="K8099">
        <v>20</v>
      </c>
      <c r="L8099">
        <v>20</v>
      </c>
      <c r="M8099">
        <v>20</v>
      </c>
    </row>
    <row r="8100" spans="1:13" x14ac:dyDescent="0.25">
      <c r="A8100" t="s">
        <v>18068</v>
      </c>
      <c r="B8100" t="s">
        <v>18069</v>
      </c>
      <c r="C8100" t="s">
        <v>20</v>
      </c>
      <c r="D8100" t="s">
        <v>899</v>
      </c>
      <c r="F8100">
        <v>1</v>
      </c>
      <c r="G8100" t="s">
        <v>16</v>
      </c>
      <c r="H8100">
        <v>0</v>
      </c>
      <c r="I8100" s="2" t="s">
        <v>3830</v>
      </c>
      <c r="J8100" s="2" t="s">
        <v>18070</v>
      </c>
      <c r="K8100">
        <v>20</v>
      </c>
      <c r="L8100">
        <v>20</v>
      </c>
      <c r="M8100">
        <v>20</v>
      </c>
    </row>
    <row r="8101" spans="1:13" x14ac:dyDescent="0.25">
      <c r="A8101" t="s">
        <v>18071</v>
      </c>
      <c r="B8101" t="s">
        <v>18072</v>
      </c>
      <c r="C8101" t="s">
        <v>357</v>
      </c>
      <c r="D8101" t="s">
        <v>358</v>
      </c>
      <c r="F8101">
        <v>1</v>
      </c>
      <c r="G8101" t="s">
        <v>16</v>
      </c>
      <c r="H8101">
        <v>0</v>
      </c>
      <c r="I8101" s="2" t="s">
        <v>3286</v>
      </c>
      <c r="J8101" s="2" t="s">
        <v>18073</v>
      </c>
      <c r="K8101">
        <v>20</v>
      </c>
      <c r="L8101">
        <v>20</v>
      </c>
      <c r="M8101">
        <v>20</v>
      </c>
    </row>
    <row r="8102" spans="1:13" x14ac:dyDescent="0.25">
      <c r="A8102" t="s">
        <v>18074</v>
      </c>
      <c r="B8102" t="s">
        <v>18072</v>
      </c>
      <c r="C8102" t="s">
        <v>357</v>
      </c>
      <c r="D8102" t="s">
        <v>358</v>
      </c>
      <c r="F8102">
        <v>1</v>
      </c>
      <c r="G8102" t="s">
        <v>16</v>
      </c>
      <c r="H8102">
        <v>0</v>
      </c>
      <c r="I8102" s="2" t="s">
        <v>3582</v>
      </c>
      <c r="J8102" s="2" t="s">
        <v>18075</v>
      </c>
      <c r="K8102">
        <v>20</v>
      </c>
      <c r="L8102">
        <v>20</v>
      </c>
      <c r="M8102">
        <v>20</v>
      </c>
    </row>
    <row r="8103" spans="1:13" x14ac:dyDescent="0.25">
      <c r="A8103" t="s">
        <v>18076</v>
      </c>
      <c r="B8103" t="s">
        <v>18077</v>
      </c>
      <c r="C8103" t="s">
        <v>1426</v>
      </c>
      <c r="F8103">
        <v>2</v>
      </c>
      <c r="G8103" t="s">
        <v>16</v>
      </c>
      <c r="H8103">
        <v>0</v>
      </c>
      <c r="I8103" s="2" t="s">
        <v>643</v>
      </c>
      <c r="J8103" s="2">
        <v>191003</v>
      </c>
      <c r="K8103">
        <v>20</v>
      </c>
      <c r="L8103">
        <v>20</v>
      </c>
      <c r="M8103">
        <v>20</v>
      </c>
    </row>
    <row r="8104" spans="1:13" x14ac:dyDescent="0.25">
      <c r="A8104" t="s">
        <v>18078</v>
      </c>
      <c r="B8104" t="s">
        <v>18079</v>
      </c>
      <c r="C8104" t="s">
        <v>540</v>
      </c>
      <c r="F8104">
        <v>1</v>
      </c>
      <c r="G8104" t="s">
        <v>16</v>
      </c>
      <c r="H8104">
        <v>0</v>
      </c>
      <c r="I8104" s="2" t="s">
        <v>1175</v>
      </c>
      <c r="J8104" s="2" t="s">
        <v>18080</v>
      </c>
      <c r="K8104">
        <v>20</v>
      </c>
      <c r="L8104">
        <v>20</v>
      </c>
      <c r="M8104">
        <v>20</v>
      </c>
    </row>
    <row r="8105" spans="1:13" x14ac:dyDescent="0.25">
      <c r="A8105" t="s">
        <v>18081</v>
      </c>
      <c r="B8105" t="s">
        <v>18082</v>
      </c>
      <c r="C8105" t="s">
        <v>151</v>
      </c>
      <c r="D8105" t="s">
        <v>3551</v>
      </c>
      <c r="F8105">
        <v>2</v>
      </c>
      <c r="G8105" t="s">
        <v>16</v>
      </c>
      <c r="H8105">
        <v>0</v>
      </c>
      <c r="I8105" s="2" t="s">
        <v>108</v>
      </c>
      <c r="J8105" s="3">
        <v>2581417001</v>
      </c>
      <c r="K8105">
        <v>20</v>
      </c>
      <c r="L8105">
        <v>20</v>
      </c>
      <c r="M8105">
        <v>20</v>
      </c>
    </row>
    <row r="8106" spans="1:13" x14ac:dyDescent="0.25">
      <c r="A8106" t="s">
        <v>18083</v>
      </c>
      <c r="B8106" t="s">
        <v>18084</v>
      </c>
      <c r="C8106" t="s">
        <v>496</v>
      </c>
      <c r="D8106" t="s">
        <v>4083</v>
      </c>
      <c r="F8106">
        <v>0</v>
      </c>
      <c r="G8106" t="s">
        <v>16</v>
      </c>
      <c r="H8106">
        <v>0</v>
      </c>
      <c r="I8106" s="2" t="s">
        <v>9055</v>
      </c>
      <c r="J8106" s="2" t="s">
        <v>18085</v>
      </c>
      <c r="K8106">
        <v>20</v>
      </c>
      <c r="L8106">
        <v>20</v>
      </c>
      <c r="M8106">
        <v>20</v>
      </c>
    </row>
    <row r="8107" spans="1:13" x14ac:dyDescent="0.25">
      <c r="A8107" t="s">
        <v>18086</v>
      </c>
      <c r="B8107" t="s">
        <v>18087</v>
      </c>
      <c r="C8107" t="s">
        <v>362</v>
      </c>
      <c r="D8107" t="s">
        <v>363</v>
      </c>
      <c r="F8107">
        <v>2</v>
      </c>
      <c r="G8107" t="s">
        <v>16</v>
      </c>
      <c r="H8107">
        <v>0</v>
      </c>
      <c r="I8107" s="2" t="s">
        <v>2533</v>
      </c>
      <c r="J8107" s="2" t="s">
        <v>18088</v>
      </c>
      <c r="K8107">
        <v>20</v>
      </c>
      <c r="L8107">
        <v>20</v>
      </c>
      <c r="M8107">
        <v>20</v>
      </c>
    </row>
    <row r="8108" spans="1:13" x14ac:dyDescent="0.25">
      <c r="A8108" t="s">
        <v>18089</v>
      </c>
      <c r="B8108" t="s">
        <v>18091</v>
      </c>
      <c r="C8108" t="s">
        <v>362</v>
      </c>
      <c r="D8108" t="s">
        <v>363</v>
      </c>
      <c r="F8108">
        <v>0</v>
      </c>
      <c r="G8108" t="s">
        <v>16</v>
      </c>
      <c r="H8108">
        <v>0</v>
      </c>
      <c r="I8108" s="2" t="s">
        <v>765</v>
      </c>
      <c r="J8108" s="2" t="s">
        <v>18090</v>
      </c>
      <c r="K8108">
        <v>20</v>
      </c>
      <c r="L8108">
        <v>20</v>
      </c>
      <c r="M8108">
        <v>20</v>
      </c>
    </row>
    <row r="8109" spans="1:13" x14ac:dyDescent="0.25">
      <c r="A8109" t="s">
        <v>18092</v>
      </c>
      <c r="B8109" t="s">
        <v>18094</v>
      </c>
      <c r="C8109" t="s">
        <v>362</v>
      </c>
      <c r="D8109" t="s">
        <v>4091</v>
      </c>
      <c r="F8109">
        <v>1</v>
      </c>
      <c r="G8109" t="s">
        <v>16</v>
      </c>
      <c r="H8109">
        <v>0</v>
      </c>
      <c r="I8109" s="2" t="s">
        <v>765</v>
      </c>
      <c r="J8109" s="2" t="s">
        <v>18093</v>
      </c>
      <c r="K8109">
        <v>20</v>
      </c>
      <c r="L8109">
        <v>20</v>
      </c>
      <c r="M8109">
        <v>20</v>
      </c>
    </row>
    <row r="8110" spans="1:13" x14ac:dyDescent="0.25">
      <c r="A8110" t="s">
        <v>18095</v>
      </c>
      <c r="B8110" t="s">
        <v>18096</v>
      </c>
      <c r="C8110" t="s">
        <v>362</v>
      </c>
      <c r="D8110" t="s">
        <v>4091</v>
      </c>
      <c r="F8110">
        <v>2</v>
      </c>
      <c r="G8110" t="s">
        <v>16</v>
      </c>
      <c r="H8110">
        <v>0</v>
      </c>
      <c r="I8110" s="2" t="s">
        <v>18097</v>
      </c>
      <c r="J8110" s="2" t="s">
        <v>18098</v>
      </c>
      <c r="K8110">
        <v>20</v>
      </c>
      <c r="L8110">
        <v>20</v>
      </c>
      <c r="M8110">
        <v>20</v>
      </c>
    </row>
    <row r="8111" spans="1:13" x14ac:dyDescent="0.25">
      <c r="A8111" t="s">
        <v>18099</v>
      </c>
      <c r="B8111" t="s">
        <v>18096</v>
      </c>
      <c r="C8111" t="s">
        <v>362</v>
      </c>
      <c r="D8111" t="s">
        <v>4091</v>
      </c>
      <c r="F8111">
        <v>1</v>
      </c>
      <c r="G8111" t="s">
        <v>16</v>
      </c>
      <c r="H8111">
        <v>0</v>
      </c>
      <c r="I8111" s="2" t="s">
        <v>941</v>
      </c>
      <c r="J8111" s="2" t="s">
        <v>18100</v>
      </c>
      <c r="K8111">
        <v>20</v>
      </c>
      <c r="L8111">
        <v>20</v>
      </c>
      <c r="M8111">
        <v>20</v>
      </c>
    </row>
    <row r="8112" spans="1:13" x14ac:dyDescent="0.25">
      <c r="A8112" t="s">
        <v>18101</v>
      </c>
      <c r="B8112" t="s">
        <v>18096</v>
      </c>
      <c r="C8112" t="s">
        <v>362</v>
      </c>
      <c r="D8112" t="s">
        <v>4091</v>
      </c>
      <c r="F8112">
        <v>0</v>
      </c>
      <c r="G8112" t="s">
        <v>16</v>
      </c>
      <c r="H8112">
        <v>0</v>
      </c>
      <c r="I8112" s="2" t="s">
        <v>285</v>
      </c>
      <c r="J8112" s="2">
        <v>55336</v>
      </c>
      <c r="K8112">
        <v>20</v>
      </c>
      <c r="L8112">
        <v>20</v>
      </c>
      <c r="M8112">
        <v>20</v>
      </c>
    </row>
    <row r="8113" spans="1:13" x14ac:dyDescent="0.25">
      <c r="A8113" t="s">
        <v>18102</v>
      </c>
      <c r="B8113" t="s">
        <v>18103</v>
      </c>
      <c r="C8113" t="s">
        <v>362</v>
      </c>
      <c r="D8113" t="s">
        <v>4091</v>
      </c>
      <c r="F8113">
        <v>0</v>
      </c>
      <c r="G8113" t="s">
        <v>16</v>
      </c>
      <c r="H8113">
        <v>0</v>
      </c>
      <c r="I8113" s="2" t="s">
        <v>707</v>
      </c>
      <c r="J8113" s="2" t="s">
        <v>18104</v>
      </c>
      <c r="K8113">
        <v>20</v>
      </c>
      <c r="L8113">
        <v>20</v>
      </c>
      <c r="M8113">
        <v>20</v>
      </c>
    </row>
    <row r="8114" spans="1:13" x14ac:dyDescent="0.25">
      <c r="A8114" t="s">
        <v>18105</v>
      </c>
      <c r="B8114" t="s">
        <v>18103</v>
      </c>
      <c r="C8114" t="s">
        <v>362</v>
      </c>
      <c r="D8114" t="s">
        <v>4091</v>
      </c>
      <c r="G8114" t="s">
        <v>16</v>
      </c>
      <c r="H8114">
        <v>0</v>
      </c>
      <c r="I8114" s="2" t="s">
        <v>18106</v>
      </c>
      <c r="J8114" s="2" t="s">
        <v>18107</v>
      </c>
      <c r="K8114">
        <v>20</v>
      </c>
      <c r="L8114">
        <v>20</v>
      </c>
      <c r="M8114">
        <v>20</v>
      </c>
    </row>
    <row r="8115" spans="1:13" x14ac:dyDescent="0.25">
      <c r="A8115" t="s">
        <v>18108</v>
      </c>
      <c r="B8115" t="s">
        <v>18109</v>
      </c>
      <c r="C8115" t="s">
        <v>362</v>
      </c>
      <c r="D8115" t="s">
        <v>4091</v>
      </c>
      <c r="F8115">
        <v>1</v>
      </c>
      <c r="G8115" t="s">
        <v>16</v>
      </c>
      <c r="H8115">
        <v>0</v>
      </c>
      <c r="I8115" s="2" t="s">
        <v>854</v>
      </c>
      <c r="J8115" s="2">
        <v>670941</v>
      </c>
      <c r="K8115">
        <v>20</v>
      </c>
      <c r="L8115">
        <v>20</v>
      </c>
      <c r="M8115">
        <v>20</v>
      </c>
    </row>
    <row r="8116" spans="1:13" x14ac:dyDescent="0.25">
      <c r="A8116" t="s">
        <v>18110</v>
      </c>
      <c r="B8116" t="s">
        <v>18111</v>
      </c>
      <c r="C8116" t="s">
        <v>2493</v>
      </c>
      <c r="D8116" t="s">
        <v>2360</v>
      </c>
      <c r="G8116" t="s">
        <v>16</v>
      </c>
      <c r="H8116">
        <v>0</v>
      </c>
      <c r="I8116" s="2" t="s">
        <v>2533</v>
      </c>
      <c r="J8116" s="2" t="s">
        <v>18112</v>
      </c>
      <c r="K8116">
        <v>20</v>
      </c>
      <c r="L8116">
        <v>20</v>
      </c>
      <c r="M8116">
        <v>20</v>
      </c>
    </row>
    <row r="8117" spans="1:13" x14ac:dyDescent="0.25">
      <c r="A8117" t="s">
        <v>18113</v>
      </c>
      <c r="B8117" t="s">
        <v>18114</v>
      </c>
      <c r="C8117" t="s">
        <v>496</v>
      </c>
      <c r="D8117" t="s">
        <v>2360</v>
      </c>
      <c r="F8117">
        <v>2</v>
      </c>
      <c r="G8117" t="s">
        <v>16</v>
      </c>
      <c r="H8117">
        <v>0</v>
      </c>
      <c r="K8117">
        <v>20</v>
      </c>
      <c r="L8117">
        <v>20</v>
      </c>
      <c r="M8117">
        <v>20</v>
      </c>
    </row>
    <row r="8118" spans="1:13" x14ac:dyDescent="0.25">
      <c r="A8118" t="s">
        <v>18115</v>
      </c>
      <c r="B8118" t="s">
        <v>18116</v>
      </c>
      <c r="C8118" t="s">
        <v>2493</v>
      </c>
      <c r="D8118" t="s">
        <v>2360</v>
      </c>
      <c r="G8118" t="s">
        <v>16</v>
      </c>
      <c r="H8118">
        <v>0</v>
      </c>
      <c r="I8118" s="2" t="s">
        <v>245</v>
      </c>
      <c r="J8118" s="2" t="s">
        <v>18117</v>
      </c>
      <c r="K8118">
        <v>20</v>
      </c>
      <c r="L8118">
        <v>20</v>
      </c>
      <c r="M8118">
        <v>20</v>
      </c>
    </row>
    <row r="8119" spans="1:13" x14ac:dyDescent="0.25">
      <c r="A8119" t="s">
        <v>18118</v>
      </c>
      <c r="B8119" t="s">
        <v>18119</v>
      </c>
      <c r="C8119" t="s">
        <v>496</v>
      </c>
      <c r="D8119" t="s">
        <v>2360</v>
      </c>
      <c r="F8119">
        <v>2</v>
      </c>
      <c r="G8119" t="s">
        <v>16</v>
      </c>
      <c r="H8119">
        <v>0</v>
      </c>
      <c r="I8119" s="2" t="s">
        <v>162</v>
      </c>
      <c r="J8119" s="2">
        <v>954863</v>
      </c>
      <c r="K8119">
        <v>20</v>
      </c>
      <c r="L8119">
        <v>20</v>
      </c>
      <c r="M8119">
        <v>20</v>
      </c>
    </row>
    <row r="8120" spans="1:13" x14ac:dyDescent="0.25">
      <c r="A8120" t="s">
        <v>18120</v>
      </c>
      <c r="B8120" t="s">
        <v>18121</v>
      </c>
      <c r="C8120" t="s">
        <v>496</v>
      </c>
      <c r="D8120" t="s">
        <v>4101</v>
      </c>
      <c r="F8120">
        <v>0</v>
      </c>
      <c r="G8120" t="s">
        <v>16</v>
      </c>
      <c r="H8120">
        <v>0</v>
      </c>
      <c r="I8120" s="2" t="s">
        <v>1674</v>
      </c>
      <c r="J8120" s="2" t="s">
        <v>18122</v>
      </c>
      <c r="K8120">
        <v>20</v>
      </c>
      <c r="L8120">
        <v>20</v>
      </c>
      <c r="M8120">
        <v>20</v>
      </c>
    </row>
    <row r="8121" spans="1:13" x14ac:dyDescent="0.25">
      <c r="A8121" t="s">
        <v>18123</v>
      </c>
      <c r="B8121" t="s">
        <v>18124</v>
      </c>
      <c r="C8121" t="s">
        <v>496</v>
      </c>
      <c r="D8121" t="s">
        <v>4101</v>
      </c>
      <c r="G8121" t="s">
        <v>16</v>
      </c>
      <c r="H8121">
        <v>0</v>
      </c>
      <c r="I8121" s="2" t="s">
        <v>288</v>
      </c>
      <c r="J8121" s="2" t="s">
        <v>18125</v>
      </c>
      <c r="K8121">
        <v>20</v>
      </c>
      <c r="L8121">
        <v>20</v>
      </c>
      <c r="M8121">
        <v>20</v>
      </c>
    </row>
    <row r="8122" spans="1:13" x14ac:dyDescent="0.25">
      <c r="A8122" t="s">
        <v>18126</v>
      </c>
      <c r="B8122" t="s">
        <v>18127</v>
      </c>
      <c r="C8122" t="s">
        <v>496</v>
      </c>
      <c r="D8122" t="s">
        <v>4101</v>
      </c>
      <c r="G8122" t="s">
        <v>16</v>
      </c>
      <c r="H8122">
        <v>0</v>
      </c>
      <c r="I8122" s="2" t="s">
        <v>18128</v>
      </c>
      <c r="J8122" s="2" t="s">
        <v>18129</v>
      </c>
      <c r="K8122">
        <v>20</v>
      </c>
      <c r="L8122">
        <v>20</v>
      </c>
      <c r="M8122">
        <v>20</v>
      </c>
    </row>
    <row r="8123" spans="1:13" x14ac:dyDescent="0.25">
      <c r="A8123" t="s">
        <v>18130</v>
      </c>
      <c r="B8123" t="s">
        <v>18131</v>
      </c>
      <c r="C8123" t="s">
        <v>496</v>
      </c>
      <c r="F8123">
        <v>1</v>
      </c>
      <c r="G8123" t="s">
        <v>16</v>
      </c>
      <c r="H8123">
        <v>0</v>
      </c>
      <c r="I8123" s="2" t="s">
        <v>2533</v>
      </c>
      <c r="J8123" s="2" t="s">
        <v>18132</v>
      </c>
      <c r="K8123">
        <v>20</v>
      </c>
      <c r="L8123">
        <v>20</v>
      </c>
      <c r="M8123">
        <v>20</v>
      </c>
    </row>
    <row r="8124" spans="1:13" x14ac:dyDescent="0.25">
      <c r="A8124" t="s">
        <v>18133</v>
      </c>
      <c r="B8124" t="s">
        <v>18134</v>
      </c>
      <c r="C8124" t="s">
        <v>496</v>
      </c>
      <c r="G8124" t="s">
        <v>16</v>
      </c>
      <c r="H8124">
        <v>0</v>
      </c>
      <c r="I8124" s="2" t="s">
        <v>2533</v>
      </c>
      <c r="J8124" s="2" t="s">
        <v>18135</v>
      </c>
      <c r="K8124">
        <v>20</v>
      </c>
      <c r="L8124">
        <v>20</v>
      </c>
      <c r="M8124">
        <v>20</v>
      </c>
    </row>
    <row r="8125" spans="1:13" x14ac:dyDescent="0.25">
      <c r="A8125" t="s">
        <v>18136</v>
      </c>
      <c r="B8125" t="s">
        <v>18137</v>
      </c>
      <c r="C8125" t="s">
        <v>496</v>
      </c>
      <c r="F8125">
        <v>1</v>
      </c>
      <c r="G8125" t="s">
        <v>16</v>
      </c>
      <c r="H8125">
        <v>0</v>
      </c>
      <c r="I8125" s="2" t="s">
        <v>5044</v>
      </c>
      <c r="J8125" s="2" t="s">
        <v>18138</v>
      </c>
      <c r="K8125">
        <v>20</v>
      </c>
      <c r="L8125">
        <v>20</v>
      </c>
      <c r="M8125">
        <v>20</v>
      </c>
    </row>
    <row r="8126" spans="1:13" x14ac:dyDescent="0.25">
      <c r="A8126" t="s">
        <v>18139</v>
      </c>
      <c r="B8126" t="s">
        <v>18140</v>
      </c>
      <c r="C8126" t="s">
        <v>496</v>
      </c>
      <c r="F8126">
        <v>1</v>
      </c>
      <c r="G8126" t="s">
        <v>16</v>
      </c>
      <c r="H8126">
        <v>0</v>
      </c>
      <c r="I8126" s="2" t="s">
        <v>5044</v>
      </c>
      <c r="J8126" s="2" t="s">
        <v>18141</v>
      </c>
      <c r="K8126">
        <v>20</v>
      </c>
      <c r="L8126">
        <v>20</v>
      </c>
      <c r="M8126">
        <v>20</v>
      </c>
    </row>
    <row r="8127" spans="1:13" x14ac:dyDescent="0.25">
      <c r="A8127" t="s">
        <v>18142</v>
      </c>
      <c r="B8127" t="s">
        <v>18144</v>
      </c>
      <c r="C8127" t="s">
        <v>20</v>
      </c>
      <c r="D8127" t="s">
        <v>2477</v>
      </c>
      <c r="F8127">
        <v>1</v>
      </c>
      <c r="G8127" t="s">
        <v>16</v>
      </c>
      <c r="H8127">
        <v>0</v>
      </c>
      <c r="I8127" s="2" t="s">
        <v>288</v>
      </c>
      <c r="J8127" s="2" t="s">
        <v>18143</v>
      </c>
      <c r="K8127">
        <v>20</v>
      </c>
      <c r="L8127">
        <v>20</v>
      </c>
      <c r="M8127">
        <v>20</v>
      </c>
    </row>
    <row r="8128" spans="1:13" x14ac:dyDescent="0.25">
      <c r="A8128" t="s">
        <v>18145</v>
      </c>
      <c r="B8128" t="s">
        <v>18146</v>
      </c>
      <c r="C8128" t="s">
        <v>20</v>
      </c>
      <c r="D8128" t="s">
        <v>2477</v>
      </c>
      <c r="G8128" t="s">
        <v>16</v>
      </c>
      <c r="H8128">
        <v>0</v>
      </c>
      <c r="K8128">
        <v>20</v>
      </c>
      <c r="L8128">
        <v>20</v>
      </c>
      <c r="M8128">
        <v>20</v>
      </c>
    </row>
    <row r="8129" spans="1:13" x14ac:dyDescent="0.25">
      <c r="A8129" t="s">
        <v>18147</v>
      </c>
      <c r="B8129" t="s">
        <v>18148</v>
      </c>
      <c r="C8129" t="s">
        <v>20</v>
      </c>
      <c r="D8129" t="s">
        <v>2477</v>
      </c>
      <c r="G8129" t="s">
        <v>16</v>
      </c>
      <c r="H8129">
        <v>0</v>
      </c>
      <c r="I8129" s="2" t="s">
        <v>500</v>
      </c>
      <c r="J8129" s="2" t="s">
        <v>18149</v>
      </c>
      <c r="K8129">
        <v>20</v>
      </c>
      <c r="L8129">
        <v>20</v>
      </c>
      <c r="M8129">
        <v>20</v>
      </c>
    </row>
    <row r="8130" spans="1:13" x14ac:dyDescent="0.25">
      <c r="A8130" t="s">
        <v>18150</v>
      </c>
      <c r="B8130" t="s">
        <v>18151</v>
      </c>
      <c r="C8130" t="s">
        <v>14</v>
      </c>
      <c r="D8130" t="s">
        <v>191</v>
      </c>
      <c r="G8130" t="s">
        <v>16</v>
      </c>
      <c r="H8130">
        <v>0</v>
      </c>
      <c r="I8130" s="2" t="s">
        <v>14700</v>
      </c>
      <c r="J8130" s="2">
        <v>96628890</v>
      </c>
      <c r="K8130">
        <v>20</v>
      </c>
      <c r="L8130">
        <v>20</v>
      </c>
      <c r="M8130">
        <v>20</v>
      </c>
    </row>
    <row r="8131" spans="1:13" x14ac:dyDescent="0.25">
      <c r="A8131" t="s">
        <v>18152</v>
      </c>
      <c r="B8131" t="s">
        <v>18151</v>
      </c>
      <c r="C8131" t="s">
        <v>14</v>
      </c>
      <c r="D8131" t="s">
        <v>191</v>
      </c>
      <c r="G8131" t="s">
        <v>16</v>
      </c>
      <c r="H8131">
        <v>0</v>
      </c>
      <c r="I8131" s="2" t="s">
        <v>4778</v>
      </c>
      <c r="J8131" s="2" t="s">
        <v>18153</v>
      </c>
      <c r="K8131">
        <v>20</v>
      </c>
      <c r="L8131">
        <v>20</v>
      </c>
      <c r="M8131">
        <v>20</v>
      </c>
    </row>
    <row r="8132" spans="1:13" x14ac:dyDescent="0.25">
      <c r="A8132" t="s">
        <v>18154</v>
      </c>
      <c r="B8132" t="s">
        <v>18155</v>
      </c>
      <c r="C8132" t="s">
        <v>14</v>
      </c>
      <c r="D8132" t="s">
        <v>191</v>
      </c>
      <c r="G8132" t="s">
        <v>16</v>
      </c>
      <c r="H8132">
        <v>0</v>
      </c>
      <c r="I8132" s="2" t="s">
        <v>192</v>
      </c>
      <c r="J8132" s="2" t="s">
        <v>18156</v>
      </c>
      <c r="K8132">
        <v>20</v>
      </c>
      <c r="L8132">
        <v>20</v>
      </c>
      <c r="M8132">
        <v>20</v>
      </c>
    </row>
    <row r="8133" spans="1:13" x14ac:dyDescent="0.25">
      <c r="A8133" t="s">
        <v>18157</v>
      </c>
      <c r="B8133" t="s">
        <v>18158</v>
      </c>
      <c r="C8133" t="s">
        <v>14</v>
      </c>
      <c r="D8133" t="s">
        <v>191</v>
      </c>
      <c r="F8133">
        <v>1</v>
      </c>
      <c r="G8133" t="s">
        <v>16</v>
      </c>
      <c r="H8133">
        <v>0</v>
      </c>
      <c r="I8133" s="2" t="s">
        <v>108</v>
      </c>
      <c r="J8133" s="3">
        <v>3812002001</v>
      </c>
      <c r="K8133">
        <v>20</v>
      </c>
      <c r="L8133">
        <v>20</v>
      </c>
      <c r="M8133">
        <v>20</v>
      </c>
    </row>
    <row r="8134" spans="1:13" x14ac:dyDescent="0.25">
      <c r="A8134" t="s">
        <v>18159</v>
      </c>
      <c r="B8134" t="s">
        <v>18155</v>
      </c>
      <c r="C8134" t="s">
        <v>14</v>
      </c>
      <c r="D8134" t="s">
        <v>191</v>
      </c>
      <c r="G8134" t="s">
        <v>16</v>
      </c>
      <c r="H8134">
        <v>0</v>
      </c>
      <c r="I8134" s="2" t="s">
        <v>8700</v>
      </c>
      <c r="J8134" s="2" t="s">
        <v>18160</v>
      </c>
      <c r="K8134">
        <v>20</v>
      </c>
      <c r="L8134">
        <v>20</v>
      </c>
      <c r="M8134">
        <v>20</v>
      </c>
    </row>
    <row r="8135" spans="1:13" x14ac:dyDescent="0.25">
      <c r="A8135" t="s">
        <v>18161</v>
      </c>
      <c r="B8135" t="s">
        <v>18155</v>
      </c>
      <c r="C8135" t="s">
        <v>14</v>
      </c>
      <c r="D8135" t="s">
        <v>191</v>
      </c>
      <c r="F8135">
        <v>1</v>
      </c>
      <c r="G8135" t="s">
        <v>16</v>
      </c>
      <c r="H8135">
        <v>0</v>
      </c>
      <c r="I8135" s="2" t="s">
        <v>64</v>
      </c>
      <c r="J8135" s="2" t="str">
        <f>"06010235"</f>
        <v>06010235</v>
      </c>
      <c r="K8135">
        <v>20</v>
      </c>
      <c r="L8135">
        <v>20</v>
      </c>
      <c r="M8135">
        <v>20</v>
      </c>
    </row>
    <row r="8136" spans="1:13" x14ac:dyDescent="0.25">
      <c r="A8136" t="s">
        <v>18162</v>
      </c>
      <c r="B8136" t="s">
        <v>18155</v>
      </c>
      <c r="C8136" t="s">
        <v>14</v>
      </c>
      <c r="D8136" t="s">
        <v>191</v>
      </c>
      <c r="F8136">
        <v>4</v>
      </c>
      <c r="G8136" t="s">
        <v>16</v>
      </c>
      <c r="H8136">
        <v>0</v>
      </c>
      <c r="I8136" s="2" t="s">
        <v>1175</v>
      </c>
      <c r="J8136" s="2" t="s">
        <v>18163</v>
      </c>
      <c r="K8136">
        <v>20</v>
      </c>
      <c r="L8136">
        <v>20</v>
      </c>
      <c r="M8136">
        <v>20</v>
      </c>
    </row>
    <row r="8137" spans="1:13" x14ac:dyDescent="0.25">
      <c r="A8137" t="s">
        <v>18164</v>
      </c>
      <c r="B8137" t="s">
        <v>18155</v>
      </c>
      <c r="C8137" t="s">
        <v>14</v>
      </c>
      <c r="D8137" t="s">
        <v>191</v>
      </c>
      <c r="G8137" t="s">
        <v>16</v>
      </c>
      <c r="H8137">
        <v>0</v>
      </c>
      <c r="I8137" s="2" t="s">
        <v>4748</v>
      </c>
      <c r="J8137" s="2" t="s">
        <v>18165</v>
      </c>
      <c r="K8137">
        <v>20</v>
      </c>
      <c r="L8137">
        <v>20</v>
      </c>
      <c r="M8137">
        <v>20</v>
      </c>
    </row>
    <row r="8138" spans="1:13" x14ac:dyDescent="0.25">
      <c r="A8138" t="s">
        <v>18166</v>
      </c>
      <c r="B8138" t="s">
        <v>18155</v>
      </c>
      <c r="C8138" t="s">
        <v>14</v>
      </c>
      <c r="D8138" t="s">
        <v>191</v>
      </c>
      <c r="G8138" t="s">
        <v>16</v>
      </c>
      <c r="H8138">
        <v>0</v>
      </c>
      <c r="I8138" s="2" t="s">
        <v>4736</v>
      </c>
      <c r="J8138" s="2" t="s">
        <v>18167</v>
      </c>
      <c r="K8138">
        <v>20</v>
      </c>
      <c r="L8138">
        <v>20</v>
      </c>
      <c r="M8138">
        <v>20</v>
      </c>
    </row>
    <row r="8139" spans="1:13" x14ac:dyDescent="0.25">
      <c r="A8139" t="s">
        <v>18168</v>
      </c>
      <c r="B8139" t="s">
        <v>18170</v>
      </c>
      <c r="C8139" t="s">
        <v>241</v>
      </c>
      <c r="D8139" t="s">
        <v>262</v>
      </c>
      <c r="F8139">
        <v>1</v>
      </c>
      <c r="G8139" t="s">
        <v>16</v>
      </c>
      <c r="H8139">
        <v>0</v>
      </c>
      <c r="I8139" s="2" t="s">
        <v>288</v>
      </c>
      <c r="J8139" s="2" t="s">
        <v>18169</v>
      </c>
      <c r="K8139">
        <v>20</v>
      </c>
      <c r="L8139">
        <v>20</v>
      </c>
      <c r="M8139">
        <v>20</v>
      </c>
    </row>
    <row r="8140" spans="1:13" x14ac:dyDescent="0.25">
      <c r="A8140" t="s">
        <v>18171</v>
      </c>
      <c r="B8140" t="s">
        <v>18172</v>
      </c>
      <c r="C8140" t="s">
        <v>241</v>
      </c>
      <c r="D8140" t="s">
        <v>242</v>
      </c>
      <c r="F8140">
        <v>2</v>
      </c>
      <c r="G8140" t="s">
        <v>16</v>
      </c>
      <c r="H8140">
        <v>0</v>
      </c>
      <c r="I8140" s="2" t="s">
        <v>64</v>
      </c>
      <c r="J8140" s="2">
        <v>10032183</v>
      </c>
      <c r="K8140">
        <v>20</v>
      </c>
      <c r="L8140">
        <v>20</v>
      </c>
      <c r="M8140">
        <v>20</v>
      </c>
    </row>
    <row r="8141" spans="1:13" x14ac:dyDescent="0.25">
      <c r="A8141" t="s">
        <v>18173</v>
      </c>
      <c r="B8141" t="s">
        <v>18174</v>
      </c>
      <c r="C8141" t="s">
        <v>241</v>
      </c>
      <c r="D8141" t="s">
        <v>242</v>
      </c>
      <c r="F8141">
        <v>1</v>
      </c>
      <c r="G8141" t="s">
        <v>16</v>
      </c>
      <c r="H8141">
        <v>0</v>
      </c>
      <c r="I8141" s="2" t="s">
        <v>266</v>
      </c>
      <c r="J8141" s="2">
        <v>68081</v>
      </c>
      <c r="K8141">
        <v>20</v>
      </c>
      <c r="L8141">
        <v>20</v>
      </c>
      <c r="M8141">
        <v>20</v>
      </c>
    </row>
    <row r="8142" spans="1:13" x14ac:dyDescent="0.25">
      <c r="A8142" t="s">
        <v>18175</v>
      </c>
      <c r="B8142" t="s">
        <v>18176</v>
      </c>
      <c r="C8142" t="s">
        <v>241</v>
      </c>
      <c r="D8142" t="s">
        <v>242</v>
      </c>
      <c r="F8142">
        <v>1</v>
      </c>
      <c r="G8142" t="s">
        <v>16</v>
      </c>
      <c r="H8142">
        <v>0</v>
      </c>
      <c r="I8142" s="2" t="s">
        <v>243</v>
      </c>
      <c r="J8142" s="2">
        <v>21706</v>
      </c>
      <c r="K8142">
        <v>20</v>
      </c>
      <c r="L8142">
        <v>20</v>
      </c>
      <c r="M8142">
        <v>20</v>
      </c>
    </row>
    <row r="8143" spans="1:13" x14ac:dyDescent="0.25">
      <c r="A8143" t="s">
        <v>18177</v>
      </c>
      <c r="B8143" t="s">
        <v>18178</v>
      </c>
      <c r="C8143" t="s">
        <v>241</v>
      </c>
      <c r="D8143" t="s">
        <v>242</v>
      </c>
      <c r="G8143" t="s">
        <v>16</v>
      </c>
      <c r="H8143">
        <v>0</v>
      </c>
      <c r="I8143" s="2" t="s">
        <v>737</v>
      </c>
      <c r="J8143" s="2" t="s">
        <v>18179</v>
      </c>
      <c r="K8143">
        <v>20</v>
      </c>
      <c r="L8143">
        <v>20</v>
      </c>
      <c r="M8143">
        <v>20</v>
      </c>
    </row>
    <row r="8144" spans="1:13" x14ac:dyDescent="0.25">
      <c r="A8144" t="s">
        <v>18180</v>
      </c>
      <c r="B8144" t="s">
        <v>18181</v>
      </c>
      <c r="C8144" t="s">
        <v>241</v>
      </c>
      <c r="D8144" t="s">
        <v>262</v>
      </c>
      <c r="F8144">
        <v>1</v>
      </c>
      <c r="G8144" t="s">
        <v>16</v>
      </c>
      <c r="H8144">
        <v>0</v>
      </c>
      <c r="I8144" s="2" t="s">
        <v>737</v>
      </c>
      <c r="J8144" s="2" t="s">
        <v>18182</v>
      </c>
      <c r="K8144">
        <v>20</v>
      </c>
      <c r="L8144">
        <v>20</v>
      </c>
      <c r="M8144">
        <v>20</v>
      </c>
    </row>
    <row r="8145" spans="1:13" x14ac:dyDescent="0.25">
      <c r="A8145" t="s">
        <v>18183</v>
      </c>
      <c r="B8145" t="s">
        <v>18185</v>
      </c>
      <c r="C8145" t="s">
        <v>357</v>
      </c>
      <c r="D8145" t="s">
        <v>241</v>
      </c>
      <c r="F8145">
        <v>1</v>
      </c>
      <c r="G8145" t="s">
        <v>16</v>
      </c>
      <c r="H8145">
        <v>0</v>
      </c>
      <c r="I8145" s="2" t="s">
        <v>288</v>
      </c>
      <c r="J8145" s="2" t="s">
        <v>18184</v>
      </c>
      <c r="K8145">
        <v>20</v>
      </c>
      <c r="L8145">
        <v>20</v>
      </c>
      <c r="M8145">
        <v>20</v>
      </c>
    </row>
    <row r="8146" spans="1:13" x14ac:dyDescent="0.25">
      <c r="A8146" t="s">
        <v>18186</v>
      </c>
      <c r="B8146" t="s">
        <v>18187</v>
      </c>
      <c r="C8146" t="s">
        <v>357</v>
      </c>
      <c r="D8146" t="s">
        <v>241</v>
      </c>
      <c r="F8146">
        <v>2</v>
      </c>
      <c r="G8146" t="s">
        <v>16</v>
      </c>
      <c r="H8146">
        <v>0</v>
      </c>
      <c r="I8146" s="2" t="s">
        <v>243</v>
      </c>
      <c r="J8146" s="2">
        <v>21727</v>
      </c>
      <c r="K8146">
        <v>20</v>
      </c>
      <c r="L8146">
        <v>20</v>
      </c>
      <c r="M8146">
        <v>20</v>
      </c>
    </row>
    <row r="8147" spans="1:13" x14ac:dyDescent="0.25">
      <c r="A8147" t="s">
        <v>18188</v>
      </c>
      <c r="B8147" t="s">
        <v>18189</v>
      </c>
      <c r="C8147" t="s">
        <v>1436</v>
      </c>
      <c r="G8147" t="s">
        <v>16</v>
      </c>
      <c r="H8147">
        <v>0</v>
      </c>
      <c r="I8147" s="2" t="s">
        <v>7200</v>
      </c>
      <c r="J8147" s="2" t="s">
        <v>18190</v>
      </c>
      <c r="K8147">
        <v>20</v>
      </c>
      <c r="L8147">
        <v>20</v>
      </c>
      <c r="M8147">
        <v>20</v>
      </c>
    </row>
    <row r="8148" spans="1:13" x14ac:dyDescent="0.25">
      <c r="A8148" t="s">
        <v>18191</v>
      </c>
      <c r="B8148" t="s">
        <v>18192</v>
      </c>
      <c r="C8148" t="s">
        <v>357</v>
      </c>
      <c r="D8148" t="s">
        <v>241</v>
      </c>
      <c r="F8148">
        <v>2</v>
      </c>
      <c r="G8148" t="s">
        <v>16</v>
      </c>
      <c r="H8148">
        <v>0</v>
      </c>
      <c r="I8148" s="2" t="s">
        <v>3021</v>
      </c>
      <c r="J8148" s="2" t="s">
        <v>18193</v>
      </c>
      <c r="K8148">
        <v>20</v>
      </c>
      <c r="L8148">
        <v>20</v>
      </c>
      <c r="M8148">
        <v>20</v>
      </c>
    </row>
    <row r="8149" spans="1:13" x14ac:dyDescent="0.25">
      <c r="A8149" t="s">
        <v>18194</v>
      </c>
      <c r="B8149" t="s">
        <v>18195</v>
      </c>
      <c r="C8149" t="s">
        <v>496</v>
      </c>
      <c r="D8149" t="s">
        <v>2360</v>
      </c>
      <c r="F8149">
        <v>2</v>
      </c>
      <c r="G8149" t="s">
        <v>16</v>
      </c>
      <c r="H8149">
        <v>0</v>
      </c>
      <c r="I8149" s="2" t="s">
        <v>64</v>
      </c>
      <c r="J8149" s="2">
        <v>13040561</v>
      </c>
      <c r="K8149">
        <v>20</v>
      </c>
      <c r="L8149">
        <v>20</v>
      </c>
      <c r="M8149">
        <v>20</v>
      </c>
    </row>
    <row r="8150" spans="1:13" x14ac:dyDescent="0.25">
      <c r="A8150" t="s">
        <v>18196</v>
      </c>
      <c r="B8150" t="s">
        <v>18197</v>
      </c>
      <c r="C8150" t="s">
        <v>151</v>
      </c>
      <c r="D8150" t="s">
        <v>1092</v>
      </c>
      <c r="F8150">
        <v>1</v>
      </c>
      <c r="G8150" t="s">
        <v>16</v>
      </c>
      <c r="H8150">
        <v>0</v>
      </c>
      <c r="I8150" s="2" t="s">
        <v>2542</v>
      </c>
      <c r="J8150" s="2">
        <v>96650804</v>
      </c>
      <c r="K8150">
        <v>20</v>
      </c>
      <c r="L8150">
        <v>20</v>
      </c>
      <c r="M8150">
        <v>20</v>
      </c>
    </row>
    <row r="8151" spans="1:13" x14ac:dyDescent="0.25">
      <c r="A8151" t="s">
        <v>18198</v>
      </c>
      <c r="B8151" t="s">
        <v>18199</v>
      </c>
      <c r="C8151" t="s">
        <v>1432</v>
      </c>
      <c r="D8151" t="s">
        <v>6280</v>
      </c>
      <c r="F8151">
        <v>1</v>
      </c>
      <c r="G8151" t="s">
        <v>16</v>
      </c>
      <c r="H8151">
        <v>0</v>
      </c>
      <c r="I8151" s="2" t="s">
        <v>854</v>
      </c>
      <c r="J8151" s="2">
        <v>804670</v>
      </c>
      <c r="K8151">
        <v>20</v>
      </c>
      <c r="L8151">
        <v>20</v>
      </c>
      <c r="M8151">
        <v>20</v>
      </c>
    </row>
    <row r="8152" spans="1:13" x14ac:dyDescent="0.25">
      <c r="A8152" t="s">
        <v>18200</v>
      </c>
      <c r="B8152" t="s">
        <v>18202</v>
      </c>
      <c r="C8152" t="s">
        <v>496</v>
      </c>
      <c r="D8152" t="s">
        <v>2360</v>
      </c>
      <c r="F8152">
        <v>9</v>
      </c>
      <c r="G8152" t="s">
        <v>16</v>
      </c>
      <c r="H8152">
        <v>0</v>
      </c>
      <c r="I8152" s="2" t="s">
        <v>288</v>
      </c>
      <c r="J8152" s="2" t="s">
        <v>18201</v>
      </c>
      <c r="K8152">
        <v>20</v>
      </c>
      <c r="L8152">
        <v>20</v>
      </c>
      <c r="M8152">
        <v>20</v>
      </c>
    </row>
    <row r="8153" spans="1:13" x14ac:dyDescent="0.25">
      <c r="A8153" t="s">
        <v>18203</v>
      </c>
      <c r="B8153" t="s">
        <v>18202</v>
      </c>
      <c r="C8153" t="s">
        <v>496</v>
      </c>
      <c r="D8153" t="s">
        <v>2360</v>
      </c>
      <c r="F8153">
        <v>2</v>
      </c>
      <c r="G8153" t="s">
        <v>16</v>
      </c>
      <c r="H8153">
        <v>0</v>
      </c>
      <c r="I8153" s="2" t="b">
        <v>1</v>
      </c>
      <c r="J8153" s="2" t="s">
        <v>18204</v>
      </c>
      <c r="K8153">
        <v>20</v>
      </c>
      <c r="L8153">
        <v>20</v>
      </c>
      <c r="M8153">
        <v>20</v>
      </c>
    </row>
    <row r="8154" spans="1:13" x14ac:dyDescent="0.25">
      <c r="A8154" t="s">
        <v>18205</v>
      </c>
      <c r="B8154" t="s">
        <v>18202</v>
      </c>
      <c r="C8154" t="s">
        <v>496</v>
      </c>
      <c r="D8154" t="s">
        <v>2360</v>
      </c>
      <c r="F8154">
        <v>2</v>
      </c>
      <c r="G8154" t="s">
        <v>16</v>
      </c>
      <c r="H8154">
        <v>0</v>
      </c>
      <c r="I8154" s="2" t="s">
        <v>737</v>
      </c>
      <c r="J8154" s="2" t="s">
        <v>18206</v>
      </c>
      <c r="K8154">
        <v>20</v>
      </c>
      <c r="L8154">
        <v>20</v>
      </c>
      <c r="M8154">
        <v>20</v>
      </c>
    </row>
    <row r="8155" spans="1:13" x14ac:dyDescent="0.25">
      <c r="A8155">
        <v>96659176</v>
      </c>
      <c r="B8155" t="s">
        <v>18207</v>
      </c>
      <c r="C8155" t="s">
        <v>20</v>
      </c>
      <c r="G8155" t="s">
        <v>16</v>
      </c>
      <c r="H8155">
        <v>0</v>
      </c>
      <c r="I8155" s="2" t="s">
        <v>18208</v>
      </c>
      <c r="J8155" s="2">
        <v>96659176</v>
      </c>
      <c r="K8155">
        <v>20</v>
      </c>
      <c r="L8155">
        <v>20</v>
      </c>
      <c r="M8155">
        <v>20</v>
      </c>
    </row>
    <row r="8156" spans="1:13" x14ac:dyDescent="0.25">
      <c r="A8156">
        <v>96659184</v>
      </c>
      <c r="B8156" t="s">
        <v>18209</v>
      </c>
      <c r="C8156" t="s">
        <v>20</v>
      </c>
      <c r="F8156">
        <v>1</v>
      </c>
      <c r="G8156" t="s">
        <v>16</v>
      </c>
      <c r="H8156">
        <v>0</v>
      </c>
      <c r="I8156" s="2" t="s">
        <v>18208</v>
      </c>
      <c r="J8156" s="2">
        <v>96659184</v>
      </c>
      <c r="K8156">
        <v>20</v>
      </c>
      <c r="L8156">
        <v>20</v>
      </c>
      <c r="M8156">
        <v>20</v>
      </c>
    </row>
    <row r="8157" spans="1:13" x14ac:dyDescent="0.25">
      <c r="A8157" t="s">
        <v>18210</v>
      </c>
      <c r="B8157" t="s">
        <v>18211</v>
      </c>
      <c r="C8157" t="s">
        <v>20</v>
      </c>
      <c r="G8157" t="s">
        <v>16</v>
      </c>
      <c r="H8157">
        <v>0</v>
      </c>
      <c r="I8157" s="2" t="s">
        <v>5155</v>
      </c>
      <c r="J8157" s="2">
        <v>362307</v>
      </c>
      <c r="K8157">
        <v>20</v>
      </c>
      <c r="L8157">
        <v>20</v>
      </c>
      <c r="M8157">
        <v>20</v>
      </c>
    </row>
    <row r="8158" spans="1:13" x14ac:dyDescent="0.25">
      <c r="A8158" t="s">
        <v>18212</v>
      </c>
      <c r="B8158" t="s">
        <v>18213</v>
      </c>
      <c r="C8158" t="s">
        <v>540</v>
      </c>
      <c r="D8158" t="s">
        <v>1736</v>
      </c>
      <c r="G8158" t="s">
        <v>16</v>
      </c>
      <c r="H8158">
        <v>0</v>
      </c>
      <c r="I8158" s="2" t="s">
        <v>1737</v>
      </c>
      <c r="J8158" s="2">
        <v>2945934</v>
      </c>
      <c r="K8158">
        <v>20</v>
      </c>
      <c r="L8158">
        <v>20</v>
      </c>
      <c r="M8158">
        <v>20</v>
      </c>
    </row>
    <row r="8159" spans="1:13" x14ac:dyDescent="0.25">
      <c r="A8159" t="s">
        <v>18214</v>
      </c>
      <c r="B8159" t="s">
        <v>18215</v>
      </c>
      <c r="C8159" t="s">
        <v>357</v>
      </c>
      <c r="D8159" t="s">
        <v>792</v>
      </c>
      <c r="F8159">
        <v>1</v>
      </c>
      <c r="G8159" t="s">
        <v>16</v>
      </c>
      <c r="H8159">
        <v>0</v>
      </c>
      <c r="I8159" s="2" t="s">
        <v>2645</v>
      </c>
      <c r="J8159" s="2" t="s">
        <v>18216</v>
      </c>
      <c r="K8159">
        <v>20</v>
      </c>
      <c r="L8159">
        <v>20</v>
      </c>
      <c r="M8159">
        <v>20</v>
      </c>
    </row>
    <row r="8160" spans="1:13" x14ac:dyDescent="0.25">
      <c r="A8160" t="s">
        <v>18217</v>
      </c>
      <c r="B8160" t="s">
        <v>18218</v>
      </c>
      <c r="C8160" t="s">
        <v>357</v>
      </c>
      <c r="D8160" t="s">
        <v>358</v>
      </c>
      <c r="F8160">
        <v>1</v>
      </c>
      <c r="G8160" t="s">
        <v>16</v>
      </c>
      <c r="H8160">
        <v>0</v>
      </c>
      <c r="I8160" s="2" t="s">
        <v>17469</v>
      </c>
      <c r="J8160" s="2">
        <v>96666227</v>
      </c>
      <c r="K8160">
        <v>20</v>
      </c>
      <c r="L8160">
        <v>20</v>
      </c>
      <c r="M8160">
        <v>20</v>
      </c>
    </row>
    <row r="8161" spans="1:13" x14ac:dyDescent="0.25">
      <c r="A8161" t="s">
        <v>18219</v>
      </c>
      <c r="B8161" t="s">
        <v>18220</v>
      </c>
      <c r="C8161" t="s">
        <v>496</v>
      </c>
      <c r="D8161" t="s">
        <v>2360</v>
      </c>
      <c r="F8161">
        <v>1</v>
      </c>
      <c r="G8161" t="s">
        <v>16</v>
      </c>
      <c r="H8161">
        <v>0</v>
      </c>
      <c r="I8161" s="2" t="s">
        <v>7399</v>
      </c>
      <c r="J8161" s="2">
        <v>900419</v>
      </c>
      <c r="K8161">
        <v>20</v>
      </c>
      <c r="L8161">
        <v>20</v>
      </c>
      <c r="M8161">
        <v>20</v>
      </c>
    </row>
    <row r="8162" spans="1:13" x14ac:dyDescent="0.25">
      <c r="A8162" t="s">
        <v>18221</v>
      </c>
      <c r="B8162" t="s">
        <v>18222</v>
      </c>
      <c r="C8162" t="s">
        <v>540</v>
      </c>
      <c r="F8162">
        <v>1</v>
      </c>
      <c r="G8162" t="s">
        <v>16</v>
      </c>
      <c r="H8162">
        <v>0</v>
      </c>
      <c r="I8162" s="2" t="s">
        <v>500</v>
      </c>
      <c r="J8162" s="2" t="s">
        <v>18223</v>
      </c>
      <c r="K8162">
        <v>20</v>
      </c>
      <c r="L8162">
        <v>20</v>
      </c>
      <c r="M8162">
        <v>20</v>
      </c>
    </row>
    <row r="8163" spans="1:13" x14ac:dyDescent="0.25">
      <c r="A8163" t="s">
        <v>18224</v>
      </c>
      <c r="B8163" t="s">
        <v>18226</v>
      </c>
      <c r="C8163" t="s">
        <v>496</v>
      </c>
      <c r="D8163" t="s">
        <v>4083</v>
      </c>
      <c r="F8163">
        <v>1</v>
      </c>
      <c r="G8163" t="s">
        <v>16</v>
      </c>
      <c r="H8163">
        <v>0</v>
      </c>
      <c r="I8163" s="2" t="s">
        <v>288</v>
      </c>
      <c r="J8163" s="2" t="s">
        <v>18225</v>
      </c>
      <c r="K8163">
        <v>20</v>
      </c>
      <c r="L8163">
        <v>20</v>
      </c>
      <c r="M8163">
        <v>20</v>
      </c>
    </row>
    <row r="8164" spans="1:13" x14ac:dyDescent="0.25">
      <c r="A8164" t="s">
        <v>18227</v>
      </c>
      <c r="B8164" t="s">
        <v>18226</v>
      </c>
      <c r="C8164" t="s">
        <v>496</v>
      </c>
      <c r="D8164" t="s">
        <v>4101</v>
      </c>
      <c r="G8164" t="s">
        <v>16</v>
      </c>
      <c r="H8164">
        <v>0</v>
      </c>
      <c r="I8164" s="2" t="s">
        <v>162</v>
      </c>
      <c r="J8164" s="2">
        <v>72220</v>
      </c>
      <c r="K8164">
        <v>20</v>
      </c>
      <c r="L8164">
        <v>20</v>
      </c>
      <c r="M8164">
        <v>20</v>
      </c>
    </row>
    <row r="8165" spans="1:13" x14ac:dyDescent="0.25">
      <c r="A8165" t="s">
        <v>18228</v>
      </c>
      <c r="B8165" t="s">
        <v>18229</v>
      </c>
      <c r="C8165" t="s">
        <v>496</v>
      </c>
      <c r="F8165">
        <v>2</v>
      </c>
      <c r="G8165" t="s">
        <v>16</v>
      </c>
      <c r="H8165">
        <v>0</v>
      </c>
      <c r="I8165" s="2" t="s">
        <v>2533</v>
      </c>
      <c r="J8165" s="2" t="s">
        <v>18230</v>
      </c>
      <c r="K8165">
        <v>20</v>
      </c>
      <c r="L8165">
        <v>20</v>
      </c>
      <c r="M8165">
        <v>20</v>
      </c>
    </row>
    <row r="8166" spans="1:13" x14ac:dyDescent="0.25">
      <c r="A8166" t="s">
        <v>18231</v>
      </c>
      <c r="B8166" t="s">
        <v>18229</v>
      </c>
      <c r="C8166" t="s">
        <v>496</v>
      </c>
      <c r="F8166">
        <v>0</v>
      </c>
      <c r="G8166" t="s">
        <v>16</v>
      </c>
      <c r="H8166">
        <v>0</v>
      </c>
      <c r="I8166" s="2" t="s">
        <v>108</v>
      </c>
      <c r="J8166" s="3">
        <v>2851206002</v>
      </c>
      <c r="K8166">
        <v>20</v>
      </c>
      <c r="L8166">
        <v>20</v>
      </c>
      <c r="M8166">
        <v>20</v>
      </c>
    </row>
    <row r="8167" spans="1:13" x14ac:dyDescent="0.25">
      <c r="A8167" t="s">
        <v>18232</v>
      </c>
      <c r="B8167" t="s">
        <v>18229</v>
      </c>
      <c r="C8167" t="s">
        <v>2493</v>
      </c>
      <c r="F8167">
        <v>1</v>
      </c>
      <c r="G8167" t="s">
        <v>16</v>
      </c>
      <c r="H8167">
        <v>0</v>
      </c>
      <c r="I8167" s="2" t="s">
        <v>5040</v>
      </c>
      <c r="J8167" s="2" t="s">
        <v>18233</v>
      </c>
      <c r="K8167">
        <v>20</v>
      </c>
      <c r="L8167">
        <v>20</v>
      </c>
      <c r="M8167">
        <v>20</v>
      </c>
    </row>
    <row r="8168" spans="1:13" x14ac:dyDescent="0.25">
      <c r="A8168" t="s">
        <v>18234</v>
      </c>
      <c r="B8168" t="s">
        <v>18229</v>
      </c>
      <c r="C8168" t="s">
        <v>496</v>
      </c>
      <c r="G8168" t="s">
        <v>16</v>
      </c>
      <c r="H8168">
        <v>0</v>
      </c>
      <c r="I8168" s="2" t="s">
        <v>5044</v>
      </c>
      <c r="J8168" s="2" t="s">
        <v>18235</v>
      </c>
      <c r="K8168">
        <v>20</v>
      </c>
      <c r="L8168">
        <v>20</v>
      </c>
      <c r="M8168">
        <v>20</v>
      </c>
    </row>
    <row r="8169" spans="1:13" x14ac:dyDescent="0.25">
      <c r="A8169" t="s">
        <v>18236</v>
      </c>
      <c r="B8169" t="s">
        <v>18237</v>
      </c>
      <c r="C8169" t="s">
        <v>496</v>
      </c>
      <c r="F8169">
        <v>4</v>
      </c>
      <c r="G8169" t="s">
        <v>16</v>
      </c>
      <c r="H8169">
        <v>0</v>
      </c>
      <c r="I8169" s="2" t="s">
        <v>2533</v>
      </c>
      <c r="J8169" s="2" t="s">
        <v>18238</v>
      </c>
      <c r="K8169">
        <v>20</v>
      </c>
      <c r="L8169">
        <v>20</v>
      </c>
      <c r="M8169">
        <v>20</v>
      </c>
    </row>
    <row r="8170" spans="1:13" x14ac:dyDescent="0.25">
      <c r="A8170" t="s">
        <v>18239</v>
      </c>
      <c r="B8170" t="s">
        <v>18237</v>
      </c>
      <c r="C8170" t="s">
        <v>496</v>
      </c>
      <c r="F8170">
        <v>0</v>
      </c>
      <c r="G8170" t="s">
        <v>16</v>
      </c>
      <c r="H8170">
        <v>0</v>
      </c>
      <c r="I8170" s="2" t="s">
        <v>108</v>
      </c>
      <c r="J8170" s="3">
        <v>2851206001</v>
      </c>
      <c r="K8170">
        <v>20</v>
      </c>
      <c r="L8170">
        <v>20</v>
      </c>
      <c r="M8170">
        <v>20</v>
      </c>
    </row>
    <row r="8171" spans="1:13" x14ac:dyDescent="0.25">
      <c r="A8171" t="s">
        <v>18240</v>
      </c>
      <c r="B8171" t="s">
        <v>18237</v>
      </c>
      <c r="C8171" t="s">
        <v>496</v>
      </c>
      <c r="F8171">
        <v>1</v>
      </c>
      <c r="G8171" t="s">
        <v>16</v>
      </c>
      <c r="H8171">
        <v>0</v>
      </c>
      <c r="I8171" s="2" t="s">
        <v>5040</v>
      </c>
      <c r="J8171" s="2" t="s">
        <v>18241</v>
      </c>
      <c r="K8171">
        <v>20</v>
      </c>
      <c r="L8171">
        <v>20</v>
      </c>
      <c r="M8171">
        <v>20</v>
      </c>
    </row>
    <row r="8172" spans="1:13" x14ac:dyDescent="0.25">
      <c r="A8172" t="s">
        <v>18242</v>
      </c>
      <c r="B8172" t="s">
        <v>18243</v>
      </c>
      <c r="C8172" t="s">
        <v>496</v>
      </c>
      <c r="D8172" t="s">
        <v>4083</v>
      </c>
      <c r="F8172">
        <v>1</v>
      </c>
      <c r="G8172" t="s">
        <v>16</v>
      </c>
      <c r="H8172">
        <v>0</v>
      </c>
      <c r="I8172" s="2" t="s">
        <v>5500</v>
      </c>
      <c r="J8172" s="2" t="s">
        <v>18244</v>
      </c>
      <c r="K8172">
        <v>20</v>
      </c>
      <c r="L8172">
        <v>20</v>
      </c>
      <c r="M8172">
        <v>20</v>
      </c>
    </row>
    <row r="8173" spans="1:13" x14ac:dyDescent="0.25">
      <c r="A8173" t="s">
        <v>18245</v>
      </c>
      <c r="B8173" t="s">
        <v>18246</v>
      </c>
      <c r="C8173" t="s">
        <v>496</v>
      </c>
      <c r="D8173" t="s">
        <v>4083</v>
      </c>
      <c r="F8173">
        <v>1</v>
      </c>
      <c r="G8173" t="s">
        <v>16</v>
      </c>
      <c r="H8173">
        <v>0</v>
      </c>
      <c r="I8173" s="2" t="s">
        <v>5500</v>
      </c>
      <c r="J8173" s="2" t="s">
        <v>18247</v>
      </c>
      <c r="K8173">
        <v>20</v>
      </c>
      <c r="L8173">
        <v>20</v>
      </c>
      <c r="M8173">
        <v>20</v>
      </c>
    </row>
    <row r="8174" spans="1:13" x14ac:dyDescent="0.25">
      <c r="A8174" t="s">
        <v>18248</v>
      </c>
      <c r="B8174" t="s">
        <v>18249</v>
      </c>
      <c r="C8174" t="s">
        <v>362</v>
      </c>
      <c r="D8174" t="s">
        <v>10315</v>
      </c>
      <c r="F8174">
        <v>2</v>
      </c>
      <c r="G8174" t="s">
        <v>16</v>
      </c>
      <c r="H8174">
        <v>0</v>
      </c>
      <c r="I8174" s="2" t="s">
        <v>1713</v>
      </c>
      <c r="J8174" s="2">
        <v>6002716</v>
      </c>
      <c r="K8174">
        <v>20</v>
      </c>
      <c r="L8174">
        <v>20</v>
      </c>
      <c r="M8174">
        <v>20</v>
      </c>
    </row>
    <row r="8175" spans="1:13" x14ac:dyDescent="0.25">
      <c r="A8175" t="s">
        <v>18250</v>
      </c>
      <c r="B8175" t="s">
        <v>18251</v>
      </c>
      <c r="C8175" t="s">
        <v>20</v>
      </c>
      <c r="D8175" t="s">
        <v>899</v>
      </c>
      <c r="F8175">
        <v>2</v>
      </c>
      <c r="G8175" t="s">
        <v>16</v>
      </c>
      <c r="H8175">
        <v>0</v>
      </c>
      <c r="I8175" s="2" t="s">
        <v>3689</v>
      </c>
      <c r="J8175" s="2" t="s">
        <v>18252</v>
      </c>
      <c r="K8175">
        <v>20</v>
      </c>
      <c r="L8175">
        <v>20</v>
      </c>
      <c r="M8175">
        <v>20</v>
      </c>
    </row>
    <row r="8176" spans="1:13" x14ac:dyDescent="0.25">
      <c r="A8176" t="s">
        <v>18253</v>
      </c>
      <c r="B8176" t="s">
        <v>18254</v>
      </c>
      <c r="C8176" t="s">
        <v>20</v>
      </c>
      <c r="D8176" t="s">
        <v>899</v>
      </c>
      <c r="G8176" t="s">
        <v>16</v>
      </c>
      <c r="H8176">
        <v>0</v>
      </c>
      <c r="I8176" s="2" t="s">
        <v>13956</v>
      </c>
      <c r="J8176" s="2" t="s">
        <v>18255</v>
      </c>
      <c r="K8176">
        <v>20</v>
      </c>
      <c r="L8176">
        <v>20</v>
      </c>
      <c r="M8176">
        <v>20</v>
      </c>
    </row>
    <row r="8177" spans="1:13" x14ac:dyDescent="0.25">
      <c r="A8177">
        <v>9672419980</v>
      </c>
      <c r="B8177" t="s">
        <v>18256</v>
      </c>
      <c r="C8177" t="s">
        <v>1436</v>
      </c>
      <c r="G8177" t="s">
        <v>16</v>
      </c>
      <c r="H8177">
        <v>0</v>
      </c>
      <c r="I8177" s="2" t="s">
        <v>55</v>
      </c>
      <c r="J8177" s="2">
        <v>9672419980</v>
      </c>
      <c r="K8177">
        <v>20</v>
      </c>
      <c r="L8177">
        <v>20</v>
      </c>
      <c r="M8177">
        <v>20</v>
      </c>
    </row>
    <row r="8178" spans="1:13" x14ac:dyDescent="0.25">
      <c r="A8178" t="s">
        <v>18257</v>
      </c>
      <c r="B8178" t="s">
        <v>18259</v>
      </c>
      <c r="C8178" t="s">
        <v>241</v>
      </c>
      <c r="D8178" t="s">
        <v>1436</v>
      </c>
      <c r="F8178">
        <v>2</v>
      </c>
      <c r="G8178" t="s">
        <v>16</v>
      </c>
      <c r="H8178">
        <v>0</v>
      </c>
      <c r="I8178" s="2" t="s">
        <v>2389</v>
      </c>
      <c r="J8178" s="2" t="s">
        <v>18258</v>
      </c>
      <c r="K8178">
        <v>20</v>
      </c>
      <c r="L8178">
        <v>20</v>
      </c>
      <c r="M8178">
        <v>20</v>
      </c>
    </row>
    <row r="8179" spans="1:13" x14ac:dyDescent="0.25">
      <c r="A8179" t="s">
        <v>18260</v>
      </c>
      <c r="B8179" t="s">
        <v>18261</v>
      </c>
      <c r="C8179" t="s">
        <v>151</v>
      </c>
      <c r="D8179" t="s">
        <v>6347</v>
      </c>
      <c r="F8179">
        <v>1</v>
      </c>
      <c r="G8179" t="s">
        <v>16</v>
      </c>
      <c r="H8179">
        <v>0</v>
      </c>
      <c r="I8179" s="2" t="s">
        <v>389</v>
      </c>
      <c r="J8179" s="2">
        <v>1682237680</v>
      </c>
      <c r="K8179">
        <v>20</v>
      </c>
      <c r="L8179">
        <v>20</v>
      </c>
      <c r="M8179">
        <v>20</v>
      </c>
    </row>
    <row r="8180" spans="1:13" x14ac:dyDescent="0.25">
      <c r="A8180">
        <v>9673768480</v>
      </c>
      <c r="B8180" t="s">
        <v>18262</v>
      </c>
      <c r="C8180" t="s">
        <v>20</v>
      </c>
      <c r="D8180" t="s">
        <v>2477</v>
      </c>
      <c r="F8180">
        <v>-1</v>
      </c>
      <c r="G8180" t="s">
        <v>16</v>
      </c>
      <c r="H8180">
        <v>0</v>
      </c>
      <c r="I8180" s="2" t="s">
        <v>55</v>
      </c>
      <c r="J8180" s="2">
        <v>9673768480</v>
      </c>
      <c r="K8180">
        <v>20</v>
      </c>
      <c r="L8180">
        <v>20</v>
      </c>
      <c r="M8180">
        <v>20</v>
      </c>
    </row>
    <row r="8181" spans="1:13" x14ac:dyDescent="0.25">
      <c r="A8181" t="s">
        <v>18263</v>
      </c>
      <c r="B8181" t="s">
        <v>18262</v>
      </c>
      <c r="C8181" t="s">
        <v>20</v>
      </c>
      <c r="D8181" t="s">
        <v>2477</v>
      </c>
      <c r="F8181">
        <v>1</v>
      </c>
      <c r="G8181" t="s">
        <v>16</v>
      </c>
      <c r="H8181">
        <v>0</v>
      </c>
      <c r="I8181" s="2" t="s">
        <v>2300</v>
      </c>
      <c r="J8181" s="2">
        <v>41813</v>
      </c>
      <c r="K8181">
        <v>20</v>
      </c>
      <c r="L8181">
        <v>20</v>
      </c>
      <c r="M8181">
        <v>20</v>
      </c>
    </row>
    <row r="8182" spans="1:13" x14ac:dyDescent="0.25">
      <c r="A8182" t="s">
        <v>18264</v>
      </c>
      <c r="B8182" t="s">
        <v>18265</v>
      </c>
      <c r="C8182" t="s">
        <v>540</v>
      </c>
      <c r="F8182">
        <v>1</v>
      </c>
      <c r="G8182" t="s">
        <v>16</v>
      </c>
      <c r="H8182">
        <v>0</v>
      </c>
      <c r="I8182" s="2" t="s">
        <v>64</v>
      </c>
      <c r="J8182" s="2">
        <v>9050610</v>
      </c>
      <c r="K8182">
        <v>20</v>
      </c>
      <c r="L8182">
        <v>20</v>
      </c>
      <c r="M8182">
        <v>20</v>
      </c>
    </row>
    <row r="8183" spans="1:13" x14ac:dyDescent="0.25">
      <c r="A8183">
        <v>9673999980</v>
      </c>
      <c r="B8183" t="s">
        <v>18266</v>
      </c>
      <c r="C8183" t="s">
        <v>151</v>
      </c>
      <c r="D8183" t="s">
        <v>1670</v>
      </c>
      <c r="G8183" t="s">
        <v>16</v>
      </c>
      <c r="H8183">
        <v>0</v>
      </c>
      <c r="I8183" s="2" t="s">
        <v>55</v>
      </c>
      <c r="J8183" s="2">
        <v>9673999980</v>
      </c>
      <c r="K8183">
        <v>20</v>
      </c>
      <c r="L8183">
        <v>20</v>
      </c>
      <c r="M8183">
        <v>20</v>
      </c>
    </row>
    <row r="8184" spans="1:13" x14ac:dyDescent="0.25">
      <c r="A8184" t="s">
        <v>18267</v>
      </c>
      <c r="B8184" t="s">
        <v>18266</v>
      </c>
      <c r="C8184" t="s">
        <v>151</v>
      </c>
      <c r="D8184" t="s">
        <v>1670</v>
      </c>
      <c r="F8184">
        <v>1</v>
      </c>
      <c r="G8184" t="s">
        <v>16</v>
      </c>
      <c r="H8184">
        <v>0</v>
      </c>
      <c r="I8184" s="2" t="s">
        <v>712</v>
      </c>
      <c r="J8184" s="2">
        <v>75614955</v>
      </c>
      <c r="K8184">
        <v>20</v>
      </c>
      <c r="L8184">
        <v>20</v>
      </c>
      <c r="M8184">
        <v>20</v>
      </c>
    </row>
    <row r="8185" spans="1:13" x14ac:dyDescent="0.25">
      <c r="A8185">
        <v>9674254580</v>
      </c>
      <c r="B8185" t="s">
        <v>18268</v>
      </c>
      <c r="C8185" t="s">
        <v>1432</v>
      </c>
      <c r="D8185" t="s">
        <v>5993</v>
      </c>
      <c r="F8185">
        <v>1</v>
      </c>
      <c r="G8185" t="s">
        <v>16</v>
      </c>
      <c r="H8185">
        <v>0</v>
      </c>
      <c r="I8185" s="2" t="s">
        <v>51</v>
      </c>
      <c r="J8185" s="2">
        <v>9674254580</v>
      </c>
      <c r="K8185">
        <v>20</v>
      </c>
      <c r="L8185">
        <v>20</v>
      </c>
      <c r="M8185">
        <v>20</v>
      </c>
    </row>
    <row r="8186" spans="1:13" x14ac:dyDescent="0.25">
      <c r="A8186" t="s">
        <v>18269</v>
      </c>
      <c r="B8186" t="s">
        <v>18271</v>
      </c>
      <c r="C8186" t="s">
        <v>362</v>
      </c>
      <c r="D8186" t="s">
        <v>10315</v>
      </c>
      <c r="F8186">
        <v>2</v>
      </c>
      <c r="G8186" t="s">
        <v>16</v>
      </c>
      <c r="H8186">
        <v>0</v>
      </c>
      <c r="I8186" s="2" t="s">
        <v>1723</v>
      </c>
      <c r="J8186" s="2" t="s">
        <v>18270</v>
      </c>
      <c r="K8186">
        <v>20</v>
      </c>
      <c r="L8186">
        <v>20</v>
      </c>
      <c r="M8186">
        <v>20</v>
      </c>
    </row>
    <row r="8187" spans="1:13" x14ac:dyDescent="0.25">
      <c r="A8187" t="s">
        <v>18272</v>
      </c>
      <c r="B8187" t="s">
        <v>18273</v>
      </c>
      <c r="C8187" t="s">
        <v>496</v>
      </c>
      <c r="D8187" t="s">
        <v>5856</v>
      </c>
      <c r="F8187">
        <v>2</v>
      </c>
      <c r="G8187" t="s">
        <v>16</v>
      </c>
      <c r="H8187">
        <v>0</v>
      </c>
      <c r="I8187" s="2" t="s">
        <v>5500</v>
      </c>
      <c r="J8187" s="2" t="s">
        <v>18274</v>
      </c>
      <c r="K8187">
        <v>20</v>
      </c>
      <c r="L8187">
        <v>20</v>
      </c>
      <c r="M8187">
        <v>20</v>
      </c>
    </row>
    <row r="8188" spans="1:13" x14ac:dyDescent="0.25">
      <c r="A8188" t="s">
        <v>18275</v>
      </c>
      <c r="B8188" t="s">
        <v>18276</v>
      </c>
      <c r="C8188" t="s">
        <v>496</v>
      </c>
      <c r="D8188" t="s">
        <v>2360</v>
      </c>
      <c r="F8188">
        <v>0</v>
      </c>
      <c r="G8188" t="s">
        <v>16</v>
      </c>
      <c r="H8188">
        <v>0</v>
      </c>
      <c r="I8188" s="2" t="s">
        <v>64</v>
      </c>
      <c r="J8188" s="2">
        <v>15010207</v>
      </c>
      <c r="K8188">
        <v>20</v>
      </c>
      <c r="L8188">
        <v>20</v>
      </c>
      <c r="M8188">
        <v>20</v>
      </c>
    </row>
    <row r="8189" spans="1:13" x14ac:dyDescent="0.25">
      <c r="A8189" t="s">
        <v>18277</v>
      </c>
      <c r="B8189" t="s">
        <v>18278</v>
      </c>
      <c r="C8189" t="s">
        <v>496</v>
      </c>
      <c r="D8189" t="s">
        <v>2360</v>
      </c>
      <c r="F8189">
        <v>2</v>
      </c>
      <c r="G8189" t="s">
        <v>16</v>
      </c>
      <c r="H8189">
        <v>0</v>
      </c>
      <c r="I8189" s="2" t="s">
        <v>2670</v>
      </c>
      <c r="J8189" s="2" t="s">
        <v>18279</v>
      </c>
      <c r="K8189">
        <v>20</v>
      </c>
      <c r="L8189">
        <v>20</v>
      </c>
      <c r="M8189">
        <v>20</v>
      </c>
    </row>
    <row r="8190" spans="1:13" x14ac:dyDescent="0.25">
      <c r="A8190" t="s">
        <v>18280</v>
      </c>
      <c r="B8190" t="s">
        <v>18276</v>
      </c>
      <c r="C8190" t="s">
        <v>496</v>
      </c>
      <c r="D8190" t="s">
        <v>2360</v>
      </c>
      <c r="F8190">
        <v>2</v>
      </c>
      <c r="G8190" t="s">
        <v>16</v>
      </c>
      <c r="H8190">
        <v>0</v>
      </c>
      <c r="I8190" s="2" t="s">
        <v>5688</v>
      </c>
      <c r="J8190" s="2">
        <v>317790</v>
      </c>
      <c r="K8190">
        <v>20</v>
      </c>
      <c r="L8190">
        <v>20</v>
      </c>
      <c r="M8190">
        <v>20</v>
      </c>
    </row>
    <row r="8191" spans="1:13" x14ac:dyDescent="0.25">
      <c r="A8191" t="s">
        <v>18281</v>
      </c>
      <c r="B8191" t="s">
        <v>18282</v>
      </c>
      <c r="C8191" t="s">
        <v>151</v>
      </c>
      <c r="D8191" t="s">
        <v>706</v>
      </c>
      <c r="F8191">
        <v>1</v>
      </c>
      <c r="G8191" t="s">
        <v>16</v>
      </c>
      <c r="H8191">
        <v>0</v>
      </c>
      <c r="I8191" s="2" t="s">
        <v>1488</v>
      </c>
      <c r="J8191" s="3">
        <v>70203</v>
      </c>
      <c r="K8191">
        <v>20</v>
      </c>
      <c r="L8191">
        <v>20</v>
      </c>
      <c r="M8191">
        <v>20</v>
      </c>
    </row>
    <row r="8192" spans="1:13" x14ac:dyDescent="0.25">
      <c r="A8192" t="s">
        <v>18283</v>
      </c>
      <c r="B8192" t="s">
        <v>18284</v>
      </c>
      <c r="C8192" t="s">
        <v>14</v>
      </c>
      <c r="D8192" t="s">
        <v>191</v>
      </c>
      <c r="G8192" t="s">
        <v>16</v>
      </c>
      <c r="H8192">
        <v>0</v>
      </c>
      <c r="I8192" s="2" t="s">
        <v>4708</v>
      </c>
      <c r="J8192" s="2" t="s">
        <v>18285</v>
      </c>
      <c r="K8192">
        <v>20</v>
      </c>
      <c r="L8192">
        <v>20</v>
      </c>
      <c r="M8192">
        <v>20</v>
      </c>
    </row>
    <row r="8193" spans="1:13" x14ac:dyDescent="0.25">
      <c r="A8193" t="s">
        <v>18286</v>
      </c>
      <c r="B8193" t="s">
        <v>18284</v>
      </c>
      <c r="C8193" t="s">
        <v>14</v>
      </c>
      <c r="D8193" t="s">
        <v>191</v>
      </c>
      <c r="G8193" t="s">
        <v>16</v>
      </c>
      <c r="H8193">
        <v>0</v>
      </c>
      <c r="I8193" s="2" t="s">
        <v>17</v>
      </c>
      <c r="J8193" s="2" t="s">
        <v>18287</v>
      </c>
      <c r="K8193">
        <v>20</v>
      </c>
      <c r="L8193">
        <v>20</v>
      </c>
      <c r="M8193">
        <v>20</v>
      </c>
    </row>
    <row r="8194" spans="1:13" x14ac:dyDescent="0.25">
      <c r="A8194" t="s">
        <v>18288</v>
      </c>
      <c r="B8194" t="s">
        <v>18284</v>
      </c>
      <c r="C8194" t="s">
        <v>14</v>
      </c>
      <c r="D8194" t="s">
        <v>191</v>
      </c>
      <c r="F8194">
        <v>22</v>
      </c>
      <c r="G8194" t="s">
        <v>16</v>
      </c>
      <c r="H8194">
        <v>0</v>
      </c>
      <c r="I8194" s="2" t="s">
        <v>4753</v>
      </c>
      <c r="J8194" s="2" t="s">
        <v>18289</v>
      </c>
      <c r="K8194">
        <v>20</v>
      </c>
      <c r="L8194">
        <v>20</v>
      </c>
      <c r="M8194">
        <v>20</v>
      </c>
    </row>
    <row r="8195" spans="1:13" x14ac:dyDescent="0.25">
      <c r="A8195" t="s">
        <v>18290</v>
      </c>
      <c r="B8195" t="s">
        <v>18291</v>
      </c>
      <c r="C8195" t="s">
        <v>14</v>
      </c>
      <c r="D8195" t="s">
        <v>191</v>
      </c>
      <c r="F8195">
        <v>1</v>
      </c>
      <c r="G8195" t="s">
        <v>16</v>
      </c>
      <c r="H8195">
        <v>0</v>
      </c>
      <c r="I8195" s="2" t="s">
        <v>4810</v>
      </c>
      <c r="J8195" s="2" t="s">
        <v>18292</v>
      </c>
      <c r="K8195">
        <v>20</v>
      </c>
      <c r="L8195">
        <v>20</v>
      </c>
      <c r="M8195">
        <v>20</v>
      </c>
    </row>
    <row r="8196" spans="1:13" x14ac:dyDescent="0.25">
      <c r="A8196" t="s">
        <v>18293</v>
      </c>
      <c r="B8196" t="s">
        <v>18294</v>
      </c>
      <c r="C8196" t="s">
        <v>540</v>
      </c>
      <c r="G8196" t="s">
        <v>16</v>
      </c>
      <c r="H8196">
        <v>0</v>
      </c>
      <c r="K8196">
        <v>20</v>
      </c>
      <c r="L8196">
        <v>20</v>
      </c>
      <c r="M8196">
        <v>20</v>
      </c>
    </row>
    <row r="8197" spans="1:13" x14ac:dyDescent="0.25">
      <c r="A8197" t="s">
        <v>18295</v>
      </c>
      <c r="B8197" t="s">
        <v>18296</v>
      </c>
      <c r="C8197" t="s">
        <v>540</v>
      </c>
      <c r="G8197" t="s">
        <v>16</v>
      </c>
      <c r="H8197">
        <v>0</v>
      </c>
      <c r="K8197">
        <v>20</v>
      </c>
      <c r="L8197">
        <v>20</v>
      </c>
      <c r="M8197">
        <v>20</v>
      </c>
    </row>
    <row r="8198" spans="1:13" x14ac:dyDescent="0.25">
      <c r="A8198" t="s">
        <v>18297</v>
      </c>
      <c r="B8198" t="s">
        <v>18298</v>
      </c>
      <c r="C8198" t="s">
        <v>151</v>
      </c>
      <c r="D8198" t="s">
        <v>1092</v>
      </c>
      <c r="G8198" t="s">
        <v>16</v>
      </c>
      <c r="H8198">
        <v>0</v>
      </c>
      <c r="I8198" s="2" t="s">
        <v>1179</v>
      </c>
      <c r="J8198" s="2" t="s">
        <v>18299</v>
      </c>
      <c r="K8198">
        <v>20</v>
      </c>
      <c r="L8198">
        <v>20</v>
      </c>
      <c r="M8198">
        <v>20</v>
      </c>
    </row>
    <row r="8199" spans="1:13" x14ac:dyDescent="0.25">
      <c r="A8199">
        <v>9674897780</v>
      </c>
      <c r="B8199" t="s">
        <v>18300</v>
      </c>
      <c r="C8199" t="s">
        <v>241</v>
      </c>
      <c r="D8199" t="s">
        <v>2216</v>
      </c>
      <c r="F8199">
        <v>1</v>
      </c>
      <c r="G8199" t="s">
        <v>16</v>
      </c>
      <c r="H8199">
        <v>0</v>
      </c>
      <c r="I8199" s="2" t="s">
        <v>51</v>
      </c>
      <c r="J8199" s="2">
        <v>9674897780</v>
      </c>
      <c r="K8199">
        <v>20</v>
      </c>
      <c r="L8199">
        <v>20</v>
      </c>
      <c r="M8199">
        <v>20</v>
      </c>
    </row>
    <row r="8200" spans="1:13" x14ac:dyDescent="0.25">
      <c r="A8200" t="s">
        <v>18301</v>
      </c>
      <c r="B8200" t="s">
        <v>18302</v>
      </c>
      <c r="C8200" t="s">
        <v>151</v>
      </c>
      <c r="D8200" t="s">
        <v>6347</v>
      </c>
      <c r="F8200">
        <v>1</v>
      </c>
      <c r="G8200" t="s">
        <v>16</v>
      </c>
      <c r="H8200">
        <v>0</v>
      </c>
      <c r="I8200" s="2" t="s">
        <v>383</v>
      </c>
      <c r="J8200" s="2" t="s">
        <v>18303</v>
      </c>
      <c r="K8200">
        <v>20</v>
      </c>
      <c r="L8200">
        <v>20</v>
      </c>
      <c r="M8200">
        <v>20</v>
      </c>
    </row>
    <row r="8201" spans="1:13" x14ac:dyDescent="0.25">
      <c r="A8201" t="s">
        <v>18304</v>
      </c>
      <c r="B8201" t="s">
        <v>18305</v>
      </c>
      <c r="C8201" t="s">
        <v>496</v>
      </c>
      <c r="D8201" t="s">
        <v>2360</v>
      </c>
      <c r="F8201">
        <v>1</v>
      </c>
      <c r="G8201" t="s">
        <v>16</v>
      </c>
      <c r="H8201">
        <v>0</v>
      </c>
      <c r="I8201" s="2" t="s">
        <v>2533</v>
      </c>
      <c r="J8201" s="2" t="s">
        <v>18306</v>
      </c>
      <c r="K8201">
        <v>20</v>
      </c>
      <c r="L8201">
        <v>20</v>
      </c>
      <c r="M8201">
        <v>20</v>
      </c>
    </row>
    <row r="8202" spans="1:13" x14ac:dyDescent="0.25">
      <c r="A8202" t="s">
        <v>18307</v>
      </c>
      <c r="B8202" t="s">
        <v>18305</v>
      </c>
      <c r="C8202" t="s">
        <v>496</v>
      </c>
      <c r="D8202" t="s">
        <v>2360</v>
      </c>
      <c r="G8202" t="s">
        <v>16</v>
      </c>
      <c r="H8202">
        <v>0</v>
      </c>
      <c r="I8202" s="2" t="s">
        <v>5040</v>
      </c>
      <c r="J8202" s="2" t="s">
        <v>18308</v>
      </c>
      <c r="K8202">
        <v>20</v>
      </c>
      <c r="L8202">
        <v>20</v>
      </c>
      <c r="M8202">
        <v>20</v>
      </c>
    </row>
    <row r="8203" spans="1:13" x14ac:dyDescent="0.25">
      <c r="A8203" t="s">
        <v>18309</v>
      </c>
      <c r="B8203" t="s">
        <v>18305</v>
      </c>
      <c r="C8203" t="s">
        <v>496</v>
      </c>
      <c r="D8203" t="s">
        <v>2360</v>
      </c>
      <c r="F8203">
        <v>2</v>
      </c>
      <c r="G8203" t="s">
        <v>16</v>
      </c>
      <c r="H8203">
        <v>0</v>
      </c>
      <c r="I8203" s="2" t="s">
        <v>4214</v>
      </c>
      <c r="J8203" s="2" t="s">
        <v>18310</v>
      </c>
      <c r="K8203">
        <v>20</v>
      </c>
      <c r="L8203">
        <v>20</v>
      </c>
      <c r="M8203">
        <v>20</v>
      </c>
    </row>
    <row r="8204" spans="1:13" x14ac:dyDescent="0.25">
      <c r="A8204" t="s">
        <v>18311</v>
      </c>
      <c r="B8204" t="s">
        <v>18305</v>
      </c>
      <c r="C8204" t="s">
        <v>496</v>
      </c>
      <c r="D8204" t="s">
        <v>2360</v>
      </c>
      <c r="G8204" t="s">
        <v>16</v>
      </c>
      <c r="H8204">
        <v>0</v>
      </c>
      <c r="I8204" s="2" t="s">
        <v>5044</v>
      </c>
      <c r="J8204" s="2" t="s">
        <v>18312</v>
      </c>
      <c r="K8204">
        <v>20</v>
      </c>
      <c r="L8204">
        <v>20</v>
      </c>
      <c r="M8204">
        <v>20</v>
      </c>
    </row>
    <row r="8205" spans="1:13" x14ac:dyDescent="0.25">
      <c r="A8205" t="s">
        <v>18313</v>
      </c>
      <c r="B8205" t="s">
        <v>18314</v>
      </c>
      <c r="C8205" t="s">
        <v>496</v>
      </c>
      <c r="F8205">
        <v>1</v>
      </c>
      <c r="G8205" t="s">
        <v>16</v>
      </c>
      <c r="H8205">
        <v>0</v>
      </c>
      <c r="I8205" s="2" t="s">
        <v>2533</v>
      </c>
      <c r="J8205" s="2" t="s">
        <v>18315</v>
      </c>
      <c r="K8205">
        <v>20</v>
      </c>
      <c r="L8205">
        <v>20</v>
      </c>
      <c r="M8205">
        <v>20</v>
      </c>
    </row>
    <row r="8206" spans="1:13" x14ac:dyDescent="0.25">
      <c r="A8206" t="s">
        <v>18316</v>
      </c>
      <c r="B8206" t="s">
        <v>18314</v>
      </c>
      <c r="C8206" t="s">
        <v>496</v>
      </c>
      <c r="D8206" t="s">
        <v>2360</v>
      </c>
      <c r="F8206">
        <v>0</v>
      </c>
      <c r="G8206" t="s">
        <v>16</v>
      </c>
      <c r="H8206">
        <v>0</v>
      </c>
      <c r="I8206" s="2" t="s">
        <v>5040</v>
      </c>
      <c r="J8206" s="2" t="s">
        <v>18317</v>
      </c>
      <c r="K8206">
        <v>20</v>
      </c>
      <c r="L8206">
        <v>20</v>
      </c>
      <c r="M8206">
        <v>20</v>
      </c>
    </row>
    <row r="8207" spans="1:13" x14ac:dyDescent="0.25">
      <c r="A8207" t="s">
        <v>18318</v>
      </c>
      <c r="B8207" t="s">
        <v>18314</v>
      </c>
      <c r="C8207" t="s">
        <v>496</v>
      </c>
      <c r="D8207" t="s">
        <v>2360</v>
      </c>
      <c r="G8207" t="s">
        <v>16</v>
      </c>
      <c r="H8207">
        <v>0</v>
      </c>
      <c r="I8207" s="2" t="s">
        <v>5044</v>
      </c>
      <c r="J8207" s="2" t="s">
        <v>18319</v>
      </c>
      <c r="K8207">
        <v>20</v>
      </c>
      <c r="L8207">
        <v>20</v>
      </c>
      <c r="M8207">
        <v>20</v>
      </c>
    </row>
    <row r="8208" spans="1:13" x14ac:dyDescent="0.25">
      <c r="A8208" t="s">
        <v>18320</v>
      </c>
      <c r="B8208" t="s">
        <v>18321</v>
      </c>
      <c r="C8208" t="s">
        <v>151</v>
      </c>
      <c r="F8208">
        <v>1</v>
      </c>
      <c r="G8208" t="s">
        <v>16</v>
      </c>
      <c r="H8208">
        <v>0</v>
      </c>
      <c r="I8208" s="2" t="s">
        <v>2896</v>
      </c>
      <c r="J8208" s="2">
        <v>27112</v>
      </c>
      <c r="K8208">
        <v>20</v>
      </c>
      <c r="L8208">
        <v>20</v>
      </c>
      <c r="M8208">
        <v>20</v>
      </c>
    </row>
    <row r="8209" spans="1:13" x14ac:dyDescent="0.25">
      <c r="A8209" t="s">
        <v>18322</v>
      </c>
      <c r="B8209" t="s">
        <v>18323</v>
      </c>
      <c r="C8209" t="s">
        <v>151</v>
      </c>
      <c r="D8209" t="s">
        <v>1092</v>
      </c>
      <c r="F8209">
        <v>0</v>
      </c>
      <c r="G8209" t="s">
        <v>16</v>
      </c>
      <c r="H8209">
        <v>0</v>
      </c>
      <c r="I8209" s="2" t="s">
        <v>13255</v>
      </c>
      <c r="J8209" s="2">
        <v>303337</v>
      </c>
      <c r="K8209">
        <v>20</v>
      </c>
      <c r="L8209">
        <v>20</v>
      </c>
      <c r="M8209">
        <v>20</v>
      </c>
    </row>
    <row r="8210" spans="1:13" x14ac:dyDescent="0.25">
      <c r="A8210" t="s">
        <v>18324</v>
      </c>
      <c r="B8210" t="s">
        <v>18325</v>
      </c>
      <c r="C8210" t="s">
        <v>151</v>
      </c>
      <c r="D8210" t="s">
        <v>1092</v>
      </c>
      <c r="F8210">
        <v>0</v>
      </c>
      <c r="G8210" t="s">
        <v>16</v>
      </c>
      <c r="H8210">
        <v>0</v>
      </c>
      <c r="I8210" s="2" t="s">
        <v>13249</v>
      </c>
      <c r="J8210" s="2">
        <v>303335</v>
      </c>
      <c r="K8210">
        <v>20</v>
      </c>
      <c r="L8210">
        <v>20</v>
      </c>
      <c r="M8210">
        <v>20</v>
      </c>
    </row>
    <row r="8211" spans="1:13" x14ac:dyDescent="0.25">
      <c r="A8211" t="s">
        <v>18326</v>
      </c>
      <c r="B8211" t="s">
        <v>18325</v>
      </c>
      <c r="C8211" t="s">
        <v>151</v>
      </c>
      <c r="D8211" t="s">
        <v>1092</v>
      </c>
      <c r="G8211" t="s">
        <v>16</v>
      </c>
      <c r="H8211">
        <v>0</v>
      </c>
      <c r="I8211" s="2" t="s">
        <v>2098</v>
      </c>
      <c r="J8211" s="2" t="s">
        <v>18327</v>
      </c>
      <c r="K8211">
        <v>20</v>
      </c>
      <c r="L8211">
        <v>20</v>
      </c>
      <c r="M8211">
        <v>20</v>
      </c>
    </row>
    <row r="8212" spans="1:13" x14ac:dyDescent="0.25">
      <c r="A8212" t="s">
        <v>18328</v>
      </c>
      <c r="B8212" t="s">
        <v>18329</v>
      </c>
      <c r="C8212" t="s">
        <v>151</v>
      </c>
      <c r="D8212" t="s">
        <v>1092</v>
      </c>
      <c r="F8212">
        <v>1</v>
      </c>
      <c r="G8212" t="s">
        <v>16</v>
      </c>
      <c r="H8212">
        <v>0</v>
      </c>
      <c r="I8212" s="2" t="s">
        <v>1137</v>
      </c>
      <c r="J8212" s="2" t="s">
        <v>18330</v>
      </c>
      <c r="K8212">
        <v>20</v>
      </c>
      <c r="L8212">
        <v>20</v>
      </c>
      <c r="M8212">
        <v>20</v>
      </c>
    </row>
    <row r="8213" spans="1:13" x14ac:dyDescent="0.25">
      <c r="A8213" t="s">
        <v>18331</v>
      </c>
      <c r="B8213" t="s">
        <v>18332</v>
      </c>
      <c r="C8213" t="s">
        <v>151</v>
      </c>
      <c r="F8213">
        <v>1</v>
      </c>
      <c r="G8213" t="s">
        <v>16</v>
      </c>
      <c r="H8213">
        <v>0</v>
      </c>
      <c r="I8213" s="2" t="s">
        <v>7537</v>
      </c>
      <c r="J8213" s="2">
        <v>9675202477</v>
      </c>
      <c r="K8213">
        <v>20</v>
      </c>
      <c r="L8213">
        <v>20</v>
      </c>
      <c r="M8213">
        <v>20</v>
      </c>
    </row>
    <row r="8214" spans="1:13" x14ac:dyDescent="0.25">
      <c r="A8214" t="s">
        <v>18333</v>
      </c>
      <c r="B8214" t="s">
        <v>18334</v>
      </c>
      <c r="C8214" t="s">
        <v>151</v>
      </c>
      <c r="F8214">
        <v>0</v>
      </c>
      <c r="G8214" t="s">
        <v>16</v>
      </c>
      <c r="H8214">
        <v>0</v>
      </c>
      <c r="I8214" s="2" t="s">
        <v>1543</v>
      </c>
      <c r="J8214" s="2">
        <v>808101</v>
      </c>
      <c r="K8214">
        <v>20</v>
      </c>
      <c r="L8214">
        <v>20</v>
      </c>
      <c r="M8214">
        <v>20</v>
      </c>
    </row>
    <row r="8215" spans="1:13" x14ac:dyDescent="0.25">
      <c r="A8215" t="s">
        <v>18335</v>
      </c>
      <c r="B8215" t="s">
        <v>18336</v>
      </c>
      <c r="C8215" t="s">
        <v>926</v>
      </c>
      <c r="D8215" t="s">
        <v>927</v>
      </c>
      <c r="F8215">
        <v>2</v>
      </c>
      <c r="G8215" t="s">
        <v>16</v>
      </c>
      <c r="H8215">
        <v>0</v>
      </c>
      <c r="I8215" s="2" t="s">
        <v>707</v>
      </c>
      <c r="J8215" s="2" t="s">
        <v>18337</v>
      </c>
      <c r="K8215">
        <v>20</v>
      </c>
      <c r="L8215">
        <v>20</v>
      </c>
      <c r="M8215">
        <v>20</v>
      </c>
    </row>
    <row r="8216" spans="1:13" x14ac:dyDescent="0.25">
      <c r="A8216" t="s">
        <v>18338</v>
      </c>
      <c r="B8216" t="s">
        <v>18339</v>
      </c>
      <c r="C8216" t="s">
        <v>357</v>
      </c>
      <c r="F8216">
        <v>1</v>
      </c>
      <c r="G8216" t="s">
        <v>16</v>
      </c>
      <c r="H8216">
        <v>0</v>
      </c>
      <c r="I8216" s="2" t="s">
        <v>1671</v>
      </c>
      <c r="J8216" s="2">
        <v>342815</v>
      </c>
      <c r="K8216">
        <v>20</v>
      </c>
      <c r="L8216">
        <v>20</v>
      </c>
      <c r="M8216">
        <v>20</v>
      </c>
    </row>
    <row r="8217" spans="1:13" x14ac:dyDescent="0.25">
      <c r="A8217" t="s">
        <v>18340</v>
      </c>
      <c r="B8217" t="s">
        <v>18341</v>
      </c>
      <c r="C8217" t="s">
        <v>926</v>
      </c>
      <c r="F8217">
        <v>4</v>
      </c>
      <c r="G8217" t="s">
        <v>16</v>
      </c>
      <c r="H8217">
        <v>0</v>
      </c>
      <c r="I8217" s="2" t="s">
        <v>87</v>
      </c>
      <c r="J8217" s="2" t="s">
        <v>18342</v>
      </c>
      <c r="K8217">
        <v>20</v>
      </c>
      <c r="L8217">
        <v>20</v>
      </c>
      <c r="M8217">
        <v>20</v>
      </c>
    </row>
    <row r="8218" spans="1:13" x14ac:dyDescent="0.25">
      <c r="A8218" t="s">
        <v>18343</v>
      </c>
      <c r="B8218" t="s">
        <v>18344</v>
      </c>
      <c r="C8218" t="s">
        <v>357</v>
      </c>
      <c r="D8218" t="s">
        <v>1836</v>
      </c>
      <c r="F8218">
        <v>2</v>
      </c>
      <c r="G8218" t="s">
        <v>16</v>
      </c>
      <c r="H8218">
        <v>0</v>
      </c>
      <c r="I8218" s="2" t="s">
        <v>500</v>
      </c>
      <c r="J8218" s="2" t="s">
        <v>18345</v>
      </c>
      <c r="K8218">
        <v>20</v>
      </c>
      <c r="L8218">
        <v>20</v>
      </c>
      <c r="M8218">
        <v>20</v>
      </c>
    </row>
    <row r="8219" spans="1:13" x14ac:dyDescent="0.25">
      <c r="A8219" t="s">
        <v>18346</v>
      </c>
      <c r="B8219" t="s">
        <v>18347</v>
      </c>
      <c r="C8219" t="s">
        <v>357</v>
      </c>
      <c r="D8219" t="s">
        <v>358</v>
      </c>
      <c r="F8219">
        <v>1</v>
      </c>
      <c r="G8219" t="s">
        <v>16</v>
      </c>
      <c r="H8219">
        <v>0</v>
      </c>
      <c r="I8219" s="2" t="s">
        <v>108</v>
      </c>
      <c r="J8219" s="3">
        <v>2861416001</v>
      </c>
      <c r="K8219">
        <v>20</v>
      </c>
      <c r="L8219">
        <v>20</v>
      </c>
      <c r="M8219">
        <v>20</v>
      </c>
    </row>
    <row r="8220" spans="1:13" x14ac:dyDescent="0.25">
      <c r="A8220" t="s">
        <v>18348</v>
      </c>
      <c r="B8220" t="s">
        <v>18349</v>
      </c>
      <c r="C8220" t="s">
        <v>20</v>
      </c>
      <c r="D8220" t="s">
        <v>899</v>
      </c>
      <c r="G8220" t="s">
        <v>16</v>
      </c>
      <c r="H8220">
        <v>0</v>
      </c>
      <c r="I8220" s="2" t="s">
        <v>3830</v>
      </c>
      <c r="J8220" s="2" t="s">
        <v>18350</v>
      </c>
      <c r="K8220">
        <v>20</v>
      </c>
      <c r="L8220">
        <v>20</v>
      </c>
      <c r="M8220">
        <v>20</v>
      </c>
    </row>
    <row r="8221" spans="1:13" x14ac:dyDescent="0.25">
      <c r="A8221">
        <v>9675977580</v>
      </c>
      <c r="B8221" t="s">
        <v>18351</v>
      </c>
      <c r="C8221" t="s">
        <v>241</v>
      </c>
      <c r="D8221" t="s">
        <v>2216</v>
      </c>
      <c r="F8221">
        <v>1</v>
      </c>
      <c r="G8221" t="s">
        <v>16</v>
      </c>
      <c r="H8221">
        <v>0</v>
      </c>
      <c r="I8221" s="2" t="s">
        <v>51</v>
      </c>
      <c r="J8221" s="2">
        <v>9675977580</v>
      </c>
      <c r="K8221">
        <v>20</v>
      </c>
      <c r="L8221">
        <v>20</v>
      </c>
      <c r="M8221">
        <v>20</v>
      </c>
    </row>
    <row r="8222" spans="1:13" x14ac:dyDescent="0.25">
      <c r="A8222">
        <v>9676028380</v>
      </c>
      <c r="B8222" t="s">
        <v>18352</v>
      </c>
      <c r="C8222" t="s">
        <v>151</v>
      </c>
      <c r="F8222">
        <v>1</v>
      </c>
      <c r="G8222" t="s">
        <v>16</v>
      </c>
      <c r="H8222">
        <v>0</v>
      </c>
      <c r="I8222" s="2" t="s">
        <v>51</v>
      </c>
      <c r="J8222" s="2">
        <v>9676028380</v>
      </c>
      <c r="K8222">
        <v>20</v>
      </c>
      <c r="L8222">
        <v>20</v>
      </c>
      <c r="M8222">
        <v>20</v>
      </c>
    </row>
    <row r="8223" spans="1:13" x14ac:dyDescent="0.25">
      <c r="A8223" t="s">
        <v>18353</v>
      </c>
      <c r="B8223" t="s">
        <v>18354</v>
      </c>
      <c r="C8223" t="s">
        <v>540</v>
      </c>
      <c r="F8223">
        <v>1</v>
      </c>
      <c r="G8223" t="s">
        <v>16</v>
      </c>
      <c r="H8223">
        <v>0</v>
      </c>
      <c r="I8223" s="2" t="s">
        <v>108</v>
      </c>
      <c r="J8223" s="3">
        <v>2851576001</v>
      </c>
      <c r="K8223">
        <v>20</v>
      </c>
      <c r="L8223">
        <v>20</v>
      </c>
      <c r="M8223">
        <v>20</v>
      </c>
    </row>
    <row r="8224" spans="1:13" x14ac:dyDescent="0.25">
      <c r="A8224">
        <v>9676409580</v>
      </c>
      <c r="B8224" t="s">
        <v>18355</v>
      </c>
      <c r="C8224" t="s">
        <v>357</v>
      </c>
      <c r="D8224" t="s">
        <v>358</v>
      </c>
      <c r="F8224">
        <v>0</v>
      </c>
      <c r="G8224" t="s">
        <v>16</v>
      </c>
      <c r="H8224">
        <v>0</v>
      </c>
      <c r="I8224" s="2" t="s">
        <v>51</v>
      </c>
      <c r="J8224" s="2">
        <v>9676409580</v>
      </c>
      <c r="K8224">
        <v>20</v>
      </c>
      <c r="L8224">
        <v>20</v>
      </c>
      <c r="M8224">
        <v>20</v>
      </c>
    </row>
    <row r="8225" spans="1:13" x14ac:dyDescent="0.25">
      <c r="A8225" t="s">
        <v>18356</v>
      </c>
      <c r="B8225" t="s">
        <v>18355</v>
      </c>
      <c r="C8225" t="s">
        <v>357</v>
      </c>
      <c r="D8225" t="s">
        <v>358</v>
      </c>
      <c r="F8225">
        <v>0</v>
      </c>
      <c r="G8225" t="s">
        <v>16</v>
      </c>
      <c r="H8225">
        <v>0</v>
      </c>
      <c r="I8225" s="2" t="s">
        <v>108</v>
      </c>
      <c r="J8225" s="3">
        <v>2861416002</v>
      </c>
      <c r="K8225">
        <v>20</v>
      </c>
      <c r="L8225">
        <v>20</v>
      </c>
      <c r="M8225">
        <v>20</v>
      </c>
    </row>
    <row r="8226" spans="1:13" x14ac:dyDescent="0.25">
      <c r="A8226" t="s">
        <v>18357</v>
      </c>
      <c r="B8226" t="s">
        <v>18358</v>
      </c>
      <c r="C8226" t="s">
        <v>151</v>
      </c>
      <c r="F8226">
        <v>1</v>
      </c>
      <c r="G8226" t="s">
        <v>16</v>
      </c>
      <c r="H8226">
        <v>0</v>
      </c>
      <c r="I8226" s="2" t="s">
        <v>51</v>
      </c>
      <c r="J8226" s="2" t="s">
        <v>18357</v>
      </c>
      <c r="K8226">
        <v>20</v>
      </c>
      <c r="L8226">
        <v>20</v>
      </c>
      <c r="M8226">
        <v>20</v>
      </c>
    </row>
    <row r="8227" spans="1:13" x14ac:dyDescent="0.25">
      <c r="A8227">
        <v>9676650780</v>
      </c>
      <c r="B8227" t="s">
        <v>18359</v>
      </c>
      <c r="C8227" t="s">
        <v>241</v>
      </c>
      <c r="D8227" t="s">
        <v>2216</v>
      </c>
      <c r="F8227">
        <v>1</v>
      </c>
      <c r="G8227" t="s">
        <v>16</v>
      </c>
      <c r="H8227">
        <v>0</v>
      </c>
      <c r="I8227" s="2" t="s">
        <v>51</v>
      </c>
      <c r="J8227" s="2">
        <v>9676650780</v>
      </c>
      <c r="K8227">
        <v>20</v>
      </c>
      <c r="L8227">
        <v>20</v>
      </c>
      <c r="M8227">
        <v>20</v>
      </c>
    </row>
    <row r="8228" spans="1:13" x14ac:dyDescent="0.25">
      <c r="A8228" t="s">
        <v>18360</v>
      </c>
      <c r="B8228" t="s">
        <v>18359</v>
      </c>
      <c r="C8228" t="s">
        <v>241</v>
      </c>
      <c r="D8228" t="s">
        <v>2216</v>
      </c>
      <c r="F8228">
        <v>4</v>
      </c>
      <c r="G8228" t="s">
        <v>16</v>
      </c>
      <c r="H8228">
        <v>0</v>
      </c>
      <c r="I8228" s="2" t="s">
        <v>784</v>
      </c>
      <c r="J8228" s="2" t="s">
        <v>18361</v>
      </c>
      <c r="K8228">
        <v>20</v>
      </c>
      <c r="L8228">
        <v>20</v>
      </c>
      <c r="M8228">
        <v>20</v>
      </c>
    </row>
    <row r="8229" spans="1:13" x14ac:dyDescent="0.25">
      <c r="A8229" t="s">
        <v>18362</v>
      </c>
      <c r="B8229" t="s">
        <v>18363</v>
      </c>
      <c r="C8229" t="s">
        <v>540</v>
      </c>
      <c r="F8229">
        <v>1</v>
      </c>
      <c r="G8229" t="s">
        <v>16</v>
      </c>
      <c r="H8229">
        <v>0</v>
      </c>
      <c r="I8229" s="2" t="s">
        <v>649</v>
      </c>
      <c r="J8229" s="2" t="s">
        <v>18364</v>
      </c>
      <c r="K8229">
        <v>20</v>
      </c>
      <c r="L8229">
        <v>20</v>
      </c>
      <c r="M8229">
        <v>20</v>
      </c>
    </row>
    <row r="8230" spans="1:13" x14ac:dyDescent="0.25">
      <c r="A8230" t="s">
        <v>18365</v>
      </c>
      <c r="B8230" t="s">
        <v>18366</v>
      </c>
      <c r="C8230" t="s">
        <v>540</v>
      </c>
      <c r="F8230">
        <v>1</v>
      </c>
      <c r="G8230" t="s">
        <v>16</v>
      </c>
      <c r="H8230">
        <v>0</v>
      </c>
      <c r="I8230" s="2" t="s">
        <v>649</v>
      </c>
      <c r="J8230" s="2" t="s">
        <v>18367</v>
      </c>
      <c r="K8230">
        <v>20</v>
      </c>
      <c r="L8230">
        <v>20</v>
      </c>
      <c r="M8230">
        <v>20</v>
      </c>
    </row>
    <row r="8231" spans="1:13" x14ac:dyDescent="0.25">
      <c r="A8231" t="s">
        <v>18368</v>
      </c>
      <c r="B8231" t="s">
        <v>18369</v>
      </c>
      <c r="C8231" t="s">
        <v>540</v>
      </c>
      <c r="F8231">
        <v>0</v>
      </c>
      <c r="G8231" t="s">
        <v>16</v>
      </c>
      <c r="H8231">
        <v>0</v>
      </c>
      <c r="I8231" s="2" t="s">
        <v>64</v>
      </c>
      <c r="J8231" s="2" t="str">
        <f>"09050584"</f>
        <v>09050584</v>
      </c>
      <c r="K8231">
        <v>20</v>
      </c>
      <c r="L8231">
        <v>20</v>
      </c>
      <c r="M8231">
        <v>20</v>
      </c>
    </row>
    <row r="8232" spans="1:13" x14ac:dyDescent="0.25">
      <c r="A8232" t="s">
        <v>18370</v>
      </c>
      <c r="B8232" t="s">
        <v>18371</v>
      </c>
      <c r="C8232" t="s">
        <v>20</v>
      </c>
      <c r="D8232" t="s">
        <v>2477</v>
      </c>
      <c r="F8232">
        <v>1</v>
      </c>
      <c r="G8232" t="s">
        <v>16</v>
      </c>
      <c r="H8232">
        <v>0</v>
      </c>
      <c r="I8232" s="2" t="s">
        <v>245</v>
      </c>
      <c r="J8232" s="2" t="s">
        <v>18372</v>
      </c>
      <c r="K8232">
        <v>20</v>
      </c>
      <c r="L8232">
        <v>20</v>
      </c>
      <c r="M8232">
        <v>20</v>
      </c>
    </row>
    <row r="8233" spans="1:13" x14ac:dyDescent="0.25">
      <c r="A8233">
        <v>9676805580</v>
      </c>
      <c r="B8233" t="s">
        <v>18373</v>
      </c>
      <c r="C8233" t="s">
        <v>1436</v>
      </c>
      <c r="F8233">
        <v>1</v>
      </c>
      <c r="G8233" t="s">
        <v>16</v>
      </c>
      <c r="H8233">
        <v>0</v>
      </c>
      <c r="I8233" s="2" t="s">
        <v>55</v>
      </c>
      <c r="J8233" s="2">
        <v>9676805580</v>
      </c>
      <c r="K8233">
        <v>20</v>
      </c>
      <c r="L8233">
        <v>20</v>
      </c>
      <c r="M8233">
        <v>20</v>
      </c>
    </row>
    <row r="8234" spans="1:13" x14ac:dyDescent="0.25">
      <c r="A8234" t="s">
        <v>18374</v>
      </c>
      <c r="B8234" t="s">
        <v>18375</v>
      </c>
      <c r="C8234" t="s">
        <v>540</v>
      </c>
      <c r="G8234" t="s">
        <v>16</v>
      </c>
      <c r="H8234">
        <v>0</v>
      </c>
      <c r="I8234" s="2" t="s">
        <v>14422</v>
      </c>
      <c r="J8234" s="2">
        <v>37704001</v>
      </c>
      <c r="K8234">
        <v>20</v>
      </c>
      <c r="L8234">
        <v>20</v>
      </c>
      <c r="M8234">
        <v>20</v>
      </c>
    </row>
    <row r="8235" spans="1:13" x14ac:dyDescent="0.25">
      <c r="A8235" t="s">
        <v>18376</v>
      </c>
      <c r="B8235" t="s">
        <v>18377</v>
      </c>
      <c r="C8235" t="s">
        <v>540</v>
      </c>
      <c r="G8235" t="s">
        <v>16</v>
      </c>
      <c r="H8235">
        <v>0</v>
      </c>
      <c r="I8235" s="2" t="s">
        <v>18378</v>
      </c>
      <c r="J8235" s="2" t="str">
        <f>"0020.9676946780-URT"</f>
        <v>0020.9676946780-URT</v>
      </c>
      <c r="K8235">
        <v>20</v>
      </c>
      <c r="L8235">
        <v>20</v>
      </c>
      <c r="M8235">
        <v>20</v>
      </c>
    </row>
    <row r="8236" spans="1:13" x14ac:dyDescent="0.25">
      <c r="A8236" t="s">
        <v>18379</v>
      </c>
      <c r="B8236" t="s">
        <v>18381</v>
      </c>
      <c r="C8236" t="s">
        <v>540</v>
      </c>
      <c r="F8236">
        <v>0</v>
      </c>
      <c r="G8236" t="s">
        <v>16</v>
      </c>
      <c r="H8236">
        <v>0</v>
      </c>
      <c r="I8236" s="2" t="s">
        <v>69</v>
      </c>
      <c r="J8236" s="2" t="s">
        <v>18380</v>
      </c>
      <c r="K8236">
        <v>20</v>
      </c>
      <c r="L8236">
        <v>20</v>
      </c>
      <c r="M8236">
        <v>20</v>
      </c>
    </row>
    <row r="8237" spans="1:13" x14ac:dyDescent="0.25">
      <c r="A8237" t="s">
        <v>18382</v>
      </c>
      <c r="B8237" t="s">
        <v>18383</v>
      </c>
      <c r="C8237" t="s">
        <v>540</v>
      </c>
      <c r="F8237">
        <v>2</v>
      </c>
      <c r="G8237" t="s">
        <v>16</v>
      </c>
      <c r="H8237">
        <v>0</v>
      </c>
      <c r="I8237" s="2" t="s">
        <v>613</v>
      </c>
      <c r="J8237" s="2" t="str">
        <f>"0020.9677035280X-URT"</f>
        <v>0020.9677035280X-URT</v>
      </c>
      <c r="K8237">
        <v>20</v>
      </c>
      <c r="L8237">
        <v>20</v>
      </c>
      <c r="M8237">
        <v>20</v>
      </c>
    </row>
    <row r="8238" spans="1:13" x14ac:dyDescent="0.25">
      <c r="A8238" t="s">
        <v>18384</v>
      </c>
      <c r="B8238" t="s">
        <v>18385</v>
      </c>
      <c r="C8238" t="s">
        <v>362</v>
      </c>
      <c r="D8238" t="s">
        <v>10325</v>
      </c>
      <c r="G8238" t="s">
        <v>16</v>
      </c>
      <c r="H8238">
        <v>0</v>
      </c>
      <c r="I8238" s="2" t="s">
        <v>10326</v>
      </c>
      <c r="J8238" s="2" t="s">
        <v>18386</v>
      </c>
      <c r="K8238">
        <v>20</v>
      </c>
      <c r="L8238">
        <v>20</v>
      </c>
      <c r="M8238">
        <v>20</v>
      </c>
    </row>
    <row r="8239" spans="1:13" x14ac:dyDescent="0.25">
      <c r="A8239" t="s">
        <v>18387</v>
      </c>
      <c r="B8239" t="s">
        <v>18388</v>
      </c>
      <c r="C8239" t="s">
        <v>151</v>
      </c>
      <c r="F8239">
        <v>1</v>
      </c>
      <c r="G8239" t="s">
        <v>16</v>
      </c>
      <c r="H8239">
        <v>0</v>
      </c>
      <c r="I8239" s="2" t="s">
        <v>156</v>
      </c>
      <c r="J8239" s="2" t="s">
        <v>18389</v>
      </c>
      <c r="K8239">
        <v>20</v>
      </c>
      <c r="L8239">
        <v>20</v>
      </c>
      <c r="M8239">
        <v>20</v>
      </c>
    </row>
    <row r="8240" spans="1:13" x14ac:dyDescent="0.25">
      <c r="A8240">
        <v>9677186380</v>
      </c>
      <c r="B8240" t="s">
        <v>18390</v>
      </c>
      <c r="C8240" t="s">
        <v>241</v>
      </c>
      <c r="D8240" t="s">
        <v>2216</v>
      </c>
      <c r="F8240">
        <v>1</v>
      </c>
      <c r="G8240" t="s">
        <v>16</v>
      </c>
      <c r="H8240">
        <v>0</v>
      </c>
      <c r="I8240" s="2" t="s">
        <v>51</v>
      </c>
      <c r="J8240" s="2">
        <v>9677186380</v>
      </c>
      <c r="K8240">
        <v>20</v>
      </c>
      <c r="L8240">
        <v>20</v>
      </c>
      <c r="M8240">
        <v>20</v>
      </c>
    </row>
    <row r="8241" spans="1:13" x14ac:dyDescent="0.25">
      <c r="A8241">
        <v>9677399780</v>
      </c>
      <c r="B8241" t="s">
        <v>18391</v>
      </c>
      <c r="C8241" t="s">
        <v>20</v>
      </c>
      <c r="D8241" t="s">
        <v>26</v>
      </c>
      <c r="F8241">
        <v>1</v>
      </c>
      <c r="G8241" t="s">
        <v>16</v>
      </c>
      <c r="H8241">
        <v>0</v>
      </c>
      <c r="I8241" s="2" t="s">
        <v>51</v>
      </c>
      <c r="J8241" s="2">
        <v>9677399780</v>
      </c>
      <c r="K8241">
        <v>20</v>
      </c>
      <c r="L8241">
        <v>20</v>
      </c>
      <c r="M8241">
        <v>20</v>
      </c>
    </row>
    <row r="8242" spans="1:13" x14ac:dyDescent="0.25">
      <c r="A8242" t="s">
        <v>18392</v>
      </c>
      <c r="B8242" t="s">
        <v>18393</v>
      </c>
      <c r="C8242" t="s">
        <v>20</v>
      </c>
      <c r="D8242" t="s">
        <v>26</v>
      </c>
      <c r="G8242" t="s">
        <v>16</v>
      </c>
      <c r="H8242">
        <v>0</v>
      </c>
      <c r="I8242" s="2" t="s">
        <v>73</v>
      </c>
      <c r="J8242" s="2" t="s">
        <v>18394</v>
      </c>
      <c r="K8242">
        <v>20</v>
      </c>
      <c r="L8242">
        <v>20</v>
      </c>
      <c r="M8242">
        <v>20</v>
      </c>
    </row>
    <row r="8243" spans="1:13" x14ac:dyDescent="0.25">
      <c r="A8243" t="s">
        <v>18395</v>
      </c>
      <c r="B8243" t="s">
        <v>18393</v>
      </c>
      <c r="C8243" t="s">
        <v>20</v>
      </c>
      <c r="D8243" t="s">
        <v>26</v>
      </c>
      <c r="F8243">
        <v>1</v>
      </c>
      <c r="G8243" t="s">
        <v>16</v>
      </c>
      <c r="H8243">
        <v>0</v>
      </c>
      <c r="I8243" s="2" t="s">
        <v>99</v>
      </c>
      <c r="J8243" s="3">
        <v>634660</v>
      </c>
      <c r="K8243">
        <v>20</v>
      </c>
      <c r="L8243">
        <v>20</v>
      </c>
      <c r="M8243">
        <v>20</v>
      </c>
    </row>
    <row r="8244" spans="1:13" x14ac:dyDescent="0.25">
      <c r="A8244" t="s">
        <v>18396</v>
      </c>
      <c r="B8244" t="s">
        <v>18397</v>
      </c>
      <c r="C8244" t="s">
        <v>20</v>
      </c>
      <c r="D8244" t="s">
        <v>26</v>
      </c>
      <c r="F8244">
        <v>1</v>
      </c>
      <c r="G8244" t="s">
        <v>16</v>
      </c>
      <c r="H8244">
        <v>0</v>
      </c>
      <c r="I8244" s="2" t="s">
        <v>82</v>
      </c>
      <c r="J8244" s="2" t="str">
        <f>"02-36975-140"</f>
        <v>02-36975-140</v>
      </c>
      <c r="K8244">
        <v>20</v>
      </c>
      <c r="L8244">
        <v>20</v>
      </c>
      <c r="M8244">
        <v>20</v>
      </c>
    </row>
    <row r="8245" spans="1:13" x14ac:dyDescent="0.25">
      <c r="A8245">
        <v>9677933380</v>
      </c>
      <c r="B8245" t="s">
        <v>18398</v>
      </c>
      <c r="C8245" t="s">
        <v>1432</v>
      </c>
      <c r="D8245" t="s">
        <v>5993</v>
      </c>
      <c r="F8245">
        <v>1</v>
      </c>
      <c r="G8245" t="s">
        <v>16</v>
      </c>
      <c r="H8245">
        <v>0</v>
      </c>
      <c r="I8245" s="2" t="s">
        <v>51</v>
      </c>
      <c r="J8245" s="2">
        <v>9677933380</v>
      </c>
      <c r="K8245">
        <v>20</v>
      </c>
      <c r="L8245">
        <v>20</v>
      </c>
      <c r="M8245">
        <v>20</v>
      </c>
    </row>
    <row r="8246" spans="1:13" x14ac:dyDescent="0.25">
      <c r="A8246" t="s">
        <v>18399</v>
      </c>
      <c r="B8246" t="s">
        <v>18398</v>
      </c>
      <c r="C8246" t="s">
        <v>1432</v>
      </c>
      <c r="D8246" t="s">
        <v>5993</v>
      </c>
      <c r="G8246" t="s">
        <v>16</v>
      </c>
      <c r="H8246">
        <v>0</v>
      </c>
      <c r="I8246" s="2" t="s">
        <v>5904</v>
      </c>
      <c r="J8246" s="2" t="s">
        <v>18400</v>
      </c>
      <c r="K8246">
        <v>20</v>
      </c>
      <c r="L8246">
        <v>20</v>
      </c>
      <c r="M8246">
        <v>20</v>
      </c>
    </row>
    <row r="8247" spans="1:13" x14ac:dyDescent="0.25">
      <c r="A8247" t="s">
        <v>18401</v>
      </c>
      <c r="B8247" t="s">
        <v>18402</v>
      </c>
      <c r="C8247" t="s">
        <v>151</v>
      </c>
      <c r="F8247">
        <v>0</v>
      </c>
      <c r="G8247" t="s">
        <v>16</v>
      </c>
      <c r="H8247">
        <v>0</v>
      </c>
      <c r="I8247" s="2" t="s">
        <v>437</v>
      </c>
      <c r="J8247" s="2">
        <v>535019410</v>
      </c>
      <c r="K8247">
        <v>20</v>
      </c>
      <c r="L8247">
        <v>20</v>
      </c>
      <c r="M8247">
        <v>20</v>
      </c>
    </row>
    <row r="8248" spans="1:13" x14ac:dyDescent="0.25">
      <c r="A8248">
        <v>9678113880</v>
      </c>
      <c r="B8248" t="s">
        <v>18403</v>
      </c>
      <c r="C8248" t="s">
        <v>540</v>
      </c>
      <c r="F8248">
        <v>0</v>
      </c>
      <c r="G8248" t="s">
        <v>16</v>
      </c>
      <c r="H8248">
        <v>0</v>
      </c>
      <c r="I8248" s="2" t="s">
        <v>51</v>
      </c>
      <c r="J8248" s="2">
        <v>9678113880</v>
      </c>
      <c r="K8248">
        <v>20</v>
      </c>
      <c r="L8248">
        <v>20</v>
      </c>
      <c r="M8248">
        <v>20</v>
      </c>
    </row>
    <row r="8249" spans="1:13" x14ac:dyDescent="0.25">
      <c r="A8249" t="s">
        <v>18404</v>
      </c>
      <c r="B8249" t="s">
        <v>18405</v>
      </c>
      <c r="C8249" t="s">
        <v>496</v>
      </c>
      <c r="D8249" t="s">
        <v>2360</v>
      </c>
      <c r="F8249">
        <v>0</v>
      </c>
      <c r="G8249" t="s">
        <v>16</v>
      </c>
      <c r="H8249">
        <v>0</v>
      </c>
      <c r="I8249" s="2" t="s">
        <v>87</v>
      </c>
      <c r="J8249" s="2" t="s">
        <v>18406</v>
      </c>
      <c r="K8249">
        <v>20</v>
      </c>
      <c r="L8249">
        <v>20</v>
      </c>
      <c r="M8249">
        <v>20</v>
      </c>
    </row>
    <row r="8250" spans="1:13" x14ac:dyDescent="0.25">
      <c r="A8250" t="s">
        <v>18407</v>
      </c>
      <c r="B8250" t="s">
        <v>18408</v>
      </c>
      <c r="C8250" t="s">
        <v>496</v>
      </c>
      <c r="D8250" t="s">
        <v>2360</v>
      </c>
      <c r="F8250">
        <v>0</v>
      </c>
      <c r="G8250" t="s">
        <v>16</v>
      </c>
      <c r="H8250">
        <v>0</v>
      </c>
      <c r="I8250" s="2" t="s">
        <v>5500</v>
      </c>
      <c r="J8250" s="2" t="s">
        <v>18409</v>
      </c>
      <c r="K8250">
        <v>20</v>
      </c>
      <c r="L8250">
        <v>20</v>
      </c>
      <c r="M8250">
        <v>20</v>
      </c>
    </row>
    <row r="8251" spans="1:13" x14ac:dyDescent="0.25">
      <c r="A8251" t="s">
        <v>18410</v>
      </c>
      <c r="B8251" t="s">
        <v>18405</v>
      </c>
      <c r="C8251" t="s">
        <v>496</v>
      </c>
      <c r="D8251" t="s">
        <v>2360</v>
      </c>
      <c r="F8251">
        <v>0</v>
      </c>
      <c r="G8251" t="s">
        <v>16</v>
      </c>
      <c r="H8251">
        <v>0</v>
      </c>
      <c r="I8251" s="2" t="s">
        <v>235</v>
      </c>
      <c r="J8251" s="2">
        <v>13532235</v>
      </c>
      <c r="K8251">
        <v>20</v>
      </c>
      <c r="L8251">
        <v>20</v>
      </c>
      <c r="M8251">
        <v>20</v>
      </c>
    </row>
    <row r="8252" spans="1:13" x14ac:dyDescent="0.25">
      <c r="A8252" t="s">
        <v>18411</v>
      </c>
      <c r="B8252" t="s">
        <v>18408</v>
      </c>
      <c r="C8252" t="s">
        <v>496</v>
      </c>
      <c r="D8252" t="s">
        <v>2360</v>
      </c>
      <c r="F8252">
        <v>0</v>
      </c>
      <c r="G8252" t="s">
        <v>16</v>
      </c>
      <c r="H8252">
        <v>0</v>
      </c>
      <c r="I8252" s="2" t="s">
        <v>5297</v>
      </c>
      <c r="J8252" s="2" t="s">
        <v>18412</v>
      </c>
      <c r="K8252">
        <v>20</v>
      </c>
      <c r="L8252">
        <v>20</v>
      </c>
      <c r="M8252">
        <v>20</v>
      </c>
    </row>
    <row r="8253" spans="1:13" x14ac:dyDescent="0.25">
      <c r="A8253" t="s">
        <v>18413</v>
      </c>
      <c r="B8253" t="s">
        <v>18408</v>
      </c>
      <c r="C8253" t="s">
        <v>496</v>
      </c>
      <c r="D8253" t="s">
        <v>2360</v>
      </c>
      <c r="F8253">
        <v>1</v>
      </c>
      <c r="G8253" t="s">
        <v>16</v>
      </c>
      <c r="H8253">
        <v>0</v>
      </c>
      <c r="I8253" s="2" t="s">
        <v>5044</v>
      </c>
      <c r="J8253" s="2" t="s">
        <v>18414</v>
      </c>
      <c r="K8253">
        <v>20</v>
      </c>
      <c r="L8253">
        <v>20</v>
      </c>
      <c r="M8253">
        <v>20</v>
      </c>
    </row>
    <row r="8254" spans="1:13" x14ac:dyDescent="0.25">
      <c r="A8254" t="s">
        <v>18415</v>
      </c>
      <c r="B8254" t="s">
        <v>18416</v>
      </c>
      <c r="C8254" t="s">
        <v>357</v>
      </c>
      <c r="D8254" t="s">
        <v>2026</v>
      </c>
      <c r="G8254" t="s">
        <v>16</v>
      </c>
      <c r="H8254">
        <v>0</v>
      </c>
      <c r="I8254" s="2" t="s">
        <v>108</v>
      </c>
      <c r="J8254" s="3">
        <v>2581547004</v>
      </c>
      <c r="K8254">
        <v>20</v>
      </c>
      <c r="L8254">
        <v>20</v>
      </c>
      <c r="M8254">
        <v>20</v>
      </c>
    </row>
    <row r="8255" spans="1:13" x14ac:dyDescent="0.25">
      <c r="A8255" t="s">
        <v>18417</v>
      </c>
      <c r="B8255" t="s">
        <v>18418</v>
      </c>
      <c r="C8255" t="s">
        <v>357</v>
      </c>
      <c r="D8255" t="s">
        <v>2026</v>
      </c>
      <c r="G8255" t="s">
        <v>16</v>
      </c>
      <c r="H8255">
        <v>0</v>
      </c>
      <c r="I8255" s="2" t="s">
        <v>2039</v>
      </c>
      <c r="J8255" s="2">
        <v>160091</v>
      </c>
      <c r="K8255">
        <v>20</v>
      </c>
      <c r="L8255">
        <v>20</v>
      </c>
      <c r="M8255">
        <v>20</v>
      </c>
    </row>
    <row r="8256" spans="1:13" x14ac:dyDescent="0.25">
      <c r="A8256" t="s">
        <v>18419</v>
      </c>
      <c r="B8256" t="s">
        <v>18420</v>
      </c>
      <c r="C8256" t="s">
        <v>362</v>
      </c>
      <c r="D8256" t="s">
        <v>10325</v>
      </c>
      <c r="G8256" t="s">
        <v>16</v>
      </c>
      <c r="H8256">
        <v>0</v>
      </c>
      <c r="I8256" s="2" t="s">
        <v>10326</v>
      </c>
      <c r="J8256" s="2" t="s">
        <v>18421</v>
      </c>
      <c r="K8256">
        <v>20</v>
      </c>
      <c r="L8256">
        <v>20</v>
      </c>
      <c r="M8256">
        <v>20</v>
      </c>
    </row>
    <row r="8257" spans="1:13" x14ac:dyDescent="0.25">
      <c r="A8257">
        <v>9678176180</v>
      </c>
      <c r="B8257" t="s">
        <v>18422</v>
      </c>
      <c r="C8257" t="s">
        <v>540</v>
      </c>
      <c r="F8257">
        <v>0</v>
      </c>
      <c r="G8257" t="s">
        <v>16</v>
      </c>
      <c r="H8257">
        <v>0</v>
      </c>
      <c r="I8257" s="2" t="s">
        <v>51</v>
      </c>
      <c r="J8257" s="2">
        <v>9678176180</v>
      </c>
      <c r="K8257">
        <v>20</v>
      </c>
      <c r="L8257">
        <v>20</v>
      </c>
      <c r="M8257">
        <v>20</v>
      </c>
    </row>
    <row r="8258" spans="1:13" x14ac:dyDescent="0.25">
      <c r="A8258" t="s">
        <v>18423</v>
      </c>
      <c r="B8258" t="s">
        <v>18424</v>
      </c>
      <c r="C8258" t="s">
        <v>2493</v>
      </c>
      <c r="F8258">
        <v>1</v>
      </c>
      <c r="G8258" t="s">
        <v>16</v>
      </c>
      <c r="H8258">
        <v>0</v>
      </c>
      <c r="I8258" s="2" t="s">
        <v>5040</v>
      </c>
      <c r="J8258" s="2" t="str">
        <f>"04-70937"</f>
        <v>04-70937</v>
      </c>
      <c r="K8258">
        <v>20</v>
      </c>
      <c r="L8258">
        <v>20</v>
      </c>
      <c r="M8258">
        <v>20</v>
      </c>
    </row>
    <row r="8259" spans="1:13" x14ac:dyDescent="0.25">
      <c r="A8259" t="s">
        <v>18425</v>
      </c>
      <c r="B8259" t="s">
        <v>18426</v>
      </c>
      <c r="C8259" t="s">
        <v>2493</v>
      </c>
      <c r="F8259">
        <v>1</v>
      </c>
      <c r="G8259" t="s">
        <v>16</v>
      </c>
      <c r="H8259">
        <v>0</v>
      </c>
      <c r="I8259" s="2" t="s">
        <v>8864</v>
      </c>
      <c r="J8259" s="2" t="str">
        <f>"04-70936"</f>
        <v>04-70936</v>
      </c>
      <c r="K8259">
        <v>20</v>
      </c>
      <c r="L8259">
        <v>20</v>
      </c>
      <c r="M8259">
        <v>20</v>
      </c>
    </row>
    <row r="8260" spans="1:13" x14ac:dyDescent="0.25">
      <c r="A8260" t="s">
        <v>18427</v>
      </c>
      <c r="B8260" t="s">
        <v>18428</v>
      </c>
      <c r="C8260" t="s">
        <v>496</v>
      </c>
      <c r="D8260" t="s">
        <v>2360</v>
      </c>
      <c r="F8260">
        <v>0</v>
      </c>
      <c r="G8260" t="s">
        <v>16</v>
      </c>
      <c r="H8260">
        <v>0</v>
      </c>
      <c r="I8260" s="2" t="s">
        <v>87</v>
      </c>
      <c r="J8260" s="2" t="s">
        <v>18429</v>
      </c>
      <c r="K8260">
        <v>20</v>
      </c>
      <c r="L8260">
        <v>20</v>
      </c>
      <c r="M8260">
        <v>20</v>
      </c>
    </row>
    <row r="8261" spans="1:13" x14ac:dyDescent="0.25">
      <c r="A8261">
        <v>9678782580</v>
      </c>
      <c r="B8261" t="s">
        <v>18430</v>
      </c>
      <c r="C8261" t="s">
        <v>2493</v>
      </c>
      <c r="D8261" t="s">
        <v>2360</v>
      </c>
      <c r="F8261">
        <v>2</v>
      </c>
      <c r="G8261" t="s">
        <v>16</v>
      </c>
      <c r="H8261">
        <v>0</v>
      </c>
      <c r="I8261" s="2" t="s">
        <v>51</v>
      </c>
      <c r="J8261" s="2">
        <v>9678782580</v>
      </c>
      <c r="K8261">
        <v>20</v>
      </c>
      <c r="L8261">
        <v>20</v>
      </c>
      <c r="M8261">
        <v>20</v>
      </c>
    </row>
    <row r="8262" spans="1:13" x14ac:dyDescent="0.25">
      <c r="A8262" t="s">
        <v>18431</v>
      </c>
      <c r="B8262" t="s">
        <v>18432</v>
      </c>
      <c r="C8262" t="s">
        <v>14</v>
      </c>
      <c r="D8262" t="s">
        <v>15</v>
      </c>
      <c r="F8262">
        <v>33</v>
      </c>
      <c r="G8262" t="s">
        <v>16</v>
      </c>
      <c r="H8262">
        <v>0</v>
      </c>
      <c r="I8262" s="2" t="s">
        <v>6939</v>
      </c>
      <c r="J8262" s="2" t="s">
        <v>18433</v>
      </c>
      <c r="K8262">
        <v>20</v>
      </c>
      <c r="L8262">
        <v>20</v>
      </c>
      <c r="M8262">
        <v>20</v>
      </c>
    </row>
    <row r="8263" spans="1:13" x14ac:dyDescent="0.25">
      <c r="A8263" t="s">
        <v>18434</v>
      </c>
      <c r="B8263" t="s">
        <v>18435</v>
      </c>
      <c r="C8263" t="s">
        <v>2493</v>
      </c>
      <c r="D8263" t="s">
        <v>5856</v>
      </c>
      <c r="F8263">
        <v>2</v>
      </c>
      <c r="G8263" t="s">
        <v>16</v>
      </c>
      <c r="H8263">
        <v>0</v>
      </c>
      <c r="I8263" s="2" t="s">
        <v>5500</v>
      </c>
      <c r="J8263" s="2" t="s">
        <v>18436</v>
      </c>
      <c r="K8263">
        <v>20</v>
      </c>
      <c r="L8263">
        <v>20</v>
      </c>
      <c r="M8263">
        <v>20</v>
      </c>
    </row>
    <row r="8264" spans="1:13" x14ac:dyDescent="0.25">
      <c r="A8264" t="s">
        <v>18437</v>
      </c>
      <c r="B8264" t="s">
        <v>18438</v>
      </c>
      <c r="C8264" t="s">
        <v>362</v>
      </c>
      <c r="D8264" t="s">
        <v>4091</v>
      </c>
      <c r="G8264" t="s">
        <v>16</v>
      </c>
      <c r="H8264">
        <v>0</v>
      </c>
      <c r="I8264" s="2" t="s">
        <v>842</v>
      </c>
      <c r="J8264" s="2">
        <v>670343</v>
      </c>
      <c r="K8264">
        <v>20</v>
      </c>
      <c r="L8264">
        <v>20</v>
      </c>
      <c r="M8264">
        <v>20</v>
      </c>
    </row>
    <row r="8265" spans="1:13" x14ac:dyDescent="0.25">
      <c r="A8265" t="s">
        <v>18439</v>
      </c>
      <c r="B8265" t="s">
        <v>18440</v>
      </c>
      <c r="C8265" t="s">
        <v>20</v>
      </c>
      <c r="D8265" t="s">
        <v>133</v>
      </c>
      <c r="G8265" t="s">
        <v>16</v>
      </c>
      <c r="H8265">
        <v>0</v>
      </c>
      <c r="I8265" s="2" t="s">
        <v>3286</v>
      </c>
      <c r="J8265" s="2" t="s">
        <v>18441</v>
      </c>
      <c r="K8265">
        <v>20</v>
      </c>
      <c r="L8265">
        <v>20</v>
      </c>
      <c r="M8265">
        <v>20</v>
      </c>
    </row>
    <row r="8266" spans="1:13" x14ac:dyDescent="0.25">
      <c r="A8266" t="s">
        <v>18442</v>
      </c>
      <c r="B8266" t="s">
        <v>18443</v>
      </c>
      <c r="C8266" t="s">
        <v>151</v>
      </c>
      <c r="F8266">
        <v>1</v>
      </c>
      <c r="G8266" t="s">
        <v>16</v>
      </c>
      <c r="H8266">
        <v>0</v>
      </c>
      <c r="I8266" s="2" t="s">
        <v>142</v>
      </c>
      <c r="J8266" s="2" t="s">
        <v>18444</v>
      </c>
      <c r="K8266">
        <v>20</v>
      </c>
      <c r="L8266">
        <v>20</v>
      </c>
      <c r="M8266">
        <v>20</v>
      </c>
    </row>
    <row r="8267" spans="1:13" x14ac:dyDescent="0.25">
      <c r="A8267" t="s">
        <v>18445</v>
      </c>
      <c r="B8267" t="s">
        <v>18446</v>
      </c>
      <c r="C8267" t="s">
        <v>151</v>
      </c>
      <c r="F8267">
        <v>1</v>
      </c>
      <c r="G8267" t="s">
        <v>16</v>
      </c>
      <c r="H8267">
        <v>0</v>
      </c>
      <c r="I8267" s="2" t="s">
        <v>108</v>
      </c>
      <c r="J8267" s="3">
        <v>3871905003</v>
      </c>
      <c r="K8267">
        <v>20</v>
      </c>
      <c r="L8267">
        <v>20</v>
      </c>
      <c r="M8267">
        <v>20</v>
      </c>
    </row>
    <row r="8268" spans="1:13" x14ac:dyDescent="0.25">
      <c r="A8268" t="s">
        <v>18447</v>
      </c>
      <c r="B8268" t="s">
        <v>18448</v>
      </c>
      <c r="C8268" t="s">
        <v>241</v>
      </c>
      <c r="D8268" t="s">
        <v>2216</v>
      </c>
      <c r="F8268">
        <v>1</v>
      </c>
      <c r="G8268" t="s">
        <v>16</v>
      </c>
      <c r="H8268">
        <v>0</v>
      </c>
      <c r="I8268" s="2" t="s">
        <v>737</v>
      </c>
      <c r="J8268" s="2" t="s">
        <v>18449</v>
      </c>
      <c r="K8268">
        <v>20</v>
      </c>
      <c r="L8268">
        <v>20</v>
      </c>
      <c r="M8268">
        <v>20</v>
      </c>
    </row>
    <row r="8269" spans="1:13" x14ac:dyDescent="0.25">
      <c r="A8269" t="s">
        <v>18450</v>
      </c>
      <c r="B8269" t="s">
        <v>18451</v>
      </c>
      <c r="C8269" t="s">
        <v>357</v>
      </c>
      <c r="D8269" t="s">
        <v>241</v>
      </c>
      <c r="F8269">
        <v>1</v>
      </c>
      <c r="G8269" t="s">
        <v>16</v>
      </c>
      <c r="H8269">
        <v>0</v>
      </c>
      <c r="I8269" s="2" t="s">
        <v>737</v>
      </c>
      <c r="J8269" s="2" t="s">
        <v>18452</v>
      </c>
      <c r="K8269">
        <v>20</v>
      </c>
      <c r="L8269">
        <v>20</v>
      </c>
      <c r="M8269">
        <v>20</v>
      </c>
    </row>
    <row r="8270" spans="1:13" x14ac:dyDescent="0.25">
      <c r="A8270">
        <v>96808164</v>
      </c>
      <c r="B8270" t="s">
        <v>18453</v>
      </c>
      <c r="C8270" t="s">
        <v>14</v>
      </c>
      <c r="D8270" t="s">
        <v>191</v>
      </c>
      <c r="F8270">
        <v>1</v>
      </c>
      <c r="G8270" t="s">
        <v>16</v>
      </c>
      <c r="H8270">
        <v>0</v>
      </c>
      <c r="I8270" s="2" t="s">
        <v>497</v>
      </c>
      <c r="J8270" s="2">
        <v>96808164</v>
      </c>
      <c r="K8270">
        <v>20</v>
      </c>
      <c r="L8270">
        <v>20</v>
      </c>
      <c r="M8270">
        <v>20</v>
      </c>
    </row>
    <row r="8271" spans="1:13" x14ac:dyDescent="0.25">
      <c r="A8271" t="s">
        <v>18454</v>
      </c>
      <c r="B8271" t="s">
        <v>18455</v>
      </c>
      <c r="C8271" t="s">
        <v>241</v>
      </c>
      <c r="D8271" t="s">
        <v>2216</v>
      </c>
      <c r="G8271" t="s">
        <v>16</v>
      </c>
      <c r="H8271">
        <v>0</v>
      </c>
      <c r="K8271">
        <v>20</v>
      </c>
      <c r="L8271">
        <v>20</v>
      </c>
      <c r="M8271">
        <v>20</v>
      </c>
    </row>
    <row r="8272" spans="1:13" x14ac:dyDescent="0.25">
      <c r="A8272" t="s">
        <v>18456</v>
      </c>
      <c r="B8272" t="s">
        <v>18457</v>
      </c>
      <c r="C8272" t="s">
        <v>496</v>
      </c>
      <c r="G8272" t="s">
        <v>16</v>
      </c>
      <c r="H8272">
        <v>0</v>
      </c>
      <c r="I8272" s="2" t="s">
        <v>5085</v>
      </c>
      <c r="J8272" s="2" t="s">
        <v>18458</v>
      </c>
      <c r="K8272">
        <v>20</v>
      </c>
      <c r="L8272">
        <v>20</v>
      </c>
      <c r="M8272">
        <v>20</v>
      </c>
    </row>
    <row r="8273" spans="1:13" x14ac:dyDescent="0.25">
      <c r="A8273" t="s">
        <v>18459</v>
      </c>
      <c r="B8273" t="s">
        <v>18460</v>
      </c>
      <c r="C8273" t="s">
        <v>2493</v>
      </c>
      <c r="G8273" t="s">
        <v>16</v>
      </c>
      <c r="H8273">
        <v>0</v>
      </c>
      <c r="I8273" s="2" t="s">
        <v>245</v>
      </c>
      <c r="J8273" s="2" t="s">
        <v>18461</v>
      </c>
      <c r="K8273">
        <v>20</v>
      </c>
      <c r="L8273">
        <v>20</v>
      </c>
      <c r="M8273">
        <v>20</v>
      </c>
    </row>
    <row r="8274" spans="1:13" x14ac:dyDescent="0.25">
      <c r="A8274" t="s">
        <v>18462</v>
      </c>
      <c r="B8274" t="s">
        <v>18463</v>
      </c>
      <c r="C8274" t="s">
        <v>357</v>
      </c>
      <c r="D8274" t="s">
        <v>241</v>
      </c>
      <c r="G8274" t="s">
        <v>16</v>
      </c>
      <c r="H8274">
        <v>0</v>
      </c>
      <c r="I8274" s="2" t="s">
        <v>162</v>
      </c>
      <c r="J8274" s="2">
        <v>96593</v>
      </c>
      <c r="K8274">
        <v>20</v>
      </c>
      <c r="L8274">
        <v>20</v>
      </c>
      <c r="M8274">
        <v>20</v>
      </c>
    </row>
    <row r="8275" spans="1:13" x14ac:dyDescent="0.25">
      <c r="A8275" t="s">
        <v>18464</v>
      </c>
      <c r="B8275" t="s">
        <v>18463</v>
      </c>
      <c r="C8275" t="s">
        <v>241</v>
      </c>
      <c r="D8275" t="s">
        <v>2216</v>
      </c>
      <c r="G8275" t="s">
        <v>16</v>
      </c>
      <c r="H8275">
        <v>0</v>
      </c>
      <c r="I8275" s="2" t="s">
        <v>245</v>
      </c>
      <c r="J8275" s="2" t="s">
        <v>18465</v>
      </c>
      <c r="K8275">
        <v>20</v>
      </c>
      <c r="L8275">
        <v>20</v>
      </c>
      <c r="M8275">
        <v>20</v>
      </c>
    </row>
    <row r="8276" spans="1:13" x14ac:dyDescent="0.25">
      <c r="A8276" t="s">
        <v>18466</v>
      </c>
      <c r="B8276" t="s">
        <v>18463</v>
      </c>
      <c r="C8276" t="s">
        <v>357</v>
      </c>
      <c r="D8276" t="s">
        <v>241</v>
      </c>
      <c r="F8276">
        <v>2</v>
      </c>
      <c r="G8276" t="s">
        <v>16</v>
      </c>
      <c r="H8276">
        <v>0</v>
      </c>
      <c r="I8276" s="2" t="s">
        <v>737</v>
      </c>
      <c r="J8276" s="2" t="s">
        <v>18467</v>
      </c>
      <c r="K8276">
        <v>20</v>
      </c>
      <c r="L8276">
        <v>20</v>
      </c>
      <c r="M8276">
        <v>20</v>
      </c>
    </row>
    <row r="8277" spans="1:13" x14ac:dyDescent="0.25">
      <c r="A8277" t="s">
        <v>18468</v>
      </c>
      <c r="B8277" t="s">
        <v>18469</v>
      </c>
      <c r="C8277" t="s">
        <v>241</v>
      </c>
      <c r="D8277" t="s">
        <v>262</v>
      </c>
      <c r="F8277">
        <v>3</v>
      </c>
      <c r="G8277" t="s">
        <v>16</v>
      </c>
      <c r="H8277">
        <v>0</v>
      </c>
      <c r="I8277" s="2" t="s">
        <v>1175</v>
      </c>
      <c r="J8277" s="2" t="s">
        <v>18470</v>
      </c>
      <c r="K8277">
        <v>20</v>
      </c>
      <c r="L8277">
        <v>20</v>
      </c>
      <c r="M8277">
        <v>20</v>
      </c>
    </row>
    <row r="8278" spans="1:13" x14ac:dyDescent="0.25">
      <c r="A8278" t="s">
        <v>18471</v>
      </c>
      <c r="B8278" t="s">
        <v>18472</v>
      </c>
      <c r="C8278" t="s">
        <v>357</v>
      </c>
      <c r="D8278" t="s">
        <v>2026</v>
      </c>
      <c r="G8278" t="s">
        <v>16</v>
      </c>
      <c r="H8278">
        <v>0</v>
      </c>
      <c r="K8278">
        <v>20</v>
      </c>
      <c r="L8278">
        <v>20</v>
      </c>
      <c r="M8278">
        <v>20</v>
      </c>
    </row>
    <row r="8279" spans="1:13" x14ac:dyDescent="0.25">
      <c r="A8279" t="s">
        <v>18473</v>
      </c>
      <c r="B8279" t="s">
        <v>18474</v>
      </c>
      <c r="C8279" t="s">
        <v>357</v>
      </c>
      <c r="D8279" t="s">
        <v>241</v>
      </c>
      <c r="G8279" t="s">
        <v>16</v>
      </c>
      <c r="H8279">
        <v>0</v>
      </c>
      <c r="K8279">
        <v>20</v>
      </c>
      <c r="L8279">
        <v>20</v>
      </c>
      <c r="M8279">
        <v>20</v>
      </c>
    </row>
    <row r="8280" spans="1:13" x14ac:dyDescent="0.25">
      <c r="A8280" t="s">
        <v>18475</v>
      </c>
      <c r="B8280" t="s">
        <v>18476</v>
      </c>
      <c r="C8280" t="s">
        <v>357</v>
      </c>
      <c r="D8280" t="s">
        <v>241</v>
      </c>
      <c r="F8280">
        <v>2</v>
      </c>
      <c r="G8280" t="s">
        <v>16</v>
      </c>
      <c r="H8280">
        <v>0</v>
      </c>
      <c r="I8280" s="2" t="s">
        <v>504</v>
      </c>
      <c r="J8280" s="2" t="s">
        <v>18477</v>
      </c>
      <c r="K8280">
        <v>20</v>
      </c>
      <c r="L8280">
        <v>20</v>
      </c>
      <c r="M8280">
        <v>20</v>
      </c>
    </row>
    <row r="8281" spans="1:13" x14ac:dyDescent="0.25">
      <c r="A8281" t="s">
        <v>18478</v>
      </c>
      <c r="B8281" t="s">
        <v>18476</v>
      </c>
      <c r="C8281" t="s">
        <v>357</v>
      </c>
      <c r="D8281" t="s">
        <v>241</v>
      </c>
      <c r="G8281" t="s">
        <v>16</v>
      </c>
      <c r="H8281">
        <v>0</v>
      </c>
      <c r="K8281">
        <v>20</v>
      </c>
      <c r="L8281">
        <v>20</v>
      </c>
      <c r="M8281">
        <v>20</v>
      </c>
    </row>
    <row r="8282" spans="1:13" x14ac:dyDescent="0.25">
      <c r="A8282" t="s">
        <v>18479</v>
      </c>
      <c r="B8282" t="s">
        <v>18480</v>
      </c>
      <c r="C8282" t="s">
        <v>151</v>
      </c>
      <c r="D8282" t="s">
        <v>152</v>
      </c>
      <c r="F8282">
        <v>2</v>
      </c>
      <c r="G8282" t="s">
        <v>16</v>
      </c>
      <c r="H8282">
        <v>0</v>
      </c>
      <c r="I8282" s="2" t="s">
        <v>17986</v>
      </c>
      <c r="J8282" s="2">
        <v>96815490</v>
      </c>
      <c r="K8282">
        <v>20</v>
      </c>
      <c r="L8282">
        <v>20</v>
      </c>
      <c r="M8282">
        <v>20</v>
      </c>
    </row>
    <row r="8283" spans="1:13" x14ac:dyDescent="0.25">
      <c r="A8283" t="s">
        <v>18481</v>
      </c>
      <c r="B8283" t="s">
        <v>18482</v>
      </c>
      <c r="C8283" t="s">
        <v>357</v>
      </c>
      <c r="D8283" t="s">
        <v>1836</v>
      </c>
      <c r="F8283">
        <v>1</v>
      </c>
      <c r="G8283" t="s">
        <v>16</v>
      </c>
      <c r="H8283">
        <v>0</v>
      </c>
      <c r="K8283">
        <v>20</v>
      </c>
      <c r="L8283">
        <v>20</v>
      </c>
      <c r="M8283">
        <v>20</v>
      </c>
    </row>
    <row r="8284" spans="1:13" x14ac:dyDescent="0.25">
      <c r="A8284" t="s">
        <v>18483</v>
      </c>
      <c r="B8284" t="s">
        <v>18485</v>
      </c>
      <c r="C8284" t="s">
        <v>496</v>
      </c>
      <c r="D8284" t="s">
        <v>2360</v>
      </c>
      <c r="F8284">
        <v>1</v>
      </c>
      <c r="G8284" t="s">
        <v>16</v>
      </c>
      <c r="H8284">
        <v>0</v>
      </c>
      <c r="I8284" s="2" t="s">
        <v>765</v>
      </c>
      <c r="J8284" s="2" t="s">
        <v>18484</v>
      </c>
      <c r="K8284">
        <v>20</v>
      </c>
      <c r="L8284">
        <v>20</v>
      </c>
      <c r="M8284">
        <v>20</v>
      </c>
    </row>
    <row r="8285" spans="1:13" x14ac:dyDescent="0.25">
      <c r="A8285" t="s">
        <v>18486</v>
      </c>
      <c r="B8285" t="s">
        <v>18485</v>
      </c>
      <c r="C8285" t="s">
        <v>496</v>
      </c>
      <c r="D8285" t="s">
        <v>2360</v>
      </c>
      <c r="F8285">
        <v>0</v>
      </c>
      <c r="G8285" t="s">
        <v>16</v>
      </c>
      <c r="H8285">
        <v>0</v>
      </c>
      <c r="I8285" s="2" t="s">
        <v>2517</v>
      </c>
      <c r="J8285" s="2" t="s">
        <v>18487</v>
      </c>
      <c r="K8285">
        <v>20</v>
      </c>
      <c r="L8285">
        <v>20</v>
      </c>
      <c r="M8285">
        <v>20</v>
      </c>
    </row>
    <row r="8286" spans="1:13" x14ac:dyDescent="0.25">
      <c r="A8286" t="s">
        <v>18488</v>
      </c>
      <c r="B8286" t="s">
        <v>18490</v>
      </c>
      <c r="C8286" t="s">
        <v>496</v>
      </c>
      <c r="D8286" t="s">
        <v>2360</v>
      </c>
      <c r="F8286">
        <v>1</v>
      </c>
      <c r="G8286" t="s">
        <v>16</v>
      </c>
      <c r="H8286">
        <v>0</v>
      </c>
      <c r="I8286" s="2" t="s">
        <v>765</v>
      </c>
      <c r="J8286" s="2" t="s">
        <v>18489</v>
      </c>
      <c r="K8286">
        <v>20</v>
      </c>
      <c r="L8286">
        <v>20</v>
      </c>
      <c r="M8286">
        <v>20</v>
      </c>
    </row>
    <row r="8287" spans="1:13" x14ac:dyDescent="0.25">
      <c r="A8287" t="s">
        <v>18491</v>
      </c>
      <c r="B8287" t="s">
        <v>18492</v>
      </c>
      <c r="C8287" t="s">
        <v>496</v>
      </c>
      <c r="D8287" t="s">
        <v>2360</v>
      </c>
      <c r="F8287">
        <v>0</v>
      </c>
      <c r="G8287" t="s">
        <v>16</v>
      </c>
      <c r="H8287">
        <v>0</v>
      </c>
      <c r="I8287" s="2" t="s">
        <v>5040</v>
      </c>
      <c r="J8287" s="2" t="s">
        <v>18493</v>
      </c>
      <c r="K8287">
        <v>20</v>
      </c>
      <c r="L8287">
        <v>20</v>
      </c>
      <c r="M8287">
        <v>20</v>
      </c>
    </row>
    <row r="8288" spans="1:13" x14ac:dyDescent="0.25">
      <c r="A8288" t="s">
        <v>18494</v>
      </c>
      <c r="B8288" t="s">
        <v>18490</v>
      </c>
      <c r="C8288" t="s">
        <v>496</v>
      </c>
      <c r="D8288" t="s">
        <v>2360</v>
      </c>
      <c r="F8288">
        <v>0</v>
      </c>
      <c r="G8288" t="s">
        <v>16</v>
      </c>
      <c r="H8288">
        <v>0</v>
      </c>
      <c r="I8288" s="2" t="s">
        <v>64</v>
      </c>
      <c r="J8288" s="2">
        <v>13050798</v>
      </c>
      <c r="K8288">
        <v>20</v>
      </c>
      <c r="L8288">
        <v>20</v>
      </c>
      <c r="M8288">
        <v>20</v>
      </c>
    </row>
    <row r="8289" spans="1:13" x14ac:dyDescent="0.25">
      <c r="A8289" t="s">
        <v>18495</v>
      </c>
      <c r="B8289" t="s">
        <v>18496</v>
      </c>
      <c r="C8289" t="s">
        <v>14</v>
      </c>
      <c r="D8289" t="s">
        <v>191</v>
      </c>
      <c r="F8289">
        <v>1</v>
      </c>
      <c r="G8289" t="s">
        <v>16</v>
      </c>
      <c r="H8289">
        <v>0</v>
      </c>
      <c r="K8289">
        <v>20</v>
      </c>
      <c r="L8289">
        <v>20</v>
      </c>
      <c r="M8289">
        <v>20</v>
      </c>
    </row>
    <row r="8290" spans="1:13" x14ac:dyDescent="0.25">
      <c r="A8290" t="s">
        <v>18497</v>
      </c>
      <c r="B8290" t="s">
        <v>18498</v>
      </c>
      <c r="C8290" t="s">
        <v>151</v>
      </c>
      <c r="D8290" t="s">
        <v>1092</v>
      </c>
      <c r="G8290" t="s">
        <v>16</v>
      </c>
      <c r="H8290">
        <v>0</v>
      </c>
      <c r="I8290" s="2" t="s">
        <v>500</v>
      </c>
      <c r="J8290" s="2" t="s">
        <v>18499</v>
      </c>
      <c r="K8290">
        <v>20</v>
      </c>
      <c r="L8290">
        <v>20</v>
      </c>
      <c r="M8290">
        <v>20</v>
      </c>
    </row>
    <row r="8291" spans="1:13" x14ac:dyDescent="0.25">
      <c r="A8291" t="s">
        <v>18500</v>
      </c>
      <c r="B8291" t="s">
        <v>18501</v>
      </c>
      <c r="C8291" t="s">
        <v>151</v>
      </c>
      <c r="D8291" t="s">
        <v>1670</v>
      </c>
      <c r="F8291">
        <v>1</v>
      </c>
      <c r="G8291" t="s">
        <v>16</v>
      </c>
      <c r="H8291">
        <v>0</v>
      </c>
      <c r="I8291" s="2" t="s">
        <v>1671</v>
      </c>
      <c r="J8291" s="2">
        <v>360070</v>
      </c>
      <c r="K8291">
        <v>20</v>
      </c>
      <c r="L8291">
        <v>20</v>
      </c>
      <c r="M8291">
        <v>20</v>
      </c>
    </row>
    <row r="8292" spans="1:13" x14ac:dyDescent="0.25">
      <c r="A8292" t="s">
        <v>18502</v>
      </c>
      <c r="B8292" t="s">
        <v>18503</v>
      </c>
      <c r="C8292" t="s">
        <v>1432</v>
      </c>
      <c r="G8292" t="s">
        <v>16</v>
      </c>
      <c r="H8292">
        <v>0</v>
      </c>
      <c r="I8292" s="2" t="s">
        <v>5688</v>
      </c>
      <c r="J8292" s="2">
        <v>3000951482</v>
      </c>
      <c r="K8292">
        <v>20</v>
      </c>
      <c r="L8292">
        <v>20</v>
      </c>
      <c r="M8292">
        <v>20</v>
      </c>
    </row>
    <row r="8293" spans="1:13" x14ac:dyDescent="0.25">
      <c r="A8293" t="s">
        <v>18504</v>
      </c>
      <c r="B8293" t="s">
        <v>18505</v>
      </c>
      <c r="C8293" t="s">
        <v>151</v>
      </c>
      <c r="D8293" t="s">
        <v>1092</v>
      </c>
      <c r="F8293">
        <v>1</v>
      </c>
      <c r="G8293" t="s">
        <v>16</v>
      </c>
      <c r="H8293">
        <v>0</v>
      </c>
      <c r="I8293" s="2" t="s">
        <v>1175</v>
      </c>
      <c r="J8293" s="2" t="s">
        <v>18506</v>
      </c>
      <c r="K8293">
        <v>20</v>
      </c>
      <c r="L8293">
        <v>20</v>
      </c>
      <c r="M8293">
        <v>20</v>
      </c>
    </row>
    <row r="8294" spans="1:13" x14ac:dyDescent="0.25">
      <c r="A8294" t="s">
        <v>18507</v>
      </c>
      <c r="B8294" t="s">
        <v>18508</v>
      </c>
      <c r="C8294" t="s">
        <v>151</v>
      </c>
      <c r="D8294" t="s">
        <v>1092</v>
      </c>
      <c r="F8294">
        <v>1</v>
      </c>
      <c r="G8294" t="s">
        <v>16</v>
      </c>
      <c r="H8294">
        <v>0</v>
      </c>
      <c r="K8294">
        <v>20</v>
      </c>
      <c r="L8294">
        <v>20</v>
      </c>
      <c r="M8294">
        <v>20</v>
      </c>
    </row>
    <row r="8295" spans="1:13" x14ac:dyDescent="0.25">
      <c r="A8295" t="s">
        <v>18509</v>
      </c>
      <c r="B8295" t="s">
        <v>18510</v>
      </c>
      <c r="C8295" t="s">
        <v>540</v>
      </c>
      <c r="D8295" t="s">
        <v>4589</v>
      </c>
      <c r="F8295">
        <v>0</v>
      </c>
      <c r="G8295" t="s">
        <v>16</v>
      </c>
      <c r="H8295">
        <v>0</v>
      </c>
      <c r="I8295" s="2" t="s">
        <v>17986</v>
      </c>
      <c r="J8295" s="2">
        <v>96831841</v>
      </c>
      <c r="K8295">
        <v>20</v>
      </c>
      <c r="L8295">
        <v>20</v>
      </c>
      <c r="M8295">
        <v>20</v>
      </c>
    </row>
    <row r="8296" spans="1:13" x14ac:dyDescent="0.25">
      <c r="A8296" t="s">
        <v>18511</v>
      </c>
      <c r="B8296" t="s">
        <v>18512</v>
      </c>
      <c r="C8296" t="s">
        <v>540</v>
      </c>
      <c r="G8296" t="s">
        <v>16</v>
      </c>
      <c r="H8296">
        <v>0</v>
      </c>
      <c r="K8296">
        <v>20</v>
      </c>
      <c r="L8296">
        <v>20</v>
      </c>
      <c r="M8296">
        <v>20</v>
      </c>
    </row>
    <row r="8297" spans="1:13" x14ac:dyDescent="0.25">
      <c r="A8297" t="s">
        <v>18513</v>
      </c>
      <c r="B8297" t="s">
        <v>18514</v>
      </c>
      <c r="C8297" t="s">
        <v>1432</v>
      </c>
      <c r="D8297" t="s">
        <v>5993</v>
      </c>
      <c r="F8297">
        <v>1</v>
      </c>
      <c r="G8297" t="s">
        <v>16</v>
      </c>
      <c r="H8297">
        <v>0</v>
      </c>
      <c r="I8297" s="2" t="s">
        <v>759</v>
      </c>
      <c r="J8297" s="2" t="s">
        <v>18515</v>
      </c>
      <c r="K8297">
        <v>20</v>
      </c>
      <c r="L8297">
        <v>20</v>
      </c>
      <c r="M8297">
        <v>20</v>
      </c>
    </row>
    <row r="8298" spans="1:13" x14ac:dyDescent="0.25">
      <c r="A8298" t="s">
        <v>18516</v>
      </c>
      <c r="B8298" t="s">
        <v>18517</v>
      </c>
      <c r="C8298" t="s">
        <v>1432</v>
      </c>
      <c r="D8298" t="s">
        <v>5993</v>
      </c>
      <c r="G8298" t="s">
        <v>16</v>
      </c>
      <c r="H8298">
        <v>0</v>
      </c>
      <c r="I8298" s="2" t="s">
        <v>5904</v>
      </c>
      <c r="J8298" s="2" t="s">
        <v>18518</v>
      </c>
      <c r="K8298">
        <v>20</v>
      </c>
      <c r="L8298">
        <v>20</v>
      </c>
      <c r="M8298">
        <v>20</v>
      </c>
    </row>
    <row r="8299" spans="1:13" x14ac:dyDescent="0.25">
      <c r="A8299" t="s">
        <v>18519</v>
      </c>
      <c r="B8299" t="s">
        <v>18514</v>
      </c>
      <c r="C8299" t="s">
        <v>1432</v>
      </c>
      <c r="D8299" t="s">
        <v>5993</v>
      </c>
      <c r="G8299" t="s">
        <v>16</v>
      </c>
      <c r="H8299">
        <v>0</v>
      </c>
      <c r="I8299" s="2" t="s">
        <v>5688</v>
      </c>
      <c r="J8299" s="2">
        <v>3182654291</v>
      </c>
      <c r="K8299">
        <v>20</v>
      </c>
      <c r="L8299">
        <v>20</v>
      </c>
      <c r="M8299">
        <v>20</v>
      </c>
    </row>
    <row r="8300" spans="1:13" x14ac:dyDescent="0.25">
      <c r="A8300" t="s">
        <v>18520</v>
      </c>
      <c r="B8300" t="s">
        <v>18521</v>
      </c>
      <c r="C8300" t="s">
        <v>151</v>
      </c>
      <c r="D8300" t="s">
        <v>6347</v>
      </c>
      <c r="F8300">
        <v>1</v>
      </c>
      <c r="G8300" t="s">
        <v>16</v>
      </c>
      <c r="H8300">
        <v>0</v>
      </c>
      <c r="I8300" s="2" t="s">
        <v>1671</v>
      </c>
      <c r="J8300" s="2">
        <v>350550</v>
      </c>
      <c r="K8300">
        <v>20</v>
      </c>
      <c r="L8300">
        <v>20</v>
      </c>
      <c r="M8300">
        <v>20</v>
      </c>
    </row>
    <row r="8301" spans="1:13" x14ac:dyDescent="0.25">
      <c r="A8301" t="s">
        <v>18522</v>
      </c>
      <c r="B8301" t="s">
        <v>18523</v>
      </c>
      <c r="C8301" t="s">
        <v>357</v>
      </c>
      <c r="D8301" t="s">
        <v>2026</v>
      </c>
      <c r="F8301">
        <v>1</v>
      </c>
      <c r="G8301" t="s">
        <v>16</v>
      </c>
      <c r="H8301">
        <v>0</v>
      </c>
      <c r="I8301" s="2" t="s">
        <v>500</v>
      </c>
      <c r="J8301" s="2" t="s">
        <v>18524</v>
      </c>
      <c r="K8301">
        <v>20</v>
      </c>
      <c r="L8301">
        <v>20</v>
      </c>
      <c r="M8301">
        <v>20</v>
      </c>
    </row>
    <row r="8302" spans="1:13" x14ac:dyDescent="0.25">
      <c r="A8302" t="s">
        <v>18525</v>
      </c>
      <c r="B8302" t="s">
        <v>18526</v>
      </c>
      <c r="C8302" t="s">
        <v>20</v>
      </c>
      <c r="D8302" t="s">
        <v>26</v>
      </c>
      <c r="F8302">
        <v>-1</v>
      </c>
      <c r="G8302" t="s">
        <v>16</v>
      </c>
      <c r="H8302">
        <v>0</v>
      </c>
      <c r="K8302">
        <v>20</v>
      </c>
      <c r="L8302">
        <v>20</v>
      </c>
      <c r="M8302">
        <v>20</v>
      </c>
    </row>
    <row r="8303" spans="1:13" x14ac:dyDescent="0.25">
      <c r="A8303" t="s">
        <v>18527</v>
      </c>
      <c r="B8303" t="s">
        <v>18528</v>
      </c>
      <c r="C8303" t="s">
        <v>496</v>
      </c>
      <c r="D8303" t="s">
        <v>2360</v>
      </c>
      <c r="G8303" t="s">
        <v>16</v>
      </c>
      <c r="H8303">
        <v>0</v>
      </c>
      <c r="I8303" s="2" t="s">
        <v>1107</v>
      </c>
      <c r="J8303" s="2" t="s">
        <v>18529</v>
      </c>
      <c r="K8303">
        <v>20</v>
      </c>
      <c r="L8303">
        <v>20</v>
      </c>
      <c r="M8303">
        <v>20</v>
      </c>
    </row>
    <row r="8304" spans="1:13" x14ac:dyDescent="0.25">
      <c r="A8304" t="s">
        <v>18530</v>
      </c>
      <c r="B8304" t="s">
        <v>18531</v>
      </c>
      <c r="C8304" t="s">
        <v>2493</v>
      </c>
      <c r="D8304" t="s">
        <v>2360</v>
      </c>
      <c r="G8304" t="s">
        <v>16</v>
      </c>
      <c r="H8304">
        <v>0</v>
      </c>
      <c r="I8304" s="2" t="s">
        <v>1200</v>
      </c>
      <c r="J8304" s="2" t="s">
        <v>18532</v>
      </c>
      <c r="K8304">
        <v>20</v>
      </c>
      <c r="L8304">
        <v>20</v>
      </c>
      <c r="M8304">
        <v>20</v>
      </c>
    </row>
    <row r="8305" spans="1:13" x14ac:dyDescent="0.25">
      <c r="A8305" t="s">
        <v>18533</v>
      </c>
      <c r="B8305" t="s">
        <v>18534</v>
      </c>
      <c r="C8305" t="s">
        <v>496</v>
      </c>
      <c r="D8305" t="s">
        <v>2360</v>
      </c>
      <c r="F8305">
        <v>2</v>
      </c>
      <c r="G8305" t="s">
        <v>16</v>
      </c>
      <c r="H8305">
        <v>0</v>
      </c>
      <c r="I8305" s="2" t="s">
        <v>17986</v>
      </c>
      <c r="J8305" s="2">
        <v>96859498</v>
      </c>
      <c r="K8305">
        <v>20</v>
      </c>
      <c r="L8305">
        <v>20</v>
      </c>
      <c r="M8305">
        <v>20</v>
      </c>
    </row>
    <row r="8306" spans="1:13" x14ac:dyDescent="0.25">
      <c r="A8306" t="s">
        <v>18535</v>
      </c>
      <c r="B8306" t="s">
        <v>18536</v>
      </c>
      <c r="C8306" t="s">
        <v>357</v>
      </c>
      <c r="D8306" t="s">
        <v>241</v>
      </c>
      <c r="F8306">
        <v>1</v>
      </c>
      <c r="G8306" t="s">
        <v>16</v>
      </c>
      <c r="H8306">
        <v>0</v>
      </c>
      <c r="I8306" s="2" t="s">
        <v>243</v>
      </c>
      <c r="J8306" s="2">
        <v>21703</v>
      </c>
      <c r="K8306">
        <v>20</v>
      </c>
      <c r="L8306">
        <v>20</v>
      </c>
      <c r="M8306">
        <v>20</v>
      </c>
    </row>
    <row r="8307" spans="1:13" x14ac:dyDescent="0.25">
      <c r="A8307" t="s">
        <v>18537</v>
      </c>
      <c r="B8307" t="s">
        <v>18536</v>
      </c>
      <c r="C8307" t="s">
        <v>357</v>
      </c>
      <c r="D8307" t="s">
        <v>241</v>
      </c>
      <c r="G8307" t="s">
        <v>16</v>
      </c>
      <c r="H8307">
        <v>0</v>
      </c>
      <c r="I8307" s="2" t="s">
        <v>3021</v>
      </c>
      <c r="J8307" s="2" t="s">
        <v>18538</v>
      </c>
      <c r="K8307">
        <v>20</v>
      </c>
      <c r="L8307">
        <v>20</v>
      </c>
      <c r="M8307">
        <v>20</v>
      </c>
    </row>
    <row r="8308" spans="1:13" x14ac:dyDescent="0.25">
      <c r="A8308" t="s">
        <v>18539</v>
      </c>
      <c r="B8308" t="s">
        <v>18540</v>
      </c>
      <c r="C8308" t="s">
        <v>357</v>
      </c>
      <c r="D8308" t="s">
        <v>241</v>
      </c>
      <c r="G8308" t="s">
        <v>16</v>
      </c>
      <c r="H8308">
        <v>0</v>
      </c>
      <c r="I8308" s="2" t="s">
        <v>737</v>
      </c>
      <c r="J8308" s="2" t="s">
        <v>18541</v>
      </c>
      <c r="K8308">
        <v>20</v>
      </c>
      <c r="L8308">
        <v>20</v>
      </c>
      <c r="M8308">
        <v>20</v>
      </c>
    </row>
    <row r="8309" spans="1:13" x14ac:dyDescent="0.25">
      <c r="A8309" t="s">
        <v>18542</v>
      </c>
      <c r="B8309" t="s">
        <v>18543</v>
      </c>
      <c r="C8309" t="s">
        <v>20</v>
      </c>
      <c r="D8309" t="s">
        <v>894</v>
      </c>
      <c r="G8309" t="s">
        <v>16</v>
      </c>
      <c r="H8309">
        <v>0</v>
      </c>
      <c r="I8309" s="2" t="s">
        <v>288</v>
      </c>
      <c r="J8309" s="2">
        <v>200380155</v>
      </c>
      <c r="K8309">
        <v>20</v>
      </c>
      <c r="L8309">
        <v>20</v>
      </c>
      <c r="M8309">
        <v>20</v>
      </c>
    </row>
    <row r="8310" spans="1:13" x14ac:dyDescent="0.25">
      <c r="A8310" t="s">
        <v>18544</v>
      </c>
      <c r="B8310" t="s">
        <v>18545</v>
      </c>
      <c r="C8310" t="s">
        <v>496</v>
      </c>
      <c r="D8310" t="s">
        <v>4083</v>
      </c>
      <c r="F8310">
        <v>1</v>
      </c>
      <c r="G8310" t="s">
        <v>16</v>
      </c>
      <c r="H8310">
        <v>0</v>
      </c>
      <c r="I8310" s="2" t="s">
        <v>162</v>
      </c>
      <c r="J8310" s="2">
        <v>71309</v>
      </c>
      <c r="K8310">
        <v>20</v>
      </c>
      <c r="L8310">
        <v>20</v>
      </c>
      <c r="M8310">
        <v>20</v>
      </c>
    </row>
    <row r="8311" spans="1:13" x14ac:dyDescent="0.25">
      <c r="A8311" t="s">
        <v>18546</v>
      </c>
      <c r="B8311" t="s">
        <v>18545</v>
      </c>
      <c r="C8311" t="s">
        <v>496</v>
      </c>
      <c r="D8311" t="s">
        <v>4083</v>
      </c>
      <c r="F8311">
        <v>1</v>
      </c>
      <c r="G8311" t="s">
        <v>16</v>
      </c>
      <c r="H8311">
        <v>0</v>
      </c>
      <c r="I8311" s="2" t="s">
        <v>266</v>
      </c>
      <c r="J8311" s="2">
        <v>37538</v>
      </c>
      <c r="K8311">
        <v>20</v>
      </c>
      <c r="L8311">
        <v>20</v>
      </c>
      <c r="M8311">
        <v>20</v>
      </c>
    </row>
    <row r="8312" spans="1:13" x14ac:dyDescent="0.25">
      <c r="A8312" t="s">
        <v>18547</v>
      </c>
      <c r="B8312" t="s">
        <v>18548</v>
      </c>
      <c r="C8312" t="s">
        <v>151</v>
      </c>
      <c r="D8312" t="s">
        <v>1547</v>
      </c>
      <c r="F8312">
        <v>1</v>
      </c>
      <c r="G8312" t="s">
        <v>16</v>
      </c>
      <c r="H8312">
        <v>0</v>
      </c>
      <c r="I8312" s="2" t="s">
        <v>1543</v>
      </c>
      <c r="J8312" s="2" t="s">
        <v>18549</v>
      </c>
      <c r="K8312">
        <v>20</v>
      </c>
      <c r="L8312">
        <v>20</v>
      </c>
      <c r="M8312">
        <v>20</v>
      </c>
    </row>
    <row r="8313" spans="1:13" x14ac:dyDescent="0.25">
      <c r="A8313" t="s">
        <v>18550</v>
      </c>
      <c r="B8313" t="s">
        <v>18551</v>
      </c>
      <c r="C8313" t="s">
        <v>151</v>
      </c>
      <c r="D8313" t="s">
        <v>1547</v>
      </c>
      <c r="F8313">
        <v>1</v>
      </c>
      <c r="G8313" t="s">
        <v>16</v>
      </c>
      <c r="H8313">
        <v>0</v>
      </c>
      <c r="I8313" s="2" t="s">
        <v>18552</v>
      </c>
      <c r="J8313" s="2">
        <v>95368929</v>
      </c>
      <c r="K8313">
        <v>20</v>
      </c>
      <c r="L8313">
        <v>20</v>
      </c>
      <c r="M8313">
        <v>20</v>
      </c>
    </row>
    <row r="8314" spans="1:13" x14ac:dyDescent="0.25">
      <c r="A8314" t="s">
        <v>18553</v>
      </c>
      <c r="B8314" t="s">
        <v>18551</v>
      </c>
      <c r="C8314" t="s">
        <v>151</v>
      </c>
      <c r="D8314" t="s">
        <v>1547</v>
      </c>
      <c r="F8314">
        <v>1</v>
      </c>
      <c r="G8314" t="s">
        <v>16</v>
      </c>
      <c r="H8314">
        <v>0</v>
      </c>
      <c r="I8314" s="2" t="s">
        <v>1107</v>
      </c>
      <c r="J8314" s="2" t="s">
        <v>18554</v>
      </c>
      <c r="K8314">
        <v>20</v>
      </c>
      <c r="L8314">
        <v>20</v>
      </c>
      <c r="M8314">
        <v>20</v>
      </c>
    </row>
    <row r="8315" spans="1:13" x14ac:dyDescent="0.25">
      <c r="A8315" t="s">
        <v>18555</v>
      </c>
      <c r="B8315" t="s">
        <v>18556</v>
      </c>
      <c r="C8315" t="s">
        <v>362</v>
      </c>
      <c r="D8315" t="s">
        <v>363</v>
      </c>
      <c r="F8315">
        <v>4</v>
      </c>
      <c r="G8315" t="s">
        <v>16</v>
      </c>
      <c r="H8315">
        <v>0</v>
      </c>
      <c r="I8315" s="2" t="s">
        <v>383</v>
      </c>
      <c r="J8315" s="2" t="str">
        <f>"0986479288"</f>
        <v>0986479288</v>
      </c>
      <c r="K8315">
        <v>20</v>
      </c>
      <c r="L8315">
        <v>20</v>
      </c>
      <c r="M8315">
        <v>20</v>
      </c>
    </row>
    <row r="8316" spans="1:13" x14ac:dyDescent="0.25">
      <c r="A8316" t="s">
        <v>18557</v>
      </c>
      <c r="B8316" t="s">
        <v>18558</v>
      </c>
      <c r="C8316" t="s">
        <v>20</v>
      </c>
      <c r="D8316" t="s">
        <v>26</v>
      </c>
      <c r="F8316">
        <v>1</v>
      </c>
      <c r="G8316" t="s">
        <v>16</v>
      </c>
      <c r="H8316">
        <v>0</v>
      </c>
      <c r="I8316" s="2" t="s">
        <v>27</v>
      </c>
      <c r="J8316" s="2">
        <v>41703021</v>
      </c>
      <c r="K8316">
        <v>20</v>
      </c>
      <c r="L8316">
        <v>20</v>
      </c>
      <c r="M8316">
        <v>20</v>
      </c>
    </row>
    <row r="8317" spans="1:13" x14ac:dyDescent="0.25">
      <c r="A8317" t="s">
        <v>18559</v>
      </c>
      <c r="B8317" t="s">
        <v>18560</v>
      </c>
      <c r="C8317" t="s">
        <v>20</v>
      </c>
      <c r="D8317" t="s">
        <v>26</v>
      </c>
      <c r="F8317">
        <v>1</v>
      </c>
      <c r="G8317" t="s">
        <v>16</v>
      </c>
      <c r="H8317">
        <v>0</v>
      </c>
      <c r="I8317" s="2" t="s">
        <v>177</v>
      </c>
      <c r="J8317" s="2">
        <v>686020</v>
      </c>
      <c r="K8317">
        <v>20</v>
      </c>
      <c r="L8317">
        <v>20</v>
      </c>
      <c r="M8317">
        <v>20</v>
      </c>
    </row>
    <row r="8318" spans="1:13" x14ac:dyDescent="0.25">
      <c r="A8318" t="s">
        <v>18561</v>
      </c>
      <c r="B8318" t="s">
        <v>18562</v>
      </c>
      <c r="C8318" t="s">
        <v>20</v>
      </c>
      <c r="D8318" t="s">
        <v>133</v>
      </c>
      <c r="F8318">
        <v>1</v>
      </c>
      <c r="G8318" t="s">
        <v>16</v>
      </c>
      <c r="H8318">
        <v>0</v>
      </c>
      <c r="I8318" s="2" t="s">
        <v>139</v>
      </c>
      <c r="J8318" s="2" t="s">
        <v>18563</v>
      </c>
      <c r="K8318">
        <v>20</v>
      </c>
      <c r="L8318">
        <v>20</v>
      </c>
      <c r="M8318">
        <v>20</v>
      </c>
    </row>
    <row r="8319" spans="1:13" x14ac:dyDescent="0.25">
      <c r="A8319" t="s">
        <v>18564</v>
      </c>
      <c r="B8319" t="s">
        <v>18562</v>
      </c>
      <c r="C8319" t="s">
        <v>20</v>
      </c>
      <c r="D8319" t="s">
        <v>133</v>
      </c>
      <c r="F8319">
        <v>1</v>
      </c>
      <c r="G8319" t="s">
        <v>16</v>
      </c>
      <c r="H8319">
        <v>0</v>
      </c>
      <c r="I8319" s="2" t="s">
        <v>455</v>
      </c>
      <c r="J8319" s="2" t="s">
        <v>18565</v>
      </c>
      <c r="K8319">
        <v>20</v>
      </c>
      <c r="L8319">
        <v>20</v>
      </c>
      <c r="M8319">
        <v>20</v>
      </c>
    </row>
    <row r="8320" spans="1:13" x14ac:dyDescent="0.25">
      <c r="A8320" t="s">
        <v>18566</v>
      </c>
      <c r="B8320" t="s">
        <v>18567</v>
      </c>
      <c r="C8320" t="s">
        <v>14</v>
      </c>
      <c r="D8320" t="s">
        <v>2620</v>
      </c>
      <c r="G8320" t="s">
        <v>16</v>
      </c>
      <c r="H8320">
        <v>0</v>
      </c>
      <c r="I8320" s="2" t="s">
        <v>514</v>
      </c>
      <c r="J8320" s="2" t="s">
        <v>18568</v>
      </c>
      <c r="K8320">
        <v>20</v>
      </c>
      <c r="L8320">
        <v>20</v>
      </c>
      <c r="M8320">
        <v>20</v>
      </c>
    </row>
    <row r="8321" spans="1:13" x14ac:dyDescent="0.25">
      <c r="A8321" t="s">
        <v>18569</v>
      </c>
      <c r="B8321" t="s">
        <v>18570</v>
      </c>
      <c r="C8321" t="s">
        <v>14</v>
      </c>
      <c r="D8321" t="s">
        <v>2620</v>
      </c>
      <c r="F8321">
        <v>2</v>
      </c>
      <c r="G8321" t="s">
        <v>16</v>
      </c>
      <c r="H8321">
        <v>0</v>
      </c>
      <c r="I8321" s="2" t="s">
        <v>1741</v>
      </c>
      <c r="J8321" s="2" t="s">
        <v>18571</v>
      </c>
      <c r="K8321">
        <v>20</v>
      </c>
      <c r="L8321">
        <v>20</v>
      </c>
      <c r="M8321">
        <v>20</v>
      </c>
    </row>
    <row r="8322" spans="1:13" x14ac:dyDescent="0.25">
      <c r="A8322" t="s">
        <v>18572</v>
      </c>
      <c r="B8322" t="s">
        <v>18567</v>
      </c>
      <c r="C8322" t="s">
        <v>14</v>
      </c>
      <c r="D8322" t="s">
        <v>2620</v>
      </c>
      <c r="F8322">
        <v>1</v>
      </c>
      <c r="G8322" t="s">
        <v>16</v>
      </c>
      <c r="H8322">
        <v>0</v>
      </c>
      <c r="I8322" s="2" t="s">
        <v>64</v>
      </c>
      <c r="J8322" s="2" t="str">
        <f>"06030053"</f>
        <v>06030053</v>
      </c>
      <c r="K8322">
        <v>20</v>
      </c>
      <c r="L8322">
        <v>20</v>
      </c>
      <c r="M8322">
        <v>20</v>
      </c>
    </row>
    <row r="8323" spans="1:13" x14ac:dyDescent="0.25">
      <c r="A8323" t="s">
        <v>18573</v>
      </c>
      <c r="B8323" t="s">
        <v>18567</v>
      </c>
      <c r="C8323" t="s">
        <v>14</v>
      </c>
      <c r="D8323" t="s">
        <v>2620</v>
      </c>
      <c r="G8323" t="s">
        <v>16</v>
      </c>
      <c r="H8323">
        <v>0</v>
      </c>
      <c r="I8323" s="2" t="s">
        <v>6196</v>
      </c>
      <c r="J8323" s="2" t="s">
        <v>18574</v>
      </c>
      <c r="K8323">
        <v>20</v>
      </c>
      <c r="L8323">
        <v>20</v>
      </c>
      <c r="M8323">
        <v>20</v>
      </c>
    </row>
    <row r="8324" spans="1:13" x14ac:dyDescent="0.25">
      <c r="A8324" t="s">
        <v>18575</v>
      </c>
      <c r="B8324" t="s">
        <v>18567</v>
      </c>
      <c r="C8324" t="s">
        <v>14</v>
      </c>
      <c r="D8324" t="s">
        <v>2620</v>
      </c>
      <c r="F8324">
        <v>1</v>
      </c>
      <c r="G8324" t="s">
        <v>16</v>
      </c>
      <c r="H8324">
        <v>0</v>
      </c>
      <c r="I8324" s="2" t="s">
        <v>669</v>
      </c>
      <c r="J8324" s="2" t="s">
        <v>18576</v>
      </c>
      <c r="K8324">
        <v>20</v>
      </c>
      <c r="L8324">
        <v>20</v>
      </c>
      <c r="M8324">
        <v>20</v>
      </c>
    </row>
    <row r="8325" spans="1:13" x14ac:dyDescent="0.25">
      <c r="A8325" t="s">
        <v>18577</v>
      </c>
      <c r="B8325" t="s">
        <v>18567</v>
      </c>
      <c r="C8325" t="s">
        <v>14</v>
      </c>
      <c r="D8325" t="s">
        <v>2620</v>
      </c>
      <c r="F8325">
        <v>2</v>
      </c>
      <c r="G8325" t="s">
        <v>16</v>
      </c>
      <c r="H8325">
        <v>0</v>
      </c>
      <c r="I8325" s="2" t="s">
        <v>17</v>
      </c>
      <c r="J8325" s="2" t="s">
        <v>18578</v>
      </c>
      <c r="K8325">
        <v>20</v>
      </c>
      <c r="L8325">
        <v>20</v>
      </c>
      <c r="M8325">
        <v>20</v>
      </c>
    </row>
    <row r="8326" spans="1:13" x14ac:dyDescent="0.25">
      <c r="A8326" t="s">
        <v>18579</v>
      </c>
      <c r="B8326" t="s">
        <v>18570</v>
      </c>
      <c r="C8326" t="s">
        <v>14</v>
      </c>
      <c r="D8326" t="s">
        <v>2620</v>
      </c>
      <c r="G8326" t="s">
        <v>16</v>
      </c>
      <c r="H8326">
        <v>0</v>
      </c>
      <c r="I8326" s="2" t="s">
        <v>4807</v>
      </c>
      <c r="J8326" s="2" t="s">
        <v>18580</v>
      </c>
      <c r="K8326">
        <v>20</v>
      </c>
      <c r="L8326">
        <v>20</v>
      </c>
      <c r="M8326">
        <v>20</v>
      </c>
    </row>
    <row r="8327" spans="1:13" x14ac:dyDescent="0.25">
      <c r="A8327" t="s">
        <v>18581</v>
      </c>
      <c r="B8327" t="s">
        <v>18583</v>
      </c>
      <c r="C8327" t="s">
        <v>20</v>
      </c>
      <c r="F8327">
        <v>3</v>
      </c>
      <c r="G8327" t="s">
        <v>16</v>
      </c>
      <c r="H8327">
        <v>0</v>
      </c>
      <c r="I8327" s="2" t="s">
        <v>765</v>
      </c>
      <c r="J8327" s="2" t="s">
        <v>18582</v>
      </c>
      <c r="K8327">
        <v>20</v>
      </c>
      <c r="L8327">
        <v>20</v>
      </c>
      <c r="M8327">
        <v>20</v>
      </c>
    </row>
    <row r="8328" spans="1:13" x14ac:dyDescent="0.25">
      <c r="A8328" t="s">
        <v>18584</v>
      </c>
      <c r="B8328" t="s">
        <v>18585</v>
      </c>
      <c r="C8328" t="s">
        <v>1432</v>
      </c>
      <c r="F8328">
        <v>3</v>
      </c>
      <c r="G8328" t="s">
        <v>16</v>
      </c>
      <c r="H8328">
        <v>0</v>
      </c>
      <c r="I8328" s="2" t="s">
        <v>7801</v>
      </c>
      <c r="J8328" s="2">
        <v>96899976</v>
      </c>
      <c r="K8328">
        <v>20</v>
      </c>
      <c r="L8328">
        <v>20</v>
      </c>
      <c r="M8328">
        <v>20</v>
      </c>
    </row>
    <row r="8329" spans="1:13" x14ac:dyDescent="0.25">
      <c r="A8329" t="s">
        <v>18586</v>
      </c>
      <c r="B8329" t="s">
        <v>18587</v>
      </c>
      <c r="C8329" t="s">
        <v>357</v>
      </c>
      <c r="D8329" t="s">
        <v>2026</v>
      </c>
      <c r="G8329" t="s">
        <v>16</v>
      </c>
      <c r="H8329">
        <v>0</v>
      </c>
      <c r="I8329" s="2" t="s">
        <v>598</v>
      </c>
      <c r="J8329" s="2">
        <v>343780</v>
      </c>
      <c r="K8329">
        <v>20</v>
      </c>
      <c r="L8329">
        <v>20</v>
      </c>
      <c r="M8329">
        <v>20</v>
      </c>
    </row>
    <row r="8330" spans="1:13" x14ac:dyDescent="0.25">
      <c r="A8330" t="s">
        <v>18588</v>
      </c>
      <c r="B8330" t="s">
        <v>18589</v>
      </c>
      <c r="C8330" t="s">
        <v>357</v>
      </c>
      <c r="D8330" t="s">
        <v>2026</v>
      </c>
      <c r="F8330">
        <v>7</v>
      </c>
      <c r="G8330" t="s">
        <v>16</v>
      </c>
      <c r="H8330">
        <v>0</v>
      </c>
      <c r="I8330" s="2" t="s">
        <v>64</v>
      </c>
      <c r="J8330" s="2" t="str">
        <f>"08020451"</f>
        <v>08020451</v>
      </c>
      <c r="K8330">
        <v>20</v>
      </c>
      <c r="L8330">
        <v>20</v>
      </c>
      <c r="M8330">
        <v>20</v>
      </c>
    </row>
    <row r="8331" spans="1:13" x14ac:dyDescent="0.25">
      <c r="A8331" t="s">
        <v>18590</v>
      </c>
      <c r="B8331" t="s">
        <v>18589</v>
      </c>
      <c r="C8331" t="s">
        <v>357</v>
      </c>
      <c r="D8331" t="s">
        <v>2026</v>
      </c>
      <c r="G8331" t="s">
        <v>16</v>
      </c>
      <c r="H8331">
        <v>0</v>
      </c>
      <c r="I8331" s="2" t="s">
        <v>500</v>
      </c>
      <c r="J8331" s="2" t="s">
        <v>18591</v>
      </c>
      <c r="K8331">
        <v>20</v>
      </c>
      <c r="L8331">
        <v>20</v>
      </c>
      <c r="M8331">
        <v>20</v>
      </c>
    </row>
    <row r="8332" spans="1:13" x14ac:dyDescent="0.25">
      <c r="A8332" t="s">
        <v>18592</v>
      </c>
      <c r="B8332" t="s">
        <v>18593</v>
      </c>
      <c r="C8332" t="s">
        <v>151</v>
      </c>
      <c r="F8332">
        <v>2</v>
      </c>
      <c r="G8332" t="s">
        <v>16</v>
      </c>
      <c r="H8332">
        <v>0</v>
      </c>
      <c r="I8332" s="2" t="s">
        <v>500</v>
      </c>
      <c r="J8332" s="2" t="s">
        <v>18594</v>
      </c>
      <c r="K8332">
        <v>20</v>
      </c>
      <c r="L8332">
        <v>20</v>
      </c>
      <c r="M8332">
        <v>20</v>
      </c>
    </row>
    <row r="8333" spans="1:13" x14ac:dyDescent="0.25">
      <c r="A8333" t="s">
        <v>18595</v>
      </c>
      <c r="B8333" t="s">
        <v>18596</v>
      </c>
      <c r="C8333" t="s">
        <v>540</v>
      </c>
      <c r="F8333">
        <v>2</v>
      </c>
      <c r="G8333" t="s">
        <v>16</v>
      </c>
      <c r="H8333">
        <v>0</v>
      </c>
      <c r="I8333" s="2" t="s">
        <v>2508</v>
      </c>
      <c r="J8333" s="2" t="str">
        <f>"040801RC-H"</f>
        <v>040801RC-H</v>
      </c>
      <c r="K8333">
        <v>20</v>
      </c>
      <c r="L8333">
        <v>20</v>
      </c>
      <c r="M8333">
        <v>20</v>
      </c>
    </row>
    <row r="8334" spans="1:13" x14ac:dyDescent="0.25">
      <c r="A8334" t="s">
        <v>18597</v>
      </c>
      <c r="B8334" t="s">
        <v>18598</v>
      </c>
      <c r="C8334" t="s">
        <v>357</v>
      </c>
      <c r="D8334" t="s">
        <v>1836</v>
      </c>
      <c r="F8334">
        <v>1</v>
      </c>
      <c r="G8334" t="s">
        <v>16</v>
      </c>
      <c r="H8334">
        <v>0</v>
      </c>
      <c r="I8334" s="2" t="s">
        <v>1849</v>
      </c>
      <c r="J8334" s="2" t="s">
        <v>18599</v>
      </c>
      <c r="K8334">
        <v>20</v>
      </c>
      <c r="L8334">
        <v>20</v>
      </c>
      <c r="M8334">
        <v>20</v>
      </c>
    </row>
    <row r="8335" spans="1:13" x14ac:dyDescent="0.25">
      <c r="A8335" t="s">
        <v>18600</v>
      </c>
      <c r="B8335" t="s">
        <v>18601</v>
      </c>
      <c r="C8335" t="s">
        <v>496</v>
      </c>
      <c r="D8335" t="s">
        <v>2360</v>
      </c>
      <c r="F8335">
        <v>1</v>
      </c>
      <c r="G8335" t="s">
        <v>16</v>
      </c>
      <c r="H8335">
        <v>0</v>
      </c>
      <c r="K8335">
        <v>20</v>
      </c>
      <c r="L8335">
        <v>20</v>
      </c>
      <c r="M8335">
        <v>20</v>
      </c>
    </row>
    <row r="8336" spans="1:13" x14ac:dyDescent="0.25">
      <c r="A8336" t="s">
        <v>18602</v>
      </c>
      <c r="B8336" t="s">
        <v>18603</v>
      </c>
      <c r="C8336" t="s">
        <v>496</v>
      </c>
      <c r="D8336" t="s">
        <v>2360</v>
      </c>
      <c r="F8336">
        <v>1</v>
      </c>
      <c r="G8336" t="s">
        <v>16</v>
      </c>
      <c r="H8336">
        <v>0</v>
      </c>
      <c r="I8336" s="2" t="s">
        <v>18604</v>
      </c>
      <c r="K8336">
        <v>20</v>
      </c>
      <c r="L8336">
        <v>20</v>
      </c>
      <c r="M8336">
        <v>20</v>
      </c>
    </row>
    <row r="8337" spans="1:13" x14ac:dyDescent="0.25">
      <c r="A8337" t="s">
        <v>18605</v>
      </c>
      <c r="B8337" t="s">
        <v>18606</v>
      </c>
      <c r="C8337" t="s">
        <v>14</v>
      </c>
      <c r="D8337" t="s">
        <v>191</v>
      </c>
      <c r="G8337" t="s">
        <v>16</v>
      </c>
      <c r="H8337">
        <v>0</v>
      </c>
      <c r="I8337" s="2" t="s">
        <v>4708</v>
      </c>
      <c r="J8337" s="2" t="s">
        <v>18607</v>
      </c>
      <c r="K8337">
        <v>20</v>
      </c>
      <c r="L8337">
        <v>20</v>
      </c>
      <c r="M8337">
        <v>20</v>
      </c>
    </row>
    <row r="8338" spans="1:13" x14ac:dyDescent="0.25">
      <c r="A8338" t="s">
        <v>18608</v>
      </c>
      <c r="B8338" t="s">
        <v>18606</v>
      </c>
      <c r="C8338" t="s">
        <v>14</v>
      </c>
      <c r="D8338" t="s">
        <v>191</v>
      </c>
      <c r="F8338">
        <v>5</v>
      </c>
      <c r="G8338" t="s">
        <v>16</v>
      </c>
      <c r="H8338">
        <v>0</v>
      </c>
      <c r="I8338" s="2" t="s">
        <v>1175</v>
      </c>
      <c r="J8338" s="2" t="s">
        <v>18609</v>
      </c>
      <c r="K8338">
        <v>20</v>
      </c>
      <c r="L8338">
        <v>20</v>
      </c>
      <c r="M8338">
        <v>20</v>
      </c>
    </row>
    <row r="8339" spans="1:13" x14ac:dyDescent="0.25">
      <c r="A8339" t="s">
        <v>18610</v>
      </c>
      <c r="B8339" t="s">
        <v>18606</v>
      </c>
      <c r="C8339" t="s">
        <v>14</v>
      </c>
      <c r="D8339" t="s">
        <v>191</v>
      </c>
      <c r="G8339" t="s">
        <v>16</v>
      </c>
      <c r="H8339">
        <v>0</v>
      </c>
      <c r="I8339" s="2" t="s">
        <v>4748</v>
      </c>
      <c r="J8339" s="2" t="s">
        <v>18611</v>
      </c>
      <c r="K8339">
        <v>20</v>
      </c>
      <c r="L8339">
        <v>20</v>
      </c>
      <c r="M8339">
        <v>20</v>
      </c>
    </row>
    <row r="8340" spans="1:13" x14ac:dyDescent="0.25">
      <c r="A8340" t="s">
        <v>18612</v>
      </c>
      <c r="B8340" t="s">
        <v>18606</v>
      </c>
      <c r="C8340" t="s">
        <v>14</v>
      </c>
      <c r="D8340" t="s">
        <v>191</v>
      </c>
      <c r="F8340">
        <v>4</v>
      </c>
      <c r="G8340" t="s">
        <v>16</v>
      </c>
      <c r="H8340">
        <v>0</v>
      </c>
      <c r="I8340" s="2" t="s">
        <v>7690</v>
      </c>
      <c r="J8340" s="2" t="s">
        <v>18613</v>
      </c>
      <c r="K8340">
        <v>20</v>
      </c>
      <c r="L8340">
        <v>20</v>
      </c>
      <c r="M8340">
        <v>20</v>
      </c>
    </row>
    <row r="8341" spans="1:13" x14ac:dyDescent="0.25">
      <c r="A8341" t="s">
        <v>18614</v>
      </c>
      <c r="B8341" t="s">
        <v>18606</v>
      </c>
      <c r="C8341" t="s">
        <v>14</v>
      </c>
      <c r="D8341" t="s">
        <v>191</v>
      </c>
      <c r="G8341" t="s">
        <v>16</v>
      </c>
      <c r="H8341">
        <v>0</v>
      </c>
      <c r="I8341" s="2" t="s">
        <v>4807</v>
      </c>
      <c r="J8341" s="2" t="s">
        <v>18615</v>
      </c>
      <c r="K8341">
        <v>20</v>
      </c>
      <c r="L8341">
        <v>20</v>
      </c>
      <c r="M8341">
        <v>20</v>
      </c>
    </row>
    <row r="8342" spans="1:13" x14ac:dyDescent="0.25">
      <c r="A8342" t="s">
        <v>18616</v>
      </c>
      <c r="B8342" t="s">
        <v>18617</v>
      </c>
      <c r="C8342" t="s">
        <v>20</v>
      </c>
      <c r="D8342" t="s">
        <v>133</v>
      </c>
      <c r="F8342">
        <v>1</v>
      </c>
      <c r="G8342" t="s">
        <v>22</v>
      </c>
      <c r="H8342">
        <v>0</v>
      </c>
      <c r="I8342" s="2" t="s">
        <v>18618</v>
      </c>
      <c r="J8342" s="2" t="s">
        <v>18619</v>
      </c>
      <c r="K8342">
        <v>20</v>
      </c>
      <c r="L8342">
        <v>20</v>
      </c>
      <c r="M8342">
        <v>20</v>
      </c>
    </row>
    <row r="8343" spans="1:13" x14ac:dyDescent="0.25">
      <c r="A8343" t="s">
        <v>18620</v>
      </c>
      <c r="B8343" t="s">
        <v>18621</v>
      </c>
      <c r="C8343" t="s">
        <v>151</v>
      </c>
      <c r="D8343" t="s">
        <v>11302</v>
      </c>
      <c r="F8343">
        <v>1</v>
      </c>
      <c r="G8343" t="s">
        <v>16</v>
      </c>
      <c r="H8343">
        <v>0</v>
      </c>
      <c r="I8343" s="2" t="s">
        <v>941</v>
      </c>
      <c r="J8343" s="2" t="s">
        <v>18622</v>
      </c>
      <c r="K8343">
        <v>20</v>
      </c>
      <c r="L8343">
        <v>20</v>
      </c>
      <c r="M8343">
        <v>20</v>
      </c>
    </row>
    <row r="8344" spans="1:13" x14ac:dyDescent="0.25">
      <c r="A8344" t="s">
        <v>18623</v>
      </c>
      <c r="B8344" t="s">
        <v>18624</v>
      </c>
      <c r="C8344" t="s">
        <v>151</v>
      </c>
      <c r="D8344" t="s">
        <v>11302</v>
      </c>
      <c r="F8344">
        <v>1</v>
      </c>
      <c r="G8344" t="s">
        <v>16</v>
      </c>
      <c r="H8344">
        <v>0</v>
      </c>
      <c r="I8344" s="2" t="s">
        <v>953</v>
      </c>
      <c r="J8344" s="2">
        <v>77661</v>
      </c>
      <c r="K8344">
        <v>20</v>
      </c>
      <c r="L8344">
        <v>20</v>
      </c>
      <c r="M8344">
        <v>20</v>
      </c>
    </row>
    <row r="8345" spans="1:13" x14ac:dyDescent="0.25">
      <c r="A8345" t="s">
        <v>18625</v>
      </c>
      <c r="B8345" t="s">
        <v>18626</v>
      </c>
      <c r="C8345" t="s">
        <v>241</v>
      </c>
      <c r="D8345" t="s">
        <v>2216</v>
      </c>
      <c r="F8345">
        <v>1</v>
      </c>
      <c r="G8345" t="s">
        <v>16</v>
      </c>
      <c r="H8345">
        <v>0</v>
      </c>
      <c r="I8345" s="2" t="s">
        <v>243</v>
      </c>
      <c r="J8345" s="2">
        <v>25132</v>
      </c>
      <c r="K8345">
        <v>20</v>
      </c>
      <c r="L8345">
        <v>20</v>
      </c>
      <c r="M8345">
        <v>20</v>
      </c>
    </row>
    <row r="8346" spans="1:13" x14ac:dyDescent="0.25">
      <c r="A8346" t="s">
        <v>18627</v>
      </c>
      <c r="B8346" t="s">
        <v>18628</v>
      </c>
      <c r="C8346" t="s">
        <v>357</v>
      </c>
      <c r="D8346" t="s">
        <v>241</v>
      </c>
      <c r="G8346" t="s">
        <v>16</v>
      </c>
      <c r="H8346">
        <v>0</v>
      </c>
      <c r="I8346" s="2" t="s">
        <v>243</v>
      </c>
      <c r="J8346" s="2">
        <v>25166</v>
      </c>
      <c r="K8346">
        <v>20</v>
      </c>
      <c r="L8346">
        <v>20</v>
      </c>
      <c r="M8346">
        <v>20</v>
      </c>
    </row>
    <row r="8347" spans="1:13" x14ac:dyDescent="0.25">
      <c r="A8347" t="s">
        <v>18629</v>
      </c>
      <c r="B8347" t="s">
        <v>18630</v>
      </c>
      <c r="C8347" t="s">
        <v>357</v>
      </c>
      <c r="D8347" t="s">
        <v>241</v>
      </c>
      <c r="F8347">
        <v>2</v>
      </c>
      <c r="G8347" t="s">
        <v>16</v>
      </c>
      <c r="H8347">
        <v>0</v>
      </c>
      <c r="I8347" s="2" t="s">
        <v>243</v>
      </c>
      <c r="J8347" s="2">
        <v>25169</v>
      </c>
      <c r="K8347">
        <v>20</v>
      </c>
      <c r="L8347">
        <v>20</v>
      </c>
      <c r="M8347">
        <v>20</v>
      </c>
    </row>
    <row r="8348" spans="1:13" x14ac:dyDescent="0.25">
      <c r="A8348" t="s">
        <v>18631</v>
      </c>
      <c r="B8348" t="s">
        <v>18632</v>
      </c>
      <c r="C8348" t="s">
        <v>357</v>
      </c>
      <c r="D8348" t="s">
        <v>241</v>
      </c>
      <c r="F8348">
        <v>1</v>
      </c>
      <c r="G8348" t="s">
        <v>16</v>
      </c>
      <c r="H8348">
        <v>0</v>
      </c>
      <c r="I8348" s="2" t="s">
        <v>3021</v>
      </c>
      <c r="J8348" s="2" t="s">
        <v>18633</v>
      </c>
      <c r="K8348">
        <v>20</v>
      </c>
      <c r="L8348">
        <v>20</v>
      </c>
      <c r="M8348">
        <v>20</v>
      </c>
    </row>
    <row r="8349" spans="1:13" x14ac:dyDescent="0.25">
      <c r="A8349" t="s">
        <v>18634</v>
      </c>
      <c r="B8349" t="s">
        <v>18635</v>
      </c>
      <c r="C8349" t="s">
        <v>20</v>
      </c>
      <c r="D8349" t="s">
        <v>26</v>
      </c>
      <c r="F8349">
        <v>2</v>
      </c>
      <c r="G8349" t="s">
        <v>16</v>
      </c>
      <c r="H8349">
        <v>0</v>
      </c>
      <c r="I8349" s="2" t="s">
        <v>7250</v>
      </c>
      <c r="J8349" s="2" t="s">
        <v>18636</v>
      </c>
      <c r="K8349">
        <v>20</v>
      </c>
      <c r="L8349">
        <v>20</v>
      </c>
      <c r="M8349">
        <v>20</v>
      </c>
    </row>
    <row r="8350" spans="1:13" x14ac:dyDescent="0.25">
      <c r="A8350" t="s">
        <v>18637</v>
      </c>
      <c r="B8350" t="s">
        <v>18638</v>
      </c>
      <c r="C8350" t="s">
        <v>20</v>
      </c>
      <c r="D8350" t="s">
        <v>26</v>
      </c>
      <c r="G8350" t="s">
        <v>16</v>
      </c>
      <c r="H8350">
        <v>0</v>
      </c>
      <c r="K8350">
        <v>20</v>
      </c>
      <c r="L8350">
        <v>20</v>
      </c>
      <c r="M8350">
        <v>20</v>
      </c>
    </row>
    <row r="8351" spans="1:13" x14ac:dyDescent="0.25">
      <c r="A8351" t="s">
        <v>18639</v>
      </c>
      <c r="B8351" t="s">
        <v>18640</v>
      </c>
      <c r="C8351" t="s">
        <v>496</v>
      </c>
      <c r="D8351" t="s">
        <v>2360</v>
      </c>
      <c r="F8351">
        <v>1</v>
      </c>
      <c r="G8351" t="s">
        <v>16</v>
      </c>
      <c r="H8351">
        <v>0</v>
      </c>
      <c r="I8351" s="2" t="s">
        <v>64</v>
      </c>
      <c r="J8351" s="2">
        <v>13050806</v>
      </c>
      <c r="K8351">
        <v>20</v>
      </c>
      <c r="L8351">
        <v>20</v>
      </c>
      <c r="M8351">
        <v>20</v>
      </c>
    </row>
    <row r="8352" spans="1:13" x14ac:dyDescent="0.25">
      <c r="A8352" t="s">
        <v>18641</v>
      </c>
      <c r="B8352" t="s">
        <v>18642</v>
      </c>
      <c r="C8352" t="s">
        <v>496</v>
      </c>
      <c r="D8352" t="s">
        <v>2360</v>
      </c>
      <c r="F8352">
        <v>1</v>
      </c>
      <c r="G8352" t="s">
        <v>16</v>
      </c>
      <c r="H8352">
        <v>0</v>
      </c>
      <c r="I8352" s="2" t="s">
        <v>64</v>
      </c>
      <c r="J8352" s="2">
        <v>13050805</v>
      </c>
      <c r="K8352">
        <v>20</v>
      </c>
      <c r="L8352">
        <v>20</v>
      </c>
      <c r="M8352">
        <v>20</v>
      </c>
    </row>
    <row r="8353" spans="1:13" x14ac:dyDescent="0.25">
      <c r="A8353">
        <v>96981088</v>
      </c>
      <c r="B8353" t="s">
        <v>18643</v>
      </c>
      <c r="C8353" t="s">
        <v>540</v>
      </c>
      <c r="F8353">
        <v>0</v>
      </c>
      <c r="G8353" t="s">
        <v>16</v>
      </c>
      <c r="H8353">
        <v>0</v>
      </c>
      <c r="I8353" s="2" t="s">
        <v>497</v>
      </c>
      <c r="K8353">
        <v>20</v>
      </c>
      <c r="L8353">
        <v>20</v>
      </c>
      <c r="M8353">
        <v>20</v>
      </c>
    </row>
    <row r="8354" spans="1:13" x14ac:dyDescent="0.25">
      <c r="A8354" t="s">
        <v>18644</v>
      </c>
      <c r="B8354" t="s">
        <v>18645</v>
      </c>
      <c r="C8354" t="s">
        <v>540</v>
      </c>
      <c r="F8354">
        <v>1</v>
      </c>
      <c r="G8354" t="s">
        <v>16</v>
      </c>
      <c r="H8354">
        <v>0</v>
      </c>
      <c r="K8354">
        <v>20</v>
      </c>
      <c r="L8354">
        <v>20</v>
      </c>
      <c r="M8354">
        <v>20</v>
      </c>
    </row>
    <row r="8355" spans="1:13" x14ac:dyDescent="0.25">
      <c r="A8355" t="s">
        <v>18646</v>
      </c>
      <c r="B8355" t="s">
        <v>18645</v>
      </c>
      <c r="C8355" t="s">
        <v>540</v>
      </c>
      <c r="G8355" t="s">
        <v>16</v>
      </c>
      <c r="H8355">
        <v>0</v>
      </c>
      <c r="I8355" s="2" t="s">
        <v>500</v>
      </c>
      <c r="J8355" s="2" t="s">
        <v>18647</v>
      </c>
      <c r="K8355">
        <v>20</v>
      </c>
      <c r="L8355">
        <v>20</v>
      </c>
      <c r="M8355">
        <v>20</v>
      </c>
    </row>
    <row r="8356" spans="1:13" x14ac:dyDescent="0.25">
      <c r="A8356" t="s">
        <v>18648</v>
      </c>
      <c r="B8356" t="s">
        <v>18649</v>
      </c>
      <c r="C8356" t="s">
        <v>540</v>
      </c>
      <c r="G8356" t="s">
        <v>16</v>
      </c>
      <c r="H8356">
        <v>0</v>
      </c>
      <c r="I8356" s="2" t="s">
        <v>500</v>
      </c>
      <c r="J8356" s="2" t="s">
        <v>18650</v>
      </c>
      <c r="K8356">
        <v>20</v>
      </c>
      <c r="L8356">
        <v>20</v>
      </c>
      <c r="M8356">
        <v>20</v>
      </c>
    </row>
    <row r="8357" spans="1:13" x14ac:dyDescent="0.25">
      <c r="A8357" t="s">
        <v>18651</v>
      </c>
      <c r="B8357" t="s">
        <v>18652</v>
      </c>
      <c r="C8357" t="s">
        <v>540</v>
      </c>
      <c r="G8357" t="s">
        <v>16</v>
      </c>
      <c r="H8357">
        <v>0</v>
      </c>
      <c r="I8357" s="2" t="s">
        <v>500</v>
      </c>
      <c r="J8357" s="2" t="s">
        <v>18653</v>
      </c>
      <c r="K8357">
        <v>20</v>
      </c>
      <c r="L8357">
        <v>20</v>
      </c>
      <c r="M8357">
        <v>20</v>
      </c>
    </row>
    <row r="8358" spans="1:13" x14ac:dyDescent="0.25">
      <c r="A8358" t="s">
        <v>18654</v>
      </c>
      <c r="B8358" t="s">
        <v>18655</v>
      </c>
      <c r="C8358" t="s">
        <v>540</v>
      </c>
      <c r="G8358" t="s">
        <v>16</v>
      </c>
      <c r="H8358">
        <v>0</v>
      </c>
      <c r="I8358" s="2" t="s">
        <v>64</v>
      </c>
      <c r="J8358" s="2" t="str">
        <f>"09050413"</f>
        <v>09050413</v>
      </c>
      <c r="K8358">
        <v>20</v>
      </c>
      <c r="L8358">
        <v>20</v>
      </c>
      <c r="M8358">
        <v>20</v>
      </c>
    </row>
    <row r="8359" spans="1:13" x14ac:dyDescent="0.25">
      <c r="A8359" t="s">
        <v>18656</v>
      </c>
      <c r="B8359" t="s">
        <v>18657</v>
      </c>
      <c r="C8359" t="s">
        <v>926</v>
      </c>
      <c r="D8359" t="s">
        <v>6216</v>
      </c>
      <c r="F8359">
        <v>1</v>
      </c>
      <c r="G8359" t="s">
        <v>16</v>
      </c>
      <c r="H8359">
        <v>0</v>
      </c>
      <c r="I8359" s="2" t="s">
        <v>6228</v>
      </c>
      <c r="J8359" s="2" t="s">
        <v>18658</v>
      </c>
      <c r="K8359">
        <v>20</v>
      </c>
      <c r="L8359">
        <v>20</v>
      </c>
      <c r="M8359">
        <v>20</v>
      </c>
    </row>
    <row r="8360" spans="1:13" x14ac:dyDescent="0.25">
      <c r="A8360" t="s">
        <v>18659</v>
      </c>
      <c r="B8360" t="s">
        <v>18660</v>
      </c>
      <c r="C8360" t="s">
        <v>1426</v>
      </c>
      <c r="F8360">
        <v>1</v>
      </c>
      <c r="G8360" t="s">
        <v>16</v>
      </c>
      <c r="H8360">
        <v>0</v>
      </c>
      <c r="I8360" s="2" t="s">
        <v>759</v>
      </c>
      <c r="J8360" s="2" t="s">
        <v>18661</v>
      </c>
      <c r="K8360">
        <v>20</v>
      </c>
      <c r="L8360">
        <v>20</v>
      </c>
      <c r="M8360">
        <v>20</v>
      </c>
    </row>
    <row r="8361" spans="1:13" x14ac:dyDescent="0.25">
      <c r="A8361" t="s">
        <v>18662</v>
      </c>
      <c r="B8361" t="s">
        <v>18663</v>
      </c>
      <c r="C8361" t="s">
        <v>14</v>
      </c>
      <c r="D8361" t="s">
        <v>293</v>
      </c>
      <c r="G8361" t="s">
        <v>16</v>
      </c>
      <c r="H8361">
        <v>0</v>
      </c>
      <c r="I8361" s="2" t="s">
        <v>4708</v>
      </c>
      <c r="J8361" s="2" t="s">
        <v>18664</v>
      </c>
      <c r="K8361">
        <v>20</v>
      </c>
      <c r="L8361">
        <v>20</v>
      </c>
      <c r="M8361">
        <v>20</v>
      </c>
    </row>
    <row r="8362" spans="1:13" x14ac:dyDescent="0.25">
      <c r="A8362" t="s">
        <v>18665</v>
      </c>
      <c r="B8362" t="s">
        <v>18666</v>
      </c>
      <c r="C8362" t="s">
        <v>14</v>
      </c>
      <c r="D8362" t="s">
        <v>293</v>
      </c>
      <c r="G8362" t="s">
        <v>16</v>
      </c>
      <c r="H8362">
        <v>0</v>
      </c>
      <c r="I8362" s="2" t="s">
        <v>662</v>
      </c>
      <c r="J8362" s="2" t="s">
        <v>18667</v>
      </c>
      <c r="K8362">
        <v>20</v>
      </c>
      <c r="L8362">
        <v>20</v>
      </c>
      <c r="M8362">
        <v>20</v>
      </c>
    </row>
    <row r="8363" spans="1:13" x14ac:dyDescent="0.25">
      <c r="A8363" t="s">
        <v>18668</v>
      </c>
      <c r="B8363" t="s">
        <v>18669</v>
      </c>
      <c r="C8363" t="s">
        <v>14</v>
      </c>
      <c r="D8363" t="s">
        <v>293</v>
      </c>
      <c r="G8363" t="s">
        <v>16</v>
      </c>
      <c r="H8363">
        <v>0</v>
      </c>
      <c r="I8363" s="2" t="s">
        <v>18670</v>
      </c>
      <c r="J8363" s="2" t="s">
        <v>18667</v>
      </c>
      <c r="K8363">
        <v>20</v>
      </c>
      <c r="L8363">
        <v>20</v>
      </c>
      <c r="M8363">
        <v>20</v>
      </c>
    </row>
    <row r="8364" spans="1:13" x14ac:dyDescent="0.25">
      <c r="A8364" t="s">
        <v>18671</v>
      </c>
      <c r="B8364" t="s">
        <v>18666</v>
      </c>
      <c r="C8364" t="s">
        <v>14</v>
      </c>
      <c r="D8364" t="s">
        <v>293</v>
      </c>
      <c r="F8364">
        <v>2</v>
      </c>
      <c r="G8364" t="s">
        <v>16</v>
      </c>
      <c r="H8364">
        <v>0</v>
      </c>
      <c r="I8364" s="2" t="s">
        <v>7200</v>
      </c>
      <c r="J8364" s="2">
        <v>2358500</v>
      </c>
      <c r="K8364">
        <v>20</v>
      </c>
      <c r="L8364">
        <v>20</v>
      </c>
      <c r="M8364">
        <v>20</v>
      </c>
    </row>
    <row r="8365" spans="1:13" x14ac:dyDescent="0.25">
      <c r="A8365" t="s">
        <v>18672</v>
      </c>
      <c r="B8365" t="s">
        <v>18669</v>
      </c>
      <c r="C8365" t="s">
        <v>14</v>
      </c>
      <c r="D8365" t="s">
        <v>293</v>
      </c>
      <c r="F8365">
        <v>2</v>
      </c>
      <c r="G8365" t="s">
        <v>16</v>
      </c>
      <c r="H8365">
        <v>0</v>
      </c>
      <c r="I8365" s="2" t="s">
        <v>842</v>
      </c>
      <c r="J8365" s="2">
        <v>586123</v>
      </c>
      <c r="K8365">
        <v>20</v>
      </c>
      <c r="L8365">
        <v>20</v>
      </c>
      <c r="M8365">
        <v>20</v>
      </c>
    </row>
    <row r="8366" spans="1:13" x14ac:dyDescent="0.25">
      <c r="A8366" t="s">
        <v>18673</v>
      </c>
      <c r="B8366" t="s">
        <v>18674</v>
      </c>
      <c r="C8366" t="s">
        <v>20</v>
      </c>
      <c r="D8366" t="s">
        <v>899</v>
      </c>
      <c r="G8366" t="s">
        <v>16</v>
      </c>
      <c r="H8366">
        <v>0</v>
      </c>
      <c r="I8366" s="2" t="s">
        <v>3689</v>
      </c>
      <c r="J8366" s="2" t="s">
        <v>18675</v>
      </c>
      <c r="K8366">
        <v>20</v>
      </c>
      <c r="L8366">
        <v>20</v>
      </c>
      <c r="M8366">
        <v>20</v>
      </c>
    </row>
    <row r="8367" spans="1:13" x14ac:dyDescent="0.25">
      <c r="A8367" t="s">
        <v>18676</v>
      </c>
      <c r="B8367" t="s">
        <v>18674</v>
      </c>
      <c r="C8367" t="s">
        <v>20</v>
      </c>
      <c r="D8367" t="s">
        <v>899</v>
      </c>
      <c r="F8367">
        <v>3</v>
      </c>
      <c r="G8367" t="s">
        <v>16</v>
      </c>
      <c r="H8367">
        <v>0</v>
      </c>
      <c r="I8367" s="2" t="s">
        <v>383</v>
      </c>
      <c r="J8367" s="2">
        <v>1987947555</v>
      </c>
      <c r="K8367">
        <v>20</v>
      </c>
      <c r="L8367">
        <v>20</v>
      </c>
      <c r="M8367">
        <v>20</v>
      </c>
    </row>
    <row r="8368" spans="1:13" x14ac:dyDescent="0.25">
      <c r="A8368" t="s">
        <v>18677</v>
      </c>
      <c r="B8368" t="s">
        <v>18678</v>
      </c>
      <c r="C8368" t="s">
        <v>20</v>
      </c>
      <c r="D8368" t="s">
        <v>899</v>
      </c>
      <c r="F8368">
        <v>1</v>
      </c>
      <c r="G8368" t="s">
        <v>16</v>
      </c>
      <c r="H8368">
        <v>0</v>
      </c>
      <c r="I8368" s="2" t="s">
        <v>3689</v>
      </c>
      <c r="J8368" s="2" t="s">
        <v>18679</v>
      </c>
      <c r="K8368">
        <v>20</v>
      </c>
      <c r="L8368">
        <v>20</v>
      </c>
      <c r="M8368">
        <v>20</v>
      </c>
    </row>
    <row r="8369" spans="1:13" x14ac:dyDescent="0.25">
      <c r="A8369" t="s">
        <v>18680</v>
      </c>
      <c r="B8369" t="s">
        <v>18681</v>
      </c>
      <c r="C8369" t="s">
        <v>20</v>
      </c>
      <c r="D8369" t="s">
        <v>899</v>
      </c>
      <c r="F8369">
        <v>1</v>
      </c>
      <c r="G8369" t="s">
        <v>16</v>
      </c>
      <c r="H8369">
        <v>0</v>
      </c>
      <c r="I8369" s="2" t="s">
        <v>3710</v>
      </c>
      <c r="J8369" s="2" t="s">
        <v>18682</v>
      </c>
      <c r="K8369">
        <v>20</v>
      </c>
      <c r="L8369">
        <v>20</v>
      </c>
      <c r="M8369">
        <v>20</v>
      </c>
    </row>
    <row r="8370" spans="1:13" x14ac:dyDescent="0.25">
      <c r="A8370" t="s">
        <v>18683</v>
      </c>
      <c r="B8370" t="s">
        <v>18684</v>
      </c>
      <c r="C8370" t="s">
        <v>20</v>
      </c>
      <c r="D8370" t="s">
        <v>899</v>
      </c>
      <c r="F8370">
        <v>1</v>
      </c>
      <c r="G8370" t="s">
        <v>16</v>
      </c>
      <c r="H8370">
        <v>0</v>
      </c>
      <c r="I8370" s="2" t="s">
        <v>685</v>
      </c>
      <c r="J8370" s="2">
        <v>1987945980</v>
      </c>
      <c r="K8370">
        <v>20</v>
      </c>
      <c r="L8370">
        <v>20</v>
      </c>
      <c r="M8370">
        <v>20</v>
      </c>
    </row>
    <row r="8371" spans="1:13" x14ac:dyDescent="0.25">
      <c r="A8371" t="s">
        <v>18685</v>
      </c>
      <c r="B8371" t="s">
        <v>18686</v>
      </c>
      <c r="C8371" t="s">
        <v>20</v>
      </c>
      <c r="D8371" t="s">
        <v>899</v>
      </c>
      <c r="F8371">
        <v>0</v>
      </c>
      <c r="G8371" t="s">
        <v>16</v>
      </c>
      <c r="H8371">
        <v>0</v>
      </c>
      <c r="I8371" s="2" t="s">
        <v>404</v>
      </c>
      <c r="J8371" s="2" t="s">
        <v>18682</v>
      </c>
      <c r="K8371">
        <v>20</v>
      </c>
      <c r="L8371">
        <v>20</v>
      </c>
      <c r="M8371">
        <v>20</v>
      </c>
    </row>
    <row r="8372" spans="1:13" x14ac:dyDescent="0.25">
      <c r="A8372" t="s">
        <v>18687</v>
      </c>
      <c r="B8372" t="s">
        <v>18686</v>
      </c>
      <c r="C8372" t="s">
        <v>20</v>
      </c>
      <c r="D8372" t="s">
        <v>899</v>
      </c>
      <c r="F8372">
        <v>1</v>
      </c>
      <c r="G8372" t="s">
        <v>16</v>
      </c>
      <c r="H8372">
        <v>0</v>
      </c>
      <c r="I8372" s="2" t="s">
        <v>3830</v>
      </c>
      <c r="J8372" s="2" t="s">
        <v>18688</v>
      </c>
      <c r="K8372">
        <v>20</v>
      </c>
      <c r="L8372">
        <v>20</v>
      </c>
      <c r="M8372">
        <v>20</v>
      </c>
    </row>
    <row r="8373" spans="1:13" x14ac:dyDescent="0.25">
      <c r="A8373" t="s">
        <v>18689</v>
      </c>
      <c r="B8373" t="s">
        <v>18690</v>
      </c>
      <c r="C8373" t="s">
        <v>1436</v>
      </c>
      <c r="G8373" t="s">
        <v>16</v>
      </c>
      <c r="H8373">
        <v>0</v>
      </c>
      <c r="I8373" s="2" t="s">
        <v>2341</v>
      </c>
      <c r="J8373" s="2">
        <v>2025</v>
      </c>
      <c r="K8373">
        <v>20</v>
      </c>
      <c r="L8373">
        <v>20</v>
      </c>
      <c r="M8373">
        <v>20</v>
      </c>
    </row>
    <row r="8374" spans="1:13" x14ac:dyDescent="0.25">
      <c r="A8374">
        <v>97369815</v>
      </c>
      <c r="B8374" t="s">
        <v>18691</v>
      </c>
      <c r="C8374" t="s">
        <v>1436</v>
      </c>
      <c r="F8374">
        <v>1</v>
      </c>
      <c r="G8374" t="s">
        <v>16</v>
      </c>
      <c r="H8374">
        <v>0</v>
      </c>
      <c r="I8374" s="2" t="s">
        <v>18692</v>
      </c>
      <c r="J8374" s="2">
        <v>97369815</v>
      </c>
      <c r="K8374">
        <v>20</v>
      </c>
      <c r="L8374">
        <v>20</v>
      </c>
      <c r="M8374">
        <v>20</v>
      </c>
    </row>
    <row r="8375" spans="1:13" x14ac:dyDescent="0.25">
      <c r="A8375" t="s">
        <v>18693</v>
      </c>
      <c r="B8375" t="s">
        <v>18694</v>
      </c>
      <c r="C8375" t="s">
        <v>14</v>
      </c>
      <c r="D8375" t="s">
        <v>191</v>
      </c>
      <c r="F8375">
        <v>1</v>
      </c>
      <c r="G8375" t="s">
        <v>16</v>
      </c>
      <c r="H8375">
        <v>0</v>
      </c>
      <c r="I8375" s="2" t="s">
        <v>64</v>
      </c>
      <c r="J8375" s="2" t="str">
        <f>"06010321"</f>
        <v>06010321</v>
      </c>
      <c r="K8375">
        <v>20</v>
      </c>
      <c r="L8375">
        <v>20</v>
      </c>
      <c r="M8375">
        <v>20</v>
      </c>
    </row>
    <row r="8376" spans="1:13" x14ac:dyDescent="0.25">
      <c r="A8376" t="s">
        <v>18695</v>
      </c>
      <c r="B8376" t="s">
        <v>18694</v>
      </c>
      <c r="C8376" t="s">
        <v>14</v>
      </c>
      <c r="D8376" t="s">
        <v>191</v>
      </c>
      <c r="F8376">
        <v>2</v>
      </c>
      <c r="G8376" t="s">
        <v>16</v>
      </c>
      <c r="H8376">
        <v>0</v>
      </c>
      <c r="I8376" s="2" t="s">
        <v>4748</v>
      </c>
      <c r="J8376" s="2" t="s">
        <v>18696</v>
      </c>
      <c r="K8376">
        <v>20</v>
      </c>
      <c r="L8376">
        <v>20</v>
      </c>
      <c r="M8376">
        <v>20</v>
      </c>
    </row>
    <row r="8377" spans="1:13" x14ac:dyDescent="0.25">
      <c r="A8377" t="s">
        <v>18697</v>
      </c>
      <c r="B8377" t="s">
        <v>18694</v>
      </c>
      <c r="C8377" t="s">
        <v>14</v>
      </c>
      <c r="D8377" t="s">
        <v>191</v>
      </c>
      <c r="F8377">
        <v>7</v>
      </c>
      <c r="G8377" t="s">
        <v>16</v>
      </c>
      <c r="H8377">
        <v>0</v>
      </c>
      <c r="I8377" s="2" t="s">
        <v>4711</v>
      </c>
      <c r="J8377" s="2" t="s">
        <v>18698</v>
      </c>
      <c r="K8377">
        <v>20</v>
      </c>
      <c r="L8377">
        <v>20</v>
      </c>
      <c r="M8377">
        <v>20</v>
      </c>
    </row>
    <row r="8378" spans="1:13" x14ac:dyDescent="0.25">
      <c r="A8378" t="s">
        <v>18699</v>
      </c>
      <c r="B8378" t="s">
        <v>18700</v>
      </c>
      <c r="C8378" t="s">
        <v>14</v>
      </c>
      <c r="D8378" t="s">
        <v>191</v>
      </c>
      <c r="G8378" t="s">
        <v>16</v>
      </c>
      <c r="H8378">
        <v>0</v>
      </c>
      <c r="I8378" s="2" t="s">
        <v>4807</v>
      </c>
      <c r="J8378" s="2" t="s">
        <v>18701</v>
      </c>
      <c r="K8378">
        <v>20</v>
      </c>
      <c r="L8378">
        <v>20</v>
      </c>
      <c r="M8378">
        <v>20</v>
      </c>
    </row>
    <row r="8379" spans="1:13" x14ac:dyDescent="0.25">
      <c r="A8379">
        <v>9800157180</v>
      </c>
      <c r="B8379" t="s">
        <v>18702</v>
      </c>
      <c r="C8379" t="s">
        <v>20</v>
      </c>
      <c r="D8379" t="s">
        <v>26</v>
      </c>
      <c r="F8379">
        <v>0</v>
      </c>
      <c r="G8379" t="s">
        <v>16</v>
      </c>
      <c r="H8379">
        <v>0</v>
      </c>
      <c r="I8379" s="2" t="s">
        <v>51</v>
      </c>
      <c r="J8379" s="2">
        <v>9800157180</v>
      </c>
      <c r="K8379">
        <v>20</v>
      </c>
      <c r="L8379">
        <v>20</v>
      </c>
      <c r="M8379">
        <v>20</v>
      </c>
    </row>
    <row r="8380" spans="1:13" x14ac:dyDescent="0.25">
      <c r="A8380">
        <v>9800210680</v>
      </c>
      <c r="B8380" t="s">
        <v>18703</v>
      </c>
      <c r="C8380" t="s">
        <v>151</v>
      </c>
      <c r="F8380">
        <v>0</v>
      </c>
      <c r="G8380" t="s">
        <v>16</v>
      </c>
      <c r="H8380">
        <v>0</v>
      </c>
      <c r="I8380" s="2" t="s">
        <v>497</v>
      </c>
      <c r="J8380" s="2">
        <v>9800210680</v>
      </c>
      <c r="K8380">
        <v>20</v>
      </c>
      <c r="L8380">
        <v>20</v>
      </c>
      <c r="M8380">
        <v>20</v>
      </c>
    </row>
    <row r="8381" spans="1:13" x14ac:dyDescent="0.25">
      <c r="A8381" t="s">
        <v>18704</v>
      </c>
      <c r="B8381" t="s">
        <v>18706</v>
      </c>
      <c r="C8381" t="s">
        <v>496</v>
      </c>
      <c r="D8381" t="s">
        <v>2360</v>
      </c>
      <c r="F8381">
        <v>2</v>
      </c>
      <c r="G8381" t="s">
        <v>16</v>
      </c>
      <c r="H8381">
        <v>0</v>
      </c>
      <c r="I8381" s="2" t="s">
        <v>288</v>
      </c>
      <c r="J8381" s="2" t="s">
        <v>18705</v>
      </c>
      <c r="K8381">
        <v>20</v>
      </c>
      <c r="L8381">
        <v>20</v>
      </c>
      <c r="M8381">
        <v>20</v>
      </c>
    </row>
    <row r="8382" spans="1:13" x14ac:dyDescent="0.25">
      <c r="A8382" t="s">
        <v>18707</v>
      </c>
      <c r="B8382" t="s">
        <v>18709</v>
      </c>
      <c r="C8382" t="s">
        <v>496</v>
      </c>
      <c r="D8382" t="s">
        <v>2360</v>
      </c>
      <c r="G8382" t="s">
        <v>16</v>
      </c>
      <c r="H8382">
        <v>0</v>
      </c>
      <c r="I8382" s="2" t="s">
        <v>288</v>
      </c>
      <c r="J8382" s="2" t="s">
        <v>18708</v>
      </c>
      <c r="K8382">
        <v>20</v>
      </c>
      <c r="L8382">
        <v>20</v>
      </c>
      <c r="M8382">
        <v>20</v>
      </c>
    </row>
    <row r="8383" spans="1:13" x14ac:dyDescent="0.25">
      <c r="A8383" t="s">
        <v>18710</v>
      </c>
      <c r="B8383" t="s">
        <v>18706</v>
      </c>
      <c r="C8383" t="s">
        <v>496</v>
      </c>
      <c r="D8383" t="s">
        <v>2360</v>
      </c>
      <c r="F8383">
        <v>2</v>
      </c>
      <c r="G8383" t="s">
        <v>16</v>
      </c>
      <c r="H8383">
        <v>0</v>
      </c>
      <c r="I8383" s="2" t="s">
        <v>10075</v>
      </c>
      <c r="J8383" s="2">
        <v>12411</v>
      </c>
      <c r="K8383">
        <v>20</v>
      </c>
      <c r="L8383">
        <v>20</v>
      </c>
      <c r="M8383">
        <v>20</v>
      </c>
    </row>
    <row r="8384" spans="1:13" x14ac:dyDescent="0.25">
      <c r="A8384" t="s">
        <v>18711</v>
      </c>
      <c r="B8384" t="s">
        <v>18706</v>
      </c>
      <c r="C8384" t="s">
        <v>496</v>
      </c>
      <c r="D8384" t="s">
        <v>2360</v>
      </c>
      <c r="F8384">
        <v>1</v>
      </c>
      <c r="G8384" t="s">
        <v>16</v>
      </c>
      <c r="H8384">
        <v>0</v>
      </c>
      <c r="I8384" s="2" t="s">
        <v>6855</v>
      </c>
      <c r="J8384" s="2">
        <v>14183</v>
      </c>
      <c r="K8384">
        <v>20</v>
      </c>
      <c r="L8384">
        <v>20</v>
      </c>
      <c r="M8384">
        <v>20</v>
      </c>
    </row>
    <row r="8385" spans="1:13" x14ac:dyDescent="0.25">
      <c r="A8385" t="s">
        <v>18712</v>
      </c>
      <c r="B8385" t="s">
        <v>18713</v>
      </c>
      <c r="C8385" t="s">
        <v>496</v>
      </c>
      <c r="D8385" t="s">
        <v>2360</v>
      </c>
      <c r="F8385">
        <v>2</v>
      </c>
      <c r="G8385" t="s">
        <v>16</v>
      </c>
      <c r="H8385">
        <v>0</v>
      </c>
      <c r="I8385" s="2" t="s">
        <v>6901</v>
      </c>
      <c r="J8385" s="2" t="s">
        <v>18714</v>
      </c>
      <c r="K8385">
        <v>20</v>
      </c>
      <c r="L8385">
        <v>20</v>
      </c>
      <c r="M8385">
        <v>20</v>
      </c>
    </row>
    <row r="8386" spans="1:13" x14ac:dyDescent="0.25">
      <c r="A8386" t="s">
        <v>18715</v>
      </c>
      <c r="B8386" t="s">
        <v>18713</v>
      </c>
      <c r="C8386" t="s">
        <v>496</v>
      </c>
      <c r="D8386" t="s">
        <v>2360</v>
      </c>
      <c r="F8386">
        <v>1</v>
      </c>
      <c r="G8386" t="s">
        <v>16</v>
      </c>
      <c r="H8386">
        <v>0</v>
      </c>
      <c r="I8386" s="2" t="s">
        <v>395</v>
      </c>
      <c r="J8386" s="2" t="s">
        <v>18716</v>
      </c>
      <c r="K8386">
        <v>20</v>
      </c>
      <c r="L8386">
        <v>20</v>
      </c>
      <c r="M8386">
        <v>20</v>
      </c>
    </row>
    <row r="8387" spans="1:13" x14ac:dyDescent="0.25">
      <c r="A8387" t="s">
        <v>18717</v>
      </c>
      <c r="B8387" t="s">
        <v>18718</v>
      </c>
      <c r="C8387" t="s">
        <v>20</v>
      </c>
      <c r="D8387" t="s">
        <v>899</v>
      </c>
      <c r="F8387">
        <v>1</v>
      </c>
      <c r="G8387" t="s">
        <v>16</v>
      </c>
      <c r="H8387">
        <v>0</v>
      </c>
      <c r="I8387" s="2" t="s">
        <v>3689</v>
      </c>
      <c r="J8387" s="2" t="s">
        <v>18719</v>
      </c>
      <c r="K8387">
        <v>20</v>
      </c>
      <c r="L8387">
        <v>20</v>
      </c>
      <c r="M8387">
        <v>20</v>
      </c>
    </row>
    <row r="8388" spans="1:13" x14ac:dyDescent="0.25">
      <c r="A8388" t="s">
        <v>18720</v>
      </c>
      <c r="B8388" t="s">
        <v>18718</v>
      </c>
      <c r="C8388" t="s">
        <v>20</v>
      </c>
      <c r="D8388" t="s">
        <v>899</v>
      </c>
      <c r="F8388">
        <v>2</v>
      </c>
      <c r="G8388" t="s">
        <v>16</v>
      </c>
      <c r="H8388">
        <v>0</v>
      </c>
      <c r="I8388" s="2" t="s">
        <v>3830</v>
      </c>
      <c r="J8388" s="2" t="s">
        <v>18721</v>
      </c>
      <c r="K8388">
        <v>20</v>
      </c>
      <c r="L8388">
        <v>20</v>
      </c>
      <c r="M8388">
        <v>20</v>
      </c>
    </row>
    <row r="8389" spans="1:13" x14ac:dyDescent="0.25">
      <c r="A8389" t="s">
        <v>18722</v>
      </c>
      <c r="B8389" t="s">
        <v>18723</v>
      </c>
      <c r="C8389" t="s">
        <v>357</v>
      </c>
      <c r="D8389" t="s">
        <v>2026</v>
      </c>
      <c r="G8389" t="s">
        <v>16</v>
      </c>
      <c r="H8389">
        <v>0</v>
      </c>
      <c r="I8389" s="2" t="s">
        <v>18724</v>
      </c>
      <c r="J8389" s="2">
        <v>352930</v>
      </c>
      <c r="K8389">
        <v>20</v>
      </c>
      <c r="L8389">
        <v>20</v>
      </c>
      <c r="M8389">
        <v>20</v>
      </c>
    </row>
    <row r="8390" spans="1:13" x14ac:dyDescent="0.25">
      <c r="A8390" t="s">
        <v>18725</v>
      </c>
      <c r="B8390" t="s">
        <v>18726</v>
      </c>
      <c r="C8390" t="s">
        <v>357</v>
      </c>
      <c r="D8390" t="s">
        <v>2026</v>
      </c>
      <c r="F8390">
        <v>1</v>
      </c>
      <c r="G8390" t="s">
        <v>16</v>
      </c>
      <c r="H8390">
        <v>0</v>
      </c>
      <c r="I8390" s="2" t="s">
        <v>2382</v>
      </c>
      <c r="J8390" s="2" t="s">
        <v>18727</v>
      </c>
      <c r="K8390">
        <v>20</v>
      </c>
      <c r="L8390">
        <v>20</v>
      </c>
      <c r="M8390">
        <v>20</v>
      </c>
    </row>
    <row r="8391" spans="1:13" x14ac:dyDescent="0.25">
      <c r="A8391" t="s">
        <v>18728</v>
      </c>
      <c r="B8391" t="s">
        <v>18723</v>
      </c>
      <c r="C8391" t="s">
        <v>357</v>
      </c>
      <c r="D8391" t="s">
        <v>2026</v>
      </c>
      <c r="F8391">
        <v>1</v>
      </c>
      <c r="G8391" t="s">
        <v>16</v>
      </c>
      <c r="H8391">
        <v>0</v>
      </c>
      <c r="I8391" s="2" t="s">
        <v>266</v>
      </c>
      <c r="J8391" s="2">
        <v>87741</v>
      </c>
      <c r="K8391">
        <v>20</v>
      </c>
      <c r="L8391">
        <v>20</v>
      </c>
      <c r="M8391">
        <v>20</v>
      </c>
    </row>
    <row r="8392" spans="1:13" x14ac:dyDescent="0.25">
      <c r="A8392" t="s">
        <v>18729</v>
      </c>
      <c r="B8392" t="s">
        <v>18723</v>
      </c>
      <c r="C8392" t="s">
        <v>357</v>
      </c>
      <c r="D8392" t="s">
        <v>2026</v>
      </c>
      <c r="F8392">
        <v>2</v>
      </c>
      <c r="G8392" t="s">
        <v>16</v>
      </c>
      <c r="H8392">
        <v>0</v>
      </c>
      <c r="I8392" s="2" t="s">
        <v>277</v>
      </c>
      <c r="J8392" s="2">
        <v>41609</v>
      </c>
      <c r="K8392">
        <v>20</v>
      </c>
      <c r="L8392">
        <v>20</v>
      </c>
      <c r="M8392">
        <v>20</v>
      </c>
    </row>
    <row r="8393" spans="1:13" x14ac:dyDescent="0.25">
      <c r="A8393" t="s">
        <v>18730</v>
      </c>
      <c r="B8393" t="s">
        <v>18731</v>
      </c>
      <c r="C8393" t="s">
        <v>151</v>
      </c>
      <c r="D8393" t="s">
        <v>1092</v>
      </c>
      <c r="F8393">
        <v>1</v>
      </c>
      <c r="G8393" t="s">
        <v>16</v>
      </c>
      <c r="H8393">
        <v>0</v>
      </c>
      <c r="I8393" s="2" t="s">
        <v>854</v>
      </c>
      <c r="J8393" s="2" t="str">
        <f>"045412"</f>
        <v>045412</v>
      </c>
      <c r="K8393">
        <v>20</v>
      </c>
      <c r="L8393">
        <v>20</v>
      </c>
      <c r="M8393">
        <v>20</v>
      </c>
    </row>
    <row r="8394" spans="1:13" x14ac:dyDescent="0.25">
      <c r="A8394">
        <v>9800943180</v>
      </c>
      <c r="B8394" t="s">
        <v>18732</v>
      </c>
      <c r="C8394" t="s">
        <v>20</v>
      </c>
      <c r="D8394" t="s">
        <v>26</v>
      </c>
      <c r="F8394">
        <v>1</v>
      </c>
      <c r="G8394" t="s">
        <v>16</v>
      </c>
      <c r="H8394">
        <v>0</v>
      </c>
      <c r="I8394" s="2" t="s">
        <v>51</v>
      </c>
      <c r="J8394" s="2">
        <v>9800943180</v>
      </c>
      <c r="K8394">
        <v>20</v>
      </c>
      <c r="L8394">
        <v>20</v>
      </c>
      <c r="M8394">
        <v>20</v>
      </c>
    </row>
    <row r="8395" spans="1:13" x14ac:dyDescent="0.25">
      <c r="A8395" t="s">
        <v>18733</v>
      </c>
      <c r="B8395" t="s">
        <v>18734</v>
      </c>
      <c r="C8395" t="s">
        <v>20</v>
      </c>
      <c r="D8395" t="s">
        <v>26</v>
      </c>
      <c r="F8395">
        <v>1</v>
      </c>
      <c r="G8395" t="s">
        <v>16</v>
      </c>
      <c r="H8395">
        <v>0</v>
      </c>
      <c r="I8395" s="2" t="s">
        <v>99</v>
      </c>
      <c r="J8395" s="3">
        <v>750931</v>
      </c>
      <c r="K8395">
        <v>20</v>
      </c>
      <c r="L8395">
        <v>20</v>
      </c>
      <c r="M8395">
        <v>20</v>
      </c>
    </row>
    <row r="8396" spans="1:13" x14ac:dyDescent="0.25">
      <c r="A8396">
        <v>9801258280</v>
      </c>
      <c r="B8396" t="s">
        <v>18735</v>
      </c>
      <c r="C8396" t="s">
        <v>20</v>
      </c>
      <c r="F8396">
        <v>1</v>
      </c>
      <c r="G8396" t="s">
        <v>16</v>
      </c>
      <c r="H8396">
        <v>0</v>
      </c>
      <c r="I8396" s="2" t="s">
        <v>51</v>
      </c>
      <c r="J8396" s="2">
        <v>9801258280</v>
      </c>
      <c r="K8396">
        <v>20</v>
      </c>
      <c r="L8396">
        <v>20</v>
      </c>
      <c r="M8396">
        <v>20</v>
      </c>
    </row>
    <row r="8397" spans="1:13" x14ac:dyDescent="0.25">
      <c r="A8397">
        <v>9801271180</v>
      </c>
      <c r="B8397" t="s">
        <v>18736</v>
      </c>
      <c r="C8397" t="s">
        <v>1432</v>
      </c>
      <c r="D8397" t="s">
        <v>6280</v>
      </c>
      <c r="F8397">
        <v>2</v>
      </c>
      <c r="G8397" t="s">
        <v>16</v>
      </c>
      <c r="H8397">
        <v>0</v>
      </c>
      <c r="I8397" s="2" t="s">
        <v>51</v>
      </c>
      <c r="J8397" s="2">
        <v>9801271180</v>
      </c>
      <c r="K8397">
        <v>20</v>
      </c>
      <c r="L8397">
        <v>20</v>
      </c>
      <c r="M8397">
        <v>20</v>
      </c>
    </row>
    <row r="8398" spans="1:13" x14ac:dyDescent="0.25">
      <c r="A8398" t="s">
        <v>18737</v>
      </c>
      <c r="B8398" t="s">
        <v>18738</v>
      </c>
      <c r="C8398" t="s">
        <v>241</v>
      </c>
      <c r="D8398" t="s">
        <v>242</v>
      </c>
      <c r="G8398" t="s">
        <v>16</v>
      </c>
      <c r="H8398">
        <v>0</v>
      </c>
      <c r="I8398" s="2" t="s">
        <v>243</v>
      </c>
      <c r="J8398" s="2">
        <v>17289</v>
      </c>
      <c r="K8398">
        <v>20</v>
      </c>
      <c r="L8398">
        <v>20</v>
      </c>
      <c r="M8398">
        <v>20</v>
      </c>
    </row>
    <row r="8399" spans="1:13" x14ac:dyDescent="0.25">
      <c r="A8399" t="s">
        <v>18739</v>
      </c>
      <c r="B8399" t="s">
        <v>18738</v>
      </c>
      <c r="C8399" t="s">
        <v>241</v>
      </c>
      <c r="D8399" t="s">
        <v>242</v>
      </c>
      <c r="F8399">
        <v>2</v>
      </c>
      <c r="G8399" t="s">
        <v>16</v>
      </c>
      <c r="H8399">
        <v>0</v>
      </c>
      <c r="I8399" s="2" t="s">
        <v>266</v>
      </c>
      <c r="J8399" s="2">
        <v>68439</v>
      </c>
      <c r="K8399">
        <v>20</v>
      </c>
      <c r="L8399">
        <v>20</v>
      </c>
      <c r="M8399">
        <v>20</v>
      </c>
    </row>
    <row r="8400" spans="1:13" x14ac:dyDescent="0.25">
      <c r="A8400" t="s">
        <v>18740</v>
      </c>
      <c r="B8400" t="s">
        <v>18741</v>
      </c>
      <c r="C8400" t="s">
        <v>241</v>
      </c>
      <c r="D8400" t="s">
        <v>262</v>
      </c>
      <c r="F8400">
        <v>1</v>
      </c>
      <c r="G8400" t="s">
        <v>16</v>
      </c>
      <c r="H8400">
        <v>0</v>
      </c>
      <c r="I8400" s="2" t="s">
        <v>737</v>
      </c>
      <c r="J8400" s="2" t="s">
        <v>18742</v>
      </c>
      <c r="K8400">
        <v>20</v>
      </c>
      <c r="L8400">
        <v>20</v>
      </c>
      <c r="M8400">
        <v>20</v>
      </c>
    </row>
    <row r="8401" spans="1:13" x14ac:dyDescent="0.25">
      <c r="A8401">
        <v>9801366680</v>
      </c>
      <c r="B8401" t="s">
        <v>18743</v>
      </c>
      <c r="C8401" t="s">
        <v>14</v>
      </c>
      <c r="D8401" t="s">
        <v>2620</v>
      </c>
      <c r="G8401" t="s">
        <v>16</v>
      </c>
      <c r="H8401">
        <v>0</v>
      </c>
      <c r="I8401" s="2" t="s">
        <v>51</v>
      </c>
      <c r="J8401" s="2">
        <v>9801366680</v>
      </c>
      <c r="K8401">
        <v>20</v>
      </c>
      <c r="L8401">
        <v>20</v>
      </c>
      <c r="M8401">
        <v>20</v>
      </c>
    </row>
    <row r="8402" spans="1:13" x14ac:dyDescent="0.25">
      <c r="A8402" t="s">
        <v>18744</v>
      </c>
      <c r="B8402" t="s">
        <v>18743</v>
      </c>
      <c r="C8402" t="s">
        <v>14</v>
      </c>
      <c r="D8402" t="s">
        <v>2620</v>
      </c>
      <c r="F8402">
        <v>1</v>
      </c>
      <c r="G8402" t="s">
        <v>16</v>
      </c>
      <c r="H8402">
        <v>0</v>
      </c>
      <c r="I8402" s="2" t="s">
        <v>707</v>
      </c>
      <c r="J8402" s="2" t="s">
        <v>18745</v>
      </c>
      <c r="K8402">
        <v>20</v>
      </c>
      <c r="L8402">
        <v>20</v>
      </c>
      <c r="M8402">
        <v>20</v>
      </c>
    </row>
    <row r="8403" spans="1:13" x14ac:dyDescent="0.25">
      <c r="A8403" t="s">
        <v>18746</v>
      </c>
      <c r="B8403" t="s">
        <v>18747</v>
      </c>
      <c r="C8403" t="s">
        <v>14</v>
      </c>
      <c r="D8403" t="s">
        <v>2620</v>
      </c>
      <c r="F8403">
        <v>1</v>
      </c>
      <c r="G8403" t="s">
        <v>16</v>
      </c>
      <c r="H8403">
        <v>0</v>
      </c>
      <c r="I8403" s="2" t="s">
        <v>389</v>
      </c>
      <c r="J8403" s="2">
        <v>1643624980</v>
      </c>
      <c r="K8403">
        <v>20</v>
      </c>
      <c r="L8403">
        <v>20</v>
      </c>
      <c r="M8403">
        <v>20</v>
      </c>
    </row>
    <row r="8404" spans="1:13" x14ac:dyDescent="0.25">
      <c r="A8404" t="s">
        <v>18748</v>
      </c>
      <c r="B8404" t="s">
        <v>18743</v>
      </c>
      <c r="C8404" t="s">
        <v>14</v>
      </c>
      <c r="D8404" t="s">
        <v>2620</v>
      </c>
      <c r="F8404">
        <v>4</v>
      </c>
      <c r="G8404" t="s">
        <v>16</v>
      </c>
      <c r="H8404">
        <v>0</v>
      </c>
      <c r="I8404" s="2" t="s">
        <v>4708</v>
      </c>
      <c r="J8404" s="2" t="s">
        <v>18749</v>
      </c>
      <c r="K8404">
        <v>20</v>
      </c>
      <c r="L8404">
        <v>20</v>
      </c>
      <c r="M8404">
        <v>20</v>
      </c>
    </row>
    <row r="8405" spans="1:13" x14ac:dyDescent="0.25">
      <c r="A8405" t="s">
        <v>18750</v>
      </c>
      <c r="B8405" t="s">
        <v>18743</v>
      </c>
      <c r="C8405" t="s">
        <v>14</v>
      </c>
      <c r="D8405" t="s">
        <v>2620</v>
      </c>
      <c r="F8405">
        <v>4</v>
      </c>
      <c r="G8405" t="s">
        <v>16</v>
      </c>
      <c r="H8405">
        <v>0</v>
      </c>
      <c r="I8405" s="2" t="s">
        <v>500</v>
      </c>
      <c r="J8405" s="2" t="s">
        <v>18751</v>
      </c>
      <c r="K8405">
        <v>20</v>
      </c>
      <c r="L8405">
        <v>20</v>
      </c>
      <c r="M8405">
        <v>20</v>
      </c>
    </row>
    <row r="8406" spans="1:13" x14ac:dyDescent="0.25">
      <c r="A8406" t="s">
        <v>18752</v>
      </c>
      <c r="B8406" t="s">
        <v>18743</v>
      </c>
      <c r="C8406" t="s">
        <v>14</v>
      </c>
      <c r="D8406" t="s">
        <v>2620</v>
      </c>
      <c r="F8406">
        <v>1</v>
      </c>
      <c r="G8406" t="s">
        <v>16</v>
      </c>
      <c r="H8406">
        <v>0</v>
      </c>
      <c r="I8406" s="2" t="s">
        <v>4810</v>
      </c>
      <c r="J8406" s="2" t="s">
        <v>18753</v>
      </c>
      <c r="K8406">
        <v>20</v>
      </c>
      <c r="L8406">
        <v>20</v>
      </c>
      <c r="M8406">
        <v>20</v>
      </c>
    </row>
    <row r="8407" spans="1:13" x14ac:dyDescent="0.25">
      <c r="A8407" t="s">
        <v>18754</v>
      </c>
      <c r="B8407" t="s">
        <v>18755</v>
      </c>
      <c r="C8407" t="s">
        <v>357</v>
      </c>
      <c r="D8407" t="s">
        <v>792</v>
      </c>
      <c r="F8407">
        <v>1</v>
      </c>
      <c r="G8407" t="s">
        <v>16</v>
      </c>
      <c r="H8407">
        <v>0</v>
      </c>
      <c r="I8407" s="2" t="s">
        <v>842</v>
      </c>
      <c r="J8407" s="2">
        <v>506914</v>
      </c>
      <c r="K8407">
        <v>20</v>
      </c>
      <c r="L8407">
        <v>20</v>
      </c>
      <c r="M8407">
        <v>20</v>
      </c>
    </row>
    <row r="8408" spans="1:13" x14ac:dyDescent="0.25">
      <c r="A8408" t="s">
        <v>18756</v>
      </c>
      <c r="B8408" t="s">
        <v>18757</v>
      </c>
      <c r="C8408" t="s">
        <v>151</v>
      </c>
      <c r="D8408" t="s">
        <v>1670</v>
      </c>
      <c r="F8408">
        <v>1</v>
      </c>
      <c r="G8408" t="s">
        <v>16</v>
      </c>
      <c r="H8408">
        <v>0</v>
      </c>
      <c r="I8408" s="2" t="s">
        <v>162</v>
      </c>
      <c r="J8408" s="2">
        <v>83284</v>
      </c>
      <c r="K8408">
        <v>20</v>
      </c>
      <c r="L8408">
        <v>20</v>
      </c>
      <c r="M8408">
        <v>20</v>
      </c>
    </row>
    <row r="8409" spans="1:13" x14ac:dyDescent="0.25">
      <c r="A8409">
        <v>9801728380</v>
      </c>
      <c r="B8409" t="s">
        <v>18758</v>
      </c>
      <c r="C8409" t="s">
        <v>20</v>
      </c>
      <c r="D8409" t="s">
        <v>26</v>
      </c>
      <c r="F8409">
        <v>1</v>
      </c>
      <c r="G8409" t="s">
        <v>16</v>
      </c>
      <c r="H8409">
        <v>0</v>
      </c>
      <c r="I8409" s="2" t="s">
        <v>51</v>
      </c>
      <c r="J8409" s="2">
        <v>9801728380</v>
      </c>
      <c r="K8409">
        <v>20</v>
      </c>
      <c r="L8409">
        <v>20</v>
      </c>
      <c r="M8409">
        <v>20</v>
      </c>
    </row>
    <row r="8410" spans="1:13" x14ac:dyDescent="0.25">
      <c r="A8410" t="s">
        <v>18759</v>
      </c>
      <c r="B8410" t="s">
        <v>18760</v>
      </c>
      <c r="C8410" t="s">
        <v>357</v>
      </c>
      <c r="D8410" t="s">
        <v>358</v>
      </c>
      <c r="F8410">
        <v>1</v>
      </c>
      <c r="G8410" t="s">
        <v>16</v>
      </c>
      <c r="H8410">
        <v>0</v>
      </c>
      <c r="I8410" s="2" t="s">
        <v>125</v>
      </c>
      <c r="J8410" s="2">
        <v>41703068</v>
      </c>
      <c r="K8410">
        <v>20</v>
      </c>
      <c r="L8410">
        <v>20</v>
      </c>
      <c r="M8410">
        <v>20</v>
      </c>
    </row>
    <row r="8411" spans="1:13" x14ac:dyDescent="0.25">
      <c r="A8411">
        <v>9801887680</v>
      </c>
      <c r="B8411" t="s">
        <v>18761</v>
      </c>
      <c r="C8411" t="s">
        <v>151</v>
      </c>
      <c r="D8411" t="s">
        <v>6316</v>
      </c>
      <c r="F8411">
        <v>2</v>
      </c>
      <c r="G8411" t="s">
        <v>16</v>
      </c>
      <c r="H8411">
        <v>0</v>
      </c>
      <c r="I8411" s="2" t="s">
        <v>51</v>
      </c>
      <c r="J8411" s="2">
        <v>9801887680</v>
      </c>
      <c r="K8411">
        <v>20</v>
      </c>
      <c r="L8411">
        <v>20</v>
      </c>
      <c r="M8411">
        <v>20</v>
      </c>
    </row>
    <row r="8412" spans="1:13" x14ac:dyDescent="0.25">
      <c r="A8412" t="s">
        <v>18762</v>
      </c>
      <c r="B8412" t="s">
        <v>18763</v>
      </c>
      <c r="C8412" t="s">
        <v>496</v>
      </c>
      <c r="D8412" t="s">
        <v>2360</v>
      </c>
      <c r="F8412">
        <v>0</v>
      </c>
      <c r="G8412" t="s">
        <v>16</v>
      </c>
      <c r="H8412">
        <v>0</v>
      </c>
      <c r="I8412" s="2" t="s">
        <v>5044</v>
      </c>
      <c r="J8412" s="2" t="s">
        <v>18764</v>
      </c>
      <c r="K8412">
        <v>20</v>
      </c>
      <c r="L8412">
        <v>20</v>
      </c>
      <c r="M8412">
        <v>20</v>
      </c>
    </row>
    <row r="8413" spans="1:13" x14ac:dyDescent="0.25">
      <c r="A8413" t="s">
        <v>18765</v>
      </c>
      <c r="B8413" t="s">
        <v>18766</v>
      </c>
      <c r="C8413" t="s">
        <v>496</v>
      </c>
      <c r="D8413" t="s">
        <v>2360</v>
      </c>
      <c r="F8413">
        <v>0</v>
      </c>
      <c r="G8413" t="s">
        <v>16</v>
      </c>
      <c r="H8413">
        <v>0</v>
      </c>
      <c r="I8413" s="2" t="s">
        <v>5044</v>
      </c>
      <c r="J8413" s="2" t="s">
        <v>18767</v>
      </c>
      <c r="K8413">
        <v>20</v>
      </c>
      <c r="L8413">
        <v>20</v>
      </c>
      <c r="M8413">
        <v>20</v>
      </c>
    </row>
    <row r="8414" spans="1:13" x14ac:dyDescent="0.25">
      <c r="A8414" t="s">
        <v>18768</v>
      </c>
      <c r="B8414" t="s">
        <v>18769</v>
      </c>
      <c r="C8414" t="s">
        <v>14</v>
      </c>
      <c r="D8414" t="s">
        <v>191</v>
      </c>
      <c r="F8414">
        <v>5</v>
      </c>
      <c r="G8414" t="s">
        <v>16</v>
      </c>
      <c r="H8414">
        <v>0</v>
      </c>
      <c r="I8414" s="2" t="s">
        <v>4783</v>
      </c>
      <c r="J8414" s="2">
        <v>9802348680</v>
      </c>
      <c r="K8414">
        <v>20</v>
      </c>
      <c r="L8414">
        <v>20</v>
      </c>
      <c r="M8414">
        <v>20</v>
      </c>
    </row>
    <row r="8415" spans="1:13" x14ac:dyDescent="0.25">
      <c r="A8415" t="s">
        <v>18770</v>
      </c>
      <c r="B8415" t="s">
        <v>18769</v>
      </c>
      <c r="C8415" t="s">
        <v>14</v>
      </c>
      <c r="D8415" t="s">
        <v>191</v>
      </c>
      <c r="F8415">
        <v>5</v>
      </c>
      <c r="G8415" t="s">
        <v>16</v>
      </c>
      <c r="H8415">
        <v>0</v>
      </c>
      <c r="I8415" s="2" t="s">
        <v>500</v>
      </c>
      <c r="J8415" s="2" t="s">
        <v>18771</v>
      </c>
      <c r="K8415">
        <v>20</v>
      </c>
      <c r="L8415">
        <v>20</v>
      </c>
      <c r="M8415">
        <v>20</v>
      </c>
    </row>
    <row r="8416" spans="1:13" x14ac:dyDescent="0.25">
      <c r="A8416" t="s">
        <v>18772</v>
      </c>
      <c r="B8416" t="s">
        <v>18769</v>
      </c>
      <c r="C8416" t="s">
        <v>14</v>
      </c>
      <c r="D8416" t="s">
        <v>191</v>
      </c>
      <c r="F8416">
        <v>0</v>
      </c>
      <c r="G8416" t="s">
        <v>16</v>
      </c>
      <c r="H8416">
        <v>0</v>
      </c>
      <c r="I8416" s="2" t="s">
        <v>7690</v>
      </c>
      <c r="J8416" s="2" t="s">
        <v>18773</v>
      </c>
      <c r="K8416">
        <v>20</v>
      </c>
      <c r="L8416">
        <v>20</v>
      </c>
      <c r="M8416">
        <v>20</v>
      </c>
    </row>
    <row r="8417" spans="1:13" x14ac:dyDescent="0.25">
      <c r="A8417" t="s">
        <v>18774</v>
      </c>
      <c r="B8417" t="s">
        <v>18769</v>
      </c>
      <c r="C8417" t="s">
        <v>14</v>
      </c>
      <c r="D8417" t="s">
        <v>191</v>
      </c>
      <c r="G8417" t="s">
        <v>16</v>
      </c>
      <c r="H8417">
        <v>0</v>
      </c>
      <c r="I8417" s="2" t="s">
        <v>4807</v>
      </c>
      <c r="J8417" s="2" t="s">
        <v>18775</v>
      </c>
      <c r="K8417">
        <v>20</v>
      </c>
      <c r="L8417">
        <v>20</v>
      </c>
      <c r="M8417">
        <v>20</v>
      </c>
    </row>
    <row r="8418" spans="1:13" x14ac:dyDescent="0.25">
      <c r="A8418">
        <v>9802359080</v>
      </c>
      <c r="B8418" t="s">
        <v>18776</v>
      </c>
      <c r="C8418" t="s">
        <v>20</v>
      </c>
      <c r="F8418">
        <v>1</v>
      </c>
      <c r="G8418" t="s">
        <v>16</v>
      </c>
      <c r="H8418">
        <v>0</v>
      </c>
      <c r="I8418" s="2" t="s">
        <v>55</v>
      </c>
      <c r="J8418" s="2">
        <v>9802359080</v>
      </c>
      <c r="K8418">
        <v>20</v>
      </c>
      <c r="L8418">
        <v>20</v>
      </c>
      <c r="M8418">
        <v>20</v>
      </c>
    </row>
    <row r="8419" spans="1:13" x14ac:dyDescent="0.25">
      <c r="A8419">
        <v>9802448680</v>
      </c>
      <c r="B8419" t="s">
        <v>18777</v>
      </c>
      <c r="C8419" t="s">
        <v>20</v>
      </c>
      <c r="G8419" t="s">
        <v>16</v>
      </c>
      <c r="H8419">
        <v>0</v>
      </c>
      <c r="I8419" s="2" t="s">
        <v>51</v>
      </c>
      <c r="J8419" s="2">
        <v>9802448680</v>
      </c>
      <c r="K8419">
        <v>20</v>
      </c>
      <c r="L8419">
        <v>20</v>
      </c>
      <c r="M8419">
        <v>20</v>
      </c>
    </row>
    <row r="8420" spans="1:13" x14ac:dyDescent="0.25">
      <c r="A8420" t="s">
        <v>18778</v>
      </c>
      <c r="B8420" t="s">
        <v>18779</v>
      </c>
      <c r="C8420" t="s">
        <v>20</v>
      </c>
      <c r="D8420" t="s">
        <v>26</v>
      </c>
      <c r="F8420">
        <v>1</v>
      </c>
      <c r="G8420" t="s">
        <v>16</v>
      </c>
      <c r="H8420">
        <v>0</v>
      </c>
      <c r="I8420" s="2" t="s">
        <v>99</v>
      </c>
      <c r="J8420" s="3">
        <v>582580</v>
      </c>
      <c r="K8420">
        <v>20</v>
      </c>
      <c r="L8420">
        <v>20</v>
      </c>
      <c r="M8420">
        <v>20</v>
      </c>
    </row>
    <row r="8421" spans="1:13" x14ac:dyDescent="0.25">
      <c r="A8421" t="s">
        <v>18780</v>
      </c>
      <c r="B8421" t="s">
        <v>6294</v>
      </c>
      <c r="C8421" t="s">
        <v>20</v>
      </c>
      <c r="D8421" t="s">
        <v>26</v>
      </c>
      <c r="G8421" t="s">
        <v>16</v>
      </c>
      <c r="H8421">
        <v>0</v>
      </c>
      <c r="I8421" s="2" t="s">
        <v>57</v>
      </c>
      <c r="J8421" s="2" t="str">
        <f>"045881-V"</f>
        <v>045881-V</v>
      </c>
      <c r="K8421">
        <v>20</v>
      </c>
      <c r="L8421">
        <v>20</v>
      </c>
      <c r="M8421">
        <v>20</v>
      </c>
    </row>
    <row r="8422" spans="1:13" x14ac:dyDescent="0.25">
      <c r="A8422">
        <v>9803299780</v>
      </c>
      <c r="B8422" t="s">
        <v>18781</v>
      </c>
      <c r="C8422" t="s">
        <v>151</v>
      </c>
      <c r="G8422" t="s">
        <v>16</v>
      </c>
      <c r="H8422">
        <v>0</v>
      </c>
      <c r="I8422" s="2" t="s">
        <v>55</v>
      </c>
      <c r="J8422" s="2">
        <v>9803299780</v>
      </c>
      <c r="K8422">
        <v>20</v>
      </c>
      <c r="L8422">
        <v>20</v>
      </c>
      <c r="M8422">
        <v>20</v>
      </c>
    </row>
    <row r="8423" spans="1:13" x14ac:dyDescent="0.25">
      <c r="A8423" t="s">
        <v>18782</v>
      </c>
      <c r="B8423" t="s">
        <v>18783</v>
      </c>
      <c r="C8423" t="s">
        <v>151</v>
      </c>
      <c r="G8423" t="s">
        <v>16</v>
      </c>
      <c r="H8423">
        <v>0</v>
      </c>
      <c r="I8423" s="2" t="s">
        <v>18784</v>
      </c>
      <c r="J8423" s="2">
        <v>75614348</v>
      </c>
      <c r="K8423">
        <v>20</v>
      </c>
      <c r="L8423">
        <v>20</v>
      </c>
      <c r="M8423">
        <v>20</v>
      </c>
    </row>
    <row r="8424" spans="1:13" x14ac:dyDescent="0.25">
      <c r="A8424" t="s">
        <v>18785</v>
      </c>
      <c r="B8424" t="s">
        <v>18786</v>
      </c>
      <c r="C8424" t="s">
        <v>496</v>
      </c>
      <c r="F8424">
        <v>2</v>
      </c>
      <c r="G8424" t="s">
        <v>16</v>
      </c>
      <c r="H8424">
        <v>0</v>
      </c>
      <c r="I8424" s="2" t="s">
        <v>2517</v>
      </c>
      <c r="J8424" s="2" t="s">
        <v>18787</v>
      </c>
      <c r="K8424">
        <v>20</v>
      </c>
      <c r="L8424">
        <v>20</v>
      </c>
      <c r="M8424">
        <v>20</v>
      </c>
    </row>
    <row r="8425" spans="1:13" x14ac:dyDescent="0.25">
      <c r="A8425" t="s">
        <v>18788</v>
      </c>
      <c r="B8425" t="s">
        <v>18789</v>
      </c>
      <c r="C8425" t="s">
        <v>496</v>
      </c>
      <c r="F8425">
        <v>0</v>
      </c>
      <c r="G8425" t="s">
        <v>16</v>
      </c>
      <c r="H8425">
        <v>0</v>
      </c>
      <c r="I8425" s="2" t="s">
        <v>5040</v>
      </c>
      <c r="J8425" s="2" t="str">
        <f>"04-04311"</f>
        <v>04-04311</v>
      </c>
      <c r="K8425">
        <v>20</v>
      </c>
      <c r="L8425">
        <v>20</v>
      </c>
      <c r="M8425">
        <v>20</v>
      </c>
    </row>
    <row r="8426" spans="1:13" x14ac:dyDescent="0.25">
      <c r="A8426" t="s">
        <v>18790</v>
      </c>
      <c r="B8426" t="s">
        <v>18792</v>
      </c>
      <c r="C8426" t="s">
        <v>357</v>
      </c>
      <c r="D8426" t="s">
        <v>792</v>
      </c>
      <c r="F8426">
        <v>3</v>
      </c>
      <c r="G8426" t="s">
        <v>16</v>
      </c>
      <c r="H8426">
        <v>0</v>
      </c>
      <c r="I8426" s="2" t="s">
        <v>765</v>
      </c>
      <c r="J8426" s="2" t="s">
        <v>18791</v>
      </c>
      <c r="K8426">
        <v>20</v>
      </c>
      <c r="L8426">
        <v>20</v>
      </c>
      <c r="M8426">
        <v>20</v>
      </c>
    </row>
    <row r="8427" spans="1:13" x14ac:dyDescent="0.25">
      <c r="A8427" t="s">
        <v>18793</v>
      </c>
      <c r="B8427" t="s">
        <v>18792</v>
      </c>
      <c r="C8427" t="s">
        <v>357</v>
      </c>
      <c r="D8427" t="s">
        <v>792</v>
      </c>
      <c r="F8427">
        <v>2</v>
      </c>
      <c r="G8427" t="s">
        <v>16</v>
      </c>
      <c r="H8427">
        <v>0</v>
      </c>
      <c r="I8427" s="2" t="s">
        <v>479</v>
      </c>
      <c r="J8427" s="2" t="s">
        <v>18794</v>
      </c>
      <c r="K8427">
        <v>20</v>
      </c>
      <c r="L8427">
        <v>20</v>
      </c>
      <c r="M8427">
        <v>20</v>
      </c>
    </row>
    <row r="8428" spans="1:13" x14ac:dyDescent="0.25">
      <c r="A8428">
        <v>9803673380</v>
      </c>
      <c r="B8428" t="s">
        <v>18795</v>
      </c>
      <c r="C8428" t="s">
        <v>20</v>
      </c>
      <c r="D8428" t="s">
        <v>26</v>
      </c>
      <c r="F8428">
        <v>1</v>
      </c>
      <c r="G8428" t="s">
        <v>16</v>
      </c>
      <c r="H8428">
        <v>0</v>
      </c>
      <c r="I8428" s="2" t="s">
        <v>51</v>
      </c>
      <c r="J8428" s="2">
        <v>9803673380</v>
      </c>
      <c r="K8428">
        <v>20</v>
      </c>
      <c r="L8428">
        <v>20</v>
      </c>
      <c r="M8428">
        <v>20</v>
      </c>
    </row>
    <row r="8429" spans="1:13" x14ac:dyDescent="0.25">
      <c r="A8429" t="s">
        <v>18796</v>
      </c>
      <c r="B8429" t="s">
        <v>18797</v>
      </c>
      <c r="C8429" t="s">
        <v>20</v>
      </c>
      <c r="D8429" t="s">
        <v>26</v>
      </c>
      <c r="G8429" t="s">
        <v>16</v>
      </c>
      <c r="H8429">
        <v>0</v>
      </c>
      <c r="I8429" s="2" t="s">
        <v>99</v>
      </c>
      <c r="J8429" s="3">
        <v>729040</v>
      </c>
      <c r="K8429">
        <v>20</v>
      </c>
      <c r="L8429">
        <v>20</v>
      </c>
      <c r="M8429">
        <v>20</v>
      </c>
    </row>
    <row r="8430" spans="1:13" x14ac:dyDescent="0.25">
      <c r="A8430" t="s">
        <v>18798</v>
      </c>
      <c r="B8430" t="s">
        <v>18799</v>
      </c>
      <c r="C8430" t="s">
        <v>20</v>
      </c>
      <c r="D8430" t="s">
        <v>899</v>
      </c>
      <c r="F8430">
        <v>2</v>
      </c>
      <c r="G8430" t="s">
        <v>16</v>
      </c>
      <c r="H8430">
        <v>0</v>
      </c>
      <c r="I8430" s="2" t="s">
        <v>3710</v>
      </c>
      <c r="J8430" s="2" t="s">
        <v>18800</v>
      </c>
      <c r="K8430">
        <v>20</v>
      </c>
      <c r="L8430">
        <v>20</v>
      </c>
      <c r="M8430">
        <v>20</v>
      </c>
    </row>
    <row r="8431" spans="1:13" x14ac:dyDescent="0.25">
      <c r="A8431" t="s">
        <v>18801</v>
      </c>
      <c r="B8431" t="s">
        <v>18799</v>
      </c>
      <c r="C8431" t="s">
        <v>20</v>
      </c>
      <c r="D8431" t="s">
        <v>899</v>
      </c>
      <c r="G8431" t="s">
        <v>16</v>
      </c>
      <c r="H8431">
        <v>0</v>
      </c>
      <c r="I8431" s="2" t="s">
        <v>383</v>
      </c>
      <c r="J8431" s="2">
        <v>1987945730</v>
      </c>
      <c r="K8431">
        <v>20</v>
      </c>
      <c r="L8431">
        <v>20</v>
      </c>
      <c r="M8431">
        <v>20</v>
      </c>
    </row>
    <row r="8432" spans="1:13" x14ac:dyDescent="0.25">
      <c r="A8432" t="s">
        <v>18802</v>
      </c>
      <c r="B8432" t="s">
        <v>18799</v>
      </c>
      <c r="C8432" t="s">
        <v>20</v>
      </c>
      <c r="D8432" t="s">
        <v>899</v>
      </c>
      <c r="F8432">
        <v>1</v>
      </c>
      <c r="G8432" t="s">
        <v>16</v>
      </c>
      <c r="H8432">
        <v>0</v>
      </c>
      <c r="I8432" s="2" t="s">
        <v>411</v>
      </c>
      <c r="J8432" s="2" t="s">
        <v>18803</v>
      </c>
      <c r="K8432">
        <v>20</v>
      </c>
      <c r="L8432">
        <v>20</v>
      </c>
      <c r="M8432">
        <v>20</v>
      </c>
    </row>
    <row r="8433" spans="1:13" x14ac:dyDescent="0.25">
      <c r="A8433" t="s">
        <v>18804</v>
      </c>
      <c r="B8433" t="s">
        <v>18805</v>
      </c>
      <c r="C8433" t="s">
        <v>20</v>
      </c>
      <c r="F8433">
        <v>1</v>
      </c>
      <c r="G8433" t="s">
        <v>16</v>
      </c>
      <c r="H8433">
        <v>0</v>
      </c>
      <c r="I8433" s="2" t="s">
        <v>906</v>
      </c>
      <c r="J8433" s="2" t="s">
        <v>18806</v>
      </c>
      <c r="K8433">
        <v>20</v>
      </c>
      <c r="L8433">
        <v>20</v>
      </c>
      <c r="M8433">
        <v>20</v>
      </c>
    </row>
    <row r="8434" spans="1:13" x14ac:dyDescent="0.25">
      <c r="A8434" t="s">
        <v>18807</v>
      </c>
      <c r="B8434" t="s">
        <v>18808</v>
      </c>
      <c r="C8434" t="s">
        <v>362</v>
      </c>
      <c r="D8434" t="s">
        <v>363</v>
      </c>
      <c r="G8434" t="s">
        <v>16</v>
      </c>
      <c r="H8434">
        <v>0</v>
      </c>
      <c r="I8434" s="2" t="s">
        <v>2533</v>
      </c>
      <c r="J8434" s="2" t="s">
        <v>18809</v>
      </c>
      <c r="K8434">
        <v>20</v>
      </c>
      <c r="L8434">
        <v>20</v>
      </c>
      <c r="M8434">
        <v>20</v>
      </c>
    </row>
    <row r="8435" spans="1:13" x14ac:dyDescent="0.25">
      <c r="A8435" t="s">
        <v>18810</v>
      </c>
      <c r="B8435" t="s">
        <v>18808</v>
      </c>
      <c r="C8435" t="s">
        <v>362</v>
      </c>
      <c r="D8435" t="s">
        <v>363</v>
      </c>
      <c r="F8435">
        <v>2</v>
      </c>
      <c r="G8435" t="s">
        <v>16</v>
      </c>
      <c r="H8435">
        <v>0</v>
      </c>
      <c r="I8435" s="2" t="s">
        <v>383</v>
      </c>
      <c r="J8435" s="2" t="str">
        <f>"0986479C33"</f>
        <v>0986479C33</v>
      </c>
      <c r="K8435">
        <v>20</v>
      </c>
      <c r="L8435">
        <v>20</v>
      </c>
      <c r="M8435">
        <v>20</v>
      </c>
    </row>
    <row r="8436" spans="1:13" x14ac:dyDescent="0.25">
      <c r="A8436" t="s">
        <v>18811</v>
      </c>
      <c r="B8436" t="s">
        <v>18812</v>
      </c>
      <c r="C8436" t="s">
        <v>20</v>
      </c>
      <c r="D8436" t="s">
        <v>26</v>
      </c>
      <c r="F8436">
        <v>1</v>
      </c>
      <c r="G8436" t="s">
        <v>16</v>
      </c>
      <c r="H8436">
        <v>0</v>
      </c>
      <c r="I8436" s="2" t="s">
        <v>99</v>
      </c>
      <c r="J8436" s="3">
        <v>577540</v>
      </c>
      <c r="K8436">
        <v>20</v>
      </c>
      <c r="L8436">
        <v>20</v>
      </c>
      <c r="M8436">
        <v>20</v>
      </c>
    </row>
    <row r="8437" spans="1:13" x14ac:dyDescent="0.25">
      <c r="A8437" t="s">
        <v>18813</v>
      </c>
      <c r="B8437" t="s">
        <v>18814</v>
      </c>
      <c r="C8437" t="s">
        <v>496</v>
      </c>
      <c r="D8437" t="s">
        <v>4083</v>
      </c>
      <c r="F8437">
        <v>0</v>
      </c>
      <c r="G8437" t="s">
        <v>16</v>
      </c>
      <c r="H8437">
        <v>0</v>
      </c>
      <c r="I8437" s="2" t="s">
        <v>2599</v>
      </c>
      <c r="J8437" s="2" t="s">
        <v>18815</v>
      </c>
      <c r="K8437">
        <v>20</v>
      </c>
      <c r="L8437">
        <v>20</v>
      </c>
      <c r="M8437">
        <v>20</v>
      </c>
    </row>
    <row r="8438" spans="1:13" x14ac:dyDescent="0.25">
      <c r="A8438" t="s">
        <v>18816</v>
      </c>
      <c r="B8438" t="s">
        <v>18818</v>
      </c>
      <c r="C8438" t="s">
        <v>362</v>
      </c>
      <c r="F8438">
        <v>1</v>
      </c>
      <c r="G8438" t="s">
        <v>16</v>
      </c>
      <c r="H8438">
        <v>0</v>
      </c>
      <c r="I8438" s="2" t="s">
        <v>2098</v>
      </c>
      <c r="J8438" s="2" t="s">
        <v>18817</v>
      </c>
      <c r="K8438">
        <v>20</v>
      </c>
      <c r="L8438">
        <v>20</v>
      </c>
      <c r="M8438">
        <v>20</v>
      </c>
    </row>
    <row r="8439" spans="1:13" x14ac:dyDescent="0.25">
      <c r="A8439" t="s">
        <v>18819</v>
      </c>
      <c r="B8439" t="s">
        <v>18818</v>
      </c>
      <c r="C8439" t="s">
        <v>362</v>
      </c>
      <c r="F8439">
        <v>3</v>
      </c>
      <c r="G8439" t="s">
        <v>16</v>
      </c>
      <c r="H8439">
        <v>0</v>
      </c>
      <c r="I8439" s="2" t="s">
        <v>7525</v>
      </c>
      <c r="J8439" s="2" t="s">
        <v>18820</v>
      </c>
      <c r="K8439">
        <v>20</v>
      </c>
      <c r="L8439">
        <v>20</v>
      </c>
      <c r="M8439">
        <v>20</v>
      </c>
    </row>
    <row r="8440" spans="1:13" x14ac:dyDescent="0.25">
      <c r="A8440" t="s">
        <v>18821</v>
      </c>
      <c r="B8440" t="s">
        <v>18822</v>
      </c>
      <c r="C8440" t="s">
        <v>14</v>
      </c>
      <c r="D8440" t="s">
        <v>15</v>
      </c>
      <c r="F8440">
        <v>-1</v>
      </c>
      <c r="G8440" t="s">
        <v>16</v>
      </c>
      <c r="H8440">
        <v>0</v>
      </c>
      <c r="K8440">
        <v>20</v>
      </c>
      <c r="L8440">
        <v>20</v>
      </c>
      <c r="M8440">
        <v>20</v>
      </c>
    </row>
    <row r="8441" spans="1:13" x14ac:dyDescent="0.25">
      <c r="A8441" t="s">
        <v>18823</v>
      </c>
      <c r="B8441" t="s">
        <v>18824</v>
      </c>
      <c r="C8441" t="s">
        <v>14</v>
      </c>
      <c r="D8441" t="s">
        <v>15</v>
      </c>
      <c r="F8441">
        <v>5</v>
      </c>
      <c r="G8441" t="s">
        <v>16</v>
      </c>
      <c r="H8441">
        <v>0</v>
      </c>
      <c r="K8441">
        <v>20</v>
      </c>
      <c r="L8441">
        <v>20</v>
      </c>
      <c r="M8441">
        <v>20</v>
      </c>
    </row>
    <row r="8442" spans="1:13" x14ac:dyDescent="0.25">
      <c r="A8442" t="s">
        <v>18825</v>
      </c>
      <c r="B8442" t="s">
        <v>18826</v>
      </c>
      <c r="C8442" t="s">
        <v>357</v>
      </c>
      <c r="D8442" t="s">
        <v>241</v>
      </c>
      <c r="F8442">
        <v>1</v>
      </c>
      <c r="G8442" t="s">
        <v>16</v>
      </c>
      <c r="H8442">
        <v>0</v>
      </c>
      <c r="I8442" s="2" t="s">
        <v>108</v>
      </c>
      <c r="J8442" s="3">
        <v>2581416009</v>
      </c>
      <c r="K8442">
        <v>20</v>
      </c>
      <c r="L8442">
        <v>20</v>
      </c>
      <c r="M8442">
        <v>20</v>
      </c>
    </row>
    <row r="8443" spans="1:13" x14ac:dyDescent="0.25">
      <c r="A8443" t="s">
        <v>18827</v>
      </c>
      <c r="B8443" t="s">
        <v>18828</v>
      </c>
      <c r="C8443" t="s">
        <v>151</v>
      </c>
      <c r="F8443">
        <v>1</v>
      </c>
      <c r="G8443" t="s">
        <v>16</v>
      </c>
      <c r="H8443">
        <v>0</v>
      </c>
      <c r="I8443" s="2" t="s">
        <v>712</v>
      </c>
      <c r="J8443" s="2">
        <v>51277385</v>
      </c>
      <c r="K8443">
        <v>20</v>
      </c>
      <c r="L8443">
        <v>20</v>
      </c>
      <c r="M8443">
        <v>20</v>
      </c>
    </row>
    <row r="8444" spans="1:13" x14ac:dyDescent="0.25">
      <c r="A8444" t="s">
        <v>18829</v>
      </c>
      <c r="B8444" t="s">
        <v>18830</v>
      </c>
      <c r="C8444" t="s">
        <v>20</v>
      </c>
      <c r="D8444" t="s">
        <v>26</v>
      </c>
      <c r="G8444" t="s">
        <v>16</v>
      </c>
      <c r="H8444">
        <v>0</v>
      </c>
      <c r="I8444" s="2" t="s">
        <v>97</v>
      </c>
      <c r="J8444" s="3">
        <v>650050</v>
      </c>
      <c r="K8444">
        <v>20</v>
      </c>
      <c r="L8444">
        <v>20</v>
      </c>
      <c r="M8444">
        <v>20</v>
      </c>
    </row>
    <row r="8445" spans="1:13" x14ac:dyDescent="0.25">
      <c r="A8445" t="s">
        <v>18831</v>
      </c>
      <c r="B8445" t="s">
        <v>18832</v>
      </c>
      <c r="C8445" t="s">
        <v>496</v>
      </c>
      <c r="D8445" t="s">
        <v>5856</v>
      </c>
      <c r="F8445">
        <v>2</v>
      </c>
      <c r="G8445" t="s">
        <v>16</v>
      </c>
      <c r="H8445">
        <v>0</v>
      </c>
      <c r="I8445" s="2" t="s">
        <v>5500</v>
      </c>
      <c r="J8445" s="2" t="s">
        <v>18833</v>
      </c>
      <c r="K8445">
        <v>20</v>
      </c>
      <c r="L8445">
        <v>20</v>
      </c>
      <c r="M8445">
        <v>20</v>
      </c>
    </row>
    <row r="8446" spans="1:13" x14ac:dyDescent="0.25">
      <c r="A8446" t="s">
        <v>18834</v>
      </c>
      <c r="B8446" t="s">
        <v>18835</v>
      </c>
      <c r="C8446" t="s">
        <v>496</v>
      </c>
      <c r="D8446" t="s">
        <v>2360</v>
      </c>
      <c r="F8446">
        <v>1</v>
      </c>
      <c r="G8446" t="s">
        <v>16</v>
      </c>
      <c r="H8446">
        <v>0</v>
      </c>
      <c r="I8446" s="2" t="s">
        <v>2670</v>
      </c>
      <c r="J8446" s="2" t="s">
        <v>18836</v>
      </c>
      <c r="K8446">
        <v>20</v>
      </c>
      <c r="L8446">
        <v>20</v>
      </c>
      <c r="M8446">
        <v>20</v>
      </c>
    </row>
    <row r="8447" spans="1:13" x14ac:dyDescent="0.25">
      <c r="A8447" t="s">
        <v>18837</v>
      </c>
      <c r="B8447" t="s">
        <v>18838</v>
      </c>
      <c r="C8447" t="s">
        <v>496</v>
      </c>
      <c r="D8447" t="s">
        <v>5856</v>
      </c>
      <c r="F8447">
        <v>2</v>
      </c>
      <c r="G8447" t="s">
        <v>16</v>
      </c>
      <c r="H8447">
        <v>0</v>
      </c>
      <c r="I8447" s="2" t="s">
        <v>5500</v>
      </c>
      <c r="J8447" s="2" t="s">
        <v>18839</v>
      </c>
      <c r="K8447">
        <v>20</v>
      </c>
      <c r="L8447">
        <v>20</v>
      </c>
      <c r="M8447">
        <v>20</v>
      </c>
    </row>
    <row r="8448" spans="1:13" x14ac:dyDescent="0.25">
      <c r="A8448" t="s">
        <v>18840</v>
      </c>
      <c r="B8448" t="s">
        <v>18841</v>
      </c>
      <c r="C8448" t="s">
        <v>496</v>
      </c>
      <c r="D8448" t="s">
        <v>2360</v>
      </c>
      <c r="F8448">
        <v>1</v>
      </c>
      <c r="G8448" t="s">
        <v>16</v>
      </c>
      <c r="H8448">
        <v>0</v>
      </c>
      <c r="I8448" s="2" t="s">
        <v>2670</v>
      </c>
      <c r="J8448" s="2" t="s">
        <v>18842</v>
      </c>
      <c r="K8448">
        <v>20</v>
      </c>
      <c r="L8448">
        <v>20</v>
      </c>
      <c r="M8448">
        <v>20</v>
      </c>
    </row>
    <row r="8449" spans="1:13" x14ac:dyDescent="0.25">
      <c r="A8449">
        <v>9805021880</v>
      </c>
      <c r="B8449" t="s">
        <v>18843</v>
      </c>
      <c r="C8449" t="s">
        <v>926</v>
      </c>
      <c r="D8449" t="s">
        <v>1036</v>
      </c>
      <c r="G8449" t="s">
        <v>16</v>
      </c>
      <c r="H8449">
        <v>0</v>
      </c>
      <c r="I8449" s="2" t="s">
        <v>51</v>
      </c>
      <c r="J8449" s="2" t="s">
        <v>18844</v>
      </c>
      <c r="K8449">
        <v>20</v>
      </c>
      <c r="L8449">
        <v>20</v>
      </c>
      <c r="M8449">
        <v>20</v>
      </c>
    </row>
    <row r="8450" spans="1:13" x14ac:dyDescent="0.25">
      <c r="A8450" t="s">
        <v>18845</v>
      </c>
      <c r="B8450" t="s">
        <v>18846</v>
      </c>
      <c r="C8450" t="s">
        <v>926</v>
      </c>
      <c r="D8450" t="s">
        <v>1036</v>
      </c>
      <c r="F8450">
        <v>40</v>
      </c>
      <c r="G8450" t="s">
        <v>16</v>
      </c>
      <c r="H8450">
        <v>0</v>
      </c>
      <c r="I8450" s="2" t="s">
        <v>383</v>
      </c>
      <c r="J8450" s="2" t="str">
        <f>"0242145607"</f>
        <v>0242145607</v>
      </c>
      <c r="K8450">
        <v>20</v>
      </c>
      <c r="L8450">
        <v>20</v>
      </c>
      <c r="M8450">
        <v>20</v>
      </c>
    </row>
    <row r="8451" spans="1:13" x14ac:dyDescent="0.25">
      <c r="A8451" t="s">
        <v>18847</v>
      </c>
      <c r="B8451" t="s">
        <v>18848</v>
      </c>
      <c r="C8451" t="s">
        <v>362</v>
      </c>
      <c r="D8451" t="s">
        <v>363</v>
      </c>
      <c r="F8451">
        <v>1</v>
      </c>
      <c r="G8451" t="s">
        <v>22</v>
      </c>
      <c r="H8451">
        <v>0</v>
      </c>
      <c r="I8451" s="2" t="s">
        <v>64</v>
      </c>
      <c r="J8451" s="2" t="str">
        <f>"07040579"</f>
        <v>07040579</v>
      </c>
      <c r="K8451">
        <v>20</v>
      </c>
      <c r="L8451">
        <v>20</v>
      </c>
      <c r="M8451">
        <v>20</v>
      </c>
    </row>
    <row r="8452" spans="1:13" x14ac:dyDescent="0.25">
      <c r="A8452" t="s">
        <v>18849</v>
      </c>
      <c r="B8452" t="s">
        <v>18850</v>
      </c>
      <c r="C8452" t="s">
        <v>362</v>
      </c>
      <c r="D8452" t="s">
        <v>363</v>
      </c>
      <c r="F8452">
        <v>1</v>
      </c>
      <c r="G8452" t="s">
        <v>22</v>
      </c>
      <c r="H8452">
        <v>0</v>
      </c>
      <c r="I8452" s="2" t="s">
        <v>6299</v>
      </c>
      <c r="J8452" s="2" t="s">
        <v>18851</v>
      </c>
      <c r="K8452">
        <v>20</v>
      </c>
      <c r="L8452">
        <v>20</v>
      </c>
      <c r="M8452">
        <v>20</v>
      </c>
    </row>
    <row r="8453" spans="1:13" x14ac:dyDescent="0.25">
      <c r="A8453" t="s">
        <v>18852</v>
      </c>
      <c r="B8453" t="s">
        <v>18853</v>
      </c>
      <c r="C8453" t="s">
        <v>496</v>
      </c>
      <c r="D8453" t="s">
        <v>2360</v>
      </c>
      <c r="F8453">
        <v>2</v>
      </c>
      <c r="G8453" t="s">
        <v>16</v>
      </c>
      <c r="H8453">
        <v>0</v>
      </c>
      <c r="I8453" s="2" t="s">
        <v>2300</v>
      </c>
      <c r="J8453" s="2">
        <v>41871</v>
      </c>
      <c r="K8453">
        <v>20</v>
      </c>
      <c r="L8453">
        <v>20</v>
      </c>
      <c r="M8453">
        <v>20</v>
      </c>
    </row>
    <row r="8454" spans="1:13" x14ac:dyDescent="0.25">
      <c r="A8454" t="s">
        <v>18854</v>
      </c>
      <c r="B8454" t="s">
        <v>18855</v>
      </c>
      <c r="C8454" t="s">
        <v>14</v>
      </c>
      <c r="D8454" t="s">
        <v>191</v>
      </c>
      <c r="F8454">
        <v>1</v>
      </c>
      <c r="G8454" t="s">
        <v>16</v>
      </c>
      <c r="H8454">
        <v>0</v>
      </c>
      <c r="I8454" s="2" t="s">
        <v>4708</v>
      </c>
      <c r="J8454" s="2" t="s">
        <v>18856</v>
      </c>
      <c r="K8454">
        <v>20</v>
      </c>
      <c r="L8454">
        <v>20</v>
      </c>
      <c r="M8454">
        <v>20</v>
      </c>
    </row>
    <row r="8455" spans="1:13" x14ac:dyDescent="0.25">
      <c r="A8455" t="s">
        <v>18857</v>
      </c>
      <c r="B8455" t="s">
        <v>18855</v>
      </c>
      <c r="C8455" t="s">
        <v>14</v>
      </c>
      <c r="D8455" t="s">
        <v>191</v>
      </c>
      <c r="F8455">
        <v>9</v>
      </c>
      <c r="G8455" t="s">
        <v>16</v>
      </c>
      <c r="H8455">
        <v>0</v>
      </c>
      <c r="I8455" s="2" t="s">
        <v>1741</v>
      </c>
      <c r="J8455" s="2" t="s">
        <v>18858</v>
      </c>
      <c r="K8455">
        <v>20</v>
      </c>
      <c r="L8455">
        <v>20</v>
      </c>
      <c r="M8455">
        <v>20</v>
      </c>
    </row>
    <row r="8456" spans="1:13" x14ac:dyDescent="0.25">
      <c r="A8456" t="s">
        <v>18859</v>
      </c>
      <c r="B8456" t="s">
        <v>18855</v>
      </c>
      <c r="C8456" t="s">
        <v>14</v>
      </c>
      <c r="D8456" t="s">
        <v>191</v>
      </c>
      <c r="F8456">
        <v>15</v>
      </c>
      <c r="G8456" t="s">
        <v>16</v>
      </c>
      <c r="H8456">
        <v>0</v>
      </c>
      <c r="I8456" s="2" t="s">
        <v>1175</v>
      </c>
      <c r="J8456" s="2" t="s">
        <v>18860</v>
      </c>
      <c r="K8456">
        <v>20</v>
      </c>
      <c r="L8456">
        <v>20</v>
      </c>
      <c r="M8456">
        <v>20</v>
      </c>
    </row>
    <row r="8457" spans="1:13" x14ac:dyDescent="0.25">
      <c r="A8457" t="s">
        <v>18861</v>
      </c>
      <c r="B8457" t="s">
        <v>18863</v>
      </c>
      <c r="C8457" t="s">
        <v>14</v>
      </c>
      <c r="D8457" t="s">
        <v>191</v>
      </c>
      <c r="G8457" t="s">
        <v>16</v>
      </c>
      <c r="H8457">
        <v>0</v>
      </c>
      <c r="I8457" s="2" t="s">
        <v>17</v>
      </c>
      <c r="J8457" s="2" t="s">
        <v>18862</v>
      </c>
      <c r="K8457">
        <v>20</v>
      </c>
      <c r="L8457">
        <v>20</v>
      </c>
      <c r="M8457">
        <v>20</v>
      </c>
    </row>
    <row r="8458" spans="1:13" x14ac:dyDescent="0.25">
      <c r="A8458" t="s">
        <v>18864</v>
      </c>
      <c r="B8458" t="s">
        <v>18855</v>
      </c>
      <c r="C8458" t="s">
        <v>14</v>
      </c>
      <c r="D8458" t="s">
        <v>191</v>
      </c>
      <c r="F8458">
        <v>2</v>
      </c>
      <c r="G8458" t="s">
        <v>16</v>
      </c>
      <c r="H8458">
        <v>0</v>
      </c>
      <c r="I8458" s="2" t="s">
        <v>4711</v>
      </c>
      <c r="J8458" s="2" t="s">
        <v>18865</v>
      </c>
      <c r="K8458">
        <v>20</v>
      </c>
      <c r="L8458">
        <v>20</v>
      </c>
      <c r="M8458">
        <v>20</v>
      </c>
    </row>
    <row r="8459" spans="1:13" x14ac:dyDescent="0.25">
      <c r="A8459" t="s">
        <v>18866</v>
      </c>
      <c r="B8459" t="s">
        <v>18855</v>
      </c>
      <c r="C8459" t="s">
        <v>14</v>
      </c>
      <c r="D8459" t="s">
        <v>191</v>
      </c>
      <c r="F8459">
        <v>23</v>
      </c>
      <c r="G8459" t="s">
        <v>16</v>
      </c>
      <c r="H8459">
        <v>0</v>
      </c>
      <c r="I8459" s="2" t="s">
        <v>7690</v>
      </c>
      <c r="J8459" s="2" t="s">
        <v>18867</v>
      </c>
      <c r="K8459">
        <v>20</v>
      </c>
      <c r="L8459">
        <v>20</v>
      </c>
      <c r="M8459">
        <v>20</v>
      </c>
    </row>
    <row r="8460" spans="1:13" x14ac:dyDescent="0.25">
      <c r="A8460" t="s">
        <v>18868</v>
      </c>
      <c r="B8460" t="s">
        <v>18855</v>
      </c>
      <c r="C8460" t="s">
        <v>14</v>
      </c>
      <c r="D8460" t="s">
        <v>191</v>
      </c>
      <c r="F8460">
        <v>10</v>
      </c>
      <c r="G8460" t="s">
        <v>16</v>
      </c>
      <c r="H8460">
        <v>0</v>
      </c>
      <c r="I8460" s="2" t="s">
        <v>4810</v>
      </c>
      <c r="J8460" s="2" t="s">
        <v>18869</v>
      </c>
      <c r="K8460">
        <v>20</v>
      </c>
      <c r="L8460">
        <v>20</v>
      </c>
      <c r="M8460">
        <v>20</v>
      </c>
    </row>
    <row r="8461" spans="1:13" x14ac:dyDescent="0.25">
      <c r="A8461" t="s">
        <v>18870</v>
      </c>
      <c r="B8461" t="s">
        <v>18872</v>
      </c>
      <c r="C8461" t="s">
        <v>496</v>
      </c>
      <c r="D8461" t="s">
        <v>2360</v>
      </c>
      <c r="F8461">
        <v>2</v>
      </c>
      <c r="G8461" t="s">
        <v>16</v>
      </c>
      <c r="H8461">
        <v>0</v>
      </c>
      <c r="I8461" s="2" t="s">
        <v>2881</v>
      </c>
      <c r="J8461" s="2" t="s">
        <v>18871</v>
      </c>
      <c r="K8461">
        <v>20</v>
      </c>
      <c r="L8461">
        <v>20</v>
      </c>
      <c r="M8461">
        <v>20</v>
      </c>
    </row>
    <row r="8462" spans="1:13" x14ac:dyDescent="0.25">
      <c r="A8462" t="s">
        <v>18873</v>
      </c>
      <c r="B8462" t="s">
        <v>18872</v>
      </c>
      <c r="C8462" t="s">
        <v>496</v>
      </c>
      <c r="D8462" t="s">
        <v>2360</v>
      </c>
      <c r="F8462">
        <v>1</v>
      </c>
      <c r="G8462" t="s">
        <v>16</v>
      </c>
      <c r="H8462">
        <v>0</v>
      </c>
      <c r="I8462" s="2" t="s">
        <v>277</v>
      </c>
      <c r="J8462" s="2">
        <v>41806</v>
      </c>
      <c r="K8462">
        <v>20</v>
      </c>
      <c r="L8462">
        <v>20</v>
      </c>
      <c r="M8462">
        <v>20</v>
      </c>
    </row>
    <row r="8463" spans="1:13" x14ac:dyDescent="0.25">
      <c r="A8463" t="s">
        <v>18874</v>
      </c>
      <c r="B8463" t="s">
        <v>18872</v>
      </c>
      <c r="C8463" t="s">
        <v>496</v>
      </c>
      <c r="D8463" t="s">
        <v>2360</v>
      </c>
      <c r="G8463" t="s">
        <v>16</v>
      </c>
      <c r="H8463">
        <v>0</v>
      </c>
      <c r="I8463" s="2" t="s">
        <v>737</v>
      </c>
      <c r="J8463" s="2" t="s">
        <v>18875</v>
      </c>
      <c r="K8463">
        <v>20</v>
      </c>
      <c r="L8463">
        <v>20</v>
      </c>
      <c r="M8463">
        <v>20</v>
      </c>
    </row>
    <row r="8464" spans="1:13" x14ac:dyDescent="0.25">
      <c r="A8464" t="s">
        <v>18876</v>
      </c>
      <c r="B8464" t="s">
        <v>18877</v>
      </c>
      <c r="C8464" t="s">
        <v>540</v>
      </c>
      <c r="G8464" t="s">
        <v>16</v>
      </c>
      <c r="H8464">
        <v>0</v>
      </c>
      <c r="I8464" s="2" t="s">
        <v>64</v>
      </c>
      <c r="J8464" s="2" t="str">
        <f>"09050688"</f>
        <v>09050688</v>
      </c>
      <c r="K8464">
        <v>20</v>
      </c>
      <c r="L8464">
        <v>20</v>
      </c>
      <c r="M8464">
        <v>20</v>
      </c>
    </row>
    <row r="8465" spans="1:13" x14ac:dyDescent="0.25">
      <c r="A8465" t="s">
        <v>18878</v>
      </c>
      <c r="B8465" t="s">
        <v>18879</v>
      </c>
      <c r="C8465" t="s">
        <v>540</v>
      </c>
      <c r="G8465" t="s">
        <v>16</v>
      </c>
      <c r="H8465">
        <v>0</v>
      </c>
      <c r="I8465" s="2" t="s">
        <v>64</v>
      </c>
      <c r="J8465" s="2" t="str">
        <f>"09050689"</f>
        <v>09050689</v>
      </c>
      <c r="K8465">
        <v>20</v>
      </c>
      <c r="L8465">
        <v>20</v>
      </c>
      <c r="M8465">
        <v>20</v>
      </c>
    </row>
    <row r="8466" spans="1:13" x14ac:dyDescent="0.25">
      <c r="A8466" t="s">
        <v>18880</v>
      </c>
      <c r="B8466" t="s">
        <v>18881</v>
      </c>
      <c r="C8466" t="s">
        <v>151</v>
      </c>
      <c r="F8466">
        <v>0</v>
      </c>
      <c r="G8466" t="s">
        <v>16</v>
      </c>
      <c r="H8466">
        <v>0</v>
      </c>
      <c r="I8466" s="2" t="s">
        <v>437</v>
      </c>
      <c r="J8466" s="2">
        <v>535026410</v>
      </c>
      <c r="K8466">
        <v>20</v>
      </c>
      <c r="L8466">
        <v>20</v>
      </c>
      <c r="M8466">
        <v>20</v>
      </c>
    </row>
    <row r="8467" spans="1:13" x14ac:dyDescent="0.25">
      <c r="A8467" t="s">
        <v>18882</v>
      </c>
      <c r="B8467" t="s">
        <v>18883</v>
      </c>
      <c r="C8467" t="s">
        <v>151</v>
      </c>
      <c r="D8467" t="s">
        <v>1092</v>
      </c>
      <c r="F8467">
        <v>1</v>
      </c>
      <c r="G8467" t="s">
        <v>16</v>
      </c>
      <c r="H8467">
        <v>0</v>
      </c>
      <c r="I8467" s="2" t="s">
        <v>1137</v>
      </c>
      <c r="J8467" s="2" t="s">
        <v>18884</v>
      </c>
      <c r="K8467">
        <v>20</v>
      </c>
      <c r="L8467">
        <v>20</v>
      </c>
      <c r="M8467">
        <v>20</v>
      </c>
    </row>
    <row r="8468" spans="1:13" x14ac:dyDescent="0.25">
      <c r="A8468">
        <v>9806533880</v>
      </c>
      <c r="B8468" t="s">
        <v>18885</v>
      </c>
      <c r="C8468" t="s">
        <v>20</v>
      </c>
      <c r="D8468" t="s">
        <v>26</v>
      </c>
      <c r="F8468">
        <v>2</v>
      </c>
      <c r="G8468" t="s">
        <v>16</v>
      </c>
      <c r="H8468">
        <v>0</v>
      </c>
      <c r="I8468" s="2" t="s">
        <v>51</v>
      </c>
      <c r="J8468" s="2">
        <v>9806533880</v>
      </c>
      <c r="K8468">
        <v>20</v>
      </c>
      <c r="L8468">
        <v>20</v>
      </c>
      <c r="M8468">
        <v>20</v>
      </c>
    </row>
    <row r="8469" spans="1:13" x14ac:dyDescent="0.25">
      <c r="A8469">
        <v>9806658980</v>
      </c>
      <c r="B8469" t="s">
        <v>18886</v>
      </c>
      <c r="C8469" t="s">
        <v>20</v>
      </c>
      <c r="D8469" t="s">
        <v>2477</v>
      </c>
      <c r="F8469">
        <v>1</v>
      </c>
      <c r="G8469" t="s">
        <v>16</v>
      </c>
      <c r="H8469">
        <v>0</v>
      </c>
      <c r="I8469" s="2" t="s">
        <v>51</v>
      </c>
      <c r="J8469" s="2">
        <v>9806658980</v>
      </c>
      <c r="K8469">
        <v>20</v>
      </c>
      <c r="L8469">
        <v>20</v>
      </c>
      <c r="M8469">
        <v>20</v>
      </c>
    </row>
    <row r="8470" spans="1:13" x14ac:dyDescent="0.25">
      <c r="A8470" t="s">
        <v>18887</v>
      </c>
      <c r="B8470" t="s">
        <v>18889</v>
      </c>
      <c r="C8470" t="s">
        <v>20</v>
      </c>
      <c r="D8470" t="s">
        <v>2477</v>
      </c>
      <c r="G8470" t="s">
        <v>16</v>
      </c>
      <c r="H8470">
        <v>0</v>
      </c>
      <c r="I8470" s="2" t="s">
        <v>6861</v>
      </c>
      <c r="J8470" s="2" t="s">
        <v>18888</v>
      </c>
      <c r="K8470">
        <v>20</v>
      </c>
      <c r="L8470">
        <v>20</v>
      </c>
      <c r="M8470">
        <v>20</v>
      </c>
    </row>
    <row r="8471" spans="1:13" x14ac:dyDescent="0.25">
      <c r="A8471" t="s">
        <v>18890</v>
      </c>
      <c r="B8471" t="s">
        <v>18891</v>
      </c>
      <c r="C8471" t="s">
        <v>496</v>
      </c>
      <c r="D8471" t="s">
        <v>4083</v>
      </c>
      <c r="F8471">
        <v>1</v>
      </c>
      <c r="G8471" t="s">
        <v>16</v>
      </c>
      <c r="H8471">
        <v>0</v>
      </c>
      <c r="I8471" s="2" t="s">
        <v>162</v>
      </c>
      <c r="J8471" s="2">
        <v>73829</v>
      </c>
      <c r="K8471">
        <v>20</v>
      </c>
      <c r="L8471">
        <v>20</v>
      </c>
      <c r="M8471">
        <v>20</v>
      </c>
    </row>
    <row r="8472" spans="1:13" x14ac:dyDescent="0.25">
      <c r="A8472">
        <v>9806740980</v>
      </c>
      <c r="B8472" t="s">
        <v>18892</v>
      </c>
      <c r="C8472" t="s">
        <v>1432</v>
      </c>
      <c r="G8472" t="s">
        <v>16</v>
      </c>
      <c r="H8472">
        <v>0</v>
      </c>
      <c r="I8472" s="2" t="s">
        <v>51</v>
      </c>
      <c r="J8472" s="2">
        <v>9806740980</v>
      </c>
      <c r="K8472">
        <v>20</v>
      </c>
      <c r="L8472">
        <v>20</v>
      </c>
      <c r="M8472">
        <v>20</v>
      </c>
    </row>
    <row r="8473" spans="1:13" x14ac:dyDescent="0.25">
      <c r="A8473" t="s">
        <v>18893</v>
      </c>
      <c r="B8473" t="s">
        <v>18894</v>
      </c>
      <c r="C8473" t="s">
        <v>357</v>
      </c>
      <c r="D8473" t="s">
        <v>241</v>
      </c>
      <c r="F8473">
        <v>0</v>
      </c>
      <c r="G8473" t="s">
        <v>16</v>
      </c>
      <c r="H8473">
        <v>0</v>
      </c>
      <c r="I8473" s="2" t="s">
        <v>108</v>
      </c>
      <c r="J8473" s="3">
        <v>2881412001</v>
      </c>
      <c r="K8473">
        <v>20</v>
      </c>
      <c r="L8473">
        <v>20</v>
      </c>
      <c r="M8473">
        <v>20</v>
      </c>
    </row>
    <row r="8474" spans="1:13" x14ac:dyDescent="0.25">
      <c r="A8474">
        <v>9808243080</v>
      </c>
      <c r="B8474" t="s">
        <v>18895</v>
      </c>
      <c r="C8474" t="s">
        <v>151</v>
      </c>
      <c r="D8474" t="s">
        <v>1092</v>
      </c>
      <c r="F8474">
        <v>1</v>
      </c>
      <c r="G8474" t="s">
        <v>16</v>
      </c>
      <c r="H8474">
        <v>0</v>
      </c>
      <c r="I8474" s="2" t="s">
        <v>51</v>
      </c>
      <c r="J8474" s="2">
        <v>9808243080</v>
      </c>
      <c r="K8474">
        <v>20</v>
      </c>
      <c r="L8474">
        <v>20</v>
      </c>
      <c r="M8474">
        <v>20</v>
      </c>
    </row>
    <row r="8475" spans="1:13" x14ac:dyDescent="0.25">
      <c r="A8475" t="s">
        <v>18896</v>
      </c>
      <c r="B8475" t="s">
        <v>18897</v>
      </c>
      <c r="C8475" t="s">
        <v>151</v>
      </c>
      <c r="D8475" t="s">
        <v>1092</v>
      </c>
      <c r="F8475">
        <v>1</v>
      </c>
      <c r="G8475" t="s">
        <v>16</v>
      </c>
      <c r="H8475">
        <v>0</v>
      </c>
      <c r="I8475" s="2" t="s">
        <v>2542</v>
      </c>
      <c r="K8475">
        <v>20</v>
      </c>
      <c r="L8475">
        <v>20</v>
      </c>
      <c r="M8475">
        <v>20</v>
      </c>
    </row>
    <row r="8476" spans="1:13" x14ac:dyDescent="0.25">
      <c r="A8476" t="s">
        <v>18898</v>
      </c>
      <c r="B8476" t="s">
        <v>18899</v>
      </c>
      <c r="C8476" t="s">
        <v>151</v>
      </c>
      <c r="D8476" t="s">
        <v>1092</v>
      </c>
      <c r="F8476">
        <v>1</v>
      </c>
      <c r="G8476" t="s">
        <v>16</v>
      </c>
      <c r="H8476">
        <v>0</v>
      </c>
      <c r="I8476" s="2" t="s">
        <v>1222</v>
      </c>
      <c r="J8476" s="2">
        <v>511160</v>
      </c>
      <c r="K8476">
        <v>20</v>
      </c>
      <c r="L8476">
        <v>20</v>
      </c>
      <c r="M8476">
        <v>20</v>
      </c>
    </row>
    <row r="8477" spans="1:13" x14ac:dyDescent="0.25">
      <c r="A8477" t="s">
        <v>18900</v>
      </c>
      <c r="B8477" t="s">
        <v>18901</v>
      </c>
      <c r="C8477" t="s">
        <v>357</v>
      </c>
      <c r="D8477" t="s">
        <v>358</v>
      </c>
      <c r="F8477">
        <v>0</v>
      </c>
      <c r="G8477" t="s">
        <v>16</v>
      </c>
      <c r="H8477">
        <v>0</v>
      </c>
      <c r="I8477" s="2" t="s">
        <v>1488</v>
      </c>
      <c r="J8477" s="3">
        <v>78866</v>
      </c>
      <c r="K8477">
        <v>20</v>
      </c>
      <c r="L8477">
        <v>20</v>
      </c>
      <c r="M8477">
        <v>20</v>
      </c>
    </row>
    <row r="8478" spans="1:13" x14ac:dyDescent="0.25">
      <c r="A8478" t="s">
        <v>18902</v>
      </c>
      <c r="B8478" t="s">
        <v>18903</v>
      </c>
      <c r="C8478" t="s">
        <v>357</v>
      </c>
      <c r="D8478" t="s">
        <v>358</v>
      </c>
      <c r="F8478">
        <v>1</v>
      </c>
      <c r="G8478" t="s">
        <v>16</v>
      </c>
      <c r="H8478">
        <v>0</v>
      </c>
      <c r="I8478" s="2" t="s">
        <v>108</v>
      </c>
      <c r="J8478" s="3">
        <v>2581416005</v>
      </c>
      <c r="K8478">
        <v>20</v>
      </c>
      <c r="L8478">
        <v>20</v>
      </c>
      <c r="M8478">
        <v>20</v>
      </c>
    </row>
    <row r="8479" spans="1:13" x14ac:dyDescent="0.25">
      <c r="A8479" t="s">
        <v>18904</v>
      </c>
      <c r="B8479" t="s">
        <v>18905</v>
      </c>
      <c r="C8479" t="s">
        <v>496</v>
      </c>
      <c r="D8479" t="s">
        <v>4083</v>
      </c>
      <c r="F8479">
        <v>0</v>
      </c>
      <c r="G8479" t="s">
        <v>16</v>
      </c>
      <c r="H8479">
        <v>0</v>
      </c>
      <c r="I8479" s="2" t="s">
        <v>87</v>
      </c>
      <c r="J8479" s="2" t="s">
        <v>18906</v>
      </c>
      <c r="K8479">
        <v>20</v>
      </c>
      <c r="L8479">
        <v>20</v>
      </c>
      <c r="M8479">
        <v>20</v>
      </c>
    </row>
    <row r="8480" spans="1:13" x14ac:dyDescent="0.25">
      <c r="A8480" t="s">
        <v>18907</v>
      </c>
      <c r="B8480" t="s">
        <v>18908</v>
      </c>
      <c r="C8480" t="s">
        <v>926</v>
      </c>
      <c r="F8480">
        <v>0</v>
      </c>
      <c r="G8480" t="s">
        <v>16</v>
      </c>
      <c r="H8480">
        <v>0</v>
      </c>
      <c r="I8480" s="2" t="s">
        <v>392</v>
      </c>
      <c r="J8480" s="2">
        <v>1684975980</v>
      </c>
      <c r="K8480">
        <v>20</v>
      </c>
      <c r="L8480">
        <v>20</v>
      </c>
      <c r="M8480">
        <v>20</v>
      </c>
    </row>
    <row r="8481" spans="1:13" x14ac:dyDescent="0.25">
      <c r="A8481" t="s">
        <v>18909</v>
      </c>
      <c r="B8481" t="s">
        <v>18910</v>
      </c>
      <c r="C8481" t="s">
        <v>14</v>
      </c>
      <c r="D8481" t="s">
        <v>293</v>
      </c>
      <c r="G8481" t="s">
        <v>16</v>
      </c>
      <c r="H8481">
        <v>0</v>
      </c>
      <c r="I8481" s="2" t="s">
        <v>685</v>
      </c>
      <c r="J8481" s="2" t="s">
        <v>18911</v>
      </c>
      <c r="K8481">
        <v>20</v>
      </c>
      <c r="L8481">
        <v>20</v>
      </c>
      <c r="M8481">
        <v>20</v>
      </c>
    </row>
    <row r="8482" spans="1:13" x14ac:dyDescent="0.25">
      <c r="A8482" t="s">
        <v>18912</v>
      </c>
      <c r="B8482" t="s">
        <v>18913</v>
      </c>
      <c r="C8482" t="s">
        <v>14</v>
      </c>
      <c r="D8482" t="s">
        <v>293</v>
      </c>
      <c r="F8482">
        <v>5</v>
      </c>
      <c r="G8482" t="s">
        <v>16</v>
      </c>
      <c r="H8482">
        <v>0</v>
      </c>
      <c r="I8482" s="2" t="s">
        <v>392</v>
      </c>
      <c r="J8482" s="2">
        <v>1682954080</v>
      </c>
      <c r="K8482">
        <v>20</v>
      </c>
      <c r="L8482">
        <v>20</v>
      </c>
      <c r="M8482">
        <v>20</v>
      </c>
    </row>
    <row r="8483" spans="1:13" x14ac:dyDescent="0.25">
      <c r="A8483" t="s">
        <v>18914</v>
      </c>
      <c r="B8483" t="s">
        <v>18910</v>
      </c>
      <c r="C8483" t="s">
        <v>14</v>
      </c>
      <c r="D8483" t="s">
        <v>293</v>
      </c>
      <c r="F8483">
        <v>2</v>
      </c>
      <c r="G8483" t="s">
        <v>16</v>
      </c>
      <c r="H8483">
        <v>0</v>
      </c>
      <c r="I8483" s="2" t="s">
        <v>17</v>
      </c>
      <c r="J8483" s="2" t="s">
        <v>18915</v>
      </c>
      <c r="K8483">
        <v>20</v>
      </c>
      <c r="L8483">
        <v>20</v>
      </c>
      <c r="M8483">
        <v>20</v>
      </c>
    </row>
    <row r="8484" spans="1:13" x14ac:dyDescent="0.25">
      <c r="A8484" t="s">
        <v>18916</v>
      </c>
      <c r="B8484" t="s">
        <v>18917</v>
      </c>
      <c r="C8484" t="s">
        <v>151</v>
      </c>
      <c r="D8484" t="s">
        <v>152</v>
      </c>
      <c r="G8484" t="s">
        <v>16</v>
      </c>
      <c r="H8484">
        <v>0</v>
      </c>
      <c r="I8484" s="2" t="s">
        <v>1488</v>
      </c>
      <c r="J8484" s="3">
        <v>73399</v>
      </c>
      <c r="K8484">
        <v>20</v>
      </c>
      <c r="L8484">
        <v>20</v>
      </c>
      <c r="M8484">
        <v>20</v>
      </c>
    </row>
    <row r="8485" spans="1:13" x14ac:dyDescent="0.25">
      <c r="A8485">
        <v>9810698080</v>
      </c>
      <c r="B8485" t="s">
        <v>18919</v>
      </c>
      <c r="C8485" t="s">
        <v>20</v>
      </c>
      <c r="F8485">
        <v>0</v>
      </c>
      <c r="G8485" t="s">
        <v>16</v>
      </c>
      <c r="H8485">
        <v>0</v>
      </c>
      <c r="I8485" s="2" t="s">
        <v>51</v>
      </c>
      <c r="J8485" s="2" t="s">
        <v>18918</v>
      </c>
      <c r="K8485">
        <v>20</v>
      </c>
      <c r="L8485">
        <v>20</v>
      </c>
      <c r="M8485">
        <v>20</v>
      </c>
    </row>
    <row r="8486" spans="1:13" x14ac:dyDescent="0.25">
      <c r="A8486" t="s">
        <v>18920</v>
      </c>
      <c r="B8486" t="s">
        <v>18919</v>
      </c>
      <c r="C8486" t="s">
        <v>20</v>
      </c>
      <c r="F8486">
        <v>1</v>
      </c>
      <c r="G8486" t="s">
        <v>16</v>
      </c>
      <c r="H8486">
        <v>0</v>
      </c>
      <c r="I8486" s="2" t="s">
        <v>69</v>
      </c>
      <c r="J8486" s="2" t="s">
        <v>18921</v>
      </c>
      <c r="K8486">
        <v>20</v>
      </c>
      <c r="L8486">
        <v>20</v>
      </c>
      <c r="M8486">
        <v>20</v>
      </c>
    </row>
    <row r="8487" spans="1:13" x14ac:dyDescent="0.25">
      <c r="A8487" t="s">
        <v>18922</v>
      </c>
      <c r="B8487" t="s">
        <v>18923</v>
      </c>
      <c r="C8487" t="s">
        <v>496</v>
      </c>
      <c r="D8487" t="s">
        <v>2360</v>
      </c>
      <c r="G8487" t="s">
        <v>16</v>
      </c>
      <c r="H8487">
        <v>0</v>
      </c>
      <c r="I8487" s="2" t="s">
        <v>8480</v>
      </c>
      <c r="J8487" s="2" t="s">
        <v>18924</v>
      </c>
      <c r="K8487">
        <v>20</v>
      </c>
      <c r="L8487">
        <v>20</v>
      </c>
      <c r="M8487">
        <v>20</v>
      </c>
    </row>
    <row r="8488" spans="1:13" x14ac:dyDescent="0.25">
      <c r="A8488" t="s">
        <v>18925</v>
      </c>
      <c r="B8488" t="s">
        <v>18926</v>
      </c>
      <c r="C8488" t="s">
        <v>496</v>
      </c>
      <c r="D8488" t="s">
        <v>2360</v>
      </c>
      <c r="F8488">
        <v>1</v>
      </c>
      <c r="G8488" t="s">
        <v>16</v>
      </c>
      <c r="H8488">
        <v>0</v>
      </c>
      <c r="I8488" s="2" t="s">
        <v>7399</v>
      </c>
      <c r="J8488" s="2">
        <v>318183</v>
      </c>
      <c r="K8488">
        <v>20</v>
      </c>
      <c r="L8488">
        <v>20</v>
      </c>
      <c r="M8488">
        <v>20</v>
      </c>
    </row>
    <row r="8489" spans="1:13" x14ac:dyDescent="0.25">
      <c r="A8489" t="s">
        <v>18927</v>
      </c>
      <c r="B8489" t="s">
        <v>18928</v>
      </c>
      <c r="C8489" t="s">
        <v>496</v>
      </c>
      <c r="D8489" t="s">
        <v>2360</v>
      </c>
      <c r="G8489" t="s">
        <v>16</v>
      </c>
      <c r="H8489">
        <v>0</v>
      </c>
      <c r="I8489" s="2" t="s">
        <v>8480</v>
      </c>
      <c r="J8489" s="2" t="s">
        <v>18929</v>
      </c>
      <c r="K8489">
        <v>20</v>
      </c>
      <c r="L8489">
        <v>20</v>
      </c>
      <c r="M8489">
        <v>20</v>
      </c>
    </row>
    <row r="8490" spans="1:13" x14ac:dyDescent="0.25">
      <c r="A8490" t="s">
        <v>18930</v>
      </c>
      <c r="B8490" t="s">
        <v>18931</v>
      </c>
      <c r="C8490" t="s">
        <v>496</v>
      </c>
      <c r="D8490" t="s">
        <v>2360</v>
      </c>
      <c r="F8490">
        <v>1</v>
      </c>
      <c r="G8490" t="s">
        <v>16</v>
      </c>
      <c r="H8490">
        <v>0</v>
      </c>
      <c r="I8490" s="2" t="s">
        <v>7399</v>
      </c>
      <c r="J8490" s="2">
        <v>318182</v>
      </c>
      <c r="K8490">
        <v>20</v>
      </c>
      <c r="L8490">
        <v>20</v>
      </c>
      <c r="M8490">
        <v>20</v>
      </c>
    </row>
    <row r="8491" spans="1:13" x14ac:dyDescent="0.25">
      <c r="A8491" t="s">
        <v>18932</v>
      </c>
      <c r="B8491" t="s">
        <v>18933</v>
      </c>
      <c r="C8491" t="s">
        <v>357</v>
      </c>
      <c r="D8491" t="s">
        <v>358</v>
      </c>
      <c r="F8491">
        <v>1</v>
      </c>
      <c r="G8491" t="s">
        <v>16</v>
      </c>
      <c r="H8491">
        <v>0</v>
      </c>
      <c r="I8491" s="2" t="s">
        <v>598</v>
      </c>
      <c r="J8491" s="2">
        <v>572600</v>
      </c>
      <c r="K8491">
        <v>20</v>
      </c>
      <c r="L8491">
        <v>20</v>
      </c>
      <c r="M8491">
        <v>20</v>
      </c>
    </row>
    <row r="8492" spans="1:13" x14ac:dyDescent="0.25">
      <c r="A8492" t="s">
        <v>18934</v>
      </c>
      <c r="B8492" t="s">
        <v>18936</v>
      </c>
      <c r="C8492" t="s">
        <v>357</v>
      </c>
      <c r="D8492" t="s">
        <v>358</v>
      </c>
      <c r="F8492">
        <v>1</v>
      </c>
      <c r="G8492" t="s">
        <v>16</v>
      </c>
      <c r="H8492">
        <v>0</v>
      </c>
      <c r="I8492" s="2" t="s">
        <v>288</v>
      </c>
      <c r="J8492" s="2" t="s">
        <v>18935</v>
      </c>
      <c r="K8492">
        <v>20</v>
      </c>
      <c r="L8492">
        <v>20</v>
      </c>
      <c r="M8492">
        <v>20</v>
      </c>
    </row>
    <row r="8493" spans="1:13" x14ac:dyDescent="0.25">
      <c r="A8493" t="s">
        <v>18937</v>
      </c>
      <c r="B8493" t="s">
        <v>18938</v>
      </c>
      <c r="C8493" t="s">
        <v>357</v>
      </c>
      <c r="D8493" t="s">
        <v>358</v>
      </c>
      <c r="F8493">
        <v>2</v>
      </c>
      <c r="G8493" t="s">
        <v>16</v>
      </c>
      <c r="H8493">
        <v>0</v>
      </c>
      <c r="I8493" s="2" t="s">
        <v>715</v>
      </c>
      <c r="J8493" s="2" t="s">
        <v>18939</v>
      </c>
      <c r="K8493">
        <v>20</v>
      </c>
      <c r="L8493">
        <v>20</v>
      </c>
      <c r="M8493">
        <v>20</v>
      </c>
    </row>
    <row r="8494" spans="1:13" x14ac:dyDescent="0.25">
      <c r="A8494">
        <v>9810961080</v>
      </c>
      <c r="B8494" t="s">
        <v>18940</v>
      </c>
      <c r="C8494" t="s">
        <v>151</v>
      </c>
      <c r="D8494" t="s">
        <v>1381</v>
      </c>
      <c r="G8494" t="s">
        <v>16</v>
      </c>
      <c r="H8494">
        <v>0</v>
      </c>
      <c r="I8494" s="2" t="s">
        <v>51</v>
      </c>
      <c r="J8494" s="2">
        <v>9810961080</v>
      </c>
      <c r="K8494">
        <v>20</v>
      </c>
      <c r="L8494">
        <v>20</v>
      </c>
      <c r="M8494">
        <v>20</v>
      </c>
    </row>
    <row r="8495" spans="1:13" x14ac:dyDescent="0.25">
      <c r="A8495">
        <v>9811067580</v>
      </c>
      <c r="B8495" t="s">
        <v>18941</v>
      </c>
      <c r="C8495" t="s">
        <v>20</v>
      </c>
      <c r="F8495">
        <v>1</v>
      </c>
      <c r="G8495" t="s">
        <v>16</v>
      </c>
      <c r="H8495">
        <v>0</v>
      </c>
      <c r="I8495" s="2" t="s">
        <v>55</v>
      </c>
      <c r="J8495" s="2">
        <v>9811067580</v>
      </c>
      <c r="K8495">
        <v>20</v>
      </c>
      <c r="L8495">
        <v>20</v>
      </c>
      <c r="M8495">
        <v>20</v>
      </c>
    </row>
    <row r="8496" spans="1:13" x14ac:dyDescent="0.25">
      <c r="A8496" t="s">
        <v>18942</v>
      </c>
      <c r="B8496" t="s">
        <v>18943</v>
      </c>
      <c r="C8496" t="s">
        <v>496</v>
      </c>
      <c r="D8496" t="s">
        <v>4083</v>
      </c>
      <c r="F8496">
        <v>1</v>
      </c>
      <c r="G8496" t="s">
        <v>16</v>
      </c>
      <c r="H8496">
        <v>0</v>
      </c>
      <c r="I8496" s="2" t="s">
        <v>87</v>
      </c>
      <c r="J8496" s="2" t="s">
        <v>18944</v>
      </c>
      <c r="K8496">
        <v>20</v>
      </c>
      <c r="L8496">
        <v>20</v>
      </c>
      <c r="M8496">
        <v>20</v>
      </c>
    </row>
    <row r="8497" spans="1:13" x14ac:dyDescent="0.25">
      <c r="A8497" t="s">
        <v>18945</v>
      </c>
      <c r="B8497" t="s">
        <v>18947</v>
      </c>
      <c r="C8497" t="s">
        <v>151</v>
      </c>
      <c r="D8497" t="s">
        <v>1092</v>
      </c>
      <c r="F8497">
        <v>2</v>
      </c>
      <c r="G8497" t="s">
        <v>16</v>
      </c>
      <c r="H8497">
        <v>0</v>
      </c>
      <c r="I8497" s="2" t="s">
        <v>69</v>
      </c>
      <c r="J8497" s="2" t="s">
        <v>18946</v>
      </c>
      <c r="K8497">
        <v>20</v>
      </c>
      <c r="L8497">
        <v>20</v>
      </c>
      <c r="M8497">
        <v>20</v>
      </c>
    </row>
    <row r="8498" spans="1:13" x14ac:dyDescent="0.25">
      <c r="A8498">
        <v>9811643880</v>
      </c>
      <c r="B8498" t="s">
        <v>18948</v>
      </c>
      <c r="C8498" t="s">
        <v>151</v>
      </c>
      <c r="D8498" t="s">
        <v>6316</v>
      </c>
      <c r="F8498">
        <v>2</v>
      </c>
      <c r="G8498" t="s">
        <v>16</v>
      </c>
      <c r="H8498">
        <v>0</v>
      </c>
      <c r="I8498" s="2" t="s">
        <v>51</v>
      </c>
      <c r="J8498" s="2">
        <v>9811643880</v>
      </c>
      <c r="K8498">
        <v>20</v>
      </c>
      <c r="L8498">
        <v>20</v>
      </c>
      <c r="M8498">
        <v>20</v>
      </c>
    </row>
    <row r="8499" spans="1:13" x14ac:dyDescent="0.25">
      <c r="A8499" t="s">
        <v>18949</v>
      </c>
      <c r="B8499" t="s">
        <v>18950</v>
      </c>
      <c r="C8499" t="s">
        <v>20</v>
      </c>
      <c r="D8499" t="s">
        <v>2477</v>
      </c>
      <c r="F8499">
        <v>0</v>
      </c>
      <c r="G8499" t="s">
        <v>16</v>
      </c>
      <c r="H8499">
        <v>0</v>
      </c>
      <c r="I8499" s="2" t="s">
        <v>6847</v>
      </c>
      <c r="J8499" s="2" t="s">
        <v>18951</v>
      </c>
      <c r="K8499">
        <v>20</v>
      </c>
      <c r="L8499">
        <v>20</v>
      </c>
      <c r="M8499">
        <v>20</v>
      </c>
    </row>
    <row r="8500" spans="1:13" x14ac:dyDescent="0.25">
      <c r="A8500" t="s">
        <v>18952</v>
      </c>
      <c r="B8500" t="s">
        <v>18953</v>
      </c>
      <c r="C8500" t="s">
        <v>241</v>
      </c>
      <c r="D8500" t="s">
        <v>262</v>
      </c>
      <c r="F8500">
        <v>2</v>
      </c>
      <c r="G8500" t="s">
        <v>16</v>
      </c>
      <c r="H8500">
        <v>0</v>
      </c>
      <c r="I8500" s="2" t="s">
        <v>2542</v>
      </c>
      <c r="J8500" s="2">
        <v>9811908380</v>
      </c>
      <c r="K8500">
        <v>20</v>
      </c>
      <c r="L8500">
        <v>20</v>
      </c>
      <c r="M8500">
        <v>20</v>
      </c>
    </row>
    <row r="8501" spans="1:13" x14ac:dyDescent="0.25">
      <c r="A8501">
        <v>9811934080</v>
      </c>
      <c r="B8501" t="s">
        <v>18954</v>
      </c>
      <c r="C8501" t="s">
        <v>496</v>
      </c>
      <c r="D8501" t="s">
        <v>4083</v>
      </c>
      <c r="F8501">
        <v>0</v>
      </c>
      <c r="G8501" t="s">
        <v>16</v>
      </c>
      <c r="H8501">
        <v>0</v>
      </c>
      <c r="I8501" s="2" t="s">
        <v>497</v>
      </c>
      <c r="J8501" s="2">
        <v>9811934080</v>
      </c>
      <c r="K8501">
        <v>20</v>
      </c>
      <c r="L8501">
        <v>20</v>
      </c>
      <c r="M8501">
        <v>20</v>
      </c>
    </row>
    <row r="8502" spans="1:13" x14ac:dyDescent="0.25">
      <c r="A8502">
        <v>9812031180</v>
      </c>
      <c r="B8502" t="s">
        <v>18955</v>
      </c>
      <c r="C8502" t="s">
        <v>151</v>
      </c>
      <c r="D8502" t="s">
        <v>6316</v>
      </c>
      <c r="F8502">
        <v>1</v>
      </c>
      <c r="G8502" t="s">
        <v>16</v>
      </c>
      <c r="H8502">
        <v>0</v>
      </c>
      <c r="I8502" s="2" t="s">
        <v>51</v>
      </c>
      <c r="J8502" s="2">
        <v>9812031180</v>
      </c>
      <c r="K8502">
        <v>20</v>
      </c>
      <c r="L8502">
        <v>20</v>
      </c>
      <c r="M8502">
        <v>20</v>
      </c>
    </row>
    <row r="8503" spans="1:13" x14ac:dyDescent="0.25">
      <c r="A8503">
        <v>9812047080</v>
      </c>
      <c r="B8503" t="s">
        <v>18956</v>
      </c>
      <c r="C8503" t="s">
        <v>151</v>
      </c>
      <c r="F8503">
        <v>1</v>
      </c>
      <c r="G8503" t="s">
        <v>16</v>
      </c>
      <c r="H8503">
        <v>0</v>
      </c>
      <c r="I8503" s="2" t="s">
        <v>51</v>
      </c>
      <c r="J8503" s="2">
        <v>9812047080</v>
      </c>
      <c r="K8503">
        <v>20</v>
      </c>
      <c r="L8503">
        <v>20</v>
      </c>
      <c r="M8503">
        <v>20</v>
      </c>
    </row>
    <row r="8504" spans="1:13" x14ac:dyDescent="0.25">
      <c r="A8504" t="s">
        <v>18957</v>
      </c>
      <c r="B8504" t="s">
        <v>18958</v>
      </c>
      <c r="C8504" t="s">
        <v>357</v>
      </c>
      <c r="D8504" t="s">
        <v>358</v>
      </c>
      <c r="F8504">
        <v>1</v>
      </c>
      <c r="G8504" t="s">
        <v>16</v>
      </c>
      <c r="H8504">
        <v>0</v>
      </c>
      <c r="I8504" s="2" t="s">
        <v>504</v>
      </c>
      <c r="K8504">
        <v>20</v>
      </c>
      <c r="L8504">
        <v>20</v>
      </c>
      <c r="M8504">
        <v>20</v>
      </c>
    </row>
    <row r="8505" spans="1:13" x14ac:dyDescent="0.25">
      <c r="A8505" t="s">
        <v>18959</v>
      </c>
      <c r="B8505" t="s">
        <v>18958</v>
      </c>
      <c r="C8505" t="s">
        <v>357</v>
      </c>
      <c r="D8505" t="s">
        <v>358</v>
      </c>
      <c r="F8505">
        <v>1</v>
      </c>
      <c r="G8505" t="s">
        <v>16</v>
      </c>
      <c r="H8505">
        <v>0</v>
      </c>
      <c r="I8505" s="2" t="s">
        <v>14089</v>
      </c>
      <c r="J8505" s="2" t="s">
        <v>18960</v>
      </c>
      <c r="K8505">
        <v>20</v>
      </c>
      <c r="L8505">
        <v>20</v>
      </c>
      <c r="M8505">
        <v>20</v>
      </c>
    </row>
    <row r="8506" spans="1:13" x14ac:dyDescent="0.25">
      <c r="A8506">
        <v>9812131480</v>
      </c>
      <c r="B8506" t="s">
        <v>18961</v>
      </c>
      <c r="C8506" t="s">
        <v>357</v>
      </c>
      <c r="D8506" t="s">
        <v>358</v>
      </c>
      <c r="F8506">
        <v>0</v>
      </c>
      <c r="G8506" t="s">
        <v>16</v>
      </c>
      <c r="H8506">
        <v>0</v>
      </c>
      <c r="I8506" s="2" t="s">
        <v>51</v>
      </c>
      <c r="J8506" s="2">
        <v>9812131480</v>
      </c>
      <c r="K8506">
        <v>20</v>
      </c>
      <c r="L8506">
        <v>20</v>
      </c>
      <c r="M8506">
        <v>20</v>
      </c>
    </row>
    <row r="8507" spans="1:13" x14ac:dyDescent="0.25">
      <c r="A8507" t="s">
        <v>18962</v>
      </c>
      <c r="B8507" t="s">
        <v>18963</v>
      </c>
      <c r="C8507" t="s">
        <v>357</v>
      </c>
      <c r="D8507" t="s">
        <v>358</v>
      </c>
      <c r="F8507">
        <v>4</v>
      </c>
      <c r="G8507" t="s">
        <v>16</v>
      </c>
      <c r="H8507">
        <v>0</v>
      </c>
      <c r="I8507" s="2" t="s">
        <v>156</v>
      </c>
      <c r="J8507" s="2">
        <v>27878</v>
      </c>
      <c r="K8507">
        <v>20</v>
      </c>
      <c r="L8507">
        <v>20</v>
      </c>
      <c r="M8507">
        <v>20</v>
      </c>
    </row>
    <row r="8508" spans="1:13" x14ac:dyDescent="0.25">
      <c r="A8508">
        <v>9812442980</v>
      </c>
      <c r="B8508" t="s">
        <v>18964</v>
      </c>
      <c r="C8508" t="s">
        <v>357</v>
      </c>
      <c r="D8508" t="s">
        <v>241</v>
      </c>
      <c r="F8508">
        <v>1</v>
      </c>
      <c r="G8508" t="s">
        <v>16</v>
      </c>
      <c r="H8508">
        <v>0</v>
      </c>
      <c r="I8508" s="2" t="s">
        <v>51</v>
      </c>
      <c r="J8508" s="2">
        <v>9812442980</v>
      </c>
      <c r="K8508">
        <v>20</v>
      </c>
      <c r="L8508">
        <v>20</v>
      </c>
      <c r="M8508">
        <v>20</v>
      </c>
    </row>
    <row r="8509" spans="1:13" x14ac:dyDescent="0.25">
      <c r="A8509" t="s">
        <v>18965</v>
      </c>
      <c r="B8509" t="s">
        <v>18964</v>
      </c>
      <c r="C8509" t="s">
        <v>357</v>
      </c>
      <c r="D8509" t="s">
        <v>241</v>
      </c>
      <c r="F8509">
        <v>1</v>
      </c>
      <c r="G8509" t="s">
        <v>16</v>
      </c>
      <c r="H8509">
        <v>0</v>
      </c>
      <c r="I8509" s="2" t="s">
        <v>221</v>
      </c>
      <c r="J8509" s="2">
        <v>17183</v>
      </c>
      <c r="K8509">
        <v>20</v>
      </c>
      <c r="L8509">
        <v>20</v>
      </c>
      <c r="M8509">
        <v>20</v>
      </c>
    </row>
    <row r="8510" spans="1:13" x14ac:dyDescent="0.25">
      <c r="A8510" t="s">
        <v>18966</v>
      </c>
      <c r="B8510" t="s">
        <v>18968</v>
      </c>
      <c r="C8510" t="s">
        <v>20</v>
      </c>
      <c r="D8510" t="s">
        <v>2477</v>
      </c>
      <c r="F8510">
        <v>1</v>
      </c>
      <c r="G8510" t="s">
        <v>16</v>
      </c>
      <c r="H8510">
        <v>0</v>
      </c>
      <c r="I8510" s="2" t="s">
        <v>2881</v>
      </c>
      <c r="J8510" s="2" t="s">
        <v>18967</v>
      </c>
      <c r="K8510">
        <v>20</v>
      </c>
      <c r="L8510">
        <v>20</v>
      </c>
      <c r="M8510">
        <v>20</v>
      </c>
    </row>
    <row r="8511" spans="1:13" x14ac:dyDescent="0.25">
      <c r="A8511">
        <v>9812905680</v>
      </c>
      <c r="B8511" t="s">
        <v>18969</v>
      </c>
      <c r="C8511" t="s">
        <v>20</v>
      </c>
      <c r="F8511">
        <v>1</v>
      </c>
      <c r="G8511" t="s">
        <v>16</v>
      </c>
      <c r="H8511">
        <v>0</v>
      </c>
      <c r="I8511" s="2" t="s">
        <v>51</v>
      </c>
      <c r="J8511" s="2">
        <v>9812905680</v>
      </c>
      <c r="K8511">
        <v>20</v>
      </c>
      <c r="L8511">
        <v>20</v>
      </c>
      <c r="M8511">
        <v>20</v>
      </c>
    </row>
    <row r="8512" spans="1:13" x14ac:dyDescent="0.25">
      <c r="A8512">
        <v>9812925280</v>
      </c>
      <c r="B8512" t="s">
        <v>18970</v>
      </c>
      <c r="C8512" t="s">
        <v>1432</v>
      </c>
      <c r="F8512">
        <v>1</v>
      </c>
      <c r="G8512" t="s">
        <v>16</v>
      </c>
      <c r="H8512">
        <v>0</v>
      </c>
      <c r="I8512" s="2" t="s">
        <v>55</v>
      </c>
      <c r="J8512" s="2">
        <v>9812925280</v>
      </c>
      <c r="K8512">
        <v>20</v>
      </c>
      <c r="L8512">
        <v>20</v>
      </c>
      <c r="M8512">
        <v>20</v>
      </c>
    </row>
    <row r="8513" spans="1:13" x14ac:dyDescent="0.25">
      <c r="A8513">
        <v>9812976080</v>
      </c>
      <c r="B8513" t="s">
        <v>18971</v>
      </c>
      <c r="C8513" t="s">
        <v>1432</v>
      </c>
      <c r="F8513">
        <v>3</v>
      </c>
      <c r="G8513" t="s">
        <v>16</v>
      </c>
      <c r="H8513">
        <v>0</v>
      </c>
      <c r="I8513" s="2" t="s">
        <v>55</v>
      </c>
      <c r="J8513" s="2">
        <v>9812976080</v>
      </c>
      <c r="K8513">
        <v>20</v>
      </c>
      <c r="L8513">
        <v>20</v>
      </c>
      <c r="M8513">
        <v>20</v>
      </c>
    </row>
    <row r="8514" spans="1:13" x14ac:dyDescent="0.25">
      <c r="A8514" t="s">
        <v>18972</v>
      </c>
      <c r="B8514" t="s">
        <v>18973</v>
      </c>
      <c r="C8514" t="s">
        <v>20</v>
      </c>
      <c r="D8514" t="s">
        <v>26</v>
      </c>
      <c r="G8514" t="s">
        <v>16</v>
      </c>
      <c r="H8514">
        <v>0</v>
      </c>
      <c r="K8514">
        <v>20</v>
      </c>
      <c r="L8514">
        <v>20</v>
      </c>
      <c r="M8514">
        <v>20</v>
      </c>
    </row>
    <row r="8515" spans="1:13" x14ac:dyDescent="0.25">
      <c r="A8515">
        <v>9813050280</v>
      </c>
      <c r="B8515" t="s">
        <v>18974</v>
      </c>
      <c r="C8515" t="s">
        <v>20</v>
      </c>
      <c r="F8515">
        <v>1</v>
      </c>
      <c r="G8515" t="s">
        <v>16</v>
      </c>
      <c r="H8515">
        <v>0</v>
      </c>
      <c r="I8515" s="2" t="s">
        <v>51</v>
      </c>
      <c r="J8515" s="2">
        <v>9813050280</v>
      </c>
      <c r="K8515">
        <v>20</v>
      </c>
      <c r="L8515">
        <v>20</v>
      </c>
      <c r="M8515">
        <v>20</v>
      </c>
    </row>
    <row r="8516" spans="1:13" x14ac:dyDescent="0.25">
      <c r="A8516" t="s">
        <v>18975</v>
      </c>
      <c r="B8516" t="s">
        <v>18976</v>
      </c>
      <c r="C8516" t="s">
        <v>20</v>
      </c>
      <c r="D8516" t="s">
        <v>26</v>
      </c>
      <c r="G8516" t="s">
        <v>16</v>
      </c>
      <c r="H8516">
        <v>0</v>
      </c>
      <c r="I8516" s="2" t="s">
        <v>108</v>
      </c>
      <c r="J8516" s="3">
        <v>2721564001</v>
      </c>
      <c r="K8516">
        <v>20</v>
      </c>
      <c r="L8516">
        <v>20</v>
      </c>
      <c r="M8516">
        <v>20</v>
      </c>
    </row>
    <row r="8517" spans="1:13" x14ac:dyDescent="0.25">
      <c r="A8517" t="s">
        <v>18977</v>
      </c>
      <c r="B8517" t="s">
        <v>18978</v>
      </c>
      <c r="C8517" t="s">
        <v>496</v>
      </c>
      <c r="D8517" t="s">
        <v>2360</v>
      </c>
      <c r="G8517" t="s">
        <v>16</v>
      </c>
      <c r="H8517">
        <v>0</v>
      </c>
      <c r="I8517" s="2" t="s">
        <v>1513</v>
      </c>
      <c r="J8517" s="2">
        <v>33104194</v>
      </c>
      <c r="K8517">
        <v>20</v>
      </c>
      <c r="L8517">
        <v>20</v>
      </c>
      <c r="M8517">
        <v>20</v>
      </c>
    </row>
    <row r="8518" spans="1:13" x14ac:dyDescent="0.25">
      <c r="A8518" t="s">
        <v>18979</v>
      </c>
      <c r="B8518" t="s">
        <v>18980</v>
      </c>
      <c r="C8518" t="s">
        <v>20</v>
      </c>
      <c r="D8518" t="s">
        <v>899</v>
      </c>
      <c r="F8518">
        <v>7</v>
      </c>
      <c r="G8518" t="s">
        <v>16</v>
      </c>
      <c r="H8518">
        <v>0</v>
      </c>
      <c r="I8518" s="2" t="s">
        <v>3701</v>
      </c>
      <c r="J8518" s="2" t="s">
        <v>18981</v>
      </c>
      <c r="K8518">
        <v>20</v>
      </c>
      <c r="L8518">
        <v>20</v>
      </c>
      <c r="M8518">
        <v>20</v>
      </c>
    </row>
    <row r="8519" spans="1:13" x14ac:dyDescent="0.25">
      <c r="A8519">
        <v>9813908880</v>
      </c>
      <c r="B8519" t="s">
        <v>18982</v>
      </c>
      <c r="C8519" t="s">
        <v>14</v>
      </c>
      <c r="D8519" t="s">
        <v>191</v>
      </c>
      <c r="F8519">
        <v>0</v>
      </c>
      <c r="G8519" t="s">
        <v>16</v>
      </c>
      <c r="H8519">
        <v>0</v>
      </c>
      <c r="I8519" s="2" t="s">
        <v>51</v>
      </c>
      <c r="J8519" s="2">
        <v>9813908880</v>
      </c>
      <c r="K8519">
        <v>20</v>
      </c>
      <c r="L8519">
        <v>20</v>
      </c>
      <c r="M8519">
        <v>20</v>
      </c>
    </row>
    <row r="8520" spans="1:13" x14ac:dyDescent="0.25">
      <c r="A8520" t="s">
        <v>18983</v>
      </c>
      <c r="B8520" t="s">
        <v>18982</v>
      </c>
      <c r="C8520" t="s">
        <v>14</v>
      </c>
      <c r="D8520" t="s">
        <v>191</v>
      </c>
      <c r="G8520" t="s">
        <v>16</v>
      </c>
      <c r="H8520">
        <v>0</v>
      </c>
      <c r="I8520" s="2" t="s">
        <v>4778</v>
      </c>
      <c r="J8520" s="2" t="s">
        <v>18984</v>
      </c>
      <c r="K8520">
        <v>20</v>
      </c>
      <c r="L8520">
        <v>20</v>
      </c>
      <c r="M8520">
        <v>20</v>
      </c>
    </row>
    <row r="8521" spans="1:13" x14ac:dyDescent="0.25">
      <c r="A8521" t="s">
        <v>18985</v>
      </c>
      <c r="B8521" t="s">
        <v>18982</v>
      </c>
      <c r="C8521" t="s">
        <v>14</v>
      </c>
      <c r="D8521" t="s">
        <v>191</v>
      </c>
      <c r="F8521">
        <v>37</v>
      </c>
      <c r="G8521" t="s">
        <v>16</v>
      </c>
      <c r="H8521">
        <v>0</v>
      </c>
      <c r="I8521" s="2" t="s">
        <v>4783</v>
      </c>
      <c r="J8521" s="2">
        <v>9813908880</v>
      </c>
      <c r="K8521">
        <v>20</v>
      </c>
      <c r="L8521">
        <v>20</v>
      </c>
      <c r="M8521">
        <v>20</v>
      </c>
    </row>
    <row r="8522" spans="1:13" x14ac:dyDescent="0.25">
      <c r="A8522" t="s">
        <v>18986</v>
      </c>
      <c r="B8522" t="s">
        <v>18982</v>
      </c>
      <c r="C8522" t="s">
        <v>14</v>
      </c>
      <c r="D8522" t="s">
        <v>191</v>
      </c>
      <c r="G8522" t="s">
        <v>16</v>
      </c>
      <c r="H8522">
        <v>0</v>
      </c>
      <c r="I8522" s="2" t="s">
        <v>500</v>
      </c>
      <c r="J8522" s="2" t="s">
        <v>18987</v>
      </c>
      <c r="K8522">
        <v>20</v>
      </c>
      <c r="L8522">
        <v>20</v>
      </c>
      <c r="M8522">
        <v>20</v>
      </c>
    </row>
    <row r="8523" spans="1:13" x14ac:dyDescent="0.25">
      <c r="A8523" t="s">
        <v>18988</v>
      </c>
      <c r="B8523" t="s">
        <v>18982</v>
      </c>
      <c r="C8523" t="s">
        <v>14</v>
      </c>
      <c r="D8523" t="s">
        <v>191</v>
      </c>
      <c r="F8523">
        <v>20</v>
      </c>
      <c r="G8523" t="s">
        <v>16</v>
      </c>
      <c r="H8523">
        <v>0</v>
      </c>
      <c r="I8523" s="2" t="s">
        <v>522</v>
      </c>
      <c r="J8523" s="2" t="s">
        <v>18989</v>
      </c>
      <c r="K8523">
        <v>20</v>
      </c>
      <c r="L8523">
        <v>20</v>
      </c>
      <c r="M8523">
        <v>20</v>
      </c>
    </row>
    <row r="8524" spans="1:13" x14ac:dyDescent="0.25">
      <c r="A8524" t="s">
        <v>18990</v>
      </c>
      <c r="B8524" t="s">
        <v>18982</v>
      </c>
      <c r="C8524" t="s">
        <v>14</v>
      </c>
      <c r="D8524" t="s">
        <v>191</v>
      </c>
      <c r="G8524" t="s">
        <v>16</v>
      </c>
      <c r="H8524">
        <v>0</v>
      </c>
      <c r="I8524" s="2" t="s">
        <v>4748</v>
      </c>
      <c r="J8524" s="2" t="s">
        <v>18991</v>
      </c>
      <c r="K8524">
        <v>20</v>
      </c>
      <c r="L8524">
        <v>20</v>
      </c>
      <c r="M8524">
        <v>20</v>
      </c>
    </row>
    <row r="8525" spans="1:13" x14ac:dyDescent="0.25">
      <c r="A8525" t="s">
        <v>18992</v>
      </c>
      <c r="B8525" t="s">
        <v>18982</v>
      </c>
      <c r="C8525" t="s">
        <v>14</v>
      </c>
      <c r="D8525" t="s">
        <v>191</v>
      </c>
      <c r="F8525">
        <v>2</v>
      </c>
      <c r="G8525" t="s">
        <v>16</v>
      </c>
      <c r="H8525">
        <v>0</v>
      </c>
      <c r="I8525" s="2" t="s">
        <v>4711</v>
      </c>
      <c r="J8525" s="2" t="s">
        <v>18993</v>
      </c>
      <c r="K8525">
        <v>20</v>
      </c>
      <c r="L8525">
        <v>20</v>
      </c>
      <c r="M8525">
        <v>20</v>
      </c>
    </row>
    <row r="8526" spans="1:13" x14ac:dyDescent="0.25">
      <c r="A8526" t="s">
        <v>18994</v>
      </c>
      <c r="B8526" t="s">
        <v>18982</v>
      </c>
      <c r="C8526" t="s">
        <v>14</v>
      </c>
      <c r="D8526" t="s">
        <v>191</v>
      </c>
      <c r="G8526" t="s">
        <v>16</v>
      </c>
      <c r="H8526">
        <v>0</v>
      </c>
      <c r="I8526" s="2" t="s">
        <v>4807</v>
      </c>
      <c r="J8526" s="2" t="s">
        <v>18995</v>
      </c>
      <c r="K8526">
        <v>20</v>
      </c>
      <c r="L8526">
        <v>20</v>
      </c>
      <c r="M8526">
        <v>20</v>
      </c>
    </row>
    <row r="8527" spans="1:13" x14ac:dyDescent="0.25">
      <c r="A8527" t="s">
        <v>18996</v>
      </c>
      <c r="B8527" t="s">
        <v>18982</v>
      </c>
      <c r="C8527" t="s">
        <v>14</v>
      </c>
      <c r="D8527" t="s">
        <v>191</v>
      </c>
      <c r="G8527" t="s">
        <v>16</v>
      </c>
      <c r="H8527">
        <v>0</v>
      </c>
      <c r="I8527" s="2" t="s">
        <v>4736</v>
      </c>
      <c r="J8527" s="2" t="s">
        <v>18997</v>
      </c>
      <c r="K8527">
        <v>20</v>
      </c>
      <c r="L8527">
        <v>20</v>
      </c>
      <c r="M8527">
        <v>20</v>
      </c>
    </row>
    <row r="8528" spans="1:13" x14ac:dyDescent="0.25">
      <c r="A8528" t="s">
        <v>18998</v>
      </c>
      <c r="B8528" t="s">
        <v>18999</v>
      </c>
      <c r="C8528" t="s">
        <v>14</v>
      </c>
      <c r="D8528" t="s">
        <v>15</v>
      </c>
      <c r="F8528">
        <v>5</v>
      </c>
      <c r="G8528" t="s">
        <v>16</v>
      </c>
      <c r="H8528">
        <v>0</v>
      </c>
      <c r="K8528">
        <v>20</v>
      </c>
      <c r="L8528">
        <v>20</v>
      </c>
      <c r="M8528">
        <v>20</v>
      </c>
    </row>
    <row r="8529" spans="1:13" x14ac:dyDescent="0.25">
      <c r="A8529" t="s">
        <v>19000</v>
      </c>
      <c r="B8529" t="s">
        <v>19002</v>
      </c>
      <c r="C8529" t="s">
        <v>20</v>
      </c>
      <c r="D8529" t="s">
        <v>26</v>
      </c>
      <c r="G8529" t="s">
        <v>16</v>
      </c>
      <c r="H8529">
        <v>0</v>
      </c>
      <c r="I8529" s="2" t="s">
        <v>2098</v>
      </c>
      <c r="J8529" s="2" t="s">
        <v>19001</v>
      </c>
      <c r="K8529">
        <v>20</v>
      </c>
      <c r="L8529">
        <v>20</v>
      </c>
      <c r="M8529">
        <v>20</v>
      </c>
    </row>
    <row r="8530" spans="1:13" x14ac:dyDescent="0.25">
      <c r="A8530">
        <v>9814383880</v>
      </c>
      <c r="B8530" t="s">
        <v>19003</v>
      </c>
      <c r="C8530" t="s">
        <v>1436</v>
      </c>
      <c r="F8530">
        <v>0</v>
      </c>
      <c r="G8530" t="s">
        <v>16</v>
      </c>
      <c r="H8530">
        <v>0</v>
      </c>
      <c r="I8530" s="2" t="s">
        <v>51</v>
      </c>
      <c r="J8530" s="2">
        <v>9814383880</v>
      </c>
      <c r="K8530">
        <v>20</v>
      </c>
      <c r="L8530">
        <v>20</v>
      </c>
      <c r="M8530">
        <v>20</v>
      </c>
    </row>
    <row r="8531" spans="1:13" x14ac:dyDescent="0.25">
      <c r="A8531" t="s">
        <v>19004</v>
      </c>
      <c r="B8531" t="s">
        <v>19005</v>
      </c>
      <c r="C8531" t="s">
        <v>20</v>
      </c>
      <c r="D8531" t="s">
        <v>26</v>
      </c>
      <c r="F8531">
        <v>2</v>
      </c>
      <c r="G8531" t="s">
        <v>16</v>
      </c>
      <c r="H8531">
        <v>0</v>
      </c>
      <c r="I8531" s="2" t="s">
        <v>97</v>
      </c>
      <c r="J8531" s="3">
        <v>577650</v>
      </c>
      <c r="K8531">
        <v>20</v>
      </c>
      <c r="L8531">
        <v>20</v>
      </c>
      <c r="M8531">
        <v>20</v>
      </c>
    </row>
    <row r="8532" spans="1:13" x14ac:dyDescent="0.25">
      <c r="A8532" t="s">
        <v>19006</v>
      </c>
      <c r="B8532" t="s">
        <v>19007</v>
      </c>
      <c r="C8532" t="s">
        <v>20</v>
      </c>
      <c r="D8532" t="s">
        <v>26</v>
      </c>
      <c r="F8532">
        <v>1</v>
      </c>
      <c r="G8532" t="s">
        <v>16</v>
      </c>
      <c r="H8532">
        <v>0</v>
      </c>
      <c r="I8532" s="2" t="s">
        <v>99</v>
      </c>
      <c r="J8532" s="3">
        <v>497470</v>
      </c>
      <c r="K8532">
        <v>20</v>
      </c>
      <c r="L8532">
        <v>20</v>
      </c>
      <c r="M8532">
        <v>20</v>
      </c>
    </row>
    <row r="8533" spans="1:13" x14ac:dyDescent="0.25">
      <c r="A8533" t="s">
        <v>19008</v>
      </c>
      <c r="B8533" t="s">
        <v>19009</v>
      </c>
      <c r="C8533" t="s">
        <v>496</v>
      </c>
      <c r="D8533" t="s">
        <v>2360</v>
      </c>
      <c r="F8533">
        <v>0</v>
      </c>
      <c r="G8533" t="s">
        <v>16</v>
      </c>
      <c r="H8533">
        <v>0</v>
      </c>
      <c r="I8533" s="2" t="s">
        <v>3421</v>
      </c>
      <c r="J8533" s="2" t="s">
        <v>19010</v>
      </c>
      <c r="K8533">
        <v>20</v>
      </c>
      <c r="L8533">
        <v>20</v>
      </c>
      <c r="M8533">
        <v>20</v>
      </c>
    </row>
    <row r="8534" spans="1:13" x14ac:dyDescent="0.25">
      <c r="A8534">
        <v>9815014680</v>
      </c>
      <c r="G8534" t="s">
        <v>16</v>
      </c>
      <c r="H8534">
        <v>0</v>
      </c>
      <c r="K8534">
        <v>20</v>
      </c>
      <c r="L8534">
        <v>20</v>
      </c>
      <c r="M8534">
        <v>20</v>
      </c>
    </row>
    <row r="8535" spans="1:13" x14ac:dyDescent="0.25">
      <c r="A8535" t="s">
        <v>19011</v>
      </c>
      <c r="B8535" t="s">
        <v>19012</v>
      </c>
      <c r="C8535" t="s">
        <v>496</v>
      </c>
      <c r="D8535" t="s">
        <v>2360</v>
      </c>
      <c r="F8535">
        <v>0</v>
      </c>
      <c r="G8535" t="s">
        <v>16</v>
      </c>
      <c r="H8535">
        <v>0</v>
      </c>
      <c r="I8535" s="2" t="s">
        <v>3421</v>
      </c>
      <c r="J8535" s="2" t="s">
        <v>19013</v>
      </c>
      <c r="K8535">
        <v>20</v>
      </c>
      <c r="L8535">
        <v>20</v>
      </c>
      <c r="M8535">
        <v>20</v>
      </c>
    </row>
    <row r="8536" spans="1:13" x14ac:dyDescent="0.25">
      <c r="A8536" t="s">
        <v>19014</v>
      </c>
      <c r="B8536" t="s">
        <v>19015</v>
      </c>
      <c r="C8536" t="s">
        <v>14</v>
      </c>
      <c r="D8536" t="s">
        <v>15</v>
      </c>
      <c r="G8536" t="s">
        <v>16</v>
      </c>
      <c r="H8536">
        <v>0</v>
      </c>
      <c r="I8536" s="2" t="s">
        <v>4778</v>
      </c>
      <c r="J8536" s="2" t="s">
        <v>19016</v>
      </c>
      <c r="K8536">
        <v>20</v>
      </c>
      <c r="L8536">
        <v>20</v>
      </c>
      <c r="M8536">
        <v>20</v>
      </c>
    </row>
    <row r="8537" spans="1:13" x14ac:dyDescent="0.25">
      <c r="A8537" t="s">
        <v>19017</v>
      </c>
      <c r="B8537" t="s">
        <v>19018</v>
      </c>
      <c r="C8537" t="s">
        <v>14</v>
      </c>
      <c r="D8537" t="s">
        <v>15</v>
      </c>
      <c r="F8537">
        <v>10</v>
      </c>
      <c r="G8537" t="s">
        <v>16</v>
      </c>
      <c r="H8537">
        <v>0</v>
      </c>
      <c r="I8537" s="2" t="s">
        <v>6939</v>
      </c>
      <c r="J8537" s="2" t="s">
        <v>19019</v>
      </c>
      <c r="K8537">
        <v>20</v>
      </c>
      <c r="L8537">
        <v>20</v>
      </c>
      <c r="M8537">
        <v>20</v>
      </c>
    </row>
    <row r="8538" spans="1:13" x14ac:dyDescent="0.25">
      <c r="A8538" t="s">
        <v>19020</v>
      </c>
      <c r="B8538" t="s">
        <v>19015</v>
      </c>
      <c r="C8538" t="s">
        <v>14</v>
      </c>
      <c r="D8538" t="s">
        <v>15</v>
      </c>
      <c r="F8538">
        <v>5</v>
      </c>
      <c r="G8538" t="s">
        <v>16</v>
      </c>
      <c r="H8538">
        <v>0</v>
      </c>
      <c r="I8538" s="2" t="s">
        <v>6939</v>
      </c>
      <c r="J8538" s="2" t="s">
        <v>19021</v>
      </c>
      <c r="K8538">
        <v>20</v>
      </c>
      <c r="L8538">
        <v>20</v>
      </c>
      <c r="M8538">
        <v>20</v>
      </c>
    </row>
    <row r="8539" spans="1:13" x14ac:dyDescent="0.25">
      <c r="A8539" t="s">
        <v>19022</v>
      </c>
      <c r="B8539" t="s">
        <v>19023</v>
      </c>
      <c r="C8539" t="s">
        <v>496</v>
      </c>
      <c r="D8539" t="s">
        <v>4083</v>
      </c>
      <c r="F8539">
        <v>0</v>
      </c>
      <c r="G8539" t="s">
        <v>16</v>
      </c>
      <c r="H8539">
        <v>0</v>
      </c>
      <c r="I8539" s="2" t="s">
        <v>64</v>
      </c>
      <c r="J8539" s="2" t="str">
        <f>"01010515"</f>
        <v>01010515</v>
      </c>
      <c r="K8539">
        <v>20</v>
      </c>
      <c r="L8539">
        <v>20</v>
      </c>
      <c r="M8539">
        <v>20</v>
      </c>
    </row>
    <row r="8540" spans="1:13" x14ac:dyDescent="0.25">
      <c r="A8540">
        <v>9815712680</v>
      </c>
      <c r="B8540" t="s">
        <v>19024</v>
      </c>
      <c r="C8540" t="s">
        <v>1436</v>
      </c>
      <c r="F8540">
        <v>1</v>
      </c>
      <c r="G8540" t="s">
        <v>16</v>
      </c>
      <c r="H8540">
        <v>0</v>
      </c>
      <c r="I8540" s="2" t="s">
        <v>51</v>
      </c>
      <c r="J8540" s="2">
        <v>9815712680</v>
      </c>
      <c r="K8540">
        <v>20</v>
      </c>
      <c r="L8540">
        <v>20</v>
      </c>
      <c r="M8540">
        <v>20</v>
      </c>
    </row>
    <row r="8541" spans="1:13" x14ac:dyDescent="0.25">
      <c r="A8541">
        <v>9815894780</v>
      </c>
      <c r="B8541" t="s">
        <v>19025</v>
      </c>
      <c r="C8541" t="s">
        <v>1436</v>
      </c>
      <c r="D8541" t="s">
        <v>1437</v>
      </c>
      <c r="F8541">
        <v>0</v>
      </c>
      <c r="G8541" t="s">
        <v>16</v>
      </c>
      <c r="H8541">
        <v>0</v>
      </c>
      <c r="I8541" s="2" t="s">
        <v>51</v>
      </c>
      <c r="J8541" s="2">
        <v>9815894780</v>
      </c>
      <c r="K8541">
        <v>20</v>
      </c>
      <c r="L8541">
        <v>20</v>
      </c>
      <c r="M8541">
        <v>20</v>
      </c>
    </row>
    <row r="8542" spans="1:13" x14ac:dyDescent="0.25">
      <c r="A8542" t="s">
        <v>19026</v>
      </c>
      <c r="B8542" t="s">
        <v>19027</v>
      </c>
      <c r="C8542" t="s">
        <v>540</v>
      </c>
      <c r="G8542" t="s">
        <v>16</v>
      </c>
      <c r="H8542">
        <v>0</v>
      </c>
      <c r="K8542">
        <v>20</v>
      </c>
      <c r="L8542">
        <v>20</v>
      </c>
      <c r="M8542">
        <v>20</v>
      </c>
    </row>
    <row r="8543" spans="1:13" x14ac:dyDescent="0.25">
      <c r="A8543">
        <v>9816058680</v>
      </c>
      <c r="B8543" t="s">
        <v>19028</v>
      </c>
      <c r="C8543" t="s">
        <v>20</v>
      </c>
      <c r="D8543" t="s">
        <v>385</v>
      </c>
      <c r="G8543" t="s">
        <v>16</v>
      </c>
      <c r="H8543">
        <v>0</v>
      </c>
      <c r="I8543" s="2" t="s">
        <v>55</v>
      </c>
      <c r="J8543" s="2">
        <v>9816058680</v>
      </c>
      <c r="K8543">
        <v>20</v>
      </c>
      <c r="L8543">
        <v>20</v>
      </c>
      <c r="M8543">
        <v>20</v>
      </c>
    </row>
    <row r="8544" spans="1:13" x14ac:dyDescent="0.25">
      <c r="A8544" t="s">
        <v>19029</v>
      </c>
      <c r="B8544" t="s">
        <v>19030</v>
      </c>
      <c r="C8544" t="s">
        <v>20</v>
      </c>
      <c r="D8544" t="s">
        <v>26</v>
      </c>
      <c r="F8544">
        <v>1</v>
      </c>
      <c r="G8544" t="s">
        <v>16</v>
      </c>
      <c r="H8544">
        <v>0</v>
      </c>
      <c r="I8544" s="2" t="s">
        <v>99</v>
      </c>
      <c r="J8544" s="3">
        <v>940480</v>
      </c>
      <c r="K8544">
        <v>20</v>
      </c>
      <c r="L8544">
        <v>20</v>
      </c>
      <c r="M8544">
        <v>20</v>
      </c>
    </row>
    <row r="8545" spans="1:13" x14ac:dyDescent="0.25">
      <c r="A8545" t="s">
        <v>19031</v>
      </c>
      <c r="B8545" t="s">
        <v>19032</v>
      </c>
      <c r="C8545" t="s">
        <v>540</v>
      </c>
      <c r="G8545" t="s">
        <v>16</v>
      </c>
      <c r="H8545">
        <v>0</v>
      </c>
      <c r="I8545" s="2" t="s">
        <v>541</v>
      </c>
      <c r="J8545" s="2" t="str">
        <f>"00690011"</f>
        <v>00690011</v>
      </c>
      <c r="K8545">
        <v>20</v>
      </c>
      <c r="L8545">
        <v>20</v>
      </c>
      <c r="M8545">
        <v>20</v>
      </c>
    </row>
    <row r="8546" spans="1:13" x14ac:dyDescent="0.25">
      <c r="A8546" t="s">
        <v>19033</v>
      </c>
      <c r="B8546" t="s">
        <v>19035</v>
      </c>
      <c r="C8546" t="s">
        <v>540</v>
      </c>
      <c r="F8546">
        <v>1</v>
      </c>
      <c r="G8546" t="s">
        <v>16</v>
      </c>
      <c r="H8546">
        <v>0</v>
      </c>
      <c r="I8546" s="2" t="s">
        <v>69</v>
      </c>
      <c r="J8546" s="2" t="s">
        <v>19034</v>
      </c>
      <c r="K8546">
        <v>20</v>
      </c>
      <c r="L8546">
        <v>20</v>
      </c>
      <c r="M8546">
        <v>20</v>
      </c>
    </row>
    <row r="8547" spans="1:13" x14ac:dyDescent="0.25">
      <c r="A8547" t="s">
        <v>19036</v>
      </c>
      <c r="B8547" t="s">
        <v>19038</v>
      </c>
      <c r="C8547" t="s">
        <v>540</v>
      </c>
      <c r="F8547">
        <v>1</v>
      </c>
      <c r="G8547" t="s">
        <v>16</v>
      </c>
      <c r="H8547">
        <v>0</v>
      </c>
      <c r="I8547" s="2" t="s">
        <v>69</v>
      </c>
      <c r="J8547" s="2" t="s">
        <v>19037</v>
      </c>
      <c r="K8547">
        <v>20</v>
      </c>
      <c r="L8547">
        <v>20</v>
      </c>
      <c r="M8547">
        <v>20</v>
      </c>
    </row>
    <row r="8548" spans="1:13" x14ac:dyDescent="0.25">
      <c r="A8548" t="s">
        <v>19039</v>
      </c>
      <c r="B8548" t="s">
        <v>19040</v>
      </c>
      <c r="C8548" t="s">
        <v>540</v>
      </c>
      <c r="F8548">
        <v>1</v>
      </c>
      <c r="G8548" t="s">
        <v>16</v>
      </c>
      <c r="H8548">
        <v>0</v>
      </c>
      <c r="I8548" s="2" t="s">
        <v>19041</v>
      </c>
      <c r="J8548" s="2" t="s">
        <v>19042</v>
      </c>
      <c r="K8548">
        <v>20</v>
      </c>
      <c r="L8548">
        <v>20</v>
      </c>
      <c r="M8548">
        <v>20</v>
      </c>
    </row>
    <row r="8549" spans="1:13" x14ac:dyDescent="0.25">
      <c r="A8549" t="s">
        <v>19043</v>
      </c>
      <c r="B8549" t="s">
        <v>19045</v>
      </c>
      <c r="C8549" t="s">
        <v>1426</v>
      </c>
      <c r="F8549">
        <v>1</v>
      </c>
      <c r="G8549" t="s">
        <v>16</v>
      </c>
      <c r="H8549">
        <v>0</v>
      </c>
      <c r="I8549" s="2" t="s">
        <v>69</v>
      </c>
      <c r="J8549" s="2" t="s">
        <v>19044</v>
      </c>
      <c r="K8549">
        <v>20</v>
      </c>
      <c r="L8549">
        <v>20</v>
      </c>
      <c r="M8549">
        <v>20</v>
      </c>
    </row>
    <row r="8550" spans="1:13" x14ac:dyDescent="0.25">
      <c r="A8550" t="s">
        <v>19046</v>
      </c>
      <c r="B8550" t="s">
        <v>19048</v>
      </c>
      <c r="C8550" t="s">
        <v>1426</v>
      </c>
      <c r="F8550">
        <v>1</v>
      </c>
      <c r="G8550" t="s">
        <v>16</v>
      </c>
      <c r="H8550">
        <v>0</v>
      </c>
      <c r="I8550" s="2" t="s">
        <v>69</v>
      </c>
      <c r="J8550" s="2" t="s">
        <v>19047</v>
      </c>
      <c r="K8550">
        <v>20</v>
      </c>
      <c r="L8550">
        <v>20</v>
      </c>
      <c r="M8550">
        <v>20</v>
      </c>
    </row>
    <row r="8551" spans="1:13" x14ac:dyDescent="0.25">
      <c r="A8551" t="s">
        <v>19049</v>
      </c>
      <c r="B8551" t="s">
        <v>19050</v>
      </c>
      <c r="C8551" t="s">
        <v>151</v>
      </c>
      <c r="D8551" t="s">
        <v>1092</v>
      </c>
      <c r="F8551">
        <v>1</v>
      </c>
      <c r="G8551" t="s">
        <v>16</v>
      </c>
      <c r="H8551">
        <v>0</v>
      </c>
      <c r="I8551" s="2" t="s">
        <v>854</v>
      </c>
      <c r="J8551" s="2">
        <v>450630</v>
      </c>
      <c r="K8551">
        <v>20</v>
      </c>
      <c r="L8551">
        <v>20</v>
      </c>
      <c r="M8551">
        <v>20</v>
      </c>
    </row>
    <row r="8552" spans="1:13" x14ac:dyDescent="0.25">
      <c r="A8552" t="s">
        <v>19051</v>
      </c>
      <c r="B8552" t="s">
        <v>19052</v>
      </c>
      <c r="C8552" t="s">
        <v>496</v>
      </c>
      <c r="F8552">
        <v>2</v>
      </c>
      <c r="G8552" t="s">
        <v>16</v>
      </c>
      <c r="H8552">
        <v>0</v>
      </c>
      <c r="I8552" s="2" t="s">
        <v>2517</v>
      </c>
      <c r="J8552" s="2" t="s">
        <v>19053</v>
      </c>
      <c r="K8552">
        <v>20</v>
      </c>
      <c r="L8552">
        <v>20</v>
      </c>
      <c r="M8552">
        <v>20</v>
      </c>
    </row>
    <row r="8553" spans="1:13" x14ac:dyDescent="0.25">
      <c r="A8553" t="s">
        <v>19054</v>
      </c>
      <c r="B8553" t="s">
        <v>19055</v>
      </c>
      <c r="C8553" t="s">
        <v>496</v>
      </c>
      <c r="F8553">
        <v>1</v>
      </c>
      <c r="G8553" t="s">
        <v>16</v>
      </c>
      <c r="H8553">
        <v>0</v>
      </c>
      <c r="I8553" s="2" t="s">
        <v>8864</v>
      </c>
      <c r="J8553" s="2" t="str">
        <f>"04-70943A"</f>
        <v>04-70943A</v>
      </c>
      <c r="K8553">
        <v>20</v>
      </c>
      <c r="L8553">
        <v>20</v>
      </c>
      <c r="M8553">
        <v>20</v>
      </c>
    </row>
    <row r="8554" spans="1:13" x14ac:dyDescent="0.25">
      <c r="A8554" t="s">
        <v>19056</v>
      </c>
      <c r="B8554" t="s">
        <v>19057</v>
      </c>
      <c r="C8554" t="s">
        <v>496</v>
      </c>
      <c r="D8554" t="s">
        <v>2360</v>
      </c>
      <c r="G8554" t="s">
        <v>16</v>
      </c>
      <c r="H8554">
        <v>0</v>
      </c>
      <c r="I8554" s="2" t="s">
        <v>5040</v>
      </c>
      <c r="J8554" s="2" t="str">
        <f>"04-70943"</f>
        <v>04-70943</v>
      </c>
      <c r="K8554">
        <v>20</v>
      </c>
      <c r="L8554">
        <v>20</v>
      </c>
      <c r="M8554">
        <v>20</v>
      </c>
    </row>
    <row r="8555" spans="1:13" x14ac:dyDescent="0.25">
      <c r="A8555" t="s">
        <v>19058</v>
      </c>
      <c r="B8555" t="s">
        <v>19052</v>
      </c>
      <c r="C8555" t="s">
        <v>496</v>
      </c>
      <c r="D8555" t="s">
        <v>2360</v>
      </c>
      <c r="F8555">
        <v>0</v>
      </c>
      <c r="G8555" t="s">
        <v>16</v>
      </c>
      <c r="H8555">
        <v>0</v>
      </c>
      <c r="I8555" s="2" t="s">
        <v>64</v>
      </c>
      <c r="J8555" s="2">
        <v>13050308</v>
      </c>
      <c r="K8555">
        <v>20</v>
      </c>
      <c r="L8555">
        <v>20</v>
      </c>
      <c r="M8555">
        <v>20</v>
      </c>
    </row>
    <row r="8556" spans="1:13" x14ac:dyDescent="0.25">
      <c r="A8556" t="s">
        <v>19059</v>
      </c>
      <c r="B8556" t="s">
        <v>19060</v>
      </c>
      <c r="C8556" t="s">
        <v>2493</v>
      </c>
      <c r="F8556">
        <v>1</v>
      </c>
      <c r="G8556" t="s">
        <v>16</v>
      </c>
      <c r="H8556">
        <v>0</v>
      </c>
      <c r="I8556" s="2" t="s">
        <v>8864</v>
      </c>
      <c r="J8556" s="2" t="str">
        <f>"04-70942A"</f>
        <v>04-70942A</v>
      </c>
      <c r="K8556">
        <v>20</v>
      </c>
      <c r="L8556">
        <v>20</v>
      </c>
      <c r="M8556">
        <v>20</v>
      </c>
    </row>
    <row r="8557" spans="1:13" x14ac:dyDescent="0.25">
      <c r="A8557" t="s">
        <v>19061</v>
      </c>
      <c r="B8557" t="s">
        <v>19062</v>
      </c>
      <c r="C8557" t="s">
        <v>496</v>
      </c>
      <c r="D8557" t="s">
        <v>2360</v>
      </c>
      <c r="G8557" t="s">
        <v>16</v>
      </c>
      <c r="H8557">
        <v>0</v>
      </c>
      <c r="I8557" s="2" t="s">
        <v>5040</v>
      </c>
      <c r="J8557" s="2" t="str">
        <f>"04-70942"</f>
        <v>04-70942</v>
      </c>
      <c r="K8557">
        <v>20</v>
      </c>
      <c r="L8557">
        <v>20</v>
      </c>
      <c r="M8557">
        <v>20</v>
      </c>
    </row>
    <row r="8558" spans="1:13" x14ac:dyDescent="0.25">
      <c r="A8558" t="s">
        <v>19063</v>
      </c>
      <c r="B8558" t="s">
        <v>19062</v>
      </c>
      <c r="C8558" t="s">
        <v>496</v>
      </c>
      <c r="D8558" t="s">
        <v>2360</v>
      </c>
      <c r="F8558">
        <v>0</v>
      </c>
      <c r="G8558" t="s">
        <v>16</v>
      </c>
      <c r="H8558">
        <v>0</v>
      </c>
      <c r="I8558" s="2" t="s">
        <v>64</v>
      </c>
      <c r="J8558" s="2">
        <v>13050307</v>
      </c>
      <c r="K8558">
        <v>20</v>
      </c>
      <c r="L8558">
        <v>20</v>
      </c>
      <c r="M8558">
        <v>20</v>
      </c>
    </row>
    <row r="8559" spans="1:13" x14ac:dyDescent="0.25">
      <c r="A8559" t="s">
        <v>19064</v>
      </c>
      <c r="B8559" t="s">
        <v>19062</v>
      </c>
      <c r="C8559" t="s">
        <v>496</v>
      </c>
      <c r="D8559" t="s">
        <v>2360</v>
      </c>
      <c r="F8559">
        <v>1</v>
      </c>
      <c r="G8559" t="s">
        <v>16</v>
      </c>
      <c r="H8559">
        <v>0</v>
      </c>
      <c r="I8559" s="2" t="s">
        <v>4214</v>
      </c>
      <c r="J8559" s="2" t="s">
        <v>19065</v>
      </c>
      <c r="K8559">
        <v>20</v>
      </c>
      <c r="L8559">
        <v>20</v>
      </c>
      <c r="M8559">
        <v>20</v>
      </c>
    </row>
    <row r="8560" spans="1:13" x14ac:dyDescent="0.25">
      <c r="A8560" t="s">
        <v>19066</v>
      </c>
      <c r="B8560" t="s">
        <v>19067</v>
      </c>
      <c r="C8560" t="s">
        <v>540</v>
      </c>
      <c r="D8560" t="s">
        <v>4589</v>
      </c>
      <c r="F8560">
        <v>1</v>
      </c>
      <c r="G8560" t="s">
        <v>16</v>
      </c>
      <c r="H8560">
        <v>0</v>
      </c>
      <c r="I8560" s="2" t="s">
        <v>15543</v>
      </c>
      <c r="J8560" s="2" t="s">
        <v>19068</v>
      </c>
      <c r="K8560">
        <v>20</v>
      </c>
      <c r="L8560">
        <v>20</v>
      </c>
      <c r="M8560">
        <v>20</v>
      </c>
    </row>
    <row r="8561" spans="1:13" x14ac:dyDescent="0.25">
      <c r="A8561" t="s">
        <v>19069</v>
      </c>
      <c r="B8561" t="s">
        <v>19070</v>
      </c>
      <c r="C8561" t="s">
        <v>540</v>
      </c>
      <c r="D8561" t="s">
        <v>4589</v>
      </c>
      <c r="G8561" t="s">
        <v>16</v>
      </c>
      <c r="H8561">
        <v>0</v>
      </c>
      <c r="I8561" s="2" t="s">
        <v>19071</v>
      </c>
      <c r="J8561" s="2" t="s">
        <v>19072</v>
      </c>
      <c r="K8561">
        <v>20</v>
      </c>
      <c r="L8561">
        <v>20</v>
      </c>
      <c r="M8561">
        <v>20</v>
      </c>
    </row>
    <row r="8562" spans="1:13" x14ac:dyDescent="0.25">
      <c r="A8562" t="s">
        <v>19073</v>
      </c>
      <c r="B8562" t="s">
        <v>19074</v>
      </c>
      <c r="C8562" t="s">
        <v>14</v>
      </c>
      <c r="D8562" t="s">
        <v>2620</v>
      </c>
      <c r="F8562">
        <v>2</v>
      </c>
      <c r="G8562" t="s">
        <v>16</v>
      </c>
      <c r="H8562">
        <v>0</v>
      </c>
      <c r="I8562" s="2" t="s">
        <v>4711</v>
      </c>
      <c r="J8562" s="2" t="s">
        <v>19075</v>
      </c>
      <c r="K8562">
        <v>20</v>
      </c>
      <c r="L8562">
        <v>20</v>
      </c>
      <c r="M8562">
        <v>20</v>
      </c>
    </row>
    <row r="8563" spans="1:13" x14ac:dyDescent="0.25">
      <c r="A8563">
        <v>9817301180</v>
      </c>
      <c r="B8563" t="s">
        <v>19076</v>
      </c>
      <c r="C8563" t="s">
        <v>151</v>
      </c>
      <c r="D8563" t="s">
        <v>1092</v>
      </c>
      <c r="F8563">
        <v>1</v>
      </c>
      <c r="G8563" t="s">
        <v>16</v>
      </c>
      <c r="H8563">
        <v>0</v>
      </c>
      <c r="I8563" s="2" t="s">
        <v>55</v>
      </c>
      <c r="J8563" s="2">
        <v>9817301180</v>
      </c>
      <c r="K8563">
        <v>20</v>
      </c>
      <c r="L8563">
        <v>20</v>
      </c>
      <c r="M8563">
        <v>20</v>
      </c>
    </row>
    <row r="8564" spans="1:13" x14ac:dyDescent="0.25">
      <c r="A8564" t="s">
        <v>19077</v>
      </c>
      <c r="B8564" t="s">
        <v>19078</v>
      </c>
      <c r="C8564" t="s">
        <v>20</v>
      </c>
      <c r="D8564" t="s">
        <v>26</v>
      </c>
      <c r="F8564">
        <v>5</v>
      </c>
      <c r="G8564" t="s">
        <v>16</v>
      </c>
      <c r="H8564">
        <v>0</v>
      </c>
      <c r="I8564" s="2" t="s">
        <v>221</v>
      </c>
      <c r="J8564" s="2">
        <v>17035</v>
      </c>
      <c r="K8564">
        <v>20</v>
      </c>
      <c r="L8564">
        <v>20</v>
      </c>
      <c r="M8564">
        <v>20</v>
      </c>
    </row>
    <row r="8565" spans="1:13" x14ac:dyDescent="0.25">
      <c r="A8565">
        <v>9817643380</v>
      </c>
      <c r="B8565" t="s">
        <v>19079</v>
      </c>
      <c r="C8565" t="s">
        <v>20</v>
      </c>
      <c r="D8565" t="s">
        <v>26</v>
      </c>
      <c r="F8565">
        <v>1</v>
      </c>
      <c r="G8565" t="s">
        <v>16</v>
      </c>
      <c r="H8565">
        <v>0</v>
      </c>
      <c r="I8565" s="2" t="s">
        <v>51</v>
      </c>
      <c r="J8565" s="2">
        <v>9817643380</v>
      </c>
      <c r="K8565">
        <v>20</v>
      </c>
      <c r="L8565">
        <v>20</v>
      </c>
      <c r="M8565">
        <v>20</v>
      </c>
    </row>
    <row r="8566" spans="1:13" x14ac:dyDescent="0.25">
      <c r="A8566" t="s">
        <v>19080</v>
      </c>
      <c r="B8566" t="s">
        <v>19081</v>
      </c>
      <c r="C8566" t="s">
        <v>20</v>
      </c>
      <c r="D8566" t="s">
        <v>26</v>
      </c>
      <c r="F8566">
        <v>1</v>
      </c>
      <c r="G8566" t="s">
        <v>16</v>
      </c>
      <c r="H8566">
        <v>0</v>
      </c>
      <c r="I8566" s="2" t="s">
        <v>73</v>
      </c>
      <c r="J8566" s="2">
        <v>49200533</v>
      </c>
      <c r="K8566">
        <v>20</v>
      </c>
      <c r="L8566">
        <v>20</v>
      </c>
      <c r="M8566">
        <v>20</v>
      </c>
    </row>
    <row r="8567" spans="1:13" x14ac:dyDescent="0.25">
      <c r="A8567">
        <v>9817681980</v>
      </c>
      <c r="B8567" t="s">
        <v>19082</v>
      </c>
      <c r="C8567" t="s">
        <v>20</v>
      </c>
      <c r="F8567">
        <v>0</v>
      </c>
      <c r="G8567" t="s">
        <v>16</v>
      </c>
      <c r="H8567">
        <v>0</v>
      </c>
      <c r="I8567" s="2" t="s">
        <v>55</v>
      </c>
      <c r="J8567" s="2">
        <v>9817681980</v>
      </c>
      <c r="K8567">
        <v>20</v>
      </c>
      <c r="L8567">
        <v>20</v>
      </c>
      <c r="M8567">
        <v>20</v>
      </c>
    </row>
    <row r="8568" spans="1:13" x14ac:dyDescent="0.25">
      <c r="A8568">
        <v>9818914980</v>
      </c>
      <c r="B8568" t="s">
        <v>19083</v>
      </c>
      <c r="C8568" t="s">
        <v>14</v>
      </c>
      <c r="D8568" t="s">
        <v>293</v>
      </c>
      <c r="F8568">
        <v>18</v>
      </c>
      <c r="G8568" t="s">
        <v>16</v>
      </c>
      <c r="H8568">
        <v>0</v>
      </c>
      <c r="I8568" s="2" t="s">
        <v>55</v>
      </c>
      <c r="J8568" s="2">
        <v>9818914980</v>
      </c>
      <c r="K8568">
        <v>20</v>
      </c>
      <c r="L8568">
        <v>20</v>
      </c>
      <c r="M8568">
        <v>20</v>
      </c>
    </row>
    <row r="8569" spans="1:13" x14ac:dyDescent="0.25">
      <c r="A8569" t="s">
        <v>19084</v>
      </c>
      <c r="B8569" t="s">
        <v>19085</v>
      </c>
      <c r="C8569" t="s">
        <v>496</v>
      </c>
      <c r="D8569" t="s">
        <v>2360</v>
      </c>
      <c r="F8569">
        <v>0</v>
      </c>
      <c r="G8569" t="s">
        <v>16</v>
      </c>
      <c r="H8569">
        <v>0</v>
      </c>
      <c r="I8569" s="2" t="s">
        <v>87</v>
      </c>
      <c r="J8569" s="2" t="s">
        <v>19086</v>
      </c>
      <c r="K8569">
        <v>20</v>
      </c>
      <c r="L8569">
        <v>20</v>
      </c>
      <c r="M8569">
        <v>20</v>
      </c>
    </row>
    <row r="8570" spans="1:13" x14ac:dyDescent="0.25">
      <c r="A8570" t="s">
        <v>19087</v>
      </c>
      <c r="B8570" t="s">
        <v>19088</v>
      </c>
      <c r="C8570" t="s">
        <v>496</v>
      </c>
      <c r="D8570" t="s">
        <v>2360</v>
      </c>
      <c r="F8570">
        <v>0</v>
      </c>
      <c r="G8570" t="s">
        <v>16</v>
      </c>
      <c r="H8570">
        <v>0</v>
      </c>
      <c r="I8570" s="2" t="s">
        <v>5500</v>
      </c>
      <c r="J8570" s="2" t="s">
        <v>19089</v>
      </c>
      <c r="K8570">
        <v>20</v>
      </c>
      <c r="L8570">
        <v>20</v>
      </c>
      <c r="M8570">
        <v>20</v>
      </c>
    </row>
    <row r="8571" spans="1:13" x14ac:dyDescent="0.25">
      <c r="A8571" t="s">
        <v>19090</v>
      </c>
      <c r="B8571" t="s">
        <v>19085</v>
      </c>
      <c r="C8571" t="s">
        <v>496</v>
      </c>
      <c r="D8571" t="s">
        <v>5856</v>
      </c>
      <c r="F8571">
        <v>0</v>
      </c>
      <c r="G8571" t="s">
        <v>16</v>
      </c>
      <c r="H8571">
        <v>0</v>
      </c>
      <c r="I8571" s="2" t="s">
        <v>235</v>
      </c>
      <c r="J8571" s="2">
        <v>13532236</v>
      </c>
      <c r="K8571">
        <v>20</v>
      </c>
      <c r="L8571">
        <v>20</v>
      </c>
      <c r="M8571">
        <v>20</v>
      </c>
    </row>
    <row r="8572" spans="1:13" x14ac:dyDescent="0.25">
      <c r="A8572" t="s">
        <v>19091</v>
      </c>
      <c r="B8572" t="s">
        <v>19092</v>
      </c>
      <c r="C8572" t="s">
        <v>496</v>
      </c>
      <c r="D8572" t="s">
        <v>2360</v>
      </c>
      <c r="F8572">
        <v>0</v>
      </c>
      <c r="G8572" t="s">
        <v>16</v>
      </c>
      <c r="H8572">
        <v>0</v>
      </c>
      <c r="I8572" s="2" t="s">
        <v>2670</v>
      </c>
      <c r="J8572" s="2" t="s">
        <v>19093</v>
      </c>
      <c r="K8572">
        <v>20</v>
      </c>
      <c r="L8572">
        <v>20</v>
      </c>
      <c r="M8572">
        <v>20</v>
      </c>
    </row>
    <row r="8573" spans="1:13" x14ac:dyDescent="0.25">
      <c r="A8573" t="s">
        <v>19094</v>
      </c>
      <c r="B8573" t="s">
        <v>19092</v>
      </c>
      <c r="C8573" t="s">
        <v>496</v>
      </c>
      <c r="D8573" t="s">
        <v>2360</v>
      </c>
      <c r="F8573">
        <v>1</v>
      </c>
      <c r="G8573" t="s">
        <v>16</v>
      </c>
      <c r="H8573">
        <v>0</v>
      </c>
      <c r="I8573" s="2" t="s">
        <v>5044</v>
      </c>
      <c r="J8573" s="2" t="s">
        <v>19095</v>
      </c>
      <c r="K8573">
        <v>20</v>
      </c>
      <c r="L8573">
        <v>20</v>
      </c>
      <c r="M8573">
        <v>20</v>
      </c>
    </row>
    <row r="8574" spans="1:13" x14ac:dyDescent="0.25">
      <c r="A8574" t="s">
        <v>19096</v>
      </c>
      <c r="B8574" t="s">
        <v>19098</v>
      </c>
      <c r="C8574" t="s">
        <v>151</v>
      </c>
      <c r="D8574" t="s">
        <v>1092</v>
      </c>
      <c r="F8574">
        <v>1</v>
      </c>
      <c r="G8574" t="s">
        <v>16</v>
      </c>
      <c r="H8574">
        <v>0</v>
      </c>
      <c r="I8574" s="2" t="s">
        <v>765</v>
      </c>
      <c r="J8574" s="2" t="s">
        <v>19097</v>
      </c>
      <c r="K8574">
        <v>20</v>
      </c>
      <c r="L8574">
        <v>20</v>
      </c>
      <c r="M8574">
        <v>20</v>
      </c>
    </row>
    <row r="8575" spans="1:13" x14ac:dyDescent="0.25">
      <c r="A8575">
        <v>9819649280</v>
      </c>
      <c r="B8575" t="s">
        <v>19099</v>
      </c>
      <c r="C8575" t="s">
        <v>151</v>
      </c>
      <c r="D8575" t="s">
        <v>1092</v>
      </c>
      <c r="F8575">
        <v>1</v>
      </c>
      <c r="G8575" t="s">
        <v>16</v>
      </c>
      <c r="H8575">
        <v>0</v>
      </c>
      <c r="I8575" s="2" t="s">
        <v>51</v>
      </c>
      <c r="J8575" s="2">
        <v>9819649280</v>
      </c>
      <c r="K8575">
        <v>20</v>
      </c>
      <c r="L8575">
        <v>20</v>
      </c>
      <c r="M8575">
        <v>20</v>
      </c>
    </row>
    <row r="8576" spans="1:13" x14ac:dyDescent="0.25">
      <c r="A8576" t="s">
        <v>19100</v>
      </c>
      <c r="B8576" t="s">
        <v>19102</v>
      </c>
      <c r="C8576" t="s">
        <v>151</v>
      </c>
      <c r="D8576" t="s">
        <v>1092</v>
      </c>
      <c r="F8576">
        <v>1</v>
      </c>
      <c r="G8576" t="s">
        <v>16</v>
      </c>
      <c r="H8576">
        <v>0</v>
      </c>
      <c r="I8576" s="2" t="s">
        <v>765</v>
      </c>
      <c r="J8576" s="2" t="s">
        <v>19101</v>
      </c>
      <c r="K8576">
        <v>20</v>
      </c>
      <c r="L8576">
        <v>20</v>
      </c>
      <c r="M8576">
        <v>20</v>
      </c>
    </row>
    <row r="8577" spans="1:13" x14ac:dyDescent="0.25">
      <c r="A8577">
        <v>9819718680</v>
      </c>
      <c r="B8577" t="s">
        <v>19103</v>
      </c>
      <c r="C8577" t="s">
        <v>496</v>
      </c>
      <c r="D8577" t="s">
        <v>2360</v>
      </c>
      <c r="F8577">
        <v>0</v>
      </c>
      <c r="G8577" t="s">
        <v>16</v>
      </c>
      <c r="H8577">
        <v>0</v>
      </c>
      <c r="I8577" s="2" t="s">
        <v>497</v>
      </c>
      <c r="J8577" s="2">
        <v>9819718680</v>
      </c>
      <c r="K8577">
        <v>20</v>
      </c>
      <c r="L8577">
        <v>20</v>
      </c>
      <c r="M8577">
        <v>20</v>
      </c>
    </row>
    <row r="8578" spans="1:13" x14ac:dyDescent="0.25">
      <c r="A8578" t="s">
        <v>19104</v>
      </c>
      <c r="B8578" t="s">
        <v>19105</v>
      </c>
      <c r="C8578" t="s">
        <v>496</v>
      </c>
      <c r="D8578" t="s">
        <v>2360</v>
      </c>
      <c r="F8578">
        <v>2</v>
      </c>
      <c r="G8578" t="s">
        <v>16</v>
      </c>
      <c r="H8578">
        <v>0</v>
      </c>
      <c r="I8578" s="2" t="s">
        <v>5500</v>
      </c>
      <c r="J8578" s="2" t="s">
        <v>19106</v>
      </c>
      <c r="K8578">
        <v>20</v>
      </c>
      <c r="L8578">
        <v>20</v>
      </c>
      <c r="M8578">
        <v>20</v>
      </c>
    </row>
    <row r="8579" spans="1:13" x14ac:dyDescent="0.25">
      <c r="A8579" t="s">
        <v>19107</v>
      </c>
      <c r="B8579" t="s">
        <v>19108</v>
      </c>
      <c r="C8579" t="s">
        <v>20</v>
      </c>
      <c r="D8579" t="s">
        <v>899</v>
      </c>
      <c r="F8579">
        <v>2</v>
      </c>
      <c r="G8579" t="s">
        <v>16</v>
      </c>
      <c r="H8579">
        <v>0</v>
      </c>
      <c r="I8579" s="2" t="s">
        <v>383</v>
      </c>
      <c r="J8579" s="2">
        <v>1987946062</v>
      </c>
      <c r="K8579">
        <v>20</v>
      </c>
      <c r="L8579">
        <v>20</v>
      </c>
      <c r="M8579">
        <v>20</v>
      </c>
    </row>
    <row r="8580" spans="1:13" x14ac:dyDescent="0.25">
      <c r="A8580" t="s">
        <v>19109</v>
      </c>
      <c r="B8580" t="s">
        <v>19110</v>
      </c>
      <c r="C8580" t="s">
        <v>20</v>
      </c>
      <c r="D8580" t="s">
        <v>899</v>
      </c>
      <c r="F8580">
        <v>1</v>
      </c>
      <c r="G8580" t="s">
        <v>16</v>
      </c>
      <c r="H8580">
        <v>0</v>
      </c>
      <c r="I8580" s="2" t="s">
        <v>383</v>
      </c>
      <c r="J8580" s="2">
        <v>1987947940</v>
      </c>
      <c r="K8580">
        <v>20</v>
      </c>
      <c r="L8580">
        <v>20</v>
      </c>
      <c r="M8580">
        <v>20</v>
      </c>
    </row>
    <row r="8581" spans="1:13" x14ac:dyDescent="0.25">
      <c r="A8581" t="s">
        <v>19111</v>
      </c>
      <c r="B8581" t="s">
        <v>19112</v>
      </c>
      <c r="C8581" t="s">
        <v>20</v>
      </c>
      <c r="D8581" t="s">
        <v>899</v>
      </c>
      <c r="F8581">
        <v>1</v>
      </c>
      <c r="G8581" t="s">
        <v>16</v>
      </c>
      <c r="H8581">
        <v>0</v>
      </c>
      <c r="I8581" s="2" t="s">
        <v>3697</v>
      </c>
      <c r="J8581" s="2" t="s">
        <v>19113</v>
      </c>
      <c r="K8581">
        <v>20</v>
      </c>
      <c r="L8581">
        <v>20</v>
      </c>
      <c r="M8581">
        <v>20</v>
      </c>
    </row>
    <row r="8582" spans="1:13" x14ac:dyDescent="0.25">
      <c r="A8582">
        <v>9819917580</v>
      </c>
      <c r="B8582" t="s">
        <v>19114</v>
      </c>
      <c r="C8582" t="s">
        <v>20</v>
      </c>
      <c r="G8582" t="s">
        <v>16</v>
      </c>
      <c r="H8582">
        <v>0</v>
      </c>
      <c r="I8582" s="2" t="s">
        <v>51</v>
      </c>
      <c r="J8582" s="2">
        <v>9819917580</v>
      </c>
      <c r="K8582">
        <v>20</v>
      </c>
      <c r="L8582">
        <v>20</v>
      </c>
      <c r="M8582">
        <v>20</v>
      </c>
    </row>
    <row r="8583" spans="1:13" x14ac:dyDescent="0.25">
      <c r="A8583" t="s">
        <v>19115</v>
      </c>
      <c r="B8583" t="s">
        <v>19116</v>
      </c>
      <c r="C8583" t="s">
        <v>20</v>
      </c>
      <c r="F8583">
        <v>16</v>
      </c>
      <c r="G8583" t="s">
        <v>16</v>
      </c>
      <c r="H8583">
        <v>0</v>
      </c>
      <c r="I8583" s="2" t="s">
        <v>437</v>
      </c>
      <c r="J8583" s="2">
        <v>420026810</v>
      </c>
      <c r="K8583">
        <v>20</v>
      </c>
      <c r="L8583">
        <v>20</v>
      </c>
      <c r="M8583">
        <v>20</v>
      </c>
    </row>
    <row r="8584" spans="1:13" x14ac:dyDescent="0.25">
      <c r="A8584">
        <v>9819923680</v>
      </c>
      <c r="B8584" t="s">
        <v>19117</v>
      </c>
      <c r="C8584" t="s">
        <v>20</v>
      </c>
      <c r="D8584" t="s">
        <v>161</v>
      </c>
      <c r="F8584">
        <v>1</v>
      </c>
      <c r="G8584" t="s">
        <v>16</v>
      </c>
      <c r="H8584">
        <v>0</v>
      </c>
      <c r="I8584" s="2" t="s">
        <v>55</v>
      </c>
      <c r="J8584" s="2">
        <v>9819923680</v>
      </c>
      <c r="K8584">
        <v>20</v>
      </c>
      <c r="L8584">
        <v>20</v>
      </c>
      <c r="M8584">
        <v>20</v>
      </c>
    </row>
    <row r="8585" spans="1:13" x14ac:dyDescent="0.25">
      <c r="A8585" t="s">
        <v>19118</v>
      </c>
      <c r="B8585" t="s">
        <v>19119</v>
      </c>
      <c r="C8585" t="s">
        <v>241</v>
      </c>
      <c r="D8585" t="s">
        <v>2216</v>
      </c>
      <c r="F8585">
        <v>1</v>
      </c>
      <c r="G8585" t="s">
        <v>16</v>
      </c>
      <c r="H8585">
        <v>0</v>
      </c>
      <c r="I8585" s="2" t="s">
        <v>266</v>
      </c>
      <c r="J8585" s="2">
        <v>68088</v>
      </c>
      <c r="K8585">
        <v>20</v>
      </c>
      <c r="L8585">
        <v>20</v>
      </c>
      <c r="M8585">
        <v>20</v>
      </c>
    </row>
    <row r="8586" spans="1:13" x14ac:dyDescent="0.25">
      <c r="A8586" t="s">
        <v>19120</v>
      </c>
      <c r="B8586" t="s">
        <v>19119</v>
      </c>
      <c r="C8586" t="s">
        <v>241</v>
      </c>
      <c r="D8586" t="s">
        <v>242</v>
      </c>
      <c r="F8586">
        <v>1</v>
      </c>
      <c r="G8586" t="s">
        <v>16</v>
      </c>
      <c r="H8586">
        <v>0</v>
      </c>
      <c r="I8586" s="2" t="s">
        <v>737</v>
      </c>
      <c r="J8586" s="2" t="s">
        <v>19121</v>
      </c>
      <c r="K8586">
        <v>20</v>
      </c>
      <c r="L8586">
        <v>20</v>
      </c>
      <c r="M8586">
        <v>20</v>
      </c>
    </row>
    <row r="8587" spans="1:13" x14ac:dyDescent="0.25">
      <c r="A8587">
        <v>9820226380</v>
      </c>
      <c r="B8587" t="s">
        <v>19122</v>
      </c>
      <c r="C8587" t="s">
        <v>14</v>
      </c>
      <c r="D8587" t="s">
        <v>2620</v>
      </c>
      <c r="F8587">
        <v>30</v>
      </c>
      <c r="G8587" t="s">
        <v>16</v>
      </c>
      <c r="H8587">
        <v>0</v>
      </c>
      <c r="I8587" s="2" t="s">
        <v>51</v>
      </c>
      <c r="J8587" s="2">
        <v>9820226380</v>
      </c>
      <c r="K8587">
        <v>20</v>
      </c>
      <c r="L8587">
        <v>20</v>
      </c>
      <c r="M8587">
        <v>20</v>
      </c>
    </row>
    <row r="8588" spans="1:13" x14ac:dyDescent="0.25">
      <c r="A8588" t="s">
        <v>19123</v>
      </c>
      <c r="B8588" t="s">
        <v>19122</v>
      </c>
      <c r="C8588" t="s">
        <v>14</v>
      </c>
      <c r="D8588" t="s">
        <v>2620</v>
      </c>
      <c r="F8588">
        <v>1</v>
      </c>
      <c r="G8588" t="s">
        <v>16</v>
      </c>
      <c r="H8588">
        <v>0</v>
      </c>
      <c r="I8588" s="2" t="s">
        <v>685</v>
      </c>
      <c r="J8588" s="2" t="s">
        <v>19124</v>
      </c>
      <c r="K8588">
        <v>20</v>
      </c>
      <c r="L8588">
        <v>20</v>
      </c>
      <c r="M8588">
        <v>20</v>
      </c>
    </row>
    <row r="8589" spans="1:13" x14ac:dyDescent="0.25">
      <c r="A8589" t="s">
        <v>19125</v>
      </c>
      <c r="B8589" t="s">
        <v>19122</v>
      </c>
      <c r="C8589" t="s">
        <v>14</v>
      </c>
      <c r="D8589" t="s">
        <v>2620</v>
      </c>
      <c r="F8589">
        <v>3</v>
      </c>
      <c r="G8589" t="s">
        <v>16</v>
      </c>
      <c r="H8589">
        <v>0</v>
      </c>
      <c r="I8589" s="2" t="s">
        <v>392</v>
      </c>
      <c r="J8589" s="2">
        <v>1682952480</v>
      </c>
      <c r="K8589">
        <v>20</v>
      </c>
      <c r="L8589">
        <v>20</v>
      </c>
      <c r="M8589">
        <v>20</v>
      </c>
    </row>
    <row r="8590" spans="1:13" x14ac:dyDescent="0.25">
      <c r="A8590" t="s">
        <v>19126</v>
      </c>
      <c r="B8590" t="s">
        <v>19127</v>
      </c>
      <c r="C8590" t="s">
        <v>14</v>
      </c>
      <c r="D8590" t="s">
        <v>2620</v>
      </c>
      <c r="F8590">
        <v>11</v>
      </c>
      <c r="G8590" t="s">
        <v>16</v>
      </c>
      <c r="H8590">
        <v>0</v>
      </c>
      <c r="I8590" s="2" t="s">
        <v>4708</v>
      </c>
      <c r="J8590" s="2" t="s">
        <v>19128</v>
      </c>
      <c r="K8590">
        <v>20</v>
      </c>
      <c r="L8590">
        <v>20</v>
      </c>
      <c r="M8590">
        <v>20</v>
      </c>
    </row>
    <row r="8591" spans="1:13" x14ac:dyDescent="0.25">
      <c r="A8591" t="s">
        <v>19129</v>
      </c>
      <c r="B8591" t="s">
        <v>19122</v>
      </c>
      <c r="C8591" t="s">
        <v>14</v>
      </c>
      <c r="D8591" t="s">
        <v>2620</v>
      </c>
      <c r="G8591" t="s">
        <v>16</v>
      </c>
      <c r="H8591">
        <v>0</v>
      </c>
      <c r="I8591" s="2" t="s">
        <v>108</v>
      </c>
      <c r="J8591" s="3">
        <v>2862003001</v>
      </c>
      <c r="K8591">
        <v>20</v>
      </c>
      <c r="L8591">
        <v>20</v>
      </c>
      <c r="M8591">
        <v>20</v>
      </c>
    </row>
    <row r="8592" spans="1:13" x14ac:dyDescent="0.25">
      <c r="A8592" t="s">
        <v>19130</v>
      </c>
      <c r="B8592" t="s">
        <v>19122</v>
      </c>
      <c r="C8592" t="s">
        <v>14</v>
      </c>
      <c r="D8592" t="s">
        <v>2620</v>
      </c>
      <c r="F8592">
        <v>1</v>
      </c>
      <c r="G8592" t="s">
        <v>16</v>
      </c>
      <c r="H8592">
        <v>0</v>
      </c>
      <c r="I8592" s="2" t="s">
        <v>479</v>
      </c>
      <c r="J8592" s="2" t="s">
        <v>19131</v>
      </c>
      <c r="K8592">
        <v>20</v>
      </c>
      <c r="L8592">
        <v>20</v>
      </c>
      <c r="M8592">
        <v>20</v>
      </c>
    </row>
    <row r="8593" spans="1:13" x14ac:dyDescent="0.25">
      <c r="A8593" t="s">
        <v>19132</v>
      </c>
      <c r="B8593" t="s">
        <v>19122</v>
      </c>
      <c r="C8593" t="s">
        <v>14</v>
      </c>
      <c r="D8593" t="s">
        <v>2620</v>
      </c>
      <c r="F8593">
        <v>1</v>
      </c>
      <c r="G8593" t="s">
        <v>16</v>
      </c>
      <c r="H8593">
        <v>0</v>
      </c>
      <c r="I8593" s="2" t="s">
        <v>522</v>
      </c>
      <c r="J8593" s="2" t="s">
        <v>19133</v>
      </c>
      <c r="K8593">
        <v>20</v>
      </c>
      <c r="L8593">
        <v>20</v>
      </c>
      <c r="M8593">
        <v>20</v>
      </c>
    </row>
    <row r="8594" spans="1:13" x14ac:dyDescent="0.25">
      <c r="A8594" t="s">
        <v>19134</v>
      </c>
      <c r="B8594" t="s">
        <v>19127</v>
      </c>
      <c r="C8594" t="s">
        <v>14</v>
      </c>
      <c r="D8594" t="s">
        <v>2620</v>
      </c>
      <c r="F8594">
        <v>1</v>
      </c>
      <c r="G8594" t="s">
        <v>16</v>
      </c>
      <c r="H8594">
        <v>0</v>
      </c>
      <c r="I8594" s="2" t="s">
        <v>17</v>
      </c>
      <c r="J8594" s="2" t="s">
        <v>19135</v>
      </c>
      <c r="K8594">
        <v>20</v>
      </c>
      <c r="L8594">
        <v>20</v>
      </c>
      <c r="M8594">
        <v>20</v>
      </c>
    </row>
    <row r="8595" spans="1:13" x14ac:dyDescent="0.25">
      <c r="A8595" t="s">
        <v>19136</v>
      </c>
      <c r="B8595" t="s">
        <v>19127</v>
      </c>
      <c r="C8595" t="s">
        <v>14</v>
      </c>
      <c r="D8595" t="s">
        <v>2620</v>
      </c>
      <c r="F8595">
        <v>1</v>
      </c>
      <c r="G8595" t="s">
        <v>16</v>
      </c>
      <c r="H8595">
        <v>0</v>
      </c>
      <c r="I8595" s="2" t="s">
        <v>4711</v>
      </c>
      <c r="J8595" s="2" t="s">
        <v>19137</v>
      </c>
      <c r="K8595">
        <v>20</v>
      </c>
      <c r="L8595">
        <v>20</v>
      </c>
      <c r="M8595">
        <v>20</v>
      </c>
    </row>
    <row r="8596" spans="1:13" x14ac:dyDescent="0.25">
      <c r="A8596" t="s">
        <v>19138</v>
      </c>
      <c r="B8596" t="s">
        <v>19139</v>
      </c>
      <c r="C8596" t="s">
        <v>20</v>
      </c>
      <c r="D8596" t="s">
        <v>2477</v>
      </c>
      <c r="F8596">
        <v>1</v>
      </c>
      <c r="G8596" t="s">
        <v>16</v>
      </c>
      <c r="H8596">
        <v>0</v>
      </c>
      <c r="I8596" s="2" t="s">
        <v>2300</v>
      </c>
      <c r="J8596" s="2">
        <v>41752</v>
      </c>
      <c r="K8596">
        <v>20</v>
      </c>
      <c r="L8596">
        <v>20</v>
      </c>
      <c r="M8596">
        <v>20</v>
      </c>
    </row>
    <row r="8597" spans="1:13" x14ac:dyDescent="0.25">
      <c r="A8597" t="s">
        <v>19140</v>
      </c>
      <c r="B8597" t="s">
        <v>19139</v>
      </c>
      <c r="C8597" t="s">
        <v>20</v>
      </c>
      <c r="D8597" t="s">
        <v>2477</v>
      </c>
      <c r="F8597">
        <v>1</v>
      </c>
      <c r="G8597" t="s">
        <v>16</v>
      </c>
      <c r="H8597">
        <v>0</v>
      </c>
      <c r="I8597" s="2" t="s">
        <v>737</v>
      </c>
      <c r="J8597" s="2" t="s">
        <v>19141</v>
      </c>
      <c r="K8597">
        <v>20</v>
      </c>
      <c r="L8597">
        <v>20</v>
      </c>
      <c r="M8597">
        <v>20</v>
      </c>
    </row>
    <row r="8598" spans="1:13" x14ac:dyDescent="0.25">
      <c r="A8598" t="s">
        <v>19142</v>
      </c>
      <c r="B8598" t="s">
        <v>19143</v>
      </c>
      <c r="C8598" t="s">
        <v>1736</v>
      </c>
      <c r="F8598">
        <v>3</v>
      </c>
      <c r="G8598" t="s">
        <v>16</v>
      </c>
      <c r="H8598">
        <v>0</v>
      </c>
      <c r="I8598" s="2" t="s">
        <v>19144</v>
      </c>
      <c r="J8598" s="2" t="s">
        <v>19145</v>
      </c>
      <c r="K8598">
        <v>20</v>
      </c>
      <c r="L8598">
        <v>20</v>
      </c>
      <c r="M8598">
        <v>20</v>
      </c>
    </row>
    <row r="8599" spans="1:13" x14ac:dyDescent="0.25">
      <c r="A8599" t="s">
        <v>19146</v>
      </c>
      <c r="B8599" t="s">
        <v>19147</v>
      </c>
      <c r="C8599" t="s">
        <v>1736</v>
      </c>
      <c r="F8599">
        <v>1</v>
      </c>
      <c r="G8599" t="s">
        <v>16</v>
      </c>
      <c r="H8599">
        <v>0</v>
      </c>
      <c r="I8599" s="2" t="s">
        <v>854</v>
      </c>
      <c r="J8599" s="2">
        <v>577959</v>
      </c>
      <c r="K8599">
        <v>20</v>
      </c>
      <c r="L8599">
        <v>20</v>
      </c>
      <c r="M8599">
        <v>20</v>
      </c>
    </row>
    <row r="8600" spans="1:13" x14ac:dyDescent="0.25">
      <c r="A8600" t="s">
        <v>19148</v>
      </c>
      <c r="B8600" t="s">
        <v>19149</v>
      </c>
      <c r="C8600" t="s">
        <v>496</v>
      </c>
      <c r="D8600" t="s">
        <v>2360</v>
      </c>
      <c r="F8600">
        <v>2</v>
      </c>
      <c r="G8600" t="s">
        <v>16</v>
      </c>
      <c r="H8600">
        <v>0</v>
      </c>
      <c r="I8600" s="2" t="s">
        <v>7399</v>
      </c>
      <c r="J8600" s="2">
        <v>350095</v>
      </c>
      <c r="K8600">
        <v>20</v>
      </c>
      <c r="L8600">
        <v>20</v>
      </c>
      <c r="M8600">
        <v>20</v>
      </c>
    </row>
    <row r="8601" spans="1:13" x14ac:dyDescent="0.25">
      <c r="A8601" t="s">
        <v>19150</v>
      </c>
      <c r="B8601" t="s">
        <v>19151</v>
      </c>
      <c r="C8601" t="s">
        <v>496</v>
      </c>
      <c r="D8601" t="s">
        <v>2360</v>
      </c>
      <c r="F8601">
        <v>2</v>
      </c>
      <c r="G8601" t="s">
        <v>16</v>
      </c>
      <c r="H8601">
        <v>0</v>
      </c>
      <c r="I8601" s="2" t="s">
        <v>7399</v>
      </c>
      <c r="J8601" s="2">
        <v>350094</v>
      </c>
      <c r="K8601">
        <v>20</v>
      </c>
      <c r="L8601">
        <v>20</v>
      </c>
      <c r="M8601">
        <v>20</v>
      </c>
    </row>
    <row r="8602" spans="1:13" x14ac:dyDescent="0.25">
      <c r="A8602" t="s">
        <v>19152</v>
      </c>
      <c r="B8602" t="s">
        <v>19153</v>
      </c>
      <c r="C8602" t="s">
        <v>496</v>
      </c>
      <c r="D8602" t="s">
        <v>2360</v>
      </c>
      <c r="F8602">
        <v>1</v>
      </c>
      <c r="G8602" t="s">
        <v>16</v>
      </c>
      <c r="H8602">
        <v>0</v>
      </c>
      <c r="I8602" s="2" t="s">
        <v>5688</v>
      </c>
      <c r="J8602" s="2">
        <v>350099</v>
      </c>
      <c r="K8602">
        <v>20</v>
      </c>
      <c r="L8602">
        <v>20</v>
      </c>
      <c r="M8602">
        <v>20</v>
      </c>
    </row>
    <row r="8603" spans="1:13" x14ac:dyDescent="0.25">
      <c r="A8603" t="s">
        <v>19154</v>
      </c>
      <c r="B8603" t="s">
        <v>19155</v>
      </c>
      <c r="C8603" t="s">
        <v>496</v>
      </c>
      <c r="D8603" t="s">
        <v>2360</v>
      </c>
      <c r="G8603" t="s">
        <v>16</v>
      </c>
      <c r="H8603">
        <v>0</v>
      </c>
      <c r="I8603" s="2" t="s">
        <v>7399</v>
      </c>
      <c r="J8603" s="2">
        <v>350098</v>
      </c>
      <c r="K8603">
        <v>20</v>
      </c>
      <c r="L8603">
        <v>20</v>
      </c>
      <c r="M8603">
        <v>20</v>
      </c>
    </row>
    <row r="8604" spans="1:13" x14ac:dyDescent="0.25">
      <c r="A8604" t="s">
        <v>19156</v>
      </c>
      <c r="B8604" t="s">
        <v>19157</v>
      </c>
      <c r="C8604" t="s">
        <v>496</v>
      </c>
      <c r="D8604" t="s">
        <v>2360</v>
      </c>
      <c r="F8604">
        <v>2</v>
      </c>
      <c r="G8604" t="s">
        <v>16</v>
      </c>
      <c r="H8604">
        <v>0</v>
      </c>
      <c r="I8604" s="2" t="s">
        <v>5688</v>
      </c>
      <c r="J8604" s="2">
        <v>319875</v>
      </c>
      <c r="K8604">
        <v>20</v>
      </c>
      <c r="L8604">
        <v>20</v>
      </c>
      <c r="M8604">
        <v>20</v>
      </c>
    </row>
    <row r="8605" spans="1:13" x14ac:dyDescent="0.25">
      <c r="A8605" t="s">
        <v>19158</v>
      </c>
      <c r="B8605" t="s">
        <v>19159</v>
      </c>
      <c r="C8605" t="s">
        <v>496</v>
      </c>
      <c r="D8605" t="s">
        <v>4083</v>
      </c>
      <c r="G8605" t="s">
        <v>16</v>
      </c>
      <c r="H8605">
        <v>0</v>
      </c>
      <c r="I8605" s="2" t="s">
        <v>3724</v>
      </c>
      <c r="J8605" s="2" t="s">
        <v>19160</v>
      </c>
      <c r="K8605">
        <v>20</v>
      </c>
      <c r="L8605">
        <v>20</v>
      </c>
      <c r="M8605">
        <v>20</v>
      </c>
    </row>
    <row r="8606" spans="1:13" x14ac:dyDescent="0.25">
      <c r="A8606" t="s">
        <v>19161</v>
      </c>
      <c r="B8606" t="s">
        <v>19163</v>
      </c>
      <c r="C8606" t="s">
        <v>496</v>
      </c>
      <c r="D8606" t="s">
        <v>4083</v>
      </c>
      <c r="F8606">
        <v>1</v>
      </c>
      <c r="G8606" t="s">
        <v>16</v>
      </c>
      <c r="H8606">
        <v>0</v>
      </c>
      <c r="I8606" s="2" t="s">
        <v>69</v>
      </c>
      <c r="J8606" s="2" t="s">
        <v>19162</v>
      </c>
      <c r="K8606">
        <v>20</v>
      </c>
      <c r="L8606">
        <v>20</v>
      </c>
      <c r="M8606">
        <v>20</v>
      </c>
    </row>
    <row r="8607" spans="1:13" x14ac:dyDescent="0.25">
      <c r="A8607" t="s">
        <v>19164</v>
      </c>
      <c r="B8607" t="s">
        <v>19163</v>
      </c>
      <c r="C8607" t="s">
        <v>496</v>
      </c>
      <c r="D8607" t="s">
        <v>4083</v>
      </c>
      <c r="G8607" t="s">
        <v>16</v>
      </c>
      <c r="H8607">
        <v>0</v>
      </c>
      <c r="I8607" s="2" t="s">
        <v>3724</v>
      </c>
      <c r="J8607" s="2" t="s">
        <v>19165</v>
      </c>
      <c r="K8607">
        <v>20</v>
      </c>
      <c r="L8607">
        <v>20</v>
      </c>
      <c r="M8607">
        <v>20</v>
      </c>
    </row>
    <row r="8608" spans="1:13" x14ac:dyDescent="0.25">
      <c r="A8608">
        <v>9820486580</v>
      </c>
      <c r="B8608" t="s">
        <v>19166</v>
      </c>
      <c r="C8608" t="s">
        <v>241</v>
      </c>
      <c r="D8608" t="s">
        <v>242</v>
      </c>
      <c r="F8608">
        <v>1</v>
      </c>
      <c r="G8608" t="s">
        <v>16</v>
      </c>
      <c r="H8608">
        <v>0</v>
      </c>
      <c r="I8608" s="2" t="s">
        <v>51</v>
      </c>
      <c r="J8608" s="2">
        <v>9820486580</v>
      </c>
      <c r="K8608">
        <v>20</v>
      </c>
      <c r="L8608">
        <v>20</v>
      </c>
      <c r="M8608">
        <v>20</v>
      </c>
    </row>
    <row r="8609" spans="1:13" x14ac:dyDescent="0.25">
      <c r="A8609" t="s">
        <v>19167</v>
      </c>
      <c r="B8609" t="s">
        <v>19169</v>
      </c>
      <c r="C8609" t="s">
        <v>151</v>
      </c>
      <c r="D8609" t="s">
        <v>1092</v>
      </c>
      <c r="F8609">
        <v>1</v>
      </c>
      <c r="G8609" t="s">
        <v>16</v>
      </c>
      <c r="H8609">
        <v>0</v>
      </c>
      <c r="I8609" s="2" t="s">
        <v>288</v>
      </c>
      <c r="J8609" s="2" t="s">
        <v>19168</v>
      </c>
      <c r="K8609">
        <v>20</v>
      </c>
      <c r="L8609">
        <v>20</v>
      </c>
      <c r="M8609">
        <v>20</v>
      </c>
    </row>
    <row r="8610" spans="1:13" x14ac:dyDescent="0.25">
      <c r="A8610" t="s">
        <v>19170</v>
      </c>
      <c r="B8610" t="s">
        <v>19172</v>
      </c>
      <c r="C8610" t="s">
        <v>151</v>
      </c>
      <c r="D8610" t="s">
        <v>1092</v>
      </c>
      <c r="F8610">
        <v>1</v>
      </c>
      <c r="G8610" t="s">
        <v>16</v>
      </c>
      <c r="H8610">
        <v>0</v>
      </c>
      <c r="I8610" s="2" t="s">
        <v>765</v>
      </c>
      <c r="J8610" s="2" t="s">
        <v>19171</v>
      </c>
      <c r="K8610">
        <v>20</v>
      </c>
      <c r="L8610">
        <v>20</v>
      </c>
      <c r="M8610">
        <v>20</v>
      </c>
    </row>
    <row r="8611" spans="1:13" x14ac:dyDescent="0.25">
      <c r="A8611" t="s">
        <v>19173</v>
      </c>
      <c r="B8611" t="s">
        <v>19174</v>
      </c>
      <c r="C8611" t="s">
        <v>20</v>
      </c>
      <c r="D8611" t="s">
        <v>26</v>
      </c>
      <c r="G8611" t="s">
        <v>16</v>
      </c>
      <c r="H8611">
        <v>0</v>
      </c>
      <c r="I8611" s="2" t="s">
        <v>99</v>
      </c>
      <c r="J8611" s="3">
        <v>964160</v>
      </c>
      <c r="K8611">
        <v>20</v>
      </c>
      <c r="L8611">
        <v>20</v>
      </c>
      <c r="M8611">
        <v>20</v>
      </c>
    </row>
    <row r="8612" spans="1:13" x14ac:dyDescent="0.25">
      <c r="A8612" t="s">
        <v>19175</v>
      </c>
      <c r="B8612" t="s">
        <v>19176</v>
      </c>
      <c r="C8612" t="s">
        <v>20</v>
      </c>
      <c r="D8612" t="s">
        <v>26</v>
      </c>
      <c r="G8612" t="s">
        <v>16</v>
      </c>
      <c r="H8612">
        <v>0</v>
      </c>
      <c r="I8612" s="2" t="s">
        <v>99</v>
      </c>
      <c r="J8612" s="3">
        <v>369470</v>
      </c>
      <c r="K8612">
        <v>20</v>
      </c>
      <c r="L8612">
        <v>20</v>
      </c>
      <c r="M8612">
        <v>20</v>
      </c>
    </row>
    <row r="8613" spans="1:13" x14ac:dyDescent="0.25">
      <c r="A8613" t="s">
        <v>19177</v>
      </c>
      <c r="B8613" t="s">
        <v>19178</v>
      </c>
      <c r="C8613" t="s">
        <v>540</v>
      </c>
      <c r="F8613">
        <v>1</v>
      </c>
      <c r="G8613" t="s">
        <v>16</v>
      </c>
      <c r="H8613">
        <v>0</v>
      </c>
      <c r="I8613" s="2" t="s">
        <v>2251</v>
      </c>
      <c r="J8613" s="2">
        <v>9821673680</v>
      </c>
      <c r="K8613">
        <v>20</v>
      </c>
      <c r="L8613">
        <v>20</v>
      </c>
      <c r="M8613">
        <v>20</v>
      </c>
    </row>
    <row r="8614" spans="1:13" x14ac:dyDescent="0.25">
      <c r="A8614">
        <v>9822473680</v>
      </c>
      <c r="B8614" t="s">
        <v>19179</v>
      </c>
      <c r="C8614" t="s">
        <v>20</v>
      </c>
      <c r="D8614" t="s">
        <v>26</v>
      </c>
      <c r="G8614" t="s">
        <v>16</v>
      </c>
      <c r="H8614">
        <v>0</v>
      </c>
      <c r="I8614" s="2" t="s">
        <v>1444</v>
      </c>
      <c r="J8614" s="2">
        <v>9822473680</v>
      </c>
      <c r="K8614">
        <v>20</v>
      </c>
      <c r="L8614">
        <v>20</v>
      </c>
      <c r="M8614">
        <v>20</v>
      </c>
    </row>
    <row r="8615" spans="1:13" x14ac:dyDescent="0.25">
      <c r="A8615">
        <v>9822715980</v>
      </c>
      <c r="B8615" t="s">
        <v>19180</v>
      </c>
      <c r="C8615" t="s">
        <v>1436</v>
      </c>
      <c r="F8615">
        <v>1</v>
      </c>
      <c r="G8615" t="s">
        <v>16</v>
      </c>
      <c r="H8615">
        <v>0</v>
      </c>
      <c r="I8615" s="2" t="s">
        <v>51</v>
      </c>
      <c r="J8615" s="2">
        <v>9822715980</v>
      </c>
      <c r="K8615">
        <v>20</v>
      </c>
      <c r="L8615">
        <v>20</v>
      </c>
      <c r="M8615">
        <v>20</v>
      </c>
    </row>
    <row r="8616" spans="1:13" x14ac:dyDescent="0.25">
      <c r="A8616" t="s">
        <v>19181</v>
      </c>
      <c r="B8616" t="s">
        <v>19180</v>
      </c>
      <c r="F8616">
        <v>0</v>
      </c>
      <c r="G8616" t="s">
        <v>16</v>
      </c>
      <c r="H8616">
        <v>0</v>
      </c>
      <c r="I8616" s="2" t="s">
        <v>508</v>
      </c>
      <c r="J8616" s="2" t="s">
        <v>19182</v>
      </c>
      <c r="K8616">
        <v>20</v>
      </c>
      <c r="L8616">
        <v>20</v>
      </c>
      <c r="M8616">
        <v>20</v>
      </c>
    </row>
    <row r="8617" spans="1:13" x14ac:dyDescent="0.25">
      <c r="A8617" t="s">
        <v>19183</v>
      </c>
      <c r="B8617" t="s">
        <v>19184</v>
      </c>
      <c r="C8617" t="s">
        <v>20</v>
      </c>
      <c r="D8617" t="s">
        <v>385</v>
      </c>
      <c r="F8617">
        <v>0</v>
      </c>
      <c r="G8617" t="s">
        <v>16</v>
      </c>
      <c r="H8617">
        <v>0</v>
      </c>
      <c r="I8617" s="2" t="s">
        <v>639</v>
      </c>
      <c r="J8617" s="2">
        <v>400450400003</v>
      </c>
      <c r="K8617">
        <v>20</v>
      </c>
      <c r="L8617">
        <v>20</v>
      </c>
      <c r="M8617">
        <v>20</v>
      </c>
    </row>
    <row r="8618" spans="1:13" x14ac:dyDescent="0.25">
      <c r="A8618">
        <v>9822827180</v>
      </c>
      <c r="B8618" t="s">
        <v>19185</v>
      </c>
      <c r="C8618" t="s">
        <v>20</v>
      </c>
      <c r="D8618" t="s">
        <v>385</v>
      </c>
      <c r="G8618" t="s">
        <v>16</v>
      </c>
      <c r="H8618">
        <v>0</v>
      </c>
      <c r="I8618" s="2" t="s">
        <v>51</v>
      </c>
      <c r="J8618" s="2">
        <v>9822827180</v>
      </c>
      <c r="K8618">
        <v>20</v>
      </c>
      <c r="L8618">
        <v>20</v>
      </c>
      <c r="M8618">
        <v>20</v>
      </c>
    </row>
    <row r="8619" spans="1:13" x14ac:dyDescent="0.25">
      <c r="A8619">
        <v>9823532380</v>
      </c>
      <c r="B8619" t="s">
        <v>19186</v>
      </c>
      <c r="C8619" t="s">
        <v>20</v>
      </c>
      <c r="D8619" t="s">
        <v>597</v>
      </c>
      <c r="F8619">
        <v>1</v>
      </c>
      <c r="G8619" t="s">
        <v>16</v>
      </c>
      <c r="H8619">
        <v>0</v>
      </c>
      <c r="I8619" s="2" t="s">
        <v>51</v>
      </c>
      <c r="J8619" s="2">
        <v>9823532380</v>
      </c>
      <c r="K8619">
        <v>20</v>
      </c>
      <c r="L8619">
        <v>20</v>
      </c>
      <c r="M8619">
        <v>20</v>
      </c>
    </row>
    <row r="8620" spans="1:13" x14ac:dyDescent="0.25">
      <c r="A8620" t="s">
        <v>19187</v>
      </c>
      <c r="B8620" t="s">
        <v>19188</v>
      </c>
      <c r="C8620" t="s">
        <v>241</v>
      </c>
      <c r="D8620" t="s">
        <v>1436</v>
      </c>
      <c r="F8620">
        <v>1</v>
      </c>
      <c r="G8620" t="s">
        <v>16</v>
      </c>
      <c r="H8620">
        <v>0</v>
      </c>
      <c r="I8620" s="2" t="s">
        <v>221</v>
      </c>
      <c r="J8620" s="2">
        <v>17184</v>
      </c>
      <c r="K8620">
        <v>20</v>
      </c>
      <c r="L8620">
        <v>20</v>
      </c>
      <c r="M8620">
        <v>20</v>
      </c>
    </row>
    <row r="8621" spans="1:13" x14ac:dyDescent="0.25">
      <c r="A8621" t="s">
        <v>19189</v>
      </c>
      <c r="B8621" t="s">
        <v>19191</v>
      </c>
      <c r="C8621" t="s">
        <v>241</v>
      </c>
      <c r="D8621" t="s">
        <v>1436</v>
      </c>
      <c r="F8621">
        <v>1</v>
      </c>
      <c r="G8621" t="s">
        <v>16</v>
      </c>
      <c r="H8621">
        <v>0</v>
      </c>
      <c r="I8621" s="2" t="s">
        <v>784</v>
      </c>
      <c r="J8621" s="2" t="s">
        <v>19190</v>
      </c>
      <c r="K8621">
        <v>20</v>
      </c>
      <c r="L8621">
        <v>20</v>
      </c>
      <c r="M8621">
        <v>20</v>
      </c>
    </row>
    <row r="8622" spans="1:13" x14ac:dyDescent="0.25">
      <c r="A8622">
        <v>9823920080</v>
      </c>
      <c r="B8622" t="s">
        <v>19193</v>
      </c>
      <c r="C8622" t="s">
        <v>20</v>
      </c>
      <c r="D8622" t="s">
        <v>26</v>
      </c>
      <c r="G8622" t="s">
        <v>16</v>
      </c>
      <c r="H8622">
        <v>0</v>
      </c>
      <c r="I8622" s="2" t="s">
        <v>51</v>
      </c>
      <c r="J8622" s="2" t="s">
        <v>19192</v>
      </c>
      <c r="K8622">
        <v>20</v>
      </c>
      <c r="L8622">
        <v>20</v>
      </c>
      <c r="M8622">
        <v>20</v>
      </c>
    </row>
    <row r="8623" spans="1:13" x14ac:dyDescent="0.25">
      <c r="A8623" t="s">
        <v>19194</v>
      </c>
      <c r="B8623" t="s">
        <v>19195</v>
      </c>
      <c r="C8623" t="s">
        <v>20</v>
      </c>
      <c r="D8623" t="s">
        <v>26</v>
      </c>
      <c r="F8623">
        <v>1</v>
      </c>
      <c r="G8623" t="s">
        <v>16</v>
      </c>
      <c r="H8623">
        <v>0</v>
      </c>
      <c r="I8623" s="2" t="s">
        <v>99</v>
      </c>
      <c r="J8623" s="3">
        <v>966950</v>
      </c>
      <c r="K8623">
        <v>20</v>
      </c>
      <c r="L8623">
        <v>20</v>
      </c>
      <c r="M8623">
        <v>20</v>
      </c>
    </row>
    <row r="8624" spans="1:13" x14ac:dyDescent="0.25">
      <c r="A8624" t="s">
        <v>19196</v>
      </c>
      <c r="B8624" t="s">
        <v>19193</v>
      </c>
      <c r="C8624" t="s">
        <v>20</v>
      </c>
      <c r="D8624" t="s">
        <v>26</v>
      </c>
      <c r="G8624" t="s">
        <v>16</v>
      </c>
      <c r="H8624">
        <v>0</v>
      </c>
      <c r="I8624" s="2" t="s">
        <v>209</v>
      </c>
      <c r="J8624" s="2" t="str">
        <f>"041338-FP"</f>
        <v>041338-FP</v>
      </c>
      <c r="K8624">
        <v>20</v>
      </c>
      <c r="L8624">
        <v>20</v>
      </c>
      <c r="M8624">
        <v>20</v>
      </c>
    </row>
    <row r="8625" spans="1:13" x14ac:dyDescent="0.25">
      <c r="A8625">
        <v>9824001880</v>
      </c>
      <c r="B8625" t="s">
        <v>19197</v>
      </c>
      <c r="C8625" t="s">
        <v>20</v>
      </c>
      <c r="F8625">
        <v>1</v>
      </c>
      <c r="G8625" t="s">
        <v>16</v>
      </c>
      <c r="H8625">
        <v>0</v>
      </c>
      <c r="I8625" s="2" t="s">
        <v>51</v>
      </c>
      <c r="J8625" s="2">
        <v>9824001880</v>
      </c>
      <c r="K8625">
        <v>20</v>
      </c>
      <c r="L8625">
        <v>20</v>
      </c>
      <c r="M8625">
        <v>20</v>
      </c>
    </row>
    <row r="8626" spans="1:13" x14ac:dyDescent="0.25">
      <c r="A8626">
        <v>9824198680</v>
      </c>
      <c r="B8626" t="s">
        <v>19198</v>
      </c>
      <c r="C8626" t="s">
        <v>357</v>
      </c>
      <c r="D8626" t="s">
        <v>2026</v>
      </c>
      <c r="F8626">
        <v>1</v>
      </c>
      <c r="G8626" t="s">
        <v>16</v>
      </c>
      <c r="H8626">
        <v>0</v>
      </c>
      <c r="I8626" s="2" t="s">
        <v>51</v>
      </c>
      <c r="J8626" s="2">
        <v>9824198680</v>
      </c>
      <c r="K8626">
        <v>20</v>
      </c>
      <c r="L8626">
        <v>20</v>
      </c>
      <c r="M8626">
        <v>20</v>
      </c>
    </row>
    <row r="8627" spans="1:13" x14ac:dyDescent="0.25">
      <c r="A8627">
        <v>9824261780</v>
      </c>
      <c r="B8627" t="s">
        <v>19199</v>
      </c>
      <c r="C8627" t="s">
        <v>357</v>
      </c>
      <c r="D8627" t="s">
        <v>241</v>
      </c>
      <c r="F8627">
        <v>1</v>
      </c>
      <c r="G8627" t="s">
        <v>16</v>
      </c>
      <c r="H8627">
        <v>0</v>
      </c>
      <c r="I8627" s="2" t="s">
        <v>51</v>
      </c>
      <c r="J8627" s="2">
        <v>9824261780</v>
      </c>
      <c r="K8627">
        <v>20</v>
      </c>
      <c r="L8627">
        <v>20</v>
      </c>
      <c r="M8627">
        <v>20</v>
      </c>
    </row>
    <row r="8628" spans="1:13" x14ac:dyDescent="0.25">
      <c r="A8628">
        <v>9824312980</v>
      </c>
      <c r="B8628" t="s">
        <v>19200</v>
      </c>
      <c r="C8628" t="s">
        <v>20</v>
      </c>
      <c r="D8628" t="s">
        <v>2477</v>
      </c>
      <c r="F8628">
        <v>1</v>
      </c>
      <c r="G8628" t="s">
        <v>16</v>
      </c>
      <c r="H8628">
        <v>0</v>
      </c>
      <c r="I8628" s="2" t="s">
        <v>51</v>
      </c>
      <c r="J8628" s="2">
        <v>9824312980</v>
      </c>
      <c r="K8628">
        <v>20</v>
      </c>
      <c r="L8628">
        <v>20</v>
      </c>
      <c r="M8628">
        <v>20</v>
      </c>
    </row>
    <row r="8629" spans="1:13" x14ac:dyDescent="0.25">
      <c r="A8629" t="s">
        <v>19201</v>
      </c>
      <c r="B8629" t="s">
        <v>19202</v>
      </c>
      <c r="C8629" t="s">
        <v>20</v>
      </c>
      <c r="D8629" t="s">
        <v>2477</v>
      </c>
      <c r="F8629">
        <v>1</v>
      </c>
      <c r="G8629" t="s">
        <v>16</v>
      </c>
      <c r="H8629">
        <v>0</v>
      </c>
      <c r="I8629" s="2" t="s">
        <v>2300</v>
      </c>
      <c r="J8629" s="2">
        <v>41824</v>
      </c>
      <c r="K8629">
        <v>20</v>
      </c>
      <c r="L8629">
        <v>20</v>
      </c>
      <c r="M8629">
        <v>20</v>
      </c>
    </row>
    <row r="8630" spans="1:13" x14ac:dyDescent="0.25">
      <c r="A8630" t="s">
        <v>19203</v>
      </c>
      <c r="B8630" t="s">
        <v>19204</v>
      </c>
      <c r="C8630" t="s">
        <v>357</v>
      </c>
      <c r="D8630" t="s">
        <v>241</v>
      </c>
      <c r="F8630">
        <v>2</v>
      </c>
      <c r="G8630" t="s">
        <v>16</v>
      </c>
      <c r="H8630">
        <v>0</v>
      </c>
      <c r="I8630" s="2" t="s">
        <v>221</v>
      </c>
      <c r="J8630" s="2">
        <v>17548</v>
      </c>
      <c r="K8630">
        <v>20</v>
      </c>
      <c r="L8630">
        <v>20</v>
      </c>
      <c r="M8630">
        <v>20</v>
      </c>
    </row>
    <row r="8631" spans="1:13" x14ac:dyDescent="0.25">
      <c r="A8631" t="s">
        <v>19205</v>
      </c>
      <c r="B8631" t="s">
        <v>19204</v>
      </c>
      <c r="C8631" t="s">
        <v>357</v>
      </c>
      <c r="D8631" t="s">
        <v>241</v>
      </c>
      <c r="F8631">
        <v>1</v>
      </c>
      <c r="G8631" t="s">
        <v>16</v>
      </c>
      <c r="H8631">
        <v>0</v>
      </c>
      <c r="I8631" s="2" t="s">
        <v>2389</v>
      </c>
      <c r="J8631" s="2" t="s">
        <v>19206</v>
      </c>
      <c r="K8631">
        <v>20</v>
      </c>
      <c r="L8631">
        <v>20</v>
      </c>
      <c r="M8631">
        <v>20</v>
      </c>
    </row>
    <row r="8632" spans="1:13" x14ac:dyDescent="0.25">
      <c r="A8632">
        <v>9824483480</v>
      </c>
      <c r="B8632" t="s">
        <v>19207</v>
      </c>
      <c r="C8632" t="s">
        <v>357</v>
      </c>
      <c r="D8632" t="s">
        <v>241</v>
      </c>
      <c r="F8632">
        <v>0</v>
      </c>
      <c r="G8632" t="s">
        <v>16</v>
      </c>
      <c r="H8632">
        <v>0</v>
      </c>
      <c r="I8632" s="2" t="s">
        <v>51</v>
      </c>
      <c r="J8632" s="2">
        <v>9824483480</v>
      </c>
      <c r="K8632">
        <v>20</v>
      </c>
      <c r="L8632">
        <v>20</v>
      </c>
      <c r="M8632">
        <v>20</v>
      </c>
    </row>
    <row r="8633" spans="1:13" x14ac:dyDescent="0.25">
      <c r="A8633" t="s">
        <v>19208</v>
      </c>
      <c r="B8633" t="s">
        <v>19207</v>
      </c>
      <c r="C8633" t="s">
        <v>357</v>
      </c>
      <c r="D8633" t="s">
        <v>241</v>
      </c>
      <c r="F8633">
        <v>1</v>
      </c>
      <c r="G8633" t="s">
        <v>16</v>
      </c>
      <c r="H8633">
        <v>0</v>
      </c>
      <c r="I8633" s="2" t="s">
        <v>243</v>
      </c>
      <c r="J8633" s="2">
        <v>21097</v>
      </c>
      <c r="K8633">
        <v>20</v>
      </c>
      <c r="L8633">
        <v>20</v>
      </c>
      <c r="M8633">
        <v>20</v>
      </c>
    </row>
    <row r="8634" spans="1:13" x14ac:dyDescent="0.25">
      <c r="A8634" t="s">
        <v>19209</v>
      </c>
      <c r="B8634" t="s">
        <v>19210</v>
      </c>
      <c r="C8634" t="s">
        <v>20</v>
      </c>
      <c r="D8634" t="s">
        <v>26</v>
      </c>
      <c r="F8634">
        <v>1</v>
      </c>
      <c r="G8634" t="s">
        <v>16</v>
      </c>
      <c r="H8634">
        <v>0</v>
      </c>
      <c r="I8634" s="2" t="s">
        <v>97</v>
      </c>
      <c r="J8634" s="3">
        <v>330971</v>
      </c>
      <c r="K8634">
        <v>20</v>
      </c>
      <c r="L8634">
        <v>20</v>
      </c>
      <c r="M8634">
        <v>20</v>
      </c>
    </row>
    <row r="8635" spans="1:13" x14ac:dyDescent="0.25">
      <c r="A8635" t="s">
        <v>19211</v>
      </c>
      <c r="B8635" t="s">
        <v>19212</v>
      </c>
      <c r="C8635" t="s">
        <v>20</v>
      </c>
      <c r="D8635" t="s">
        <v>26</v>
      </c>
      <c r="F8635">
        <v>0</v>
      </c>
      <c r="G8635" t="s">
        <v>16</v>
      </c>
      <c r="H8635">
        <v>0</v>
      </c>
      <c r="I8635" s="2" t="s">
        <v>99</v>
      </c>
      <c r="J8635" s="3">
        <v>330981</v>
      </c>
      <c r="K8635">
        <v>20</v>
      </c>
      <c r="L8635">
        <v>20</v>
      </c>
      <c r="M8635">
        <v>20</v>
      </c>
    </row>
    <row r="8636" spans="1:13" x14ac:dyDescent="0.25">
      <c r="A8636" t="s">
        <v>19213</v>
      </c>
      <c r="B8636" t="s">
        <v>19214</v>
      </c>
      <c r="C8636" t="s">
        <v>20</v>
      </c>
      <c r="D8636" t="s">
        <v>26</v>
      </c>
      <c r="G8636" t="s">
        <v>16</v>
      </c>
      <c r="H8636">
        <v>0</v>
      </c>
      <c r="I8636" s="2" t="s">
        <v>99</v>
      </c>
      <c r="J8636" s="3">
        <v>330991</v>
      </c>
      <c r="K8636">
        <v>20</v>
      </c>
      <c r="L8636">
        <v>20</v>
      </c>
      <c r="M8636">
        <v>20</v>
      </c>
    </row>
    <row r="8637" spans="1:13" x14ac:dyDescent="0.25">
      <c r="A8637" t="s">
        <v>19215</v>
      </c>
      <c r="B8637" t="s">
        <v>19216</v>
      </c>
      <c r="C8637" t="s">
        <v>20</v>
      </c>
      <c r="D8637" t="s">
        <v>26</v>
      </c>
      <c r="G8637" t="s">
        <v>16</v>
      </c>
      <c r="H8637">
        <v>0</v>
      </c>
      <c r="I8637" s="2" t="s">
        <v>6400</v>
      </c>
      <c r="J8637" s="3">
        <v>331001</v>
      </c>
      <c r="K8637">
        <v>20</v>
      </c>
      <c r="L8637">
        <v>20</v>
      </c>
      <c r="M8637">
        <v>20</v>
      </c>
    </row>
    <row r="8638" spans="1:13" x14ac:dyDescent="0.25">
      <c r="A8638" t="s">
        <v>19217</v>
      </c>
      <c r="B8638" t="s">
        <v>19218</v>
      </c>
      <c r="C8638" t="s">
        <v>20</v>
      </c>
      <c r="D8638" t="s">
        <v>26</v>
      </c>
      <c r="G8638" t="s">
        <v>16</v>
      </c>
      <c r="H8638">
        <v>0</v>
      </c>
      <c r="I8638" s="2" t="s">
        <v>99</v>
      </c>
      <c r="J8638" s="3">
        <v>331011</v>
      </c>
      <c r="K8638">
        <v>20</v>
      </c>
      <c r="L8638">
        <v>20</v>
      </c>
      <c r="M8638">
        <v>20</v>
      </c>
    </row>
    <row r="8639" spans="1:13" x14ac:dyDescent="0.25">
      <c r="A8639">
        <v>9824498980</v>
      </c>
      <c r="B8639" t="s">
        <v>19219</v>
      </c>
      <c r="C8639" t="s">
        <v>357</v>
      </c>
      <c r="D8639" t="s">
        <v>241</v>
      </c>
      <c r="F8639">
        <v>0</v>
      </c>
      <c r="G8639" t="s">
        <v>16</v>
      </c>
      <c r="H8639">
        <v>0</v>
      </c>
      <c r="I8639" s="2" t="s">
        <v>51</v>
      </c>
      <c r="J8639" s="2">
        <v>9824498980</v>
      </c>
      <c r="K8639">
        <v>20</v>
      </c>
      <c r="L8639">
        <v>20</v>
      </c>
      <c r="M8639">
        <v>20</v>
      </c>
    </row>
    <row r="8640" spans="1:13" x14ac:dyDescent="0.25">
      <c r="A8640" t="s">
        <v>19220</v>
      </c>
      <c r="B8640" t="s">
        <v>19221</v>
      </c>
      <c r="C8640" t="s">
        <v>496</v>
      </c>
      <c r="D8640" t="s">
        <v>2360</v>
      </c>
      <c r="G8640" t="s">
        <v>16</v>
      </c>
      <c r="H8640">
        <v>0</v>
      </c>
      <c r="I8640" s="2" t="s">
        <v>2533</v>
      </c>
      <c r="J8640" s="2" t="s">
        <v>19222</v>
      </c>
      <c r="K8640">
        <v>20</v>
      </c>
      <c r="L8640">
        <v>20</v>
      </c>
      <c r="M8640">
        <v>20</v>
      </c>
    </row>
    <row r="8641" spans="1:13" x14ac:dyDescent="0.25">
      <c r="A8641" t="s">
        <v>19223</v>
      </c>
      <c r="B8641" t="s">
        <v>19221</v>
      </c>
      <c r="C8641" t="s">
        <v>496</v>
      </c>
      <c r="D8641" t="s">
        <v>2360</v>
      </c>
      <c r="G8641" t="s">
        <v>16</v>
      </c>
      <c r="H8641">
        <v>0</v>
      </c>
      <c r="I8641" s="2" t="s">
        <v>5040</v>
      </c>
      <c r="J8641" s="2" t="s">
        <v>19224</v>
      </c>
      <c r="K8641">
        <v>20</v>
      </c>
      <c r="L8641">
        <v>20</v>
      </c>
      <c r="M8641">
        <v>20</v>
      </c>
    </row>
    <row r="8642" spans="1:13" x14ac:dyDescent="0.25">
      <c r="A8642" t="s">
        <v>19225</v>
      </c>
      <c r="B8642" t="s">
        <v>19226</v>
      </c>
      <c r="C8642" t="s">
        <v>496</v>
      </c>
      <c r="D8642" t="s">
        <v>2360</v>
      </c>
      <c r="F8642">
        <v>6</v>
      </c>
      <c r="G8642" t="s">
        <v>16</v>
      </c>
      <c r="H8642">
        <v>0</v>
      </c>
      <c r="I8642" s="2" t="s">
        <v>4214</v>
      </c>
      <c r="J8642" s="2" t="s">
        <v>19227</v>
      </c>
      <c r="K8642">
        <v>20</v>
      </c>
      <c r="L8642">
        <v>20</v>
      </c>
      <c r="M8642">
        <v>20</v>
      </c>
    </row>
    <row r="8643" spans="1:13" x14ac:dyDescent="0.25">
      <c r="A8643" t="s">
        <v>19228</v>
      </c>
      <c r="B8643" t="s">
        <v>19229</v>
      </c>
      <c r="C8643" t="s">
        <v>496</v>
      </c>
      <c r="D8643" t="s">
        <v>2360</v>
      </c>
      <c r="F8643">
        <v>2</v>
      </c>
      <c r="G8643" t="s">
        <v>16</v>
      </c>
      <c r="H8643">
        <v>0</v>
      </c>
      <c r="I8643" s="2" t="s">
        <v>5044</v>
      </c>
      <c r="J8643" s="2" t="s">
        <v>19230</v>
      </c>
      <c r="K8643">
        <v>20</v>
      </c>
      <c r="L8643">
        <v>20</v>
      </c>
      <c r="M8643">
        <v>20</v>
      </c>
    </row>
    <row r="8644" spans="1:13" x14ac:dyDescent="0.25">
      <c r="A8644">
        <v>9824674580</v>
      </c>
      <c r="B8644" t="s">
        <v>19231</v>
      </c>
      <c r="C8644" t="s">
        <v>20</v>
      </c>
      <c r="F8644">
        <v>2</v>
      </c>
      <c r="G8644" t="s">
        <v>16</v>
      </c>
      <c r="H8644">
        <v>0</v>
      </c>
      <c r="I8644" s="2" t="s">
        <v>51</v>
      </c>
      <c r="J8644" s="2">
        <v>9824674580</v>
      </c>
      <c r="K8644">
        <v>20</v>
      </c>
      <c r="L8644">
        <v>20</v>
      </c>
      <c r="M8644">
        <v>20</v>
      </c>
    </row>
    <row r="8645" spans="1:13" x14ac:dyDescent="0.25">
      <c r="A8645">
        <v>9825216080</v>
      </c>
      <c r="B8645" t="s">
        <v>19232</v>
      </c>
      <c r="C8645" t="s">
        <v>540</v>
      </c>
      <c r="F8645">
        <v>1</v>
      </c>
      <c r="G8645" t="s">
        <v>16</v>
      </c>
      <c r="H8645">
        <v>0</v>
      </c>
      <c r="I8645" s="2" t="s">
        <v>51</v>
      </c>
      <c r="J8645" s="2">
        <v>9825216080</v>
      </c>
      <c r="K8645">
        <v>20</v>
      </c>
      <c r="L8645">
        <v>20</v>
      </c>
      <c r="M8645">
        <v>20</v>
      </c>
    </row>
    <row r="8646" spans="1:13" x14ac:dyDescent="0.25">
      <c r="A8646" t="s">
        <v>19233</v>
      </c>
      <c r="B8646" t="s">
        <v>19234</v>
      </c>
      <c r="C8646" t="s">
        <v>496</v>
      </c>
      <c r="D8646" t="s">
        <v>5856</v>
      </c>
      <c r="F8646">
        <v>1</v>
      </c>
      <c r="G8646" t="s">
        <v>16</v>
      </c>
      <c r="H8646">
        <v>0</v>
      </c>
      <c r="I8646" s="2" t="s">
        <v>5500</v>
      </c>
      <c r="J8646" s="2" t="s">
        <v>19235</v>
      </c>
      <c r="K8646">
        <v>20</v>
      </c>
      <c r="L8646">
        <v>20</v>
      </c>
      <c r="M8646">
        <v>20</v>
      </c>
    </row>
    <row r="8647" spans="1:13" x14ac:dyDescent="0.25">
      <c r="A8647" t="s">
        <v>19236</v>
      </c>
      <c r="B8647" t="s">
        <v>19237</v>
      </c>
      <c r="C8647" t="s">
        <v>496</v>
      </c>
      <c r="D8647" t="s">
        <v>2360</v>
      </c>
      <c r="G8647" t="s">
        <v>16</v>
      </c>
      <c r="H8647">
        <v>0</v>
      </c>
      <c r="I8647" s="2" t="s">
        <v>1674</v>
      </c>
      <c r="J8647" s="2">
        <v>330049</v>
      </c>
      <c r="K8647">
        <v>20</v>
      </c>
      <c r="L8647">
        <v>20</v>
      </c>
      <c r="M8647">
        <v>20</v>
      </c>
    </row>
    <row r="8648" spans="1:13" x14ac:dyDescent="0.25">
      <c r="A8648" t="s">
        <v>19238</v>
      </c>
      <c r="B8648" t="s">
        <v>19239</v>
      </c>
      <c r="C8648" t="s">
        <v>496</v>
      </c>
      <c r="D8648" t="s">
        <v>5856</v>
      </c>
      <c r="F8648">
        <v>1</v>
      </c>
      <c r="G8648" t="s">
        <v>16</v>
      </c>
      <c r="H8648">
        <v>0</v>
      </c>
      <c r="I8648" s="2" t="s">
        <v>5500</v>
      </c>
      <c r="J8648" s="2" t="s">
        <v>19240</v>
      </c>
      <c r="K8648">
        <v>20</v>
      </c>
      <c r="L8648">
        <v>20</v>
      </c>
      <c r="M8648">
        <v>20</v>
      </c>
    </row>
    <row r="8649" spans="1:13" x14ac:dyDescent="0.25">
      <c r="A8649" t="s">
        <v>19241</v>
      </c>
      <c r="B8649" t="s">
        <v>19242</v>
      </c>
      <c r="C8649" t="s">
        <v>496</v>
      </c>
      <c r="D8649" t="s">
        <v>2360</v>
      </c>
      <c r="G8649" t="s">
        <v>16</v>
      </c>
      <c r="H8649">
        <v>0</v>
      </c>
      <c r="I8649" s="2" t="s">
        <v>1674</v>
      </c>
      <c r="J8649" s="2">
        <v>330048</v>
      </c>
      <c r="K8649">
        <v>20</v>
      </c>
      <c r="L8649">
        <v>20</v>
      </c>
      <c r="M8649">
        <v>20</v>
      </c>
    </row>
    <row r="8650" spans="1:13" x14ac:dyDescent="0.25">
      <c r="A8650" t="s">
        <v>19243</v>
      </c>
      <c r="B8650" t="s">
        <v>19244</v>
      </c>
      <c r="C8650" t="s">
        <v>496</v>
      </c>
      <c r="D8650" t="s">
        <v>2360</v>
      </c>
      <c r="G8650" t="s">
        <v>16</v>
      </c>
      <c r="H8650">
        <v>0</v>
      </c>
      <c r="I8650" s="2" t="s">
        <v>1994</v>
      </c>
      <c r="J8650" s="2" t="s">
        <v>19245</v>
      </c>
      <c r="K8650">
        <v>20</v>
      </c>
      <c r="L8650">
        <v>20</v>
      </c>
      <c r="M8650">
        <v>20</v>
      </c>
    </row>
    <row r="8651" spans="1:13" x14ac:dyDescent="0.25">
      <c r="A8651" t="s">
        <v>19246</v>
      </c>
      <c r="B8651" t="s">
        <v>19247</v>
      </c>
      <c r="C8651" t="s">
        <v>496</v>
      </c>
      <c r="D8651" t="s">
        <v>2360</v>
      </c>
      <c r="F8651">
        <v>1</v>
      </c>
      <c r="G8651" t="s">
        <v>16</v>
      </c>
      <c r="H8651">
        <v>0</v>
      </c>
      <c r="I8651" s="2" t="s">
        <v>5044</v>
      </c>
      <c r="J8651" s="2" t="s">
        <v>19248</v>
      </c>
      <c r="K8651">
        <v>20</v>
      </c>
      <c r="L8651">
        <v>20</v>
      </c>
      <c r="M8651">
        <v>20</v>
      </c>
    </row>
    <row r="8652" spans="1:13" x14ac:dyDescent="0.25">
      <c r="A8652" t="s">
        <v>19249</v>
      </c>
      <c r="B8652" t="s">
        <v>19250</v>
      </c>
      <c r="C8652" t="s">
        <v>496</v>
      </c>
      <c r="D8652" t="s">
        <v>2360</v>
      </c>
      <c r="F8652">
        <v>1</v>
      </c>
      <c r="G8652" t="s">
        <v>16</v>
      </c>
      <c r="H8652">
        <v>0</v>
      </c>
      <c r="I8652" s="2" t="s">
        <v>5044</v>
      </c>
      <c r="J8652" s="2" t="s">
        <v>19251</v>
      </c>
      <c r="K8652">
        <v>20</v>
      </c>
      <c r="L8652">
        <v>20</v>
      </c>
      <c r="M8652">
        <v>20</v>
      </c>
    </row>
    <row r="8653" spans="1:13" x14ac:dyDescent="0.25">
      <c r="A8653">
        <v>9827278280</v>
      </c>
      <c r="B8653" t="s">
        <v>19252</v>
      </c>
      <c r="C8653" t="s">
        <v>20</v>
      </c>
      <c r="F8653">
        <v>1</v>
      </c>
      <c r="G8653" t="s">
        <v>16</v>
      </c>
      <c r="H8653">
        <v>0</v>
      </c>
      <c r="I8653" s="2" t="s">
        <v>51</v>
      </c>
      <c r="J8653" s="2">
        <v>9827278280</v>
      </c>
      <c r="K8653">
        <v>20</v>
      </c>
      <c r="L8653">
        <v>20</v>
      </c>
      <c r="M8653">
        <v>20</v>
      </c>
    </row>
    <row r="8654" spans="1:13" x14ac:dyDescent="0.25">
      <c r="A8654">
        <v>9827622780</v>
      </c>
      <c r="B8654" t="s">
        <v>19253</v>
      </c>
      <c r="C8654" t="s">
        <v>20</v>
      </c>
      <c r="F8654">
        <v>1</v>
      </c>
      <c r="G8654" t="s">
        <v>16</v>
      </c>
      <c r="H8654">
        <v>0</v>
      </c>
      <c r="I8654" s="2" t="s">
        <v>55</v>
      </c>
      <c r="J8654" s="2">
        <v>9827622780</v>
      </c>
      <c r="K8654">
        <v>20</v>
      </c>
      <c r="L8654">
        <v>20</v>
      </c>
      <c r="M8654">
        <v>20</v>
      </c>
    </row>
    <row r="8655" spans="1:13" x14ac:dyDescent="0.25">
      <c r="A8655" t="s">
        <v>19254</v>
      </c>
      <c r="B8655" t="s">
        <v>19255</v>
      </c>
      <c r="C8655" t="s">
        <v>20</v>
      </c>
      <c r="D8655" t="s">
        <v>597</v>
      </c>
      <c r="F8655">
        <v>1</v>
      </c>
      <c r="G8655" t="s">
        <v>16</v>
      </c>
      <c r="H8655">
        <v>0</v>
      </c>
      <c r="I8655" s="2" t="s">
        <v>3286</v>
      </c>
      <c r="J8655" s="2" t="s">
        <v>19256</v>
      </c>
      <c r="K8655">
        <v>20</v>
      </c>
      <c r="L8655">
        <v>20</v>
      </c>
      <c r="M8655">
        <v>20</v>
      </c>
    </row>
    <row r="8656" spans="1:13" x14ac:dyDescent="0.25">
      <c r="A8656" t="s">
        <v>19257</v>
      </c>
      <c r="B8656" t="s">
        <v>19258</v>
      </c>
      <c r="C8656" t="s">
        <v>1432</v>
      </c>
      <c r="F8656">
        <v>0</v>
      </c>
      <c r="G8656" t="s">
        <v>16</v>
      </c>
      <c r="H8656">
        <v>0</v>
      </c>
      <c r="I8656" s="2" t="s">
        <v>108</v>
      </c>
      <c r="J8656" s="3">
        <v>2881540001</v>
      </c>
      <c r="K8656">
        <v>20</v>
      </c>
      <c r="L8656">
        <v>20</v>
      </c>
      <c r="M8656">
        <v>20</v>
      </c>
    </row>
    <row r="8657" spans="1:13" x14ac:dyDescent="0.25">
      <c r="A8657" t="s">
        <v>19259</v>
      </c>
      <c r="B8657" t="s">
        <v>19260</v>
      </c>
      <c r="C8657" t="s">
        <v>151</v>
      </c>
      <c r="D8657" t="s">
        <v>1670</v>
      </c>
      <c r="G8657" t="s">
        <v>16</v>
      </c>
      <c r="H8657">
        <v>0</v>
      </c>
      <c r="I8657" s="2" t="s">
        <v>598</v>
      </c>
      <c r="J8657" s="2">
        <v>387225</v>
      </c>
      <c r="K8657">
        <v>20</v>
      </c>
      <c r="L8657">
        <v>20</v>
      </c>
      <c r="M8657">
        <v>20</v>
      </c>
    </row>
    <row r="8658" spans="1:13" x14ac:dyDescent="0.25">
      <c r="A8658">
        <v>9827892380</v>
      </c>
      <c r="B8658" t="s">
        <v>19261</v>
      </c>
      <c r="C8658" t="s">
        <v>151</v>
      </c>
      <c r="D8658" t="s">
        <v>1670</v>
      </c>
      <c r="F8658">
        <v>2</v>
      </c>
      <c r="G8658" t="s">
        <v>16</v>
      </c>
      <c r="H8658">
        <v>0</v>
      </c>
      <c r="I8658" s="2" t="s">
        <v>55</v>
      </c>
      <c r="J8658" s="2">
        <v>9827892380</v>
      </c>
      <c r="K8658">
        <v>20</v>
      </c>
      <c r="L8658">
        <v>20</v>
      </c>
      <c r="M8658">
        <v>20</v>
      </c>
    </row>
    <row r="8659" spans="1:13" x14ac:dyDescent="0.25">
      <c r="A8659" t="s">
        <v>19262</v>
      </c>
      <c r="B8659" t="s">
        <v>19263</v>
      </c>
      <c r="C8659" t="s">
        <v>496</v>
      </c>
      <c r="D8659" t="s">
        <v>2360</v>
      </c>
      <c r="F8659">
        <v>2</v>
      </c>
      <c r="G8659" t="s">
        <v>16</v>
      </c>
      <c r="H8659">
        <v>0</v>
      </c>
      <c r="I8659" s="2" t="s">
        <v>3945</v>
      </c>
      <c r="J8659" s="2" t="s">
        <v>19264</v>
      </c>
      <c r="K8659">
        <v>20</v>
      </c>
      <c r="L8659">
        <v>20</v>
      </c>
      <c r="M8659">
        <v>20</v>
      </c>
    </row>
    <row r="8660" spans="1:13" x14ac:dyDescent="0.25">
      <c r="A8660">
        <v>9828655380</v>
      </c>
      <c r="B8660" t="s">
        <v>19265</v>
      </c>
      <c r="C8660" t="s">
        <v>20</v>
      </c>
      <c r="D8660" t="s">
        <v>161</v>
      </c>
      <c r="G8660" t="s">
        <v>16</v>
      </c>
      <c r="H8660">
        <v>0</v>
      </c>
      <c r="I8660" s="2" t="s">
        <v>51</v>
      </c>
      <c r="J8660" s="2">
        <v>9828655380</v>
      </c>
      <c r="K8660">
        <v>20</v>
      </c>
      <c r="L8660">
        <v>20</v>
      </c>
      <c r="M8660">
        <v>20</v>
      </c>
    </row>
    <row r="8661" spans="1:13" x14ac:dyDescent="0.25">
      <c r="A8661">
        <v>9828655580</v>
      </c>
      <c r="B8661" t="s">
        <v>19266</v>
      </c>
      <c r="C8661" t="s">
        <v>20</v>
      </c>
      <c r="D8661" t="s">
        <v>161</v>
      </c>
      <c r="G8661" t="s">
        <v>16</v>
      </c>
      <c r="H8661">
        <v>0</v>
      </c>
      <c r="I8661" s="2" t="s">
        <v>55</v>
      </c>
      <c r="J8661" s="2">
        <v>9828655580</v>
      </c>
      <c r="K8661">
        <v>20</v>
      </c>
      <c r="L8661">
        <v>20</v>
      </c>
      <c r="M8661">
        <v>20</v>
      </c>
    </row>
    <row r="8662" spans="1:13" x14ac:dyDescent="0.25">
      <c r="A8662">
        <v>9828959880</v>
      </c>
      <c r="B8662" t="s">
        <v>19267</v>
      </c>
      <c r="C8662" t="s">
        <v>20</v>
      </c>
      <c r="F8662">
        <v>0</v>
      </c>
      <c r="G8662" t="s">
        <v>16</v>
      </c>
      <c r="H8662">
        <v>0</v>
      </c>
      <c r="I8662" s="2" t="s">
        <v>51</v>
      </c>
      <c r="J8662" s="2">
        <v>9828959880</v>
      </c>
      <c r="K8662">
        <v>20</v>
      </c>
      <c r="L8662">
        <v>20</v>
      </c>
      <c r="M8662">
        <v>20</v>
      </c>
    </row>
    <row r="8663" spans="1:13" x14ac:dyDescent="0.25">
      <c r="A8663">
        <v>9829317880</v>
      </c>
      <c r="B8663" t="s">
        <v>19268</v>
      </c>
      <c r="C8663" t="s">
        <v>151</v>
      </c>
      <c r="D8663" t="s">
        <v>1092</v>
      </c>
      <c r="G8663" t="s">
        <v>16</v>
      </c>
      <c r="H8663">
        <v>0</v>
      </c>
      <c r="I8663" s="2" t="s">
        <v>1444</v>
      </c>
      <c r="J8663" s="2">
        <v>9829317880</v>
      </c>
      <c r="K8663">
        <v>20</v>
      </c>
      <c r="L8663">
        <v>20</v>
      </c>
      <c r="M8663">
        <v>20</v>
      </c>
    </row>
    <row r="8664" spans="1:13" x14ac:dyDescent="0.25">
      <c r="A8664">
        <v>9829870080</v>
      </c>
      <c r="B8664" t="s">
        <v>19269</v>
      </c>
      <c r="C8664" t="s">
        <v>20</v>
      </c>
      <c r="F8664">
        <v>1</v>
      </c>
      <c r="G8664" t="s">
        <v>16</v>
      </c>
      <c r="H8664">
        <v>0</v>
      </c>
      <c r="I8664" s="2" t="s">
        <v>51</v>
      </c>
      <c r="J8664" s="2">
        <v>9829870080</v>
      </c>
      <c r="K8664">
        <v>20</v>
      </c>
      <c r="L8664">
        <v>20</v>
      </c>
      <c r="M8664">
        <v>20</v>
      </c>
    </row>
    <row r="8665" spans="1:13" x14ac:dyDescent="0.25">
      <c r="A8665">
        <v>9829898980</v>
      </c>
      <c r="B8665" t="s">
        <v>19270</v>
      </c>
      <c r="C8665" t="s">
        <v>20</v>
      </c>
      <c r="F8665">
        <v>1</v>
      </c>
      <c r="G8665" t="s">
        <v>16</v>
      </c>
      <c r="H8665">
        <v>0</v>
      </c>
      <c r="I8665" s="2" t="s">
        <v>55</v>
      </c>
      <c r="J8665" s="2">
        <v>9829898980</v>
      </c>
      <c r="K8665">
        <v>20</v>
      </c>
      <c r="L8665">
        <v>20</v>
      </c>
      <c r="M8665">
        <v>20</v>
      </c>
    </row>
    <row r="8666" spans="1:13" x14ac:dyDescent="0.25">
      <c r="A8666" t="s">
        <v>19271</v>
      </c>
      <c r="B8666" t="s">
        <v>19272</v>
      </c>
      <c r="C8666" t="s">
        <v>20</v>
      </c>
      <c r="F8666">
        <v>1</v>
      </c>
      <c r="G8666" t="s">
        <v>16</v>
      </c>
      <c r="H8666">
        <v>0</v>
      </c>
      <c r="I8666" s="2" t="s">
        <v>197</v>
      </c>
      <c r="J8666" s="2" t="s">
        <v>19273</v>
      </c>
      <c r="K8666">
        <v>20</v>
      </c>
      <c r="L8666">
        <v>20</v>
      </c>
      <c r="M8666">
        <v>20</v>
      </c>
    </row>
    <row r="8667" spans="1:13" x14ac:dyDescent="0.25">
      <c r="A8667">
        <v>9830143880</v>
      </c>
      <c r="B8667" t="s">
        <v>19274</v>
      </c>
      <c r="C8667" t="s">
        <v>151</v>
      </c>
      <c r="D8667" t="s">
        <v>1670</v>
      </c>
      <c r="F8667">
        <v>1</v>
      </c>
      <c r="G8667" t="s">
        <v>16</v>
      </c>
      <c r="H8667">
        <v>0</v>
      </c>
      <c r="I8667" s="2" t="s">
        <v>51</v>
      </c>
      <c r="J8667" s="2">
        <v>9830143880</v>
      </c>
      <c r="K8667">
        <v>20</v>
      </c>
      <c r="L8667">
        <v>20</v>
      </c>
      <c r="M8667">
        <v>20</v>
      </c>
    </row>
    <row r="8668" spans="1:13" x14ac:dyDescent="0.25">
      <c r="A8668">
        <v>9830146880</v>
      </c>
      <c r="B8668" t="s">
        <v>19276</v>
      </c>
      <c r="C8668" t="s">
        <v>20</v>
      </c>
      <c r="D8668" t="s">
        <v>385</v>
      </c>
      <c r="G8668" t="s">
        <v>16</v>
      </c>
      <c r="H8668">
        <v>0</v>
      </c>
      <c r="I8668" s="2" t="s">
        <v>51</v>
      </c>
      <c r="J8668" s="2" t="s">
        <v>19275</v>
      </c>
      <c r="K8668">
        <v>20</v>
      </c>
      <c r="L8668">
        <v>20</v>
      </c>
      <c r="M8668">
        <v>20</v>
      </c>
    </row>
    <row r="8669" spans="1:13" x14ac:dyDescent="0.25">
      <c r="A8669">
        <v>9830147280</v>
      </c>
      <c r="B8669" t="s">
        <v>19277</v>
      </c>
      <c r="C8669" t="s">
        <v>20</v>
      </c>
      <c r="D8669" t="s">
        <v>385</v>
      </c>
      <c r="G8669" t="s">
        <v>16</v>
      </c>
      <c r="H8669">
        <v>0</v>
      </c>
      <c r="I8669" s="2" t="s">
        <v>51</v>
      </c>
      <c r="J8669" s="2">
        <v>9830147280</v>
      </c>
      <c r="K8669">
        <v>20</v>
      </c>
      <c r="L8669">
        <v>20</v>
      </c>
      <c r="M8669">
        <v>20</v>
      </c>
    </row>
    <row r="8670" spans="1:13" x14ac:dyDescent="0.25">
      <c r="A8670" t="s">
        <v>19278</v>
      </c>
      <c r="B8670" t="s">
        <v>19279</v>
      </c>
      <c r="C8670" t="s">
        <v>540</v>
      </c>
      <c r="F8670">
        <v>1</v>
      </c>
      <c r="G8670" t="s">
        <v>16</v>
      </c>
      <c r="H8670">
        <v>0</v>
      </c>
      <c r="I8670" s="2" t="s">
        <v>613</v>
      </c>
      <c r="J8670" s="2" t="str">
        <f>"0020.9830512680"</f>
        <v>0020.9830512680</v>
      </c>
      <c r="K8670">
        <v>20</v>
      </c>
      <c r="L8670">
        <v>20</v>
      </c>
      <c r="M8670">
        <v>20</v>
      </c>
    </row>
    <row r="8671" spans="1:13" x14ac:dyDescent="0.25">
      <c r="A8671" t="s">
        <v>19280</v>
      </c>
      <c r="B8671" t="s">
        <v>19282</v>
      </c>
      <c r="C8671" t="s">
        <v>540</v>
      </c>
      <c r="F8671">
        <v>1</v>
      </c>
      <c r="G8671" t="s">
        <v>16</v>
      </c>
      <c r="H8671">
        <v>0</v>
      </c>
      <c r="I8671" s="2" t="s">
        <v>69</v>
      </c>
      <c r="J8671" s="2" t="s">
        <v>19281</v>
      </c>
      <c r="K8671">
        <v>20</v>
      </c>
      <c r="L8671">
        <v>20</v>
      </c>
      <c r="M8671">
        <v>20</v>
      </c>
    </row>
    <row r="8672" spans="1:13" x14ac:dyDescent="0.25">
      <c r="A8672" t="s">
        <v>19283</v>
      </c>
      <c r="B8672" t="s">
        <v>19285</v>
      </c>
      <c r="C8672" t="s">
        <v>540</v>
      </c>
      <c r="F8672">
        <v>1</v>
      </c>
      <c r="G8672" t="s">
        <v>16</v>
      </c>
      <c r="H8672">
        <v>0</v>
      </c>
      <c r="I8672" s="2" t="s">
        <v>69</v>
      </c>
      <c r="J8672" s="2" t="s">
        <v>19284</v>
      </c>
      <c r="K8672">
        <v>20</v>
      </c>
      <c r="L8672">
        <v>20</v>
      </c>
      <c r="M8672">
        <v>20</v>
      </c>
    </row>
    <row r="8673" spans="1:13" x14ac:dyDescent="0.25">
      <c r="A8673">
        <v>9830580480</v>
      </c>
      <c r="B8673" t="s">
        <v>19287</v>
      </c>
      <c r="C8673" t="s">
        <v>20</v>
      </c>
      <c r="D8673" t="s">
        <v>161</v>
      </c>
      <c r="G8673" t="s">
        <v>16</v>
      </c>
      <c r="H8673">
        <v>0</v>
      </c>
      <c r="I8673" s="2" t="s">
        <v>51</v>
      </c>
      <c r="J8673" s="2" t="s">
        <v>19286</v>
      </c>
      <c r="K8673">
        <v>20</v>
      </c>
      <c r="L8673">
        <v>20</v>
      </c>
      <c r="M8673">
        <v>20</v>
      </c>
    </row>
    <row r="8674" spans="1:13" x14ac:dyDescent="0.25">
      <c r="A8674">
        <v>9830779180</v>
      </c>
      <c r="B8674" t="s">
        <v>19288</v>
      </c>
      <c r="C8674" t="s">
        <v>20</v>
      </c>
      <c r="F8674">
        <v>1</v>
      </c>
      <c r="G8674" t="s">
        <v>16</v>
      </c>
      <c r="H8674">
        <v>0</v>
      </c>
      <c r="I8674" s="2" t="s">
        <v>51</v>
      </c>
      <c r="J8674" s="2">
        <v>9830779180</v>
      </c>
      <c r="K8674">
        <v>20</v>
      </c>
      <c r="L8674">
        <v>20</v>
      </c>
      <c r="M8674">
        <v>20</v>
      </c>
    </row>
    <row r="8675" spans="1:13" x14ac:dyDescent="0.25">
      <c r="A8675" t="s">
        <v>19289</v>
      </c>
      <c r="B8675" t="s">
        <v>19290</v>
      </c>
      <c r="C8675" t="s">
        <v>496</v>
      </c>
      <c r="D8675" t="s">
        <v>2360</v>
      </c>
      <c r="F8675">
        <v>2</v>
      </c>
      <c r="G8675" t="s">
        <v>16</v>
      </c>
      <c r="H8675">
        <v>0</v>
      </c>
      <c r="I8675" s="2" t="s">
        <v>4086</v>
      </c>
      <c r="J8675" s="2" t="str">
        <f>"08509"</f>
        <v>08509</v>
      </c>
      <c r="K8675">
        <v>20</v>
      </c>
      <c r="L8675">
        <v>20</v>
      </c>
      <c r="M8675">
        <v>20</v>
      </c>
    </row>
    <row r="8676" spans="1:13" x14ac:dyDescent="0.25">
      <c r="A8676" t="s">
        <v>19291</v>
      </c>
      <c r="B8676" t="s">
        <v>19292</v>
      </c>
      <c r="C8676" t="s">
        <v>20</v>
      </c>
      <c r="F8676">
        <v>16</v>
      </c>
      <c r="G8676" t="s">
        <v>16</v>
      </c>
      <c r="H8676">
        <v>0</v>
      </c>
      <c r="I8676" s="2" t="s">
        <v>87</v>
      </c>
      <c r="J8676" s="2" t="s">
        <v>19293</v>
      </c>
      <c r="K8676">
        <v>20</v>
      </c>
      <c r="L8676">
        <v>20</v>
      </c>
      <c r="M8676">
        <v>20</v>
      </c>
    </row>
    <row r="8677" spans="1:13" x14ac:dyDescent="0.25">
      <c r="A8677" t="s">
        <v>19294</v>
      </c>
      <c r="B8677" t="s">
        <v>19295</v>
      </c>
      <c r="C8677" t="s">
        <v>496</v>
      </c>
      <c r="D8677" t="s">
        <v>2360</v>
      </c>
      <c r="F8677">
        <v>1</v>
      </c>
      <c r="G8677" t="s">
        <v>16</v>
      </c>
      <c r="H8677">
        <v>0</v>
      </c>
      <c r="I8677" s="2" t="s">
        <v>2517</v>
      </c>
      <c r="J8677" s="2" t="s">
        <v>19296</v>
      </c>
      <c r="K8677">
        <v>20</v>
      </c>
      <c r="L8677">
        <v>20</v>
      </c>
      <c r="M8677">
        <v>20</v>
      </c>
    </row>
    <row r="8678" spans="1:13" x14ac:dyDescent="0.25">
      <c r="A8678">
        <v>9831859280</v>
      </c>
      <c r="B8678" t="s">
        <v>19297</v>
      </c>
      <c r="C8678" t="s">
        <v>20</v>
      </c>
      <c r="G8678" t="s">
        <v>16</v>
      </c>
      <c r="H8678">
        <v>0</v>
      </c>
      <c r="I8678" s="2" t="s">
        <v>51</v>
      </c>
      <c r="J8678" s="2">
        <v>9831859280</v>
      </c>
      <c r="K8678">
        <v>20</v>
      </c>
      <c r="L8678">
        <v>20</v>
      </c>
      <c r="M8678">
        <v>20</v>
      </c>
    </row>
    <row r="8679" spans="1:13" x14ac:dyDescent="0.25">
      <c r="A8679">
        <v>9832126080</v>
      </c>
      <c r="B8679" t="s">
        <v>19298</v>
      </c>
      <c r="C8679" t="s">
        <v>540</v>
      </c>
      <c r="F8679">
        <v>1</v>
      </c>
      <c r="G8679" t="s">
        <v>16</v>
      </c>
      <c r="H8679">
        <v>0</v>
      </c>
      <c r="I8679" s="2" t="s">
        <v>51</v>
      </c>
      <c r="J8679" s="2">
        <v>9832126080</v>
      </c>
      <c r="K8679">
        <v>20</v>
      </c>
      <c r="L8679">
        <v>20</v>
      </c>
      <c r="M8679">
        <v>20</v>
      </c>
    </row>
    <row r="8680" spans="1:13" x14ac:dyDescent="0.25">
      <c r="A8680">
        <v>9832135380</v>
      </c>
      <c r="B8680" t="s">
        <v>19299</v>
      </c>
      <c r="C8680" t="s">
        <v>151</v>
      </c>
      <c r="D8680" t="s">
        <v>6316</v>
      </c>
      <c r="F8680">
        <v>1</v>
      </c>
      <c r="G8680" t="s">
        <v>16</v>
      </c>
      <c r="H8680">
        <v>0</v>
      </c>
      <c r="I8680" s="2" t="s">
        <v>51</v>
      </c>
      <c r="J8680" s="2">
        <v>9832135380</v>
      </c>
      <c r="K8680">
        <v>20</v>
      </c>
      <c r="L8680">
        <v>20</v>
      </c>
      <c r="M8680">
        <v>20</v>
      </c>
    </row>
    <row r="8681" spans="1:13" x14ac:dyDescent="0.25">
      <c r="A8681">
        <v>9832303980</v>
      </c>
      <c r="B8681" t="s">
        <v>19300</v>
      </c>
      <c r="C8681" t="s">
        <v>20</v>
      </c>
      <c r="G8681" t="s">
        <v>16</v>
      </c>
      <c r="H8681">
        <v>0</v>
      </c>
      <c r="I8681" s="2" t="s">
        <v>51</v>
      </c>
      <c r="J8681" s="2">
        <v>9832303980</v>
      </c>
      <c r="K8681">
        <v>20</v>
      </c>
      <c r="L8681">
        <v>20</v>
      </c>
      <c r="M8681">
        <v>20</v>
      </c>
    </row>
    <row r="8682" spans="1:13" x14ac:dyDescent="0.25">
      <c r="A8682">
        <v>9832341080</v>
      </c>
      <c r="B8682" t="s">
        <v>19301</v>
      </c>
      <c r="C8682" t="s">
        <v>20</v>
      </c>
      <c r="G8682" t="s">
        <v>16</v>
      </c>
      <c r="H8682">
        <v>0</v>
      </c>
      <c r="I8682" s="2" t="s">
        <v>55</v>
      </c>
      <c r="J8682" s="2">
        <v>9832341080</v>
      </c>
      <c r="K8682">
        <v>20</v>
      </c>
      <c r="L8682">
        <v>20</v>
      </c>
      <c r="M8682">
        <v>20</v>
      </c>
    </row>
    <row r="8683" spans="1:13" x14ac:dyDescent="0.25">
      <c r="A8683">
        <v>9833095880</v>
      </c>
      <c r="B8683" t="s">
        <v>19302</v>
      </c>
      <c r="C8683" t="s">
        <v>20</v>
      </c>
      <c r="F8683">
        <v>0</v>
      </c>
      <c r="G8683" t="s">
        <v>16</v>
      </c>
      <c r="H8683">
        <v>0</v>
      </c>
      <c r="I8683" s="2" t="s">
        <v>55</v>
      </c>
      <c r="J8683" s="2">
        <v>9833095880</v>
      </c>
      <c r="K8683">
        <v>20</v>
      </c>
      <c r="L8683">
        <v>20</v>
      </c>
      <c r="M8683">
        <v>20</v>
      </c>
    </row>
    <row r="8684" spans="1:13" x14ac:dyDescent="0.25">
      <c r="A8684" t="s">
        <v>19303</v>
      </c>
      <c r="B8684" t="s">
        <v>19304</v>
      </c>
      <c r="C8684" t="s">
        <v>496</v>
      </c>
      <c r="D8684" t="s">
        <v>2360</v>
      </c>
      <c r="F8684">
        <v>2</v>
      </c>
      <c r="G8684" t="s">
        <v>16</v>
      </c>
      <c r="H8684">
        <v>0</v>
      </c>
      <c r="I8684" s="2" t="s">
        <v>5688</v>
      </c>
      <c r="J8684" s="2" t="s">
        <v>19305</v>
      </c>
      <c r="K8684">
        <v>20</v>
      </c>
      <c r="L8684">
        <v>20</v>
      </c>
      <c r="M8684">
        <v>20</v>
      </c>
    </row>
    <row r="8685" spans="1:13" x14ac:dyDescent="0.25">
      <c r="A8685" t="s">
        <v>19306</v>
      </c>
      <c r="B8685" t="s">
        <v>19307</v>
      </c>
      <c r="C8685" t="s">
        <v>14</v>
      </c>
      <c r="D8685" t="s">
        <v>15</v>
      </c>
      <c r="F8685">
        <v>40</v>
      </c>
      <c r="G8685" t="s">
        <v>16</v>
      </c>
      <c r="H8685">
        <v>0</v>
      </c>
      <c r="I8685" s="2" t="s">
        <v>6939</v>
      </c>
      <c r="J8685" s="2" t="s">
        <v>19308</v>
      </c>
      <c r="K8685">
        <v>20</v>
      </c>
      <c r="L8685">
        <v>20</v>
      </c>
      <c r="M8685">
        <v>20</v>
      </c>
    </row>
    <row r="8686" spans="1:13" x14ac:dyDescent="0.25">
      <c r="A8686" t="s">
        <v>19309</v>
      </c>
      <c r="B8686" t="s">
        <v>19310</v>
      </c>
      <c r="C8686" t="s">
        <v>14</v>
      </c>
      <c r="D8686" t="s">
        <v>15</v>
      </c>
      <c r="F8686">
        <v>6</v>
      </c>
      <c r="G8686" t="s">
        <v>16</v>
      </c>
      <c r="H8686">
        <v>0</v>
      </c>
      <c r="K8686">
        <v>20</v>
      </c>
      <c r="L8686">
        <v>20</v>
      </c>
      <c r="M8686">
        <v>20</v>
      </c>
    </row>
    <row r="8687" spans="1:13" x14ac:dyDescent="0.25">
      <c r="A8687">
        <v>9833804980</v>
      </c>
      <c r="B8687" t="s">
        <v>19311</v>
      </c>
      <c r="C8687" t="s">
        <v>1432</v>
      </c>
      <c r="D8687" t="s">
        <v>7530</v>
      </c>
      <c r="F8687">
        <v>1</v>
      </c>
      <c r="G8687" t="s">
        <v>16</v>
      </c>
      <c r="H8687">
        <v>0</v>
      </c>
      <c r="I8687" s="2" t="s">
        <v>51</v>
      </c>
      <c r="J8687" s="2">
        <v>9833804980</v>
      </c>
      <c r="K8687">
        <v>20</v>
      </c>
      <c r="L8687">
        <v>20</v>
      </c>
      <c r="M8687">
        <v>20</v>
      </c>
    </row>
    <row r="8688" spans="1:13" x14ac:dyDescent="0.25">
      <c r="A8688" t="s">
        <v>19312</v>
      </c>
      <c r="B8688" t="s">
        <v>19313</v>
      </c>
      <c r="C8688" t="s">
        <v>540</v>
      </c>
      <c r="F8688">
        <v>1</v>
      </c>
      <c r="G8688" t="s">
        <v>16</v>
      </c>
      <c r="H8688">
        <v>0</v>
      </c>
      <c r="I8688" s="2" t="s">
        <v>1444</v>
      </c>
      <c r="J8688" s="2" t="s">
        <v>19312</v>
      </c>
      <c r="K8688">
        <v>20</v>
      </c>
      <c r="L8688">
        <v>20</v>
      </c>
      <c r="M8688">
        <v>20</v>
      </c>
    </row>
    <row r="8689" spans="1:13" x14ac:dyDescent="0.25">
      <c r="A8689">
        <v>9834388280</v>
      </c>
      <c r="B8689" t="s">
        <v>19314</v>
      </c>
      <c r="C8689" t="s">
        <v>357</v>
      </c>
      <c r="D8689" t="s">
        <v>241</v>
      </c>
      <c r="F8689">
        <v>2</v>
      </c>
      <c r="G8689" t="s">
        <v>16</v>
      </c>
      <c r="H8689">
        <v>0</v>
      </c>
      <c r="I8689" s="2" t="s">
        <v>51</v>
      </c>
      <c r="J8689" s="2">
        <v>9834388280</v>
      </c>
      <c r="K8689">
        <v>20</v>
      </c>
      <c r="L8689">
        <v>20</v>
      </c>
      <c r="M8689">
        <v>20</v>
      </c>
    </row>
    <row r="8690" spans="1:13" x14ac:dyDescent="0.25">
      <c r="A8690" t="s">
        <v>19315</v>
      </c>
      <c r="B8690" t="s">
        <v>19316</v>
      </c>
      <c r="C8690" t="s">
        <v>540</v>
      </c>
      <c r="F8690">
        <v>0</v>
      </c>
      <c r="G8690" t="s">
        <v>16</v>
      </c>
      <c r="H8690">
        <v>0</v>
      </c>
      <c r="I8690" s="2" t="s">
        <v>497</v>
      </c>
      <c r="J8690" s="2" t="s">
        <v>19315</v>
      </c>
      <c r="K8690">
        <v>20</v>
      </c>
      <c r="L8690">
        <v>20</v>
      </c>
      <c r="M8690">
        <v>20</v>
      </c>
    </row>
    <row r="8691" spans="1:13" x14ac:dyDescent="0.25">
      <c r="A8691">
        <v>9835269280</v>
      </c>
      <c r="B8691" t="s">
        <v>19317</v>
      </c>
      <c r="C8691" t="s">
        <v>540</v>
      </c>
      <c r="F8691">
        <v>1</v>
      </c>
      <c r="G8691" t="s">
        <v>16</v>
      </c>
      <c r="H8691">
        <v>0</v>
      </c>
      <c r="I8691" s="2" t="s">
        <v>1444</v>
      </c>
      <c r="J8691" s="2">
        <v>9835269280</v>
      </c>
      <c r="K8691">
        <v>20</v>
      </c>
      <c r="L8691">
        <v>20</v>
      </c>
      <c r="M8691">
        <v>20</v>
      </c>
    </row>
    <row r="8692" spans="1:13" x14ac:dyDescent="0.25">
      <c r="A8692">
        <v>9836081180</v>
      </c>
      <c r="B8692" t="s">
        <v>19318</v>
      </c>
      <c r="C8692" t="s">
        <v>20</v>
      </c>
      <c r="G8692" t="s">
        <v>16</v>
      </c>
      <c r="H8692">
        <v>0</v>
      </c>
      <c r="I8692" s="2" t="s">
        <v>51</v>
      </c>
      <c r="J8692" s="2">
        <v>9836081180</v>
      </c>
      <c r="K8692">
        <v>20</v>
      </c>
      <c r="L8692">
        <v>20</v>
      </c>
      <c r="M8692">
        <v>20</v>
      </c>
    </row>
    <row r="8693" spans="1:13" x14ac:dyDescent="0.25">
      <c r="A8693" t="s">
        <v>19319</v>
      </c>
      <c r="B8693" t="s">
        <v>19320</v>
      </c>
      <c r="C8693" t="s">
        <v>357</v>
      </c>
      <c r="D8693" t="s">
        <v>792</v>
      </c>
      <c r="F8693">
        <v>1</v>
      </c>
      <c r="G8693" t="s">
        <v>16</v>
      </c>
      <c r="H8693">
        <v>0</v>
      </c>
      <c r="I8693" s="2" t="s">
        <v>108</v>
      </c>
      <c r="J8693" s="3">
        <v>3831502001</v>
      </c>
      <c r="K8693">
        <v>20</v>
      </c>
      <c r="L8693">
        <v>20</v>
      </c>
      <c r="M8693">
        <v>20</v>
      </c>
    </row>
    <row r="8694" spans="1:13" x14ac:dyDescent="0.25">
      <c r="A8694" t="s">
        <v>19321</v>
      </c>
      <c r="B8694" t="s">
        <v>19322</v>
      </c>
      <c r="C8694" t="s">
        <v>496</v>
      </c>
      <c r="D8694" t="s">
        <v>2360</v>
      </c>
      <c r="G8694" t="s">
        <v>16</v>
      </c>
      <c r="H8694">
        <v>0</v>
      </c>
      <c r="I8694" s="2" t="s">
        <v>2533</v>
      </c>
      <c r="J8694" s="2" t="s">
        <v>19323</v>
      </c>
      <c r="K8694">
        <v>20</v>
      </c>
      <c r="L8694">
        <v>20</v>
      </c>
      <c r="M8694">
        <v>20</v>
      </c>
    </row>
    <row r="8695" spans="1:13" x14ac:dyDescent="0.25">
      <c r="A8695" t="s">
        <v>19324</v>
      </c>
      <c r="B8695" t="s">
        <v>19325</v>
      </c>
      <c r="C8695" t="s">
        <v>496</v>
      </c>
      <c r="D8695" t="s">
        <v>2360</v>
      </c>
      <c r="G8695" t="s">
        <v>16</v>
      </c>
      <c r="H8695">
        <v>0</v>
      </c>
      <c r="I8695" s="2" t="s">
        <v>2533</v>
      </c>
      <c r="J8695" s="2" t="s">
        <v>19326</v>
      </c>
      <c r="K8695">
        <v>20</v>
      </c>
      <c r="L8695">
        <v>20</v>
      </c>
      <c r="M8695">
        <v>20</v>
      </c>
    </row>
    <row r="8696" spans="1:13" x14ac:dyDescent="0.25">
      <c r="A8696">
        <v>9837473680</v>
      </c>
      <c r="B8696" t="s">
        <v>19327</v>
      </c>
      <c r="C8696" t="s">
        <v>540</v>
      </c>
      <c r="F8696">
        <v>0</v>
      </c>
      <c r="G8696" t="s">
        <v>16</v>
      </c>
      <c r="H8696">
        <v>0</v>
      </c>
      <c r="I8696" s="2" t="s">
        <v>497</v>
      </c>
      <c r="J8696" s="2">
        <v>9837473680</v>
      </c>
      <c r="K8696">
        <v>20</v>
      </c>
      <c r="L8696">
        <v>20</v>
      </c>
      <c r="M8696">
        <v>20</v>
      </c>
    </row>
    <row r="8697" spans="1:13" x14ac:dyDescent="0.25">
      <c r="A8697">
        <v>9837499380</v>
      </c>
      <c r="B8697" t="s">
        <v>19328</v>
      </c>
      <c r="C8697" t="s">
        <v>540</v>
      </c>
      <c r="F8697">
        <v>0</v>
      </c>
      <c r="G8697" t="s">
        <v>16</v>
      </c>
      <c r="H8697">
        <v>0</v>
      </c>
      <c r="I8697" s="2" t="s">
        <v>51</v>
      </c>
      <c r="J8697" s="2">
        <v>9837499380</v>
      </c>
      <c r="K8697">
        <v>20</v>
      </c>
      <c r="L8697">
        <v>20</v>
      </c>
      <c r="M8697">
        <v>20</v>
      </c>
    </row>
    <row r="8698" spans="1:13" x14ac:dyDescent="0.25">
      <c r="A8698">
        <v>9837757080</v>
      </c>
      <c r="B8698" t="s">
        <v>19329</v>
      </c>
      <c r="C8698" t="s">
        <v>357</v>
      </c>
      <c r="D8698" t="s">
        <v>241</v>
      </c>
      <c r="F8698">
        <v>0</v>
      </c>
      <c r="G8698" t="s">
        <v>16</v>
      </c>
      <c r="H8698">
        <v>0</v>
      </c>
      <c r="I8698" s="2" t="s">
        <v>51</v>
      </c>
      <c r="J8698" s="2">
        <v>9837757080</v>
      </c>
      <c r="K8698">
        <v>20</v>
      </c>
      <c r="L8698">
        <v>20</v>
      </c>
      <c r="M8698">
        <v>20</v>
      </c>
    </row>
    <row r="8699" spans="1:13" x14ac:dyDescent="0.25">
      <c r="A8699" t="s">
        <v>19330</v>
      </c>
      <c r="B8699" t="s">
        <v>19331</v>
      </c>
      <c r="C8699" t="s">
        <v>496</v>
      </c>
      <c r="D8699" t="s">
        <v>2360</v>
      </c>
      <c r="F8699">
        <v>2</v>
      </c>
      <c r="G8699" t="s">
        <v>16</v>
      </c>
      <c r="H8699">
        <v>0</v>
      </c>
      <c r="I8699" s="2" t="s">
        <v>238</v>
      </c>
      <c r="J8699" s="2">
        <v>188786</v>
      </c>
      <c r="K8699">
        <v>20</v>
      </c>
      <c r="L8699">
        <v>20</v>
      </c>
      <c r="M8699">
        <v>20</v>
      </c>
    </row>
    <row r="8700" spans="1:13" x14ac:dyDescent="0.25">
      <c r="A8700" t="s">
        <v>19332</v>
      </c>
      <c r="B8700" t="s">
        <v>19333</v>
      </c>
      <c r="C8700" t="s">
        <v>357</v>
      </c>
      <c r="D8700" t="s">
        <v>1836</v>
      </c>
      <c r="F8700">
        <v>1</v>
      </c>
      <c r="G8700" t="s">
        <v>16</v>
      </c>
      <c r="H8700">
        <v>0</v>
      </c>
      <c r="I8700" s="2" t="s">
        <v>1671</v>
      </c>
      <c r="J8700" s="2">
        <v>363595</v>
      </c>
      <c r="K8700">
        <v>20</v>
      </c>
      <c r="L8700">
        <v>20</v>
      </c>
      <c r="M8700">
        <v>20</v>
      </c>
    </row>
    <row r="8701" spans="1:13" x14ac:dyDescent="0.25">
      <c r="A8701">
        <v>9839253380</v>
      </c>
      <c r="B8701" t="s">
        <v>19334</v>
      </c>
      <c r="C8701" t="s">
        <v>20</v>
      </c>
      <c r="D8701" t="s">
        <v>597</v>
      </c>
      <c r="F8701">
        <v>0</v>
      </c>
      <c r="G8701" t="s">
        <v>16</v>
      </c>
      <c r="H8701">
        <v>0</v>
      </c>
      <c r="I8701" s="2" t="s">
        <v>51</v>
      </c>
      <c r="J8701" s="2">
        <v>9839253380</v>
      </c>
      <c r="K8701">
        <v>20</v>
      </c>
      <c r="L8701">
        <v>20</v>
      </c>
      <c r="M8701">
        <v>20</v>
      </c>
    </row>
    <row r="8702" spans="1:13" x14ac:dyDescent="0.25">
      <c r="A8702" t="s">
        <v>19335</v>
      </c>
      <c r="B8702" t="s">
        <v>19336</v>
      </c>
      <c r="C8702" t="s">
        <v>540</v>
      </c>
      <c r="G8702" t="s">
        <v>16</v>
      </c>
      <c r="H8702">
        <v>0</v>
      </c>
      <c r="I8702" s="2" t="s">
        <v>55</v>
      </c>
      <c r="J8702" s="2" t="s">
        <v>19335</v>
      </c>
      <c r="K8702">
        <v>20</v>
      </c>
      <c r="L8702">
        <v>20</v>
      </c>
      <c r="M8702">
        <v>20</v>
      </c>
    </row>
    <row r="8703" spans="1:13" x14ac:dyDescent="0.25">
      <c r="A8703" t="s">
        <v>19337</v>
      </c>
      <c r="B8703" t="s">
        <v>19338</v>
      </c>
      <c r="C8703" t="s">
        <v>20</v>
      </c>
      <c r="D8703" t="s">
        <v>133</v>
      </c>
      <c r="F8703">
        <v>0</v>
      </c>
      <c r="G8703" t="s">
        <v>16</v>
      </c>
      <c r="H8703">
        <v>0</v>
      </c>
      <c r="I8703" s="2" t="s">
        <v>450</v>
      </c>
      <c r="J8703" s="2" t="s">
        <v>19339</v>
      </c>
      <c r="K8703">
        <v>20</v>
      </c>
      <c r="L8703">
        <v>20</v>
      </c>
      <c r="M8703">
        <v>20</v>
      </c>
    </row>
    <row r="8704" spans="1:13" x14ac:dyDescent="0.25">
      <c r="A8704" t="s">
        <v>19340</v>
      </c>
      <c r="B8704" t="s">
        <v>19341</v>
      </c>
      <c r="C8704" t="s">
        <v>496</v>
      </c>
      <c r="D8704" t="s">
        <v>2360</v>
      </c>
      <c r="G8704" t="s">
        <v>16</v>
      </c>
      <c r="H8704">
        <v>0</v>
      </c>
      <c r="I8704" s="2" t="s">
        <v>5267</v>
      </c>
      <c r="J8704" s="2" t="s">
        <v>19342</v>
      </c>
      <c r="K8704">
        <v>20</v>
      </c>
      <c r="L8704">
        <v>20</v>
      </c>
      <c r="M8704">
        <v>20</v>
      </c>
    </row>
    <row r="8705" spans="1:13" x14ac:dyDescent="0.25">
      <c r="A8705" t="s">
        <v>19343</v>
      </c>
      <c r="B8705" t="s">
        <v>19344</v>
      </c>
      <c r="C8705" t="s">
        <v>241</v>
      </c>
      <c r="D8705" t="s">
        <v>1436</v>
      </c>
      <c r="F8705">
        <v>0</v>
      </c>
      <c r="G8705" t="s">
        <v>16</v>
      </c>
      <c r="H8705">
        <v>0</v>
      </c>
      <c r="I8705" s="2" t="s">
        <v>108</v>
      </c>
      <c r="J8705" s="3">
        <v>2821734001</v>
      </c>
      <c r="K8705">
        <v>20</v>
      </c>
      <c r="L8705">
        <v>20</v>
      </c>
      <c r="M8705">
        <v>20</v>
      </c>
    </row>
    <row r="8706" spans="1:13" x14ac:dyDescent="0.25">
      <c r="A8706">
        <v>9845031980</v>
      </c>
      <c r="B8706" t="s">
        <v>19345</v>
      </c>
      <c r="C8706" t="s">
        <v>20</v>
      </c>
      <c r="F8706">
        <v>1</v>
      </c>
      <c r="G8706" t="s">
        <v>16</v>
      </c>
      <c r="H8706">
        <v>0</v>
      </c>
      <c r="I8706" s="2" t="s">
        <v>55</v>
      </c>
      <c r="J8706" s="2">
        <v>9845031980</v>
      </c>
      <c r="K8706">
        <v>20</v>
      </c>
      <c r="L8706">
        <v>20</v>
      </c>
      <c r="M8706">
        <v>20</v>
      </c>
    </row>
    <row r="8707" spans="1:13" x14ac:dyDescent="0.25">
      <c r="A8707">
        <v>9846329580</v>
      </c>
      <c r="B8707" t="s">
        <v>19346</v>
      </c>
      <c r="C8707" t="s">
        <v>496</v>
      </c>
      <c r="D8707" t="s">
        <v>2360</v>
      </c>
      <c r="F8707">
        <v>0</v>
      </c>
      <c r="G8707" t="s">
        <v>16</v>
      </c>
      <c r="H8707">
        <v>0</v>
      </c>
      <c r="I8707" s="2" t="s">
        <v>497</v>
      </c>
      <c r="J8707" s="2">
        <v>9846329580</v>
      </c>
      <c r="K8707">
        <v>20</v>
      </c>
      <c r="L8707">
        <v>20</v>
      </c>
      <c r="M8707">
        <v>20</v>
      </c>
    </row>
    <row r="8708" spans="1:13" x14ac:dyDescent="0.25">
      <c r="A8708" t="s">
        <v>19347</v>
      </c>
      <c r="B8708" t="s">
        <v>19348</v>
      </c>
      <c r="C8708" t="s">
        <v>540</v>
      </c>
      <c r="F8708">
        <v>1</v>
      </c>
      <c r="G8708" t="s">
        <v>16</v>
      </c>
      <c r="H8708">
        <v>0</v>
      </c>
      <c r="I8708" s="2" t="s">
        <v>19349</v>
      </c>
      <c r="J8708" s="2" t="s">
        <v>19350</v>
      </c>
      <c r="K8708">
        <v>20</v>
      </c>
      <c r="L8708">
        <v>20</v>
      </c>
      <c r="M8708">
        <v>20</v>
      </c>
    </row>
    <row r="8709" spans="1:13" x14ac:dyDescent="0.25">
      <c r="A8709">
        <v>9847019780</v>
      </c>
      <c r="B8709" t="s">
        <v>19351</v>
      </c>
      <c r="C8709" t="s">
        <v>151</v>
      </c>
      <c r="D8709" t="s">
        <v>1670</v>
      </c>
      <c r="F8709">
        <v>2</v>
      </c>
      <c r="G8709" t="s">
        <v>16</v>
      </c>
      <c r="H8709">
        <v>0</v>
      </c>
      <c r="I8709" s="2" t="s">
        <v>55</v>
      </c>
      <c r="J8709" s="2">
        <v>9847019780</v>
      </c>
      <c r="K8709">
        <v>20</v>
      </c>
      <c r="L8709">
        <v>20</v>
      </c>
      <c r="M8709">
        <v>20</v>
      </c>
    </row>
    <row r="8710" spans="1:13" x14ac:dyDescent="0.25">
      <c r="A8710" t="s">
        <v>19352</v>
      </c>
      <c r="B8710" t="s">
        <v>19353</v>
      </c>
      <c r="C8710" t="s">
        <v>20</v>
      </c>
      <c r="F8710">
        <v>1</v>
      </c>
      <c r="G8710" t="s">
        <v>16</v>
      </c>
      <c r="H8710">
        <v>0</v>
      </c>
      <c r="I8710" s="2" t="s">
        <v>87</v>
      </c>
      <c r="J8710" s="2" t="s">
        <v>19354</v>
      </c>
      <c r="K8710">
        <v>20</v>
      </c>
      <c r="L8710">
        <v>20</v>
      </c>
      <c r="M8710">
        <v>20</v>
      </c>
    </row>
    <row r="8711" spans="1:13" x14ac:dyDescent="0.25">
      <c r="A8711" t="s">
        <v>19355</v>
      </c>
      <c r="B8711" t="s">
        <v>19356</v>
      </c>
      <c r="C8711" t="s">
        <v>357</v>
      </c>
      <c r="D8711" t="s">
        <v>358</v>
      </c>
      <c r="F8711">
        <v>1</v>
      </c>
      <c r="G8711" t="s">
        <v>16</v>
      </c>
      <c r="H8711">
        <v>0</v>
      </c>
      <c r="I8711" s="2" t="s">
        <v>87</v>
      </c>
      <c r="J8711" s="2" t="s">
        <v>19357</v>
      </c>
      <c r="K8711">
        <v>20</v>
      </c>
      <c r="L8711">
        <v>20</v>
      </c>
      <c r="M8711">
        <v>20</v>
      </c>
    </row>
    <row r="8712" spans="1:13" x14ac:dyDescent="0.25">
      <c r="A8712" t="s">
        <v>19358</v>
      </c>
      <c r="B8712" t="s">
        <v>19359</v>
      </c>
      <c r="C8712" t="s">
        <v>357</v>
      </c>
      <c r="D8712" t="s">
        <v>358</v>
      </c>
      <c r="F8712">
        <v>0</v>
      </c>
      <c r="G8712" t="s">
        <v>16</v>
      </c>
      <c r="H8712">
        <v>0</v>
      </c>
      <c r="I8712" s="2" t="s">
        <v>87</v>
      </c>
      <c r="J8712" s="2" t="s">
        <v>19360</v>
      </c>
      <c r="K8712">
        <v>20</v>
      </c>
      <c r="L8712">
        <v>20</v>
      </c>
      <c r="M8712">
        <v>20</v>
      </c>
    </row>
    <row r="8713" spans="1:13" x14ac:dyDescent="0.25">
      <c r="A8713" t="s">
        <v>19361</v>
      </c>
      <c r="B8713" t="s">
        <v>19362</v>
      </c>
      <c r="C8713" t="s">
        <v>357</v>
      </c>
      <c r="D8713" t="s">
        <v>358</v>
      </c>
      <c r="F8713">
        <v>1</v>
      </c>
      <c r="G8713" t="s">
        <v>16</v>
      </c>
      <c r="H8713">
        <v>0</v>
      </c>
      <c r="I8713" s="2" t="s">
        <v>865</v>
      </c>
      <c r="J8713" s="2" t="s">
        <v>19363</v>
      </c>
      <c r="K8713">
        <v>20</v>
      </c>
      <c r="L8713">
        <v>20</v>
      </c>
      <c r="M8713">
        <v>20</v>
      </c>
    </row>
    <row r="8714" spans="1:13" x14ac:dyDescent="0.25">
      <c r="A8714">
        <v>9851263780</v>
      </c>
      <c r="B8714" t="s">
        <v>19364</v>
      </c>
      <c r="C8714" t="s">
        <v>151</v>
      </c>
      <c r="D8714" t="s">
        <v>1092</v>
      </c>
      <c r="G8714" t="s">
        <v>16</v>
      </c>
      <c r="H8714">
        <v>0</v>
      </c>
      <c r="I8714" s="2" t="s">
        <v>497</v>
      </c>
      <c r="J8714" s="2">
        <v>9851263780</v>
      </c>
      <c r="K8714">
        <v>20</v>
      </c>
      <c r="L8714">
        <v>20</v>
      </c>
      <c r="M8714">
        <v>20</v>
      </c>
    </row>
    <row r="8715" spans="1:13" x14ac:dyDescent="0.25">
      <c r="A8715">
        <v>9851263980</v>
      </c>
      <c r="B8715" t="s">
        <v>19365</v>
      </c>
      <c r="C8715" t="s">
        <v>151</v>
      </c>
      <c r="D8715" t="s">
        <v>1092</v>
      </c>
      <c r="G8715" t="s">
        <v>16</v>
      </c>
      <c r="H8715">
        <v>0</v>
      </c>
      <c r="I8715" s="2" t="s">
        <v>497</v>
      </c>
      <c r="J8715" s="2">
        <v>9851263980</v>
      </c>
      <c r="K8715">
        <v>20</v>
      </c>
      <c r="L8715">
        <v>20</v>
      </c>
      <c r="M8715">
        <v>20</v>
      </c>
    </row>
    <row r="8716" spans="1:13" x14ac:dyDescent="0.25">
      <c r="A8716">
        <v>9863013680</v>
      </c>
      <c r="B8716" t="s">
        <v>19366</v>
      </c>
      <c r="C8716" t="s">
        <v>926</v>
      </c>
      <c r="D8716" t="s">
        <v>1036</v>
      </c>
      <c r="F8716">
        <v>22</v>
      </c>
      <c r="G8716" t="s">
        <v>16</v>
      </c>
      <c r="H8716">
        <v>0</v>
      </c>
      <c r="I8716" s="2" t="s">
        <v>51</v>
      </c>
      <c r="J8716" s="2">
        <v>9863013680</v>
      </c>
      <c r="K8716">
        <v>20</v>
      </c>
      <c r="L8716">
        <v>20</v>
      </c>
      <c r="M8716">
        <v>20</v>
      </c>
    </row>
    <row r="8717" spans="1:13" x14ac:dyDescent="0.25">
      <c r="A8717" t="s">
        <v>19367</v>
      </c>
      <c r="B8717" t="s">
        <v>19368</v>
      </c>
      <c r="C8717" t="s">
        <v>926</v>
      </c>
      <c r="D8717" t="s">
        <v>1036</v>
      </c>
      <c r="F8717">
        <v>20</v>
      </c>
      <c r="G8717" t="s">
        <v>16</v>
      </c>
      <c r="H8717">
        <v>0</v>
      </c>
      <c r="I8717" s="2" t="s">
        <v>383</v>
      </c>
      <c r="J8717" s="2" t="str">
        <f>"0242140567"</f>
        <v>0242140567</v>
      </c>
      <c r="K8717">
        <v>20</v>
      </c>
      <c r="L8717">
        <v>20</v>
      </c>
      <c r="M8717">
        <v>20</v>
      </c>
    </row>
    <row r="8718" spans="1:13" x14ac:dyDescent="0.25">
      <c r="A8718">
        <v>9864707080</v>
      </c>
      <c r="B8718" t="s">
        <v>19369</v>
      </c>
      <c r="C8718" t="s">
        <v>540</v>
      </c>
      <c r="F8718">
        <v>1</v>
      </c>
      <c r="G8718" t="s">
        <v>16</v>
      </c>
      <c r="H8718">
        <v>0</v>
      </c>
      <c r="I8718" s="2" t="s">
        <v>51</v>
      </c>
      <c r="J8718" s="2">
        <v>9864707080</v>
      </c>
      <c r="K8718">
        <v>20</v>
      </c>
      <c r="L8718">
        <v>20</v>
      </c>
      <c r="M8718">
        <v>20</v>
      </c>
    </row>
    <row r="8719" spans="1:13" x14ac:dyDescent="0.25">
      <c r="A8719" t="s">
        <v>19370</v>
      </c>
      <c r="B8719" t="s">
        <v>19371</v>
      </c>
      <c r="C8719" t="s">
        <v>14</v>
      </c>
      <c r="D8719" t="s">
        <v>191</v>
      </c>
      <c r="F8719">
        <v>1</v>
      </c>
      <c r="G8719" t="s">
        <v>16</v>
      </c>
      <c r="H8719">
        <v>0</v>
      </c>
      <c r="I8719" s="2" t="s">
        <v>669</v>
      </c>
      <c r="J8719" s="2" t="s">
        <v>19372</v>
      </c>
      <c r="K8719">
        <v>20</v>
      </c>
      <c r="L8719">
        <v>20</v>
      </c>
      <c r="M8719">
        <v>20</v>
      </c>
    </row>
    <row r="8720" spans="1:13" x14ac:dyDescent="0.25">
      <c r="A8720" t="s">
        <v>19373</v>
      </c>
      <c r="B8720" t="s">
        <v>19374</v>
      </c>
      <c r="C8720" t="s">
        <v>926</v>
      </c>
      <c r="D8720" t="s">
        <v>1036</v>
      </c>
      <c r="F8720">
        <v>0</v>
      </c>
      <c r="G8720" t="s">
        <v>16</v>
      </c>
      <c r="H8720">
        <v>0</v>
      </c>
      <c r="I8720" s="2" t="s">
        <v>1046</v>
      </c>
      <c r="J8720" s="2">
        <v>95875</v>
      </c>
      <c r="K8720">
        <v>20</v>
      </c>
      <c r="L8720">
        <v>20</v>
      </c>
      <c r="M8720">
        <v>20</v>
      </c>
    </row>
    <row r="8721" spans="1:13" x14ac:dyDescent="0.25">
      <c r="A8721" t="s">
        <v>19375</v>
      </c>
      <c r="B8721" t="s">
        <v>19376</v>
      </c>
      <c r="C8721" t="s">
        <v>357</v>
      </c>
      <c r="D8721" t="s">
        <v>2026</v>
      </c>
      <c r="F8721">
        <v>0</v>
      </c>
      <c r="G8721" t="s">
        <v>16</v>
      </c>
      <c r="H8721">
        <v>0</v>
      </c>
      <c r="I8721" s="2" t="s">
        <v>486</v>
      </c>
      <c r="J8721" s="2">
        <v>10930533</v>
      </c>
      <c r="K8721">
        <v>20</v>
      </c>
      <c r="L8721">
        <v>20</v>
      </c>
      <c r="M8721">
        <v>20</v>
      </c>
    </row>
    <row r="8722" spans="1:13" x14ac:dyDescent="0.25">
      <c r="A8722" t="s">
        <v>19377</v>
      </c>
      <c r="B8722" t="s">
        <v>19378</v>
      </c>
      <c r="C8722" t="s">
        <v>496</v>
      </c>
      <c r="D8722" t="s">
        <v>4101</v>
      </c>
      <c r="F8722">
        <v>1</v>
      </c>
      <c r="G8722" t="s">
        <v>16</v>
      </c>
      <c r="H8722">
        <v>0</v>
      </c>
      <c r="I8722" s="2" t="s">
        <v>854</v>
      </c>
      <c r="J8722" s="2">
        <v>502702</v>
      </c>
      <c r="K8722">
        <v>20</v>
      </c>
      <c r="L8722">
        <v>20</v>
      </c>
      <c r="M8722">
        <v>20</v>
      </c>
    </row>
    <row r="8723" spans="1:13" x14ac:dyDescent="0.25">
      <c r="A8723" t="s">
        <v>19379</v>
      </c>
      <c r="B8723" t="s">
        <v>19380</v>
      </c>
      <c r="C8723" t="s">
        <v>357</v>
      </c>
      <c r="D8723" t="s">
        <v>2026</v>
      </c>
      <c r="F8723">
        <v>0</v>
      </c>
      <c r="G8723" t="s">
        <v>16</v>
      </c>
      <c r="H8723">
        <v>0</v>
      </c>
      <c r="I8723" s="2" t="s">
        <v>158</v>
      </c>
      <c r="J8723" s="2" t="s">
        <v>19381</v>
      </c>
      <c r="K8723">
        <v>20</v>
      </c>
      <c r="L8723">
        <v>20</v>
      </c>
      <c r="M8723">
        <v>20</v>
      </c>
    </row>
    <row r="8724" spans="1:13" x14ac:dyDescent="0.25">
      <c r="A8724" t="s">
        <v>19382</v>
      </c>
      <c r="B8724" t="s">
        <v>19383</v>
      </c>
      <c r="C8724" t="s">
        <v>496</v>
      </c>
      <c r="D8724" t="s">
        <v>4101</v>
      </c>
      <c r="F8724">
        <v>1</v>
      </c>
      <c r="G8724" t="s">
        <v>16</v>
      </c>
      <c r="H8724">
        <v>0</v>
      </c>
      <c r="I8724" s="2" t="s">
        <v>400</v>
      </c>
      <c r="J8724" s="2" t="s">
        <v>19384</v>
      </c>
      <c r="K8724">
        <v>20</v>
      </c>
      <c r="L8724">
        <v>20</v>
      </c>
      <c r="M8724">
        <v>20</v>
      </c>
    </row>
    <row r="8725" spans="1:13" x14ac:dyDescent="0.25">
      <c r="A8725" t="s">
        <v>19385</v>
      </c>
      <c r="B8725" t="s">
        <v>19386</v>
      </c>
      <c r="C8725" t="s">
        <v>926</v>
      </c>
      <c r="D8725" t="s">
        <v>927</v>
      </c>
      <c r="F8725">
        <v>0</v>
      </c>
      <c r="G8725" t="s">
        <v>16</v>
      </c>
      <c r="H8725">
        <v>0</v>
      </c>
      <c r="I8725" s="2" t="s">
        <v>383</v>
      </c>
      <c r="J8725" s="2" t="str">
        <f>"0221604036"</f>
        <v>0221604036</v>
      </c>
      <c r="K8725">
        <v>20</v>
      </c>
      <c r="L8725">
        <v>20</v>
      </c>
      <c r="M8725">
        <v>20</v>
      </c>
    </row>
    <row r="8726" spans="1:13" x14ac:dyDescent="0.25">
      <c r="A8726" t="s">
        <v>19387</v>
      </c>
      <c r="B8726" t="s">
        <v>19388</v>
      </c>
      <c r="F8726">
        <v>-3</v>
      </c>
      <c r="G8726" t="s">
        <v>16</v>
      </c>
      <c r="H8726">
        <v>0</v>
      </c>
      <c r="K8726">
        <v>20</v>
      </c>
      <c r="L8726">
        <v>20</v>
      </c>
      <c r="M8726">
        <v>20</v>
      </c>
    </row>
    <row r="8727" spans="1:13" x14ac:dyDescent="0.25">
      <c r="A8727" t="s">
        <v>19389</v>
      </c>
      <c r="B8727" t="s">
        <v>19390</v>
      </c>
      <c r="C8727" t="s">
        <v>20</v>
      </c>
      <c r="D8727" t="s">
        <v>26</v>
      </c>
      <c r="F8727">
        <v>1</v>
      </c>
      <c r="G8727" t="s">
        <v>16</v>
      </c>
      <c r="H8727">
        <v>0</v>
      </c>
      <c r="K8727">
        <v>20</v>
      </c>
      <c r="L8727">
        <v>20</v>
      </c>
      <c r="M8727">
        <v>20</v>
      </c>
    </row>
    <row r="8728" spans="1:13" x14ac:dyDescent="0.25">
      <c r="A8728" t="s">
        <v>19391</v>
      </c>
      <c r="B8728" t="s">
        <v>19392</v>
      </c>
      <c r="C8728" t="s">
        <v>20</v>
      </c>
      <c r="D8728" t="s">
        <v>26</v>
      </c>
      <c r="F8728">
        <v>4</v>
      </c>
      <c r="G8728" t="s">
        <v>16</v>
      </c>
      <c r="H8728">
        <v>0</v>
      </c>
      <c r="K8728">
        <v>20</v>
      </c>
      <c r="L8728">
        <v>20</v>
      </c>
      <c r="M8728">
        <v>20</v>
      </c>
    </row>
    <row r="8729" spans="1:13" x14ac:dyDescent="0.25">
      <c r="A8729" t="s">
        <v>19393</v>
      </c>
      <c r="B8729" t="s">
        <v>19394</v>
      </c>
      <c r="C8729" t="s">
        <v>357</v>
      </c>
      <c r="D8729" t="s">
        <v>241</v>
      </c>
      <c r="F8729">
        <v>1</v>
      </c>
      <c r="G8729" t="s">
        <v>16</v>
      </c>
      <c r="H8729">
        <v>0</v>
      </c>
      <c r="I8729" s="2" t="s">
        <v>243</v>
      </c>
      <c r="J8729" s="2">
        <v>20501</v>
      </c>
      <c r="K8729">
        <v>20</v>
      </c>
      <c r="L8729">
        <v>20</v>
      </c>
      <c r="M8729">
        <v>20</v>
      </c>
    </row>
    <row r="8730" spans="1:13" x14ac:dyDescent="0.25">
      <c r="A8730" t="s">
        <v>19395</v>
      </c>
      <c r="B8730" t="s">
        <v>19396</v>
      </c>
      <c r="C8730" t="s">
        <v>1736</v>
      </c>
      <c r="G8730" t="s">
        <v>16</v>
      </c>
      <c r="H8730">
        <v>0</v>
      </c>
      <c r="I8730" s="2" t="s">
        <v>2896</v>
      </c>
      <c r="K8730">
        <v>20</v>
      </c>
      <c r="L8730">
        <v>20</v>
      </c>
      <c r="M8730">
        <v>20</v>
      </c>
    </row>
    <row r="8731" spans="1:13" x14ac:dyDescent="0.25">
      <c r="A8731" t="s">
        <v>19397</v>
      </c>
      <c r="B8731" t="s">
        <v>19398</v>
      </c>
      <c r="C8731" t="s">
        <v>20</v>
      </c>
      <c r="F8731">
        <v>0</v>
      </c>
      <c r="G8731" t="s">
        <v>16</v>
      </c>
      <c r="H8731">
        <v>0</v>
      </c>
      <c r="I8731" s="2" t="s">
        <v>32</v>
      </c>
      <c r="J8731" s="2" t="s">
        <v>19399</v>
      </c>
      <c r="K8731">
        <v>20</v>
      </c>
      <c r="L8731">
        <v>20</v>
      </c>
      <c r="M8731">
        <v>20</v>
      </c>
    </row>
    <row r="8732" spans="1:13" x14ac:dyDescent="0.25">
      <c r="A8732" t="s">
        <v>19400</v>
      </c>
      <c r="B8732" t="s">
        <v>19401</v>
      </c>
      <c r="C8732" t="s">
        <v>20</v>
      </c>
      <c r="F8732">
        <v>57</v>
      </c>
      <c r="G8732" t="s">
        <v>16</v>
      </c>
      <c r="H8732">
        <v>0</v>
      </c>
      <c r="I8732" s="2" t="s">
        <v>1763</v>
      </c>
      <c r="J8732" s="2" t="s">
        <v>19402</v>
      </c>
      <c r="K8732">
        <v>20</v>
      </c>
      <c r="L8732">
        <v>20</v>
      </c>
      <c r="M8732">
        <v>20</v>
      </c>
    </row>
    <row r="8733" spans="1:13" x14ac:dyDescent="0.25">
      <c r="A8733" t="s">
        <v>19403</v>
      </c>
      <c r="B8733" t="s">
        <v>19404</v>
      </c>
      <c r="C8733" t="s">
        <v>540</v>
      </c>
      <c r="F8733">
        <v>1</v>
      </c>
      <c r="G8733" t="s">
        <v>16</v>
      </c>
      <c r="H8733">
        <v>0</v>
      </c>
      <c r="K8733">
        <v>20</v>
      </c>
      <c r="L8733">
        <v>20</v>
      </c>
      <c r="M8733">
        <v>20</v>
      </c>
    </row>
    <row r="8734" spans="1:13" x14ac:dyDescent="0.25">
      <c r="A8734" t="s">
        <v>19405</v>
      </c>
      <c r="B8734" t="s">
        <v>19406</v>
      </c>
      <c r="C8734" t="s">
        <v>20</v>
      </c>
      <c r="D8734" t="s">
        <v>26</v>
      </c>
      <c r="F8734">
        <v>0</v>
      </c>
      <c r="G8734" t="s">
        <v>16</v>
      </c>
      <c r="H8734">
        <v>0</v>
      </c>
      <c r="I8734" s="2" t="s">
        <v>19407</v>
      </c>
      <c r="J8734" s="2" t="s">
        <v>19408</v>
      </c>
      <c r="K8734">
        <v>20</v>
      </c>
      <c r="L8734">
        <v>20</v>
      </c>
      <c r="M8734">
        <v>20</v>
      </c>
    </row>
    <row r="8735" spans="1:13" x14ac:dyDescent="0.25">
      <c r="A8735" t="s">
        <v>19409</v>
      </c>
      <c r="B8735" t="s">
        <v>19410</v>
      </c>
      <c r="C8735" t="s">
        <v>1436</v>
      </c>
      <c r="F8735">
        <v>2</v>
      </c>
      <c r="G8735" t="s">
        <v>16</v>
      </c>
      <c r="H8735">
        <v>0</v>
      </c>
      <c r="I8735" s="2" t="s">
        <v>1463</v>
      </c>
      <c r="J8735" s="2">
        <v>210215</v>
      </c>
      <c r="K8735">
        <v>20</v>
      </c>
      <c r="L8735">
        <v>20</v>
      </c>
      <c r="M8735">
        <v>20</v>
      </c>
    </row>
    <row r="8736" spans="1:13" x14ac:dyDescent="0.25">
      <c r="A8736" t="s">
        <v>19411</v>
      </c>
      <c r="B8736" t="s">
        <v>19412</v>
      </c>
      <c r="C8736" t="s">
        <v>20</v>
      </c>
      <c r="D8736" t="s">
        <v>133</v>
      </c>
      <c r="G8736" t="s">
        <v>16</v>
      </c>
      <c r="H8736">
        <v>0</v>
      </c>
      <c r="I8736" s="2" t="s">
        <v>19413</v>
      </c>
      <c r="J8736" s="2" t="s">
        <v>19414</v>
      </c>
      <c r="K8736">
        <v>20</v>
      </c>
      <c r="L8736">
        <v>20</v>
      </c>
      <c r="M8736">
        <v>20</v>
      </c>
    </row>
    <row r="8737" spans="1:13" x14ac:dyDescent="0.25">
      <c r="A8737" t="s">
        <v>19415</v>
      </c>
      <c r="B8737" t="s">
        <v>19417</v>
      </c>
      <c r="C8737" t="s">
        <v>20</v>
      </c>
      <c r="D8737" t="s">
        <v>133</v>
      </c>
      <c r="G8737" t="s">
        <v>16</v>
      </c>
      <c r="H8737">
        <v>0</v>
      </c>
      <c r="I8737" s="2" t="s">
        <v>472</v>
      </c>
      <c r="J8737" s="2" t="s">
        <v>19416</v>
      </c>
      <c r="K8737">
        <v>20</v>
      </c>
      <c r="L8737">
        <v>20</v>
      </c>
      <c r="M8737">
        <v>20</v>
      </c>
    </row>
    <row r="8738" spans="1:13" x14ac:dyDescent="0.25">
      <c r="A8738" t="s">
        <v>19418</v>
      </c>
      <c r="B8738" t="s">
        <v>19419</v>
      </c>
      <c r="C8738" t="s">
        <v>20</v>
      </c>
      <c r="D8738" t="s">
        <v>133</v>
      </c>
      <c r="F8738">
        <v>1</v>
      </c>
      <c r="G8738" t="s">
        <v>16</v>
      </c>
      <c r="H8738">
        <v>0</v>
      </c>
      <c r="I8738" s="2" t="s">
        <v>455</v>
      </c>
      <c r="J8738" s="2" t="s">
        <v>19420</v>
      </c>
      <c r="K8738">
        <v>20</v>
      </c>
      <c r="L8738">
        <v>20</v>
      </c>
      <c r="M8738">
        <v>20</v>
      </c>
    </row>
    <row r="8739" spans="1:13" x14ac:dyDescent="0.25">
      <c r="A8739" t="s">
        <v>19421</v>
      </c>
      <c r="B8739" t="s">
        <v>19422</v>
      </c>
      <c r="C8739" t="s">
        <v>20</v>
      </c>
      <c r="D8739" t="s">
        <v>133</v>
      </c>
      <c r="G8739" t="s">
        <v>16</v>
      </c>
      <c r="H8739">
        <v>0</v>
      </c>
      <c r="I8739" s="2" t="s">
        <v>455</v>
      </c>
      <c r="J8739" s="2" t="s">
        <v>19423</v>
      </c>
      <c r="K8739">
        <v>20</v>
      </c>
      <c r="L8739">
        <v>20</v>
      </c>
      <c r="M8739">
        <v>20</v>
      </c>
    </row>
    <row r="8740" spans="1:13" x14ac:dyDescent="0.25">
      <c r="A8740" t="s">
        <v>19424</v>
      </c>
      <c r="B8740" t="s">
        <v>19425</v>
      </c>
      <c r="C8740" t="s">
        <v>20</v>
      </c>
      <c r="D8740" t="s">
        <v>133</v>
      </c>
      <c r="F8740">
        <v>1</v>
      </c>
      <c r="G8740" t="s">
        <v>16</v>
      </c>
      <c r="H8740">
        <v>0</v>
      </c>
      <c r="I8740" s="2" t="s">
        <v>455</v>
      </c>
      <c r="J8740" s="2" t="s">
        <v>19426</v>
      </c>
      <c r="K8740">
        <v>20</v>
      </c>
      <c r="L8740">
        <v>20</v>
      </c>
      <c r="M8740">
        <v>20</v>
      </c>
    </row>
    <row r="8741" spans="1:13" x14ac:dyDescent="0.25">
      <c r="A8741" t="s">
        <v>19427</v>
      </c>
      <c r="B8741" t="s">
        <v>19428</v>
      </c>
      <c r="C8741" t="s">
        <v>20</v>
      </c>
      <c r="D8741" t="s">
        <v>21</v>
      </c>
      <c r="F8741">
        <v>4</v>
      </c>
      <c r="G8741" t="s">
        <v>16</v>
      </c>
      <c r="H8741">
        <v>0</v>
      </c>
      <c r="I8741" s="2" t="s">
        <v>19429</v>
      </c>
      <c r="J8741" s="2">
        <v>129904</v>
      </c>
      <c r="K8741">
        <v>20</v>
      </c>
      <c r="L8741">
        <v>20</v>
      </c>
      <c r="M8741">
        <v>20</v>
      </c>
    </row>
    <row r="8742" spans="1:13" x14ac:dyDescent="0.25">
      <c r="A8742" t="s">
        <v>19430</v>
      </c>
      <c r="B8742" t="s">
        <v>19431</v>
      </c>
      <c r="C8742" t="s">
        <v>20</v>
      </c>
      <c r="D8742" t="s">
        <v>133</v>
      </c>
      <c r="G8742" t="s">
        <v>16</v>
      </c>
      <c r="H8742">
        <v>0</v>
      </c>
      <c r="I8742" s="2" t="s">
        <v>14238</v>
      </c>
      <c r="J8742" s="2" t="s">
        <v>19432</v>
      </c>
      <c r="K8742">
        <v>20</v>
      </c>
      <c r="L8742">
        <v>20</v>
      </c>
      <c r="M8742">
        <v>20</v>
      </c>
    </row>
    <row r="8743" spans="1:13" x14ac:dyDescent="0.25">
      <c r="A8743" t="s">
        <v>19433</v>
      </c>
      <c r="B8743" t="s">
        <v>19434</v>
      </c>
      <c r="C8743" t="s">
        <v>151</v>
      </c>
      <c r="D8743" t="s">
        <v>1092</v>
      </c>
      <c r="F8743">
        <v>0</v>
      </c>
      <c r="G8743" t="s">
        <v>22</v>
      </c>
      <c r="H8743">
        <v>0</v>
      </c>
      <c r="I8743" s="2" t="s">
        <v>19435</v>
      </c>
      <c r="J8743" s="2" t="str">
        <f>"0120040501"</f>
        <v>0120040501</v>
      </c>
      <c r="K8743">
        <v>20</v>
      </c>
      <c r="L8743">
        <v>20</v>
      </c>
      <c r="M8743">
        <v>20</v>
      </c>
    </row>
    <row r="8744" spans="1:13" x14ac:dyDescent="0.25">
      <c r="A8744" t="s">
        <v>19436</v>
      </c>
      <c r="B8744" t="s">
        <v>19437</v>
      </c>
      <c r="C8744" t="s">
        <v>14</v>
      </c>
      <c r="D8744" t="s">
        <v>293</v>
      </c>
      <c r="G8744" t="s">
        <v>16</v>
      </c>
      <c r="H8744">
        <v>0</v>
      </c>
      <c r="I8744" s="2" t="s">
        <v>383</v>
      </c>
      <c r="J8744" s="2" t="s">
        <v>19438</v>
      </c>
      <c r="K8744">
        <v>20</v>
      </c>
      <c r="L8744">
        <v>20</v>
      </c>
      <c r="M8744">
        <v>20</v>
      </c>
    </row>
    <row r="8745" spans="1:13" x14ac:dyDescent="0.25">
      <c r="A8745" t="s">
        <v>19439</v>
      </c>
      <c r="B8745" t="s">
        <v>19440</v>
      </c>
      <c r="C8745" t="s">
        <v>20</v>
      </c>
      <c r="D8745" t="s">
        <v>26</v>
      </c>
      <c r="F8745">
        <v>-13</v>
      </c>
      <c r="G8745" t="s">
        <v>16</v>
      </c>
      <c r="H8745">
        <v>0</v>
      </c>
      <c r="I8745" s="2" t="s">
        <v>319</v>
      </c>
      <c r="J8745" s="2" t="s">
        <v>19441</v>
      </c>
      <c r="K8745">
        <v>20</v>
      </c>
      <c r="L8745">
        <v>20</v>
      </c>
      <c r="M8745">
        <v>20</v>
      </c>
    </row>
    <row r="8746" spans="1:13" x14ac:dyDescent="0.25">
      <c r="A8746" t="s">
        <v>19442</v>
      </c>
      <c r="B8746" t="s">
        <v>19444</v>
      </c>
      <c r="C8746" t="s">
        <v>496</v>
      </c>
      <c r="D8746" t="s">
        <v>4083</v>
      </c>
      <c r="F8746">
        <v>24</v>
      </c>
      <c r="G8746" t="s">
        <v>16</v>
      </c>
      <c r="H8746">
        <v>0</v>
      </c>
      <c r="I8746" s="2" t="s">
        <v>5329</v>
      </c>
      <c r="J8746" s="2" t="s">
        <v>19443</v>
      </c>
      <c r="K8746">
        <v>20</v>
      </c>
      <c r="L8746">
        <v>20</v>
      </c>
      <c r="M8746">
        <v>20</v>
      </c>
    </row>
    <row r="8747" spans="1:13" x14ac:dyDescent="0.25">
      <c r="A8747" t="s">
        <v>19445</v>
      </c>
      <c r="B8747" t="s">
        <v>19447</v>
      </c>
      <c r="C8747" t="s">
        <v>496</v>
      </c>
      <c r="D8747" t="s">
        <v>4083</v>
      </c>
      <c r="F8747">
        <v>24</v>
      </c>
      <c r="G8747" t="s">
        <v>16</v>
      </c>
      <c r="H8747">
        <v>0</v>
      </c>
      <c r="I8747" s="2" t="s">
        <v>5329</v>
      </c>
      <c r="J8747" s="2" t="s">
        <v>19446</v>
      </c>
      <c r="K8747">
        <v>20</v>
      </c>
      <c r="L8747">
        <v>20</v>
      </c>
      <c r="M8747">
        <v>20</v>
      </c>
    </row>
    <row r="8748" spans="1:13" x14ac:dyDescent="0.25">
      <c r="A8748" t="s">
        <v>19448</v>
      </c>
      <c r="B8748" t="s">
        <v>19449</v>
      </c>
      <c r="C8748" t="s">
        <v>14</v>
      </c>
      <c r="D8748" t="s">
        <v>191</v>
      </c>
      <c r="F8748">
        <v>0</v>
      </c>
      <c r="G8748" t="s">
        <v>16</v>
      </c>
      <c r="H8748">
        <v>0</v>
      </c>
      <c r="I8748" s="2" t="s">
        <v>383</v>
      </c>
      <c r="J8748" s="2" t="s">
        <v>19450</v>
      </c>
      <c r="K8748">
        <v>20</v>
      </c>
      <c r="L8748">
        <v>20</v>
      </c>
      <c r="M8748">
        <v>20</v>
      </c>
    </row>
    <row r="8749" spans="1:13" x14ac:dyDescent="0.25">
      <c r="A8749" t="s">
        <v>19451</v>
      </c>
      <c r="B8749" t="s">
        <v>19453</v>
      </c>
      <c r="C8749" t="s">
        <v>14</v>
      </c>
      <c r="D8749" t="s">
        <v>15</v>
      </c>
      <c r="F8749">
        <v>0</v>
      </c>
      <c r="G8749" t="s">
        <v>16</v>
      </c>
      <c r="H8749">
        <v>0</v>
      </c>
      <c r="I8749" s="2" t="s">
        <v>17</v>
      </c>
      <c r="J8749" s="2" t="s">
        <v>19452</v>
      </c>
      <c r="K8749">
        <v>20</v>
      </c>
      <c r="L8749">
        <v>20</v>
      </c>
      <c r="M8749">
        <v>20</v>
      </c>
    </row>
    <row r="8750" spans="1:13" x14ac:dyDescent="0.25">
      <c r="A8750" t="s">
        <v>19454</v>
      </c>
      <c r="B8750" t="s">
        <v>19455</v>
      </c>
      <c r="C8750" t="s">
        <v>362</v>
      </c>
      <c r="D8750" t="s">
        <v>4091</v>
      </c>
      <c r="G8750" t="s">
        <v>16</v>
      </c>
      <c r="H8750">
        <v>0</v>
      </c>
      <c r="I8750" s="2" t="s">
        <v>2517</v>
      </c>
      <c r="J8750" s="2" t="s">
        <v>19456</v>
      </c>
      <c r="K8750">
        <v>20</v>
      </c>
      <c r="L8750">
        <v>20</v>
      </c>
      <c r="M8750">
        <v>20</v>
      </c>
    </row>
    <row r="8751" spans="1:13" x14ac:dyDescent="0.25">
      <c r="A8751" t="s">
        <v>19457</v>
      </c>
      <c r="B8751" t="s">
        <v>19458</v>
      </c>
      <c r="F8751">
        <v>0</v>
      </c>
      <c r="G8751" t="s">
        <v>16</v>
      </c>
      <c r="H8751">
        <v>0</v>
      </c>
      <c r="I8751" s="2" t="s">
        <v>19459</v>
      </c>
      <c r="J8751" s="2" t="s">
        <v>19460</v>
      </c>
      <c r="K8751">
        <v>20</v>
      </c>
      <c r="L8751">
        <v>20</v>
      </c>
      <c r="M8751">
        <v>20</v>
      </c>
    </row>
    <row r="8752" spans="1:13" x14ac:dyDescent="0.25">
      <c r="A8752" t="s">
        <v>19461</v>
      </c>
      <c r="B8752" t="s">
        <v>19462</v>
      </c>
      <c r="C8752" t="s">
        <v>1432</v>
      </c>
      <c r="G8752" t="s">
        <v>16</v>
      </c>
      <c r="H8752">
        <v>0</v>
      </c>
      <c r="K8752">
        <v>20</v>
      </c>
      <c r="L8752">
        <v>20</v>
      </c>
      <c r="M8752">
        <v>20</v>
      </c>
    </row>
    <row r="8753" spans="1:13" x14ac:dyDescent="0.25">
      <c r="A8753" t="s">
        <v>19463</v>
      </c>
      <c r="B8753" t="s">
        <v>19464</v>
      </c>
      <c r="C8753" t="s">
        <v>20</v>
      </c>
      <c r="F8753">
        <v>0</v>
      </c>
      <c r="G8753" t="s">
        <v>16</v>
      </c>
      <c r="H8753">
        <v>0</v>
      </c>
      <c r="I8753" s="2" t="s">
        <v>35</v>
      </c>
      <c r="J8753" s="2" t="s">
        <v>19465</v>
      </c>
      <c r="K8753">
        <v>20</v>
      </c>
      <c r="L8753">
        <v>20</v>
      </c>
      <c r="M8753">
        <v>20</v>
      </c>
    </row>
    <row r="8754" spans="1:13" x14ac:dyDescent="0.25">
      <c r="A8754" t="s">
        <v>19466</v>
      </c>
      <c r="B8754" t="s">
        <v>11398</v>
      </c>
      <c r="C8754" t="s">
        <v>241</v>
      </c>
      <c r="D8754" t="s">
        <v>2216</v>
      </c>
      <c r="F8754">
        <v>1</v>
      </c>
      <c r="G8754" t="s">
        <v>16</v>
      </c>
      <c r="H8754">
        <v>0</v>
      </c>
      <c r="K8754">
        <v>20</v>
      </c>
      <c r="L8754">
        <v>20</v>
      </c>
      <c r="M8754">
        <v>20</v>
      </c>
    </row>
    <row r="8755" spans="1:13" x14ac:dyDescent="0.25">
      <c r="A8755" t="s">
        <v>19467</v>
      </c>
      <c r="B8755" t="s">
        <v>19468</v>
      </c>
      <c r="C8755" t="s">
        <v>540</v>
      </c>
      <c r="F8755">
        <v>0</v>
      </c>
      <c r="G8755" t="s">
        <v>16</v>
      </c>
      <c r="H8755">
        <v>0</v>
      </c>
      <c r="I8755" s="2" t="s">
        <v>19469</v>
      </c>
      <c r="J8755" s="2" t="s">
        <v>19467</v>
      </c>
      <c r="K8755">
        <v>20</v>
      </c>
      <c r="L8755">
        <v>20</v>
      </c>
      <c r="M8755">
        <v>20</v>
      </c>
    </row>
    <row r="8756" spans="1:13" x14ac:dyDescent="0.25">
      <c r="A8756" t="s">
        <v>19470</v>
      </c>
      <c r="B8756" t="s">
        <v>19471</v>
      </c>
      <c r="C8756" t="s">
        <v>540</v>
      </c>
      <c r="D8756" t="s">
        <v>1092</v>
      </c>
      <c r="F8756">
        <v>1</v>
      </c>
      <c r="G8756" t="s">
        <v>16</v>
      </c>
      <c r="H8756">
        <v>0</v>
      </c>
      <c r="I8756" s="2" t="s">
        <v>1179</v>
      </c>
      <c r="J8756" s="2" t="s">
        <v>19472</v>
      </c>
      <c r="K8756">
        <v>20</v>
      </c>
      <c r="L8756">
        <v>20</v>
      </c>
      <c r="M8756">
        <v>20</v>
      </c>
    </row>
    <row r="8757" spans="1:13" x14ac:dyDescent="0.25">
      <c r="A8757" t="s">
        <v>19473</v>
      </c>
      <c r="B8757" t="s">
        <v>19474</v>
      </c>
      <c r="C8757" t="s">
        <v>1432</v>
      </c>
      <c r="F8757">
        <v>1</v>
      </c>
      <c r="G8757" t="s">
        <v>16</v>
      </c>
      <c r="H8757">
        <v>0</v>
      </c>
      <c r="I8757" s="2" t="s">
        <v>57</v>
      </c>
      <c r="J8757" s="2" t="str">
        <f>"046238-PF"</f>
        <v>046238-PF</v>
      </c>
      <c r="K8757">
        <v>20</v>
      </c>
      <c r="L8757">
        <v>20</v>
      </c>
      <c r="M8757">
        <v>20</v>
      </c>
    </row>
    <row r="8758" spans="1:13" x14ac:dyDescent="0.25">
      <c r="A8758" t="s">
        <v>19475</v>
      </c>
      <c r="G8758" t="s">
        <v>16</v>
      </c>
      <c r="H8758">
        <v>0</v>
      </c>
      <c r="K8758">
        <v>20</v>
      </c>
      <c r="L8758">
        <v>20</v>
      </c>
      <c r="M8758">
        <v>20</v>
      </c>
    </row>
    <row r="8759" spans="1:13" x14ac:dyDescent="0.25">
      <c r="A8759" t="s">
        <v>19476</v>
      </c>
      <c r="B8759" t="s">
        <v>19477</v>
      </c>
      <c r="C8759" t="s">
        <v>20</v>
      </c>
      <c r="D8759" t="s">
        <v>133</v>
      </c>
      <c r="G8759" t="s">
        <v>16</v>
      </c>
      <c r="H8759">
        <v>0</v>
      </c>
      <c r="I8759" s="2" t="s">
        <v>11610</v>
      </c>
      <c r="J8759" s="2" t="s">
        <v>19478</v>
      </c>
      <c r="K8759">
        <v>20</v>
      </c>
      <c r="L8759">
        <v>20</v>
      </c>
      <c r="M8759">
        <v>20</v>
      </c>
    </row>
    <row r="8760" spans="1:13" x14ac:dyDescent="0.25">
      <c r="A8760" t="s">
        <v>19479</v>
      </c>
      <c r="G8760" t="s">
        <v>16</v>
      </c>
      <c r="H8760">
        <v>0</v>
      </c>
      <c r="K8760">
        <v>20</v>
      </c>
      <c r="L8760">
        <v>20</v>
      </c>
      <c r="M8760">
        <v>20</v>
      </c>
    </row>
    <row r="8761" spans="1:13" x14ac:dyDescent="0.25">
      <c r="A8761" t="s">
        <v>19480</v>
      </c>
      <c r="G8761" t="s">
        <v>16</v>
      </c>
      <c r="H8761">
        <v>0</v>
      </c>
      <c r="K8761">
        <v>20</v>
      </c>
      <c r="L8761">
        <v>20</v>
      </c>
      <c r="M8761">
        <v>20</v>
      </c>
    </row>
    <row r="8762" spans="1:13" x14ac:dyDescent="0.25">
      <c r="A8762" t="s">
        <v>19481</v>
      </c>
      <c r="G8762" t="s">
        <v>16</v>
      </c>
      <c r="H8762">
        <v>0</v>
      </c>
      <c r="K8762">
        <v>20</v>
      </c>
      <c r="L8762">
        <v>20</v>
      </c>
      <c r="M8762">
        <v>20</v>
      </c>
    </row>
    <row r="8763" spans="1:13" x14ac:dyDescent="0.25">
      <c r="A8763" t="s">
        <v>19482</v>
      </c>
      <c r="B8763" t="s">
        <v>19483</v>
      </c>
      <c r="G8763" t="s">
        <v>16</v>
      </c>
      <c r="H8763">
        <v>0</v>
      </c>
      <c r="K8763">
        <v>20</v>
      </c>
      <c r="L8763">
        <v>20</v>
      </c>
      <c r="M8763">
        <v>20</v>
      </c>
    </row>
    <row r="8764" spans="1:13" x14ac:dyDescent="0.25">
      <c r="A8764" t="s">
        <v>19484</v>
      </c>
      <c r="G8764" t="s">
        <v>16</v>
      </c>
      <c r="H8764">
        <v>0</v>
      </c>
      <c r="K8764">
        <v>20</v>
      </c>
      <c r="L8764">
        <v>20</v>
      </c>
      <c r="M8764">
        <v>20</v>
      </c>
    </row>
    <row r="8765" spans="1:13" x14ac:dyDescent="0.25">
      <c r="A8765" t="s">
        <v>19485</v>
      </c>
      <c r="G8765" t="s">
        <v>16</v>
      </c>
      <c r="H8765">
        <v>0</v>
      </c>
      <c r="K8765">
        <v>20</v>
      </c>
      <c r="L8765">
        <v>20</v>
      </c>
      <c r="M8765">
        <v>20</v>
      </c>
    </row>
    <row r="8766" spans="1:13" x14ac:dyDescent="0.25">
      <c r="A8766" t="s">
        <v>19486</v>
      </c>
      <c r="G8766" t="s">
        <v>16</v>
      </c>
      <c r="H8766">
        <v>0</v>
      </c>
      <c r="K8766">
        <v>20</v>
      </c>
      <c r="L8766">
        <v>20</v>
      </c>
      <c r="M8766">
        <v>20</v>
      </c>
    </row>
    <row r="8767" spans="1:13" x14ac:dyDescent="0.25">
      <c r="A8767" t="s">
        <v>19487</v>
      </c>
      <c r="B8767" t="s">
        <v>19488</v>
      </c>
      <c r="C8767" t="s">
        <v>357</v>
      </c>
      <c r="F8767">
        <v>0</v>
      </c>
      <c r="G8767" t="s">
        <v>16</v>
      </c>
      <c r="H8767">
        <v>0</v>
      </c>
      <c r="I8767" s="2" t="s">
        <v>19489</v>
      </c>
      <c r="K8767">
        <v>20</v>
      </c>
      <c r="L8767">
        <v>20</v>
      </c>
      <c r="M8767">
        <v>20</v>
      </c>
    </row>
    <row r="8768" spans="1:13" x14ac:dyDescent="0.25">
      <c r="A8768" t="s">
        <v>19490</v>
      </c>
      <c r="B8768" t="s">
        <v>19491</v>
      </c>
      <c r="C8768" t="s">
        <v>20</v>
      </c>
      <c r="F8768">
        <v>2</v>
      </c>
      <c r="G8768" t="s">
        <v>16</v>
      </c>
      <c r="H8768">
        <v>0</v>
      </c>
      <c r="I8768" s="2" t="s">
        <v>35</v>
      </c>
      <c r="J8768" s="2" t="s">
        <v>19490</v>
      </c>
      <c r="K8768">
        <v>20</v>
      </c>
      <c r="L8768">
        <v>20</v>
      </c>
      <c r="M8768">
        <v>20</v>
      </c>
    </row>
    <row r="8769" spans="1:13" x14ac:dyDescent="0.25">
      <c r="A8769" t="s">
        <v>19492</v>
      </c>
      <c r="B8769" t="s">
        <v>19491</v>
      </c>
      <c r="C8769" t="s">
        <v>20</v>
      </c>
      <c r="F8769">
        <v>3</v>
      </c>
      <c r="G8769" t="s">
        <v>16</v>
      </c>
      <c r="H8769">
        <v>0</v>
      </c>
      <c r="I8769" s="2" t="s">
        <v>328</v>
      </c>
      <c r="J8769" s="2" t="s">
        <v>19493</v>
      </c>
      <c r="K8769">
        <v>20</v>
      </c>
      <c r="L8769">
        <v>20</v>
      </c>
      <c r="M8769">
        <v>20</v>
      </c>
    </row>
    <row r="8770" spans="1:13" x14ac:dyDescent="0.25">
      <c r="A8770" t="s">
        <v>19494</v>
      </c>
      <c r="B8770" t="s">
        <v>19495</v>
      </c>
      <c r="C8770" t="s">
        <v>20</v>
      </c>
      <c r="G8770" t="s">
        <v>16</v>
      </c>
      <c r="H8770">
        <v>0</v>
      </c>
      <c r="I8770" s="2" t="s">
        <v>1200</v>
      </c>
      <c r="J8770" s="2" t="s">
        <v>19496</v>
      </c>
      <c r="K8770">
        <v>20</v>
      </c>
      <c r="L8770">
        <v>20</v>
      </c>
      <c r="M8770">
        <v>20</v>
      </c>
    </row>
    <row r="8771" spans="1:13" x14ac:dyDescent="0.25">
      <c r="A8771" t="s">
        <v>19497</v>
      </c>
      <c r="B8771" t="s">
        <v>19498</v>
      </c>
      <c r="C8771" t="s">
        <v>20</v>
      </c>
      <c r="D8771" t="s">
        <v>26</v>
      </c>
      <c r="F8771">
        <v>1</v>
      </c>
      <c r="G8771" t="s">
        <v>16</v>
      </c>
      <c r="H8771">
        <v>0</v>
      </c>
      <c r="I8771" s="2" t="s">
        <v>99</v>
      </c>
      <c r="J8771" s="3">
        <v>354802</v>
      </c>
      <c r="K8771">
        <v>20</v>
      </c>
      <c r="L8771">
        <v>20</v>
      </c>
      <c r="M8771">
        <v>20</v>
      </c>
    </row>
    <row r="8772" spans="1:13" x14ac:dyDescent="0.25">
      <c r="A8772" t="s">
        <v>19499</v>
      </c>
      <c r="B8772" t="s">
        <v>19500</v>
      </c>
      <c r="C8772" t="s">
        <v>20</v>
      </c>
      <c r="D8772" t="s">
        <v>478</v>
      </c>
      <c r="G8772" t="s">
        <v>16</v>
      </c>
      <c r="H8772">
        <v>0</v>
      </c>
      <c r="I8772" s="2" t="s">
        <v>639</v>
      </c>
      <c r="J8772" s="2" t="s">
        <v>19501</v>
      </c>
      <c r="K8772">
        <v>20</v>
      </c>
      <c r="L8772">
        <v>20</v>
      </c>
      <c r="M8772">
        <v>20</v>
      </c>
    </row>
    <row r="8773" spans="1:13" x14ac:dyDescent="0.25">
      <c r="A8773" t="s">
        <v>19502</v>
      </c>
      <c r="B8773" t="s">
        <v>19503</v>
      </c>
      <c r="C8773" t="s">
        <v>20</v>
      </c>
      <c r="F8773">
        <v>1</v>
      </c>
      <c r="G8773" t="s">
        <v>16</v>
      </c>
      <c r="H8773">
        <v>0</v>
      </c>
      <c r="I8773" s="2" t="s">
        <v>51</v>
      </c>
      <c r="J8773" s="2" t="s">
        <v>19502</v>
      </c>
      <c r="K8773">
        <v>20</v>
      </c>
      <c r="L8773">
        <v>20</v>
      </c>
      <c r="M8773">
        <v>20</v>
      </c>
    </row>
    <row r="8774" spans="1:13" x14ac:dyDescent="0.25">
      <c r="A8774" t="s">
        <v>19504</v>
      </c>
      <c r="B8774" t="s">
        <v>19505</v>
      </c>
      <c r="C8774" t="s">
        <v>1432</v>
      </c>
      <c r="F8774">
        <v>1</v>
      </c>
      <c r="G8774" t="s">
        <v>16</v>
      </c>
      <c r="H8774">
        <v>0</v>
      </c>
      <c r="I8774" s="2" t="s">
        <v>1175</v>
      </c>
      <c r="J8774" s="2" t="s">
        <v>19506</v>
      </c>
      <c r="K8774">
        <v>20</v>
      </c>
      <c r="L8774">
        <v>20</v>
      </c>
      <c r="M8774">
        <v>20</v>
      </c>
    </row>
    <row r="8775" spans="1:13" x14ac:dyDescent="0.25">
      <c r="A8775" t="s">
        <v>19507</v>
      </c>
      <c r="B8775" t="s">
        <v>19508</v>
      </c>
      <c r="C8775" t="s">
        <v>540</v>
      </c>
      <c r="F8775">
        <v>2</v>
      </c>
      <c r="G8775" t="s">
        <v>16</v>
      </c>
      <c r="H8775">
        <v>0</v>
      </c>
      <c r="I8775" s="2" t="s">
        <v>643</v>
      </c>
      <c r="J8775" s="2">
        <v>111703</v>
      </c>
      <c r="K8775">
        <v>20</v>
      </c>
      <c r="L8775">
        <v>20</v>
      </c>
      <c r="M8775">
        <v>20</v>
      </c>
    </row>
    <row r="8776" spans="1:13" x14ac:dyDescent="0.25">
      <c r="A8776" t="s">
        <v>19509</v>
      </c>
      <c r="B8776" t="s">
        <v>19510</v>
      </c>
      <c r="C8776" t="s">
        <v>540</v>
      </c>
      <c r="F8776">
        <v>1</v>
      </c>
      <c r="G8776" t="s">
        <v>16</v>
      </c>
      <c r="H8776">
        <v>0</v>
      </c>
      <c r="I8776" s="2" t="s">
        <v>497</v>
      </c>
      <c r="J8776" s="2" t="s">
        <v>19509</v>
      </c>
      <c r="K8776">
        <v>20</v>
      </c>
      <c r="L8776">
        <v>20</v>
      </c>
      <c r="M8776">
        <v>20</v>
      </c>
    </row>
    <row r="8777" spans="1:13" x14ac:dyDescent="0.25">
      <c r="A8777" t="s">
        <v>19511</v>
      </c>
      <c r="B8777" t="s">
        <v>19512</v>
      </c>
      <c r="C8777" t="s">
        <v>540</v>
      </c>
      <c r="F8777">
        <v>0</v>
      </c>
      <c r="G8777" t="s">
        <v>16</v>
      </c>
      <c r="H8777">
        <v>0</v>
      </c>
      <c r="I8777" s="2" t="s">
        <v>497</v>
      </c>
      <c r="J8777" s="2" t="s">
        <v>19511</v>
      </c>
      <c r="K8777">
        <v>20</v>
      </c>
      <c r="L8777">
        <v>20</v>
      </c>
      <c r="M8777">
        <v>20</v>
      </c>
    </row>
    <row r="8778" spans="1:13" x14ac:dyDescent="0.25">
      <c r="A8778" t="s">
        <v>19513</v>
      </c>
      <c r="B8778" t="s">
        <v>19514</v>
      </c>
      <c r="C8778" t="s">
        <v>540</v>
      </c>
      <c r="F8778">
        <v>1</v>
      </c>
      <c r="G8778" t="s">
        <v>16</v>
      </c>
      <c r="H8778">
        <v>0</v>
      </c>
      <c r="I8778" s="2" t="s">
        <v>643</v>
      </c>
      <c r="J8778" s="2">
        <v>111704</v>
      </c>
      <c r="K8778">
        <v>20</v>
      </c>
      <c r="L8778">
        <v>20</v>
      </c>
      <c r="M8778">
        <v>20</v>
      </c>
    </row>
    <row r="8779" spans="1:13" x14ac:dyDescent="0.25">
      <c r="A8779" t="s">
        <v>19515</v>
      </c>
      <c r="B8779" t="s">
        <v>19516</v>
      </c>
      <c r="C8779" t="s">
        <v>540</v>
      </c>
      <c r="F8779">
        <v>0</v>
      </c>
      <c r="G8779" t="s">
        <v>16</v>
      </c>
      <c r="H8779">
        <v>0</v>
      </c>
      <c r="I8779" s="2" t="s">
        <v>497</v>
      </c>
      <c r="J8779" s="2" t="s">
        <v>19515</v>
      </c>
      <c r="K8779">
        <v>20</v>
      </c>
      <c r="L8779">
        <v>20</v>
      </c>
      <c r="M8779">
        <v>20</v>
      </c>
    </row>
    <row r="8780" spans="1:13" x14ac:dyDescent="0.25">
      <c r="A8780" t="s">
        <v>19517</v>
      </c>
      <c r="B8780" t="s">
        <v>19518</v>
      </c>
      <c r="C8780" t="s">
        <v>540</v>
      </c>
      <c r="F8780">
        <v>0</v>
      </c>
      <c r="G8780" t="s">
        <v>16</v>
      </c>
      <c r="H8780">
        <v>0</v>
      </c>
      <c r="I8780" s="2" t="s">
        <v>497</v>
      </c>
      <c r="J8780" s="2" t="s">
        <v>19517</v>
      </c>
      <c r="K8780">
        <v>20</v>
      </c>
      <c r="L8780">
        <v>20</v>
      </c>
      <c r="M8780">
        <v>20</v>
      </c>
    </row>
    <row r="8781" spans="1:13" x14ac:dyDescent="0.25">
      <c r="A8781" t="s">
        <v>19519</v>
      </c>
      <c r="B8781" t="s">
        <v>19520</v>
      </c>
      <c r="C8781" t="s">
        <v>540</v>
      </c>
      <c r="F8781">
        <v>0</v>
      </c>
      <c r="G8781" t="s">
        <v>16</v>
      </c>
      <c r="H8781">
        <v>0</v>
      </c>
      <c r="I8781" s="2" t="s">
        <v>497</v>
      </c>
      <c r="J8781" s="2" t="s">
        <v>19519</v>
      </c>
      <c r="K8781">
        <v>20</v>
      </c>
      <c r="L8781">
        <v>20</v>
      </c>
      <c r="M8781">
        <v>20</v>
      </c>
    </row>
    <row r="8782" spans="1:13" x14ac:dyDescent="0.25">
      <c r="A8782" t="s">
        <v>19521</v>
      </c>
      <c r="B8782" t="s">
        <v>19522</v>
      </c>
      <c r="C8782" t="s">
        <v>540</v>
      </c>
      <c r="D8782" t="s">
        <v>4589</v>
      </c>
      <c r="F8782">
        <v>0</v>
      </c>
      <c r="G8782" t="s">
        <v>16</v>
      </c>
      <c r="H8782">
        <v>0</v>
      </c>
      <c r="I8782" s="2" t="s">
        <v>497</v>
      </c>
      <c r="J8782" s="2" t="s">
        <v>19521</v>
      </c>
      <c r="K8782">
        <v>20</v>
      </c>
      <c r="L8782">
        <v>20</v>
      </c>
      <c r="M8782">
        <v>20</v>
      </c>
    </row>
    <row r="8783" spans="1:13" x14ac:dyDescent="0.25">
      <c r="A8783" t="s">
        <v>19523</v>
      </c>
      <c r="B8783" t="s">
        <v>19524</v>
      </c>
      <c r="C8783" t="s">
        <v>540</v>
      </c>
      <c r="F8783">
        <v>0</v>
      </c>
      <c r="G8783" t="s">
        <v>16</v>
      </c>
      <c r="H8783">
        <v>0</v>
      </c>
      <c r="I8783" s="2" t="s">
        <v>497</v>
      </c>
      <c r="J8783" s="2" t="s">
        <v>19523</v>
      </c>
      <c r="K8783">
        <v>20</v>
      </c>
      <c r="L8783">
        <v>20</v>
      </c>
      <c r="M8783">
        <v>20</v>
      </c>
    </row>
    <row r="8784" spans="1:13" x14ac:dyDescent="0.25">
      <c r="A8784" t="s">
        <v>19525</v>
      </c>
      <c r="B8784" t="s">
        <v>19526</v>
      </c>
      <c r="C8784" t="s">
        <v>540</v>
      </c>
      <c r="F8784">
        <v>0</v>
      </c>
      <c r="G8784" t="s">
        <v>16</v>
      </c>
      <c r="H8784">
        <v>0</v>
      </c>
      <c r="I8784" s="2" t="s">
        <v>497</v>
      </c>
      <c r="J8784" s="2" t="s">
        <v>19525</v>
      </c>
      <c r="K8784">
        <v>20</v>
      </c>
      <c r="L8784">
        <v>20</v>
      </c>
      <c r="M8784">
        <v>20</v>
      </c>
    </row>
    <row r="8785" spans="1:13" x14ac:dyDescent="0.25">
      <c r="A8785" t="s">
        <v>19527</v>
      </c>
      <c r="B8785" t="s">
        <v>19528</v>
      </c>
      <c r="C8785" t="s">
        <v>1736</v>
      </c>
      <c r="F8785">
        <v>1</v>
      </c>
      <c r="G8785" t="s">
        <v>16</v>
      </c>
      <c r="H8785">
        <v>0</v>
      </c>
      <c r="I8785" s="2" t="s">
        <v>497</v>
      </c>
      <c r="J8785" s="2" t="s">
        <v>19527</v>
      </c>
      <c r="K8785">
        <v>20</v>
      </c>
      <c r="L8785">
        <v>20</v>
      </c>
      <c r="M8785">
        <v>20</v>
      </c>
    </row>
    <row r="8786" spans="1:13" x14ac:dyDescent="0.25">
      <c r="A8786" t="s">
        <v>19529</v>
      </c>
      <c r="B8786" t="s">
        <v>19530</v>
      </c>
      <c r="C8786" t="s">
        <v>540</v>
      </c>
      <c r="F8786">
        <v>0</v>
      </c>
      <c r="G8786" t="s">
        <v>16</v>
      </c>
      <c r="H8786">
        <v>0</v>
      </c>
      <c r="I8786" s="2" t="s">
        <v>497</v>
      </c>
      <c r="J8786" s="2" t="s">
        <v>19529</v>
      </c>
      <c r="K8786">
        <v>20</v>
      </c>
      <c r="L8786">
        <v>20</v>
      </c>
      <c r="M8786">
        <v>20</v>
      </c>
    </row>
    <row r="8787" spans="1:13" x14ac:dyDescent="0.25">
      <c r="A8787" t="s">
        <v>19531</v>
      </c>
      <c r="B8787" t="s">
        <v>19532</v>
      </c>
      <c r="C8787" t="s">
        <v>540</v>
      </c>
      <c r="F8787">
        <v>0</v>
      </c>
      <c r="G8787" t="s">
        <v>16</v>
      </c>
      <c r="H8787">
        <v>0</v>
      </c>
      <c r="I8787" s="2" t="s">
        <v>497</v>
      </c>
      <c r="J8787" s="2" t="s">
        <v>19531</v>
      </c>
      <c r="K8787">
        <v>20</v>
      </c>
      <c r="L8787">
        <v>20</v>
      </c>
      <c r="M8787">
        <v>20</v>
      </c>
    </row>
    <row r="8788" spans="1:13" x14ac:dyDescent="0.25">
      <c r="A8788" t="s">
        <v>19533</v>
      </c>
      <c r="B8788" t="s">
        <v>19534</v>
      </c>
      <c r="C8788" t="s">
        <v>1736</v>
      </c>
      <c r="F8788">
        <v>1</v>
      </c>
      <c r="G8788" t="s">
        <v>16</v>
      </c>
      <c r="H8788">
        <v>0</v>
      </c>
      <c r="I8788" s="2" t="s">
        <v>497</v>
      </c>
      <c r="J8788" s="2" t="s">
        <v>19533</v>
      </c>
      <c r="K8788">
        <v>20</v>
      </c>
      <c r="L8788">
        <v>20</v>
      </c>
      <c r="M8788">
        <v>20</v>
      </c>
    </row>
    <row r="8789" spans="1:13" x14ac:dyDescent="0.25">
      <c r="A8789" t="s">
        <v>19535</v>
      </c>
      <c r="B8789" t="s">
        <v>19536</v>
      </c>
      <c r="C8789" t="s">
        <v>1736</v>
      </c>
      <c r="F8789">
        <v>4</v>
      </c>
      <c r="G8789" t="s">
        <v>16</v>
      </c>
      <c r="H8789">
        <v>0</v>
      </c>
      <c r="I8789" s="2" t="s">
        <v>383</v>
      </c>
      <c r="J8789" s="2">
        <v>3397011812</v>
      </c>
      <c r="K8789">
        <v>20</v>
      </c>
      <c r="L8789">
        <v>20</v>
      </c>
      <c r="M8789">
        <v>20</v>
      </c>
    </row>
    <row r="8790" spans="1:13" x14ac:dyDescent="0.25">
      <c r="A8790" t="s">
        <v>19537</v>
      </c>
      <c r="B8790" t="s">
        <v>19538</v>
      </c>
      <c r="C8790" t="s">
        <v>496</v>
      </c>
      <c r="F8790">
        <v>0</v>
      </c>
      <c r="G8790" t="s">
        <v>16</v>
      </c>
      <c r="H8790">
        <v>0</v>
      </c>
      <c r="I8790" s="2" t="s">
        <v>497</v>
      </c>
      <c r="J8790" s="2" t="s">
        <v>19537</v>
      </c>
      <c r="K8790">
        <v>20</v>
      </c>
      <c r="L8790">
        <v>20</v>
      </c>
      <c r="M8790">
        <v>20</v>
      </c>
    </row>
    <row r="8791" spans="1:13" x14ac:dyDescent="0.25">
      <c r="A8791" t="s">
        <v>19539</v>
      </c>
      <c r="B8791" t="s">
        <v>19540</v>
      </c>
      <c r="C8791" t="s">
        <v>357</v>
      </c>
      <c r="D8791" t="s">
        <v>792</v>
      </c>
      <c r="F8791">
        <v>0</v>
      </c>
      <c r="G8791" t="s">
        <v>16</v>
      </c>
      <c r="H8791">
        <v>0</v>
      </c>
      <c r="I8791" s="2" t="s">
        <v>497</v>
      </c>
      <c r="J8791" s="2" t="s">
        <v>19539</v>
      </c>
      <c r="K8791">
        <v>20</v>
      </c>
      <c r="L8791">
        <v>20</v>
      </c>
      <c r="M8791">
        <v>20</v>
      </c>
    </row>
    <row r="8792" spans="1:13" x14ac:dyDescent="0.25">
      <c r="A8792" t="s">
        <v>19541</v>
      </c>
      <c r="B8792" t="s">
        <v>19543</v>
      </c>
      <c r="C8792" t="s">
        <v>496</v>
      </c>
      <c r="D8792" t="s">
        <v>2360</v>
      </c>
      <c r="F8792">
        <v>0</v>
      </c>
      <c r="G8792" t="s">
        <v>16</v>
      </c>
      <c r="H8792">
        <v>0</v>
      </c>
      <c r="I8792" s="2" t="s">
        <v>497</v>
      </c>
      <c r="J8792" s="2" t="s">
        <v>19542</v>
      </c>
      <c r="K8792">
        <v>20</v>
      </c>
      <c r="L8792">
        <v>20</v>
      </c>
      <c r="M8792">
        <v>20</v>
      </c>
    </row>
    <row r="8793" spans="1:13" x14ac:dyDescent="0.25">
      <c r="A8793" t="s">
        <v>19544</v>
      </c>
      <c r="B8793" t="s">
        <v>19545</v>
      </c>
      <c r="C8793" t="s">
        <v>496</v>
      </c>
      <c r="D8793" t="s">
        <v>2360</v>
      </c>
      <c r="F8793">
        <v>0</v>
      </c>
      <c r="G8793" t="s">
        <v>16</v>
      </c>
      <c r="H8793">
        <v>0</v>
      </c>
      <c r="I8793" s="2" t="s">
        <v>7654</v>
      </c>
      <c r="J8793" s="2" t="s">
        <v>19546</v>
      </c>
      <c r="K8793">
        <v>20</v>
      </c>
      <c r="L8793">
        <v>20</v>
      </c>
      <c r="M8793">
        <v>20</v>
      </c>
    </row>
    <row r="8794" spans="1:13" x14ac:dyDescent="0.25">
      <c r="A8794" t="s">
        <v>19547</v>
      </c>
      <c r="B8794" t="s">
        <v>19548</v>
      </c>
      <c r="C8794" t="s">
        <v>496</v>
      </c>
      <c r="D8794" t="s">
        <v>2360</v>
      </c>
      <c r="F8794">
        <v>0</v>
      </c>
      <c r="G8794" t="s">
        <v>16</v>
      </c>
      <c r="H8794">
        <v>0</v>
      </c>
      <c r="I8794" s="2" t="s">
        <v>497</v>
      </c>
      <c r="J8794" s="2" t="s">
        <v>19547</v>
      </c>
      <c r="K8794">
        <v>20</v>
      </c>
      <c r="L8794">
        <v>20</v>
      </c>
      <c r="M8794">
        <v>20</v>
      </c>
    </row>
    <row r="8795" spans="1:13" x14ac:dyDescent="0.25">
      <c r="A8795" t="s">
        <v>19549</v>
      </c>
      <c r="B8795" t="s">
        <v>19548</v>
      </c>
      <c r="C8795" t="s">
        <v>496</v>
      </c>
      <c r="D8795" t="s">
        <v>2360</v>
      </c>
      <c r="F8795">
        <v>0</v>
      </c>
      <c r="G8795" t="s">
        <v>16</v>
      </c>
      <c r="H8795">
        <v>0</v>
      </c>
      <c r="I8795" s="2" t="s">
        <v>7654</v>
      </c>
      <c r="J8795" s="2" t="s">
        <v>19550</v>
      </c>
      <c r="K8795">
        <v>20</v>
      </c>
      <c r="L8795">
        <v>20</v>
      </c>
      <c r="M879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KEMALOTOMOTİVYED.PAR</dc:creator>
  <cp:lastModifiedBy>kemalotomotivyedekparca@outlook.com</cp:lastModifiedBy>
  <dcterms:created xsi:type="dcterms:W3CDTF">2026-09-03T14:00:19Z</dcterms:created>
  <dcterms:modified xsi:type="dcterms:W3CDTF">2026-09-03T14:00:19Z</dcterms:modified>
</cp:coreProperties>
</file>